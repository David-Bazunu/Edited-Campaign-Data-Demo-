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/>
  </bookViews>
  <sheets>
    <sheet name="Raw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<sst xmlns="http://schemas.openxmlformats.org/spreadsheetml/2006/main" count="43" uniqueCount="35">
  <si>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Order_ID</t>
  </si>
  <si>
    <t>Order_Date</t>
  </si>
  <si>
    <t>Customer_Name</t>
  </si>
  <si>
    <t>Category</t>
  </si>
  <si>
    <t>Unit_Price</t>
  </si>
  <si>
    <t>Quantity</t>
  </si>
  <si>
    <t>Total_Sales</t>
  </si>
  <si>
    <t>Region</t>
  </si>
  <si>
    <t>ORD-1001</t>
  </si>
  <si>
    <t>2026-07-01</t>
  </si>
  <si>
    <t>300</t>
  </si>
  <si>
    <t>North</t>
  </si>
  <si>
    <t>ORD-1002</t>
  </si>
  <si>
    <t>07/02/2026</t>
  </si>
  <si>
    <t xml:space="preserve">136.50 </t>
  </si>
  <si>
    <t>South</t>
  </si>
  <si>
    <t>ORD-1003</t>
  </si>
  <si>
    <t>2026-07-03</t>
  </si>
  <si>
    <t>East</t>
  </si>
  <si>
    <t>ORD-1004</t>
  </si>
  <si>
    <t xml:space="preserve">2026-07-05 </t>
  </si>
  <si>
    <t>N/A</t>
  </si>
  <si>
    <t>ORD-1005</t>
  </si>
  <si>
    <t>07/06/2026</t>
  </si>
  <si>
    <t>West</t>
  </si>
  <si>
    <t>ORD-1006</t>
  </si>
  <si>
    <t>2026-07-08</t>
  </si>
  <si>
    <t>ORD-1007</t>
  </si>
  <si>
    <t>07/09/2026</t>
  </si>
  <si>
    <t>ORD-1008</t>
  </si>
  <si>
    <t>2026-07-10</t>
  </si>
  <si>
    <t>ORD-1009</t>
  </si>
  <si>
    <t>2026-07-12</t>
  </si>
  <si>
    <t>ORD-1010</t>
  </si>
  <si>
    <t>07/13/2026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</si>
</sst>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5" sqref="F15"/>
    </sheetView>
  </sheetViews>
  <sheetFormatPr defaultColWidth="9" defaultRowHeight="14.4" outlineLevelCol="7"/>
  <cols>
    <col min="1" max="1" width="12" customWidth="1"/>
    <col min="2" max="2" width="15" customWidth="1"/>
    <col min="3" max="3" width="19" customWidth="1"/>
    <col min="4" max="4" width="20" customWidth="1"/>
    <col min="5" max="5" width="14" customWidth="1"/>
    <col min="6" max="6" width="12" customWidth="1"/>
    <col min="7" max="7" width="15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tr">
        <f>TRIM(PROPER(" john DOE"))</f>
        <v>John Doe</v>
      </c>
      <c r="D2" s="2" t="str">
        <f>TRIM(PROPER("ELECTRONICS"))</f>
        <v>Electronics</v>
      </c>
      <c r="E2" s="3">
        <v>150</v>
      </c>
      <c r="F2" s="2">
        <v>2</v>
      </c>
      <c r="G2" s="4" t="s">
        <v>10</v>
      </c>
      <c r="H2" s="2" t="s">
        <v>11</v>
      </c>
    </row>
    <row r="3" spans="1:8">
      <c r="A3" s="2" t="s">
        <v>12</v>
      </c>
      <c r="B3" s="2" t="s">
        <v>13</v>
      </c>
      <c r="C3" s="2" t="str">
        <f>TRIM(PROPER("Jane Smith"))</f>
        <v>Jane Smith</v>
      </c>
      <c r="D3" s="2" t="str">
        <f>TRIM(PROPER("furniture"))</f>
        <v>Furniture</v>
      </c>
      <c r="E3" s="3">
        <v>45.5</v>
      </c>
      <c r="F3" s="2">
        <v>3</v>
      </c>
      <c r="G3" s="4" t="s">
        <v>14</v>
      </c>
      <c r="H3" s="2" t="s">
        <v>15</v>
      </c>
    </row>
    <row r="4" spans="1:8">
      <c r="A4" s="2" t="s">
        <v>16</v>
      </c>
      <c r="B4" s="2" t="s">
        <v>17</v>
      </c>
      <c r="C4" s="2" t="str">
        <f>TRIM(PROPER("ALICE JOHNSON"))</f>
        <v>Alice Johnson</v>
      </c>
      <c r="D4" s="2" t="str">
        <f>TRIM(PROPER("Electronics"))</f>
        <v>Electronics</v>
      </c>
      <c r="E4" s="3">
        <v>150</v>
      </c>
      <c r="F4" s="2">
        <v>1</v>
      </c>
      <c r="G4" s="2">
        <v>150</v>
      </c>
      <c r="H4" s="2" t="s">
        <v>18</v>
      </c>
    </row>
    <row r="5" spans="1:8">
      <c r="A5" s="2" t="s">
        <v>19</v>
      </c>
      <c r="B5" s="2" t="s">
        <v>20</v>
      </c>
      <c r="C5" s="2" t="str">
        <f>TRIM(PROPER("bob marley"))</f>
        <v>Bob Marley</v>
      </c>
      <c r="D5" s="2" t="str">
        <f>TRIM(PROPER("OFFICE SUPPLIES"))</f>
        <v>Office Supplies</v>
      </c>
      <c r="E5" s="3">
        <v>12</v>
      </c>
      <c r="F5" s="2">
        <v>10</v>
      </c>
      <c r="G5" s="2">
        <v>120</v>
      </c>
      <c r="H5" s="2" t="s">
        <v>21</v>
      </c>
    </row>
    <row r="6" spans="1:8">
      <c r="A6" s="2" t="s">
        <v>22</v>
      </c>
      <c r="B6" s="2" t="s">
        <v>23</v>
      </c>
      <c r="C6" s="2" t="str">
        <f>TRIM(PROPER("Charlie Brown"))</f>
        <v>Charlie Brown</v>
      </c>
      <c r="D6" s="2" t="str">
        <f>TRIM(PROPER("Furniture"))</f>
        <v>Furniture</v>
      </c>
      <c r="E6" s="3">
        <v>200</v>
      </c>
      <c r="F6" s="2">
        <v>2</v>
      </c>
      <c r="G6" s="2">
        <v>400</v>
      </c>
      <c r="H6" s="2" t="s">
        <v>24</v>
      </c>
    </row>
    <row r="7" spans="1:8">
      <c r="A7" s="2" t="s">
        <v>22</v>
      </c>
      <c r="B7" s="2" t="s">
        <v>23</v>
      </c>
      <c r="C7" s="2" t="str">
        <f>TRIM(PROPER("Charlie Brown"))</f>
        <v>Charlie Brown</v>
      </c>
      <c r="D7" s="2" t="str">
        <f>TRIM(PROPER("Furniture"))</f>
        <v>Furniture</v>
      </c>
      <c r="E7" s="3">
        <v>200</v>
      </c>
      <c r="F7" s="2">
        <v>2</v>
      </c>
      <c r="G7" s="2">
        <v>400</v>
      </c>
      <c r="H7" s="2" t="s">
        <v>24</v>
      </c>
    </row>
    <row r="8" spans="1:8">
      <c r="A8" s="2" t="s">
        <v>25</v>
      </c>
      <c r="B8" s="2" t="s">
        <v>26</v>
      </c>
      <c r="C8" s="2" t="str">
        <f>TRIM(PROPER(" EMMA WATSON"))</f>
        <v>Emma Watson</v>
      </c>
      <c r="D8" s="2" t="str">
        <f>TRIM(PROPER("electronics"))</f>
        <v>Electronics</v>
      </c>
      <c r="E8" s="3">
        <v>350</v>
      </c>
      <c r="F8" s="2">
        <v>1</v>
      </c>
      <c r="G8" s="2">
        <v>350</v>
      </c>
      <c r="H8" s="2" t="s">
        <v>11</v>
      </c>
    </row>
    <row r="9" spans="1:8">
      <c r="A9" s="2" t="s">
        <v>27</v>
      </c>
      <c r="B9" s="2" t="s">
        <v>28</v>
      </c>
      <c r="C9" s="2" t="str">
        <f>TRIM(PROPER("david MILLER"))</f>
        <v>David Miller</v>
      </c>
      <c r="D9" s="2" t="str">
        <f>TRIM(PROPER("Office Supplies"))</f>
        <v>Office Supplies</v>
      </c>
      <c r="E9" s="3">
        <v>15.5</v>
      </c>
      <c r="F9" s="2">
        <v>4</v>
      </c>
      <c r="G9" s="2">
        <v>62</v>
      </c>
      <c r="H9" s="2" t="s">
        <v>15</v>
      </c>
    </row>
    <row r="10" spans="1:8">
      <c r="A10" s="2" t="s">
        <v>29</v>
      </c>
      <c r="B10" s="2" t="s">
        <v>30</v>
      </c>
      <c r="C10" s="2" t="str">
        <f>TRIM(PROPER("Frank Wright"))</f>
        <v>Frank Wright</v>
      </c>
      <c r="D10" s="2" t="str">
        <f>TRIM(PROPER("Furniture"))</f>
        <v>Furniture</v>
      </c>
      <c r="E10" s="3">
        <v>85</v>
      </c>
      <c r="F10" s="2">
        <v>2</v>
      </c>
      <c r="G10" s="2">
        <v>170</v>
      </c>
      <c r="H10" s="2" t="s">
        <v>24</v>
      </c>
    </row>
    <row r="11" spans="1:8">
      <c r="A11" s="2" t="s">
        <v>31</v>
      </c>
      <c r="B11" s="2" t="s">
        <v>32</v>
      </c>
      <c r="C11" s="2" t="str">
        <f>TRIM(PROPER("Grace Lee"))</f>
        <v>Grace Lee</v>
      </c>
      <c r="D11" s="2" t="str">
        <f>TRIM(PROPER("ELECTRONICS"))</f>
        <v>Electronics</v>
      </c>
      <c r="E11" s="3">
        <v>500</v>
      </c>
      <c r="F11" s="2">
        <v>1</v>
      </c>
      <c r="G11" s="2">
        <v>500</v>
      </c>
      <c r="H11" s="2" t="s">
        <v>18</v>
      </c>
    </row>
    <row r="12" spans="1:8">
      <c r="A12" s="2" t="s">
        <v>33</v>
      </c>
      <c r="B12" s="2" t="s">
        <v>34</v>
      </c>
      <c r="C12" s="2" t="str">
        <f>TRIM(PROPER("henry FORD"))</f>
        <v>Henry Ford</v>
      </c>
      <c r="D12" s="2" t="str">
        <f>TRIM(PROPER("Office Supplies"))</f>
        <v>Office Supplies</v>
      </c>
      <c r="E12" s="3">
        <v>8</v>
      </c>
      <c r="F12" s="2">
        <v>5</v>
      </c>
      <c r="G12" s="2">
        <v>40</v>
      </c>
      <c r="H12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2026-10-12T14:20:00Z</dcterms:created>
  <dcterms:modified xsi:type="dcterms:W3CDTF">2026-10-12T10:37:56Z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BFFD3290DC7B49F3A12308CC04263667_12</vt:lpwstr>
  </property>
  <property fmtid="{D5CDD505-2E9C-101B-9397-08002B2CF9AE}" pid="3" name="KSOProductBuildVer">
    <vt:lpwstr>2057-12.2.0.23206</vt:lpwstr>
  </property>
</Properties>
</file>