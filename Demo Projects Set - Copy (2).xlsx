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51" windowHeight="9720" firstSheet="8" activeTab="15"/>
  </bookViews>
  <sheets>
    <sheet name="Project 1" sheetId="1" r:id="rId1"/>
    <sheet name="Project 2" sheetId="2" r:id="rId2"/>
    <sheet name="Project 3 " sheetId="3" r:id="rId3"/>
    <sheet name="Project 4" sheetId="4" r:id="rId4"/>
    <sheet name="Project 5 " sheetId="5" r:id="rId5"/>
    <sheet name="Project 6 " sheetId="6" r:id="rId6"/>
    <sheet name="Project 7" sheetId="7" r:id="rId7"/>
    <sheet name="Project 8" sheetId="8" r:id="rId8"/>
    <sheet name="Project 9" sheetId="9" r:id="rId9"/>
    <sheet name="Project 10 " sheetId="10" r:id="rId10"/>
    <sheet name="Project 11" sheetId="11" r:id="rId11"/>
    <sheet name="Project 12" sheetId="12" r:id="rId12"/>
    <sheet name="Project 13" sheetId="13" r:id="rId13"/>
    <sheet name="Project 14 " sheetId="15" r:id="rId14"/>
    <sheet name="Dash Board " sheetId="16" r:id="rId15"/>
    <sheet name="Project 15" sheetId="17" r:id="rId16"/>
  </sheets>
  <definedNames>
    <definedName name="_xlnm._FilterDatabase" localSheetId="5" hidden="1">'Project 6 '!$A$76:$I$87</definedName>
    <definedName name="Slicer_Age">#N/A</definedName>
    <definedName name="Slicer_Country">#N/A</definedName>
    <definedName name="Slicer_Overall_Impact">#N/A</definedName>
  </definedNames>
  <calcPr calcId="191029"/>
  <pivotCaches>
    <pivotCache cacheId="0" r:id="rId17"/>
    <pivotCache cacheId="1" r:id="rId18"/>
  </pivotCaches>
  <extLst>
    <ext xmlns:x14="http://schemas.microsoft.com/office/spreadsheetml/2009/9/main" uri="{BBE1A952-AA13-448e-AADC-164F8A28A991}">
      <x14:slicerCaches>
        <x14:slicerCache r:id="rId21"/>
        <x14:slicerCache r:id="rId20"/>
        <x14:slicerCache r:id="rId1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<sst xmlns="http://schemas.openxmlformats.org/spreadsheetml/2006/main" count="1914" uniqueCount="361">
  <si>
    <t>TASKS — Complete the following using this dataset</t>
  </si>
  <si>
    <t>1. Format the Salary column as Currency with 2 decimal places</t>
  </si>
  <si>
    <t>2. Apply Bold and Dark Blue fill to the header row</t>
  </si>
  <si>
    <t>3. Calculate Tax (20%) and Net Pay using formulas for all 10 employees</t>
  </si>
  <si>
    <t>4. Add a Bonus column (10% of salary) using an absolute reference to a bonus rate cell</t>
  </si>
  <si>
    <t>5. Use SUM at the bottom to total the Salary, Tax, Net Pay, and Bonus columns</t>
  </si>
  <si>
    <t>6. Apply alternating row shading (grey/white) to the data rows</t>
  </si>
  <si>
    <t>7. Resize all columns to fit content using Format &gt; AutoFit Column Width</t>
  </si>
  <si>
    <t>EmpID</t>
  </si>
  <si>
    <t>Full Name</t>
  </si>
  <si>
    <t>Department</t>
  </si>
  <si>
    <t>Salary</t>
  </si>
  <si>
    <t>Tax (20%)</t>
  </si>
  <si>
    <t>Net Pay</t>
  </si>
  <si>
    <t>Bonus (10%)</t>
  </si>
  <si>
    <t>Jim Halpert</t>
  </si>
  <si>
    <t>Sales</t>
  </si>
  <si>
    <t>Pam Beasley</t>
  </si>
  <si>
    <t>Admin</t>
  </si>
  <si>
    <t>Dwight Schrute</t>
  </si>
  <si>
    <t>Angela Martin</t>
  </si>
  <si>
    <t>Accounting</t>
  </si>
  <si>
    <t>Toby Flenderson</t>
  </si>
  <si>
    <t>HR</t>
  </si>
  <si>
    <t>Michael Scott</t>
  </si>
  <si>
    <t>Management</t>
  </si>
  <si>
    <t>Meredith Palmer</t>
  </si>
  <si>
    <t>Supply</t>
  </si>
  <si>
    <t>Stanley Hudson</t>
  </si>
  <si>
    <t>Kevin Malone</t>
  </si>
  <si>
    <t>Oscar Martinez</t>
  </si>
  <si>
    <t>TOTAL</t>
  </si>
  <si>
    <t>Practical Data Set</t>
  </si>
  <si>
    <t>1. Use UPPER() to create an ALL-CAPS version of the Full Name column</t>
  </si>
  <si>
    <t>2. Use LEFT() to extract the first name and RIGHT() to extract the domain from Email</t>
  </si>
  <si>
    <t>3. Use LEN() to count the number of characters in each employee's full name</t>
  </si>
  <si>
    <t>4. Use TODAY() and DATEDIF() to calculate years of service from Start Date</t>
  </si>
  <si>
    <t>5. Use SUM, AVERAGE, MIN, MAX on the Salary column</t>
  </si>
  <si>
    <t>6. Use TEXT() to display the Start Date in 'DD MMM YYYY' format</t>
  </si>
  <si>
    <t>7. Use CONCAT() to build a greeting: 'Hello, [First Name]!'</t>
  </si>
  <si>
    <t>Start Date</t>
  </si>
  <si>
    <t>Dept</t>
  </si>
  <si>
    <t>Email</t>
  </si>
  <si>
    <t xml:space="preserve">First Name </t>
  </si>
  <si>
    <t xml:space="preserve">Domain Name </t>
  </si>
  <si>
    <t>Full Name ( Length )</t>
  </si>
  <si>
    <t>GREETING</t>
  </si>
  <si>
    <t xml:space="preserve">YEARS OF SERVICE </t>
  </si>
  <si>
    <t>Jim.Halpert@DunderMifflin.com</t>
  </si>
  <si>
    <t>Pam.Beasley@DunderMifflin.com</t>
  </si>
  <si>
    <t>Dwight.Schrute@AOL.com</t>
  </si>
  <si>
    <t>Angela.Martin@DunderMifflin.com</t>
  </si>
  <si>
    <t>Toby.Flenderson@DunderMifflin.com</t>
  </si>
  <si>
    <t>Michael.Scott@DunderMifflin.com</t>
  </si>
  <si>
    <t>Meredith.Palmer@Yahoo.com</t>
  </si>
  <si>
    <t>Stanley.Hudson@gmail.com</t>
  </si>
  <si>
    <t>TASKS</t>
  </si>
  <si>
    <t>1. Use SUMIF to find total salary for each department (Sales, Accounting, HR)</t>
  </si>
  <si>
    <t>2. Use COUNTIF to count how many employees are in each department</t>
  </si>
  <si>
    <t>3. Use SUMIF to total salaries for Male employees and separately for Female employees</t>
  </si>
  <si>
    <t>4. Use SUMIFS to find total salary for Male employees in Sales</t>
  </si>
  <si>
    <t>5. Use COUNTIFS to count Female employees earning more than $45,000</t>
  </si>
  <si>
    <t>6. Use AVERAGEIF to find the average salary for Accounting department</t>
  </si>
  <si>
    <t>7. Use COUNTIF with a wildcard (*) to count all emails ending in '@DunderMifflin.com'</t>
  </si>
  <si>
    <t>Gender</t>
  </si>
  <si>
    <t xml:space="preserve">Total employees in each dept </t>
  </si>
  <si>
    <t xml:space="preserve">Counts </t>
  </si>
  <si>
    <t>M</t>
  </si>
  <si>
    <t xml:space="preserve">Accounting </t>
  </si>
  <si>
    <t>F</t>
  </si>
  <si>
    <t>Temp</t>
  </si>
  <si>
    <t>Phyllis Vance</t>
  </si>
  <si>
    <t>Ryan Howard</t>
  </si>
  <si>
    <t>1. Use RANDBETWEEN to generate 10 random test scores between 0 and 100</t>
  </si>
  <si>
    <t>2. Use MROUND to round each score to the nearest 5</t>
  </si>
  <si>
    <t>3. Use ROUND to round each raw score to the nearest 10</t>
  </si>
  <si>
    <t>4. Create an Autofill series for dates: Jan 1 2024 to Dec 31 2024 (monthly)</t>
  </si>
  <si>
    <t>5. Use RAND() * 100 to generate decimal scores, then compare to RANDBETWEEN</t>
  </si>
  <si>
    <t>6. Use MOD to identify which employees have even-numbered IDs</t>
  </si>
  <si>
    <t>7. Use ROUNDUP and ROUNDDOWN on the raw scores — compare the differences</t>
  </si>
  <si>
    <t>Name</t>
  </si>
  <si>
    <t>Raw Score</t>
  </si>
  <si>
    <t>Rounded Score</t>
  </si>
  <si>
    <t>Grade Tier</t>
  </si>
  <si>
    <t xml:space="preserve"> formulas (RANDBETWEEN)</t>
  </si>
  <si>
    <t>TEST SCORES</t>
  </si>
  <si>
    <t xml:space="preserve">NEAREST MULTIPLE </t>
  </si>
  <si>
    <t>DATES</t>
  </si>
  <si>
    <t>TEST SCORES2</t>
  </si>
  <si>
    <t>COMPARISON</t>
  </si>
  <si>
    <t>EMLOYEE IDS</t>
  </si>
  <si>
    <t>score difference</t>
  </si>
  <si>
    <t>Jim</t>
  </si>
  <si>
    <t>Pam</t>
  </si>
  <si>
    <t>Dwight</t>
  </si>
  <si>
    <t>Angela</t>
  </si>
  <si>
    <t>Toby</t>
  </si>
  <si>
    <t>Michael</t>
  </si>
  <si>
    <t>Meredith</t>
  </si>
  <si>
    <t>Stanley</t>
  </si>
  <si>
    <t>Kevin</t>
  </si>
  <si>
    <t>Oscar</t>
  </si>
  <si>
    <t xml:space="preserve">Multiplication Table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</si>
  <si>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</si>
  <si>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</si>
  <si>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</si>
  <si>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</si>
  <si>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</si>
  <si>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</si>
  <si>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</si>
  <si>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</si>
  <si>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</si>
  <si>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1. Use Data &gt; Text to Columns to split Full Name into First Name and Last Name</t>
  </si>
  <si>
    <t>2. Build a price table using an absolute reference for a VAT rate stored in one cell</t>
  </si>
  <si>
    <t>3. Create a multiplication table (1–10 × 1–10) using mixed references ($A1 and A$1)</t>
  </si>
  <si>
    <t>4. Calculate Net Salary for all employees using an absolute reference for the tax rate</t>
  </si>
  <si>
    <t>5. Change the tax rate cell to 25% — verify all Net Salary values update automatically</t>
  </si>
  <si>
    <t>6. Use a cross-sheet reference to pull salary data from another sheet</t>
  </si>
  <si>
    <t>7. Press F4 after clicking a cell reference in the formula bar to cycle through reference types</t>
  </si>
  <si>
    <t>Full Name (to split)</t>
  </si>
  <si>
    <t>First Name</t>
  </si>
  <si>
    <t>Last Name</t>
  </si>
  <si>
    <t>Tax Rate : 0.25</t>
  </si>
  <si>
    <t xml:space="preserve">Price Table </t>
  </si>
  <si>
    <t>Net Salary</t>
  </si>
  <si>
    <t>Salary (cross sheet )</t>
  </si>
  <si>
    <t>Halpert</t>
  </si>
  <si>
    <t>Beasley</t>
  </si>
  <si>
    <t>Schrute</t>
  </si>
  <si>
    <t>Martin</t>
  </si>
  <si>
    <t>Flenderson</t>
  </si>
  <si>
    <t>Scott</t>
  </si>
  <si>
    <t>Palmer</t>
  </si>
  <si>
    <t>Hudson</t>
  </si>
  <si>
    <t>1. Convert the dataset to an Excel Table (Ctrl+T) — name it 'EmployeeTable'</t>
  </si>
  <si>
    <t>Job Title</t>
  </si>
  <si>
    <t>Tenure (Yrs)</t>
  </si>
  <si>
    <t>Regional Manager</t>
  </si>
  <si>
    <t>2001-05-06</t>
  </si>
  <si>
    <t>michael.scott@dundermifflin.com</t>
  </si>
  <si>
    <t>Assistant RM</t>
  </si>
  <si>
    <t>2000-07-04</t>
  </si>
  <si>
    <t>dwight.schrute@aol.com</t>
  </si>
  <si>
    <t>Senior Accountant</t>
  </si>
  <si>
    <t>2002-03-15</t>
  </si>
  <si>
    <t>oscar.martinez@dundermifflin.com</t>
  </si>
  <si>
    <t>Supplier Relations</t>
  </si>
  <si>
    <t>2003-11-08</t>
  </si>
  <si>
    <t>meredith.palmer@yahoo.com</t>
  </si>
  <si>
    <t>Accountant</t>
  </si>
  <si>
    <t>2003-08-10</t>
  </si>
  <si>
    <t>kevin.malone@dundermifflin.com</t>
  </si>
  <si>
    <t>HR Rep</t>
  </si>
  <si>
    <t>toby.flenderson@dundermifflin.com</t>
  </si>
  <si>
    <t>Salesman</t>
  </si>
  <si>
    <t>2002-06-09</t>
  </si>
  <si>
    <t>stanley.hudson@gmail.com</t>
  </si>
  <si>
    <t>2000-01-05</t>
  </si>
  <si>
    <t>angela.martin@dundermifflin.com</t>
  </si>
  <si>
    <t>2001-11-02</t>
  </si>
  <si>
    <t>jim.halpert@dundermifflin.com</t>
  </si>
  <si>
    <t>Saleswoman</t>
  </si>
  <si>
    <t>2001-07-11</t>
  </si>
  <si>
    <t>phyllis.vance@dundermifflin.com</t>
  </si>
  <si>
    <t>Receptionist</t>
  </si>
  <si>
    <t>1999-10-03</t>
  </si>
  <si>
    <t>pam.beasley@dundermifflin.com</t>
  </si>
  <si>
    <t>2004-01-20</t>
  </si>
  <si>
    <t>ryan.howard@dundermifflin.com</t>
  </si>
  <si>
    <t>2. Sort the table by Salary from highest to lowest</t>
  </si>
  <si>
    <t>3. Apply a Custom Sort: first by Department (A→Z), then by Salary (↓)</t>
  </si>
  <si>
    <t>4. Use AutoFilter to show only employees in the Sales department</t>
  </si>
  <si>
    <t>5. Use Number Filter to show only employees earning more than $50,000</t>
  </si>
  <si>
    <t>6. Add a Total Row to the table — calculate SUM of Salary and AVERAGE of Tenure</t>
  </si>
  <si>
    <t>Total Row</t>
  </si>
  <si>
    <t>7. Use a Text Filter on the Email column to show only '@dundermifflin.com' employees</t>
  </si>
  <si>
    <t>dundermifflin.com</t>
  </si>
  <si>
    <t>aol.com</t>
  </si>
  <si>
    <t>gmail.com</t>
  </si>
  <si>
    <t>yahoo.com</t>
  </si>
  <si>
    <t>1. Apply Freeze Panes to lock row 24 (header) and column B (Student_ID)</t>
  </si>
  <si>
    <t>2. Use Highlight Cell Rules: colour Mental_Health_Score &gt; 7.5 in Green, &lt; 5.5 in Red</t>
  </si>
  <si>
    <t>3. Apply Data Bars to the Avg_Daily_Usage_Hours column</t>
  </si>
  <si>
    <t>4. Apply a Colour Scale (Green-Yellow-Red) to the Sleep_Hours_Per_Night column</t>
  </si>
  <si>
    <t>5. Use Icon Sets (3 arrows) on the Mental_Health_Score column</t>
  </si>
  <si>
    <t>6. Create a custom rule: highlight entire row Red if Overall_Impact = 'Negative'</t>
  </si>
  <si>
    <t>7. Use Top/Bottom Rules to highlight the top 5 Mental_Health_Scores in Gold</t>
  </si>
  <si>
    <t>Student_ID</t>
  </si>
  <si>
    <t>Age</t>
  </si>
  <si>
    <t>Academic_Level</t>
  </si>
  <si>
    <t>Country</t>
  </si>
  <si>
    <t>Avg_Daily_Usage_Hours</t>
  </si>
  <si>
    <t>Most_Used_Platform</t>
  </si>
  <si>
    <t>Affects_Academic</t>
  </si>
  <si>
    <t>Sleep_Hours</t>
  </si>
  <si>
    <t>Mental_Health_Score</t>
  </si>
  <si>
    <t>Overall_Impact</t>
  </si>
  <si>
    <t>Male</t>
  </si>
  <si>
    <t>Undergraduate</t>
  </si>
  <si>
    <t>Other</t>
  </si>
  <si>
    <t>Facebook</t>
  </si>
  <si>
    <t>No</t>
  </si>
  <si>
    <t>Neutral</t>
  </si>
  <si>
    <t>Female</t>
  </si>
  <si>
    <t>LinkedIn</t>
  </si>
  <si>
    <t>Positive</t>
  </si>
  <si>
    <t>Graduate</t>
  </si>
  <si>
    <t>Canada</t>
  </si>
  <si>
    <t>Instagram</t>
  </si>
  <si>
    <t>Snapchat</t>
  </si>
  <si>
    <t>Yes</t>
  </si>
  <si>
    <t>Negative</t>
  </si>
  <si>
    <t>High School</t>
  </si>
  <si>
    <t>Twitter</t>
  </si>
  <si>
    <t>USA</t>
  </si>
  <si>
    <t>YouTube</t>
  </si>
  <si>
    <t>TikTok</t>
  </si>
  <si>
    <t>India</t>
  </si>
  <si>
    <t>Australia</t>
  </si>
  <si>
    <t>1. Use TRIM() to remove leading/trailing spaces from Full Name column</t>
  </si>
  <si>
    <t>2. Use PROPER() to fix the case of all names and UPPER() for department codes</t>
  </si>
  <si>
    <t>3. Use SUBSTITUTE() to remove commas from salary text ('63,000' → '63000'), then VALUE() to convert</t>
  </si>
  <si>
    <t>4. Use LOWER() to standardise all email addresses</t>
  </si>
  <si>
    <t>5. Set up Data Validation on Department column: dropdown list of Sales, HR, Accounting, Management, Supply</t>
  </si>
  <si>
    <t>6. Set up Data Validation on Age column: whole numbers between 18 and 70</t>
  </si>
  <si>
    <t>7. Use Data &gt; Circle Invalid Data to identify any entries that violate your validation rules</t>
  </si>
  <si>
    <t xml:space="preserve">Full Name </t>
  </si>
  <si>
    <t xml:space="preserve">Department </t>
  </si>
  <si>
    <t>Salary (Text)</t>
  </si>
  <si>
    <t>Age (Text)</t>
  </si>
  <si>
    <t xml:space="preserve"> SALARY (Edited)</t>
  </si>
  <si>
    <t xml:space="preserve">Sales </t>
  </si>
  <si>
    <t>21</t>
  </si>
  <si>
    <t>36000</t>
  </si>
  <si>
    <t>30</t>
  </si>
  <si>
    <t>29</t>
  </si>
  <si>
    <t>47000</t>
  </si>
  <si>
    <t>31</t>
  </si>
  <si>
    <t>50000</t>
  </si>
  <si>
    <t>35</t>
  </si>
  <si>
    <t>65,000</t>
  </si>
  <si>
    <t>55</t>
  </si>
  <si>
    <t>55000</t>
  </si>
  <si>
    <t>32</t>
  </si>
  <si>
    <t>48000</t>
  </si>
  <si>
    <t>38</t>
  </si>
  <si>
    <t>1. Use TRIM() on Student_ID and Avg_Daily_Usage_Hours to remove stray spaces</t>
  </si>
  <si>
    <t>2. Use PROPER() to standardise Gender, Academic_Level, and Country columns</t>
  </si>
  <si>
    <t>3. Use LOWER() to standardise the Most_Used_Platform column</t>
  </si>
  <si>
    <t>4. Use VALUE() to convert the Student_ID and Avg_Daily_Usage_Hours to numbers</t>
  </si>
  <si>
    <t>5. Use COUNTIF to identify and flag the duplicate Student_ID row</t>
  </si>
  <si>
    <t>6. Use Data &gt; Remove Duplicates on Student_ID to remove the duplicate row</t>
  </si>
  <si>
    <t>7. Build a 'Clean Summary' table next to the data using COUNTIF to count each platform</t>
  </si>
  <si>
    <t>23</t>
  </si>
  <si>
    <t>22</t>
  </si>
  <si>
    <t>18</t>
  </si>
  <si>
    <t>24</t>
  </si>
  <si>
    <t>19</t>
  </si>
  <si>
    <t>1. Use IF to classify students: Usage &gt; 6 hrs = 'High User', else 'Moderate User'</t>
  </si>
  <si>
    <t>2. Use IF + AND: flag students where Usage &gt; 5 AND Affects_Academic = 'Yes' as 'At Risk'</t>
  </si>
  <si>
    <t>3. Use IF + OR: identify students from 'USA' OR 'Canada' as 'North America', else 'Other'</t>
  </si>
  <si>
    <t>4. Use Nested IF on Mental_Health_Score: ≥7='Healthy', ≥5='Moderate', else='Low'</t>
  </si>
  <si>
    <t>5. Use IFERROR to protect a division formula (e.g. Sleep_Hours / Usage) from errors</t>
  </si>
  <si>
    <t>6. Use IFS to assign Sleep Bands: ≥8='Excellent', ≥6='Good', ≥4='Fair', else='Poor'</t>
  </si>
  <si>
    <t>7. Count how many students are 'At Risk' using COUNTIF on your new flag column</t>
  </si>
  <si>
    <t xml:space="preserve">Division formula </t>
  </si>
  <si>
    <t>SleepBands</t>
  </si>
  <si>
    <t>Flagged Students (Affects Academic )</t>
  </si>
  <si>
    <t>Mental State</t>
  </si>
  <si>
    <t>Classification Students</t>
  </si>
  <si>
    <t>North America</t>
  </si>
  <si>
    <t>/.</t>
  </si>
  <si>
    <t>Total Students At Risk</t>
  </si>
  <si>
    <t xml:space="preserve">Salary_Band </t>
  </si>
  <si>
    <t>Tenure</t>
  </si>
  <si>
    <t>jim@dm.com</t>
  </si>
  <si>
    <t>pam@dm.com</t>
  </si>
  <si>
    <t>Asst RM</t>
  </si>
  <si>
    <t>dwight@aol.com</t>
  </si>
  <si>
    <t>angela@dm.com</t>
  </si>
  <si>
    <t>toby@dm.com</t>
  </si>
  <si>
    <t>Regional Mgr</t>
  </si>
  <si>
    <t>michael@dm.com</t>
  </si>
  <si>
    <t>Supplier Rel</t>
  </si>
  <si>
    <t>meredith@yahoo.com</t>
  </si>
  <si>
    <t>stanley@gmail.com</t>
  </si>
  <si>
    <t>kevin@dm.com</t>
  </si>
  <si>
    <t>Sr Accountant</t>
  </si>
  <si>
    <t>oscar@dm.com</t>
  </si>
  <si>
    <t>1. Use VLOOKUP to retrieve Name, Department, and Salary for EmpIDs: 1005, 1008</t>
  </si>
  <si>
    <t>Emp_ID</t>
  </si>
  <si>
    <t>2. Use INDEX+MATCH to retrieve the same data — compare results with VLOOKUP</t>
  </si>
  <si>
    <t>3. Use VLOOKUP with IFERROR to handle a lookup for EmpID 9999 (doesn't exist)</t>
  </si>
  <si>
    <t>4. Build a 2-way INDEX+MATCH to find Salary given both EmpID and column header</t>
  </si>
  <si>
    <t xml:space="preserve">Name </t>
  </si>
  <si>
    <t>5. Add a new column 'Salary Band': use VLOOKUP with approximate match on a lookup table</t>
  </si>
  <si>
    <t>6. Use MATCH alone to find the row position of EmpID 1006 in the table</t>
  </si>
  <si>
    <t>1. Apply AutoFilter to the dataset — filter by Gender='Female' and check SUBTOTAL updates</t>
  </si>
  <si>
    <t>2. Filter by Overall_Impact='Negative' — note how SUBTOTAL(9) sum changes</t>
  </si>
  <si>
    <t xml:space="preserve">Comparison </t>
  </si>
  <si>
    <t>Sub Total</t>
  </si>
  <si>
    <t>SUBTOTAL SUMMARY (updates when you filter the table above)</t>
  </si>
  <si>
    <t>Metric</t>
  </si>
  <si>
    <t>Function</t>
  </si>
  <si>
    <t>Formula</t>
  </si>
  <si>
    <t>Result (visible rows)</t>
  </si>
  <si>
    <t>Notes</t>
  </si>
  <si>
    <t>Count of students</t>
  </si>
  <si>
    <t>Count rows visible</t>
  </si>
  <si>
    <t>Avg Daily Usage</t>
  </si>
  <si>
    <t>Avg usage (visible)</t>
  </si>
  <si>
    <t>Total Usage Hours</t>
  </si>
  <si>
    <t>Sum (visible)</t>
  </si>
  <si>
    <t>Max Mental Health</t>
  </si>
  <si>
    <t>Max score</t>
  </si>
  <si>
    <t>Min Sleep Hours</t>
  </si>
  <si>
    <t>Min sleep</t>
  </si>
  <si>
    <t>Avg Sleep Hours</t>
  </si>
  <si>
    <t>Avg sleep</t>
  </si>
  <si>
    <t>6. Use SUBTOTAL(3,...) to count students by platform (filter each platform and observe)</t>
  </si>
  <si>
    <t>7. Compare SUBTOTAL(9,...) vs SUM(...) on the same column — filter and observe the difference</t>
  </si>
  <si>
    <t>3. Use INDEX+MATCH to find the Student_ID of the student with the highest Mental_Health_Score</t>
  </si>
  <si>
    <t>4. Use INDEX+MATCH to find the Platform used by the student with the most daily usage</t>
  </si>
  <si>
    <t xml:space="preserve">Most Daily Usage </t>
  </si>
  <si>
    <t>Platform</t>
  </si>
  <si>
    <t xml:space="preserve">Student </t>
  </si>
  <si>
    <t>5. Build a two-way INDEX+MATCH to retrieve a value from a specific row and column</t>
  </si>
  <si>
    <t>Row</t>
  </si>
  <si>
    <t xml:space="preserve">Column </t>
  </si>
  <si>
    <t>Result</t>
  </si>
  <si>
    <t>TASKS — BUILD THESE PIVOT TABLES ON NEW SHEETS</t>
  </si>
  <si>
    <t>1. Create a Pivot Table: Rows = Most_Used_Platform, Values = COUNT of Student_ID</t>
  </si>
  <si>
    <t>2. Create a Pivot Table: Rows = Overall_Impact, Values = AVERAGE Mental_Health_Score</t>
  </si>
  <si>
    <t>3. Create a Pivot Table: Rows = Academic_Level, Columns = Gender, Values = COUNT Student_ID</t>
  </si>
  <si>
    <t>4. Create a Pivot Table: Rows = Affects_Academic, Values = AVERAGE Avg_Daily_Usage_Hours</t>
  </si>
  <si>
    <t>5. Add a Pivot Chart (clustered column) to your platform count pivot</t>
  </si>
  <si>
    <t>6. Sort each pivot by value — largest to smallest</t>
  </si>
  <si>
    <t>7. Add a calculated field: 'Sleep Deficit' = 8 - Sleep_Hours_Per_Night (PivotTable Analyze &gt; Fields, Items &amp; Sets)</t>
  </si>
  <si>
    <t>Sleep Deficit</t>
  </si>
  <si>
    <t>Count of Student_ID</t>
  </si>
  <si>
    <t>Average of Mental_Health_Score</t>
  </si>
  <si>
    <t>Grand Total</t>
  </si>
  <si>
    <t>Count of Most_Used_Platform</t>
  </si>
  <si>
    <t>Average of Avg_Daily_Usage_Hours</t>
  </si>
  <si>
    <t>1. Insert a Slicer on 'Gender' and connect it to all pivot tables on this workbook</t>
  </si>
  <si>
    <t>2. Insert a Slicer on 'Overall_Impact' — use it to filter to 'Negative' students only</t>
  </si>
  <si>
    <t>3. Group the Age field into bands: 18-20, 21-22, 23-24</t>
  </si>
  <si>
    <t>4. Create a pivot chart (Bar) for platform counts — format with chart title and data labels</t>
  </si>
  <si>
    <t>5. Create a pie chart pivot for Overall_Impact distribution</t>
  </si>
  <si>
    <t>6. Build a mini-dashboard: place 3 pivot charts + 2 slicers on one sheet</t>
  </si>
  <si>
    <t>7. Apply a consistent colour theme to all charts on your dashboard sheet</t>
  </si>
  <si>
    <t>18-20</t>
  </si>
  <si>
    <t>21-24</t>
  </si>
  <si>
    <t>CAPSTONE MARKING CRITERIA</t>
  </si>
  <si>
    <t>✅ Phase 1 (20pts): All data cleaned — no extra spaces, consistent case, no duplicate IDs</t>
  </si>
  <si>
    <t>✅ Phase 2 (20pts): Usage Band, Sleep Band, Risk Flag, and Age Group columns all correct</t>
  </si>
  <si>
    <t>✅ Phase 3 (20pts): Summary table shows correct SUMIF/COUNTIF/AVERAGEIF per group</t>
  </si>
  <si>
    <t>✅ Phase 4 (15pts): Student Card auto-fills when you change Student_ID in C15</t>
  </si>
  <si>
    <t>✅ Phase 5 (15pts): 4+ properly labelled charts with titles, axis labels, and data labels</t>
  </si>
  <si>
    <t>✅ Phase 6 (10pts): Dashboard has slicers, consistent colours, and clear KPI summaries</t>
  </si>
  <si>
    <t>🎯 Bonus: Add a conditional format to highlight 'AT RISK' students in Red on the data 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</si>
</sst>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dd\,mmmm\ d\,yyyy;@"/>
  </numFmts>
  <fonts count="28">
    <font>
      <sz val="11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sz val="10"/>
      <color rgb="FF1F3864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1"/>
      <color theme="4" tint="-0.25"/>
      <name val="Calibri"/>
      <charset val="134"/>
      <scheme val="minor"/>
    </font>
    <font>
      <sz val="20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897B"/>
        <bgColor indexed="64"/>
      </patternFill>
    </fill>
    <fill>
      <patternFill patternType="solid">
        <fgColor rgb="FFFCE4C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3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Fill="1" applyAlignment="1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0" borderId="0" xfId="0" applyFill="1" applyAlignment="1"/>
    <xf numFmtId="0" fontId="0" fillId="0" borderId="0" xfId="0" applyProtection="1">
      <alignment vertical="center"/>
      <protection locked="0"/>
    </xf>
    <xf numFmtId="0" fontId="0" fillId="0" borderId="2" xfId="0" applyFill="1" applyBorder="1" applyAlignment="1"/>
    <xf numFmtId="0" fontId="0" fillId="0" borderId="3" xfId="0" applyFill="1" applyBorder="1" applyAlignment="1"/>
    <xf numFmtId="0" fontId="1" fillId="4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/>
    <xf numFmtId="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8" fontId="4" fillId="6" borderId="1" xfId="0" applyNumberFormat="1" applyFont="1" applyFill="1" applyBorder="1" applyAlignment="1">
      <alignment horizontal="left" vertical="center" wrapText="1"/>
    </xf>
    <xf numFmtId="8" fontId="4" fillId="5" borderId="1" xfId="0" applyNumberFormat="1" applyFont="1" applyFill="1" applyBorder="1" applyAlignment="1">
      <alignment horizontal="left" vertical="center" wrapText="1"/>
    </xf>
    <xf numFmtId="0" fontId="5" fillId="7" borderId="0" xfId="0" applyNumberFormat="1" applyFont="1" applyFill="1" applyAlignment="1">
      <alignment horizontal="center" vertical="center"/>
    </xf>
    <xf numFmtId="8" fontId="0" fillId="0" borderId="0" xfId="0" applyNumberFormat="1">
      <alignment vertical="center"/>
    </xf>
    <xf numFmtId="58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6" fillId="8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8" fontId="2" fillId="3" borderId="1" xfId="0" applyNumberFormat="1" applyFont="1" applyFill="1" applyBorder="1" applyAlignment="1">
      <alignment horizontal="left" vertical="center" wrapText="1"/>
    </xf>
    <xf numFmtId="8" fontId="0" fillId="0" borderId="2" xfId="0" applyNumberFormat="1" applyFill="1" applyBorder="1" applyAlignment="1"/>
    <xf numFmtId="8" fontId="0" fillId="0" borderId="3" xfId="0" applyNumberFormat="1" applyFill="1" applyBorder="1" applyAlignment="1"/>
    <xf numFmtId="178" fontId="0" fillId="0" borderId="0" xfId="0" applyNumberFormat="1">
      <alignment vertical="center"/>
    </xf>
    <xf numFmtId="0" fontId="1" fillId="9" borderId="0" xfId="0" applyFont="1" applyFill="1" applyAlignment="1">
      <alignment horizontal="left" vertical="center" wrapText="1"/>
    </xf>
    <xf numFmtId="0" fontId="0" fillId="9" borderId="0" xfId="0" applyFill="1" applyAlignment="1"/>
    <xf numFmtId="0" fontId="8" fillId="9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8" fontId="0" fillId="0" borderId="0" xfId="0" applyNumberForma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8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58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8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  <i val="1"/>
        <color rgb="FFFFC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8"/>
        </top>
      </border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horizontal style="thin">
          <color theme="8"/>
        </horizontal>
      </border>
    </dxf>
    <dxf>
      <fill>
        <patternFill patternType="solid">
          <fgColor theme="9" tint="0.799981688894314"/>
          <bgColor theme="9" tint="0.799981688894314"/>
        </patternFill>
      </fill>
    </dxf>
    <dxf>
      <fill>
        <patternFill patternType="solid">
          <fgColor theme="9" tint="0.799981688894314"/>
          <bgColor theme="9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9"/>
        </top>
      </border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horizontal style="thin">
          <color theme="9" tint="0.399975585192419"/>
        </horizontal>
      </border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b val="1"/>
        <color rgb="FF000000" tint="-0.499984740745262"/>
      </font>
      <fill>
        <patternFill patternType="solid">
          <fgColor rgb="FF000000" tint="0.799981688894314"/>
          <bgColor rgb="FF000000" tint="0.799981688894314"/>
        </patternFill>
      </fill>
      <border>
        <left style="thin">
          <color rgb="FF000000"/>
        </left>
        <right style="thin">
          <color rgb="FF000000"/>
        </right>
        <top style="medium">
          <color rgb="FF000000"/>
        </top>
        <bottom style="thin">
          <color rgb="FF000000"/>
        </bottom>
        <vertical style="thin">
          <color rgb="FF000000" tint="0.799981688894314"/>
        </vertical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FFFFFF"/>
        </bottom>
        <vertical style="thin">
          <color rgb="FFFFFFFF"/>
        </vertical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7" tint="-0.499984740745262"/>
      </font>
      <fill>
        <patternFill patternType="solid">
          <fgColor theme="7" tint="0.799981688894314"/>
          <bgColor theme="7" tint="0.799981688894314"/>
        </patternFill>
      </fill>
      <border>
        <left style="thin">
          <color theme="7"/>
        </left>
        <right style="thin">
          <color theme="7"/>
        </right>
        <top style="medium">
          <color theme="7"/>
        </top>
        <bottom style="thin">
          <color theme="7"/>
        </bottom>
        <vertical style="thin">
          <color theme="7" tint="0.799981688894314"/>
        </vertical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0"/>
        </bottom>
        <vertical style="thin">
          <color theme="0"/>
        </vertical>
      </border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8" defaultTableStyle="TableStylePreset3_Accent1" defaultPivotStyle="PivotStylePreset2_Accent1">
    <tableStyle name="TableStylePreset3_Accent1" pivot="0" count="7" xr9:uid="{59DB682C-5494-4EDE-A608-00C9E5F0F923}">
      <tableStyleElement type="wholeTable" dxfId="77"/>
      <tableStyleElement type="headerRow" dxfId="76"/>
      <tableStyleElement type="totalRow" dxfId="75"/>
      <tableStyleElement type="firstColumn" dxfId="74"/>
      <tableStyleElement type="lastColumn" dxfId="73"/>
      <tableStyleElement type="firstRowStripe" dxfId="72"/>
      <tableStyleElement type="firstColumnStripe" dxfId="71"/>
    </tableStyle>
    <tableStyle name="TableStylePreset3_Accent5" pivot="0" count="7" xr9:uid="{C431203C-6E38-41F6-BEB3-C01E9ECA39FD}">
      <tableStyleElement type="wholeTable" dxfId="84"/>
      <tableStyleElement type="headerRow" dxfId="83"/>
      <tableStyleElement type="totalRow" dxfId="82"/>
      <tableStyleElement type="firstColumn" dxfId="81"/>
      <tableStyleElement type="lastColumn" dxfId="80"/>
      <tableStyleElement type="firstRowStripe" dxfId="79"/>
      <tableStyleElement type="firstColumnStripe" dxfId="78"/>
    </tableStyle>
    <tableStyle name="TableStylePreset3_Accent6" pivot="0" count="7" xr9:uid="{05DBA3B5-05AF-4025-9FC3-C76D3AFAB2B7}">
      <tableStyleElement type="wholeTable" dxfId="91"/>
      <tableStyleElement type="headerRow" dxfId="90"/>
      <tableStyleElement type="totalRow" dxfId="89"/>
      <tableStyleElement type="firstColumn" dxfId="88"/>
      <tableStyleElement type="lastColumn" dxfId="87"/>
      <tableStyleElement type="firstRowStripe" dxfId="86"/>
      <tableStyleElement type="firstColumnStripe" dxfId="85"/>
    </tableStyle>
    <tableStyle name="TableStylePreset8_Accent2" pivot="0" count="9" xr9:uid="{61A64D99-2805-4B1C-90BA-55090B471F78}">
      <tableStyleElement type="wholeTable" dxfId="100"/>
      <tableStyleElement type="headerRow" dxfId="99"/>
      <tableStyleElement type="totalRow" dxfId="98"/>
      <tableStyleElement type="firstColumn" dxfId="97"/>
      <tableStyleElement type="lastColumn" dxfId="96"/>
      <tableStyleElement type="firstRowStripe" dxfId="95"/>
      <tableStyleElement type="secondRowStripe" dxfId="94"/>
      <tableStyleElement type="firstColumnStripe" dxfId="93"/>
      <tableStyleElement type="secondColumnStripe" dxfId="92"/>
    </tableStyle>
    <tableStyle name="TableStylePreset11_Dark" pivot="0" count="7" xr9:uid="{2CE9FC4B-17AC-491D-99BF-366977ED0B44}">
      <tableStyleElement type="wholeTable" dxfId="107"/>
      <tableStyleElement type="headerRow" dxfId="106"/>
      <tableStyleElement type="totalRow" dxfId="105"/>
      <tableStyleElement type="firstColumn" dxfId="104"/>
      <tableStyleElement type="lastColumn" dxfId="103"/>
      <tableStyleElement type="firstRowStripe" dxfId="102"/>
      <tableStyleElement type="firstColumnStripe" dxfId="101"/>
    </tableStyle>
    <tableStyle name="TableStylePreset11_Accent4" pivot="0" count="7" xr9:uid="{8EB36348-208E-449B-952F-94A78F008AFF}">
      <tableStyleElement type="wholeTable" dxfId="114"/>
      <tableStyleElement type="headerRow" dxfId="113"/>
      <tableStyleElement type="totalRow" dxfId="112"/>
      <tableStyleElement type="firstColumn" dxfId="111"/>
      <tableStyleElement type="lastColumn" dxfId="110"/>
      <tableStyleElement type="firstRowStripe" dxfId="109"/>
      <tableStyleElement type="firstColumnStripe" dxfId="108"/>
    </tableStyle>
    <tableStyle name="Slicer Style 1" pivot="0" table="0" count="0" xr9:uid="{8B7CC663-7131-4D0D-85C1-849782F310DE}"/>
    <tableStyle name="PivotStylePreset2_Accent1" table="0" count="10" xr9:uid="{267968C8-6FFD-4C36-ACC1-9EA1FD1885CA}">
      <tableStyleElement type="headerRow" dxfId="124"/>
      <tableStyleElement type="totalRow" dxfId="123"/>
      <tableStyleElement type="firstRowStripe" dxfId="122"/>
      <tableStyleElement type="firstColumnStripe" dxfId="121"/>
      <tableStyleElement type="firstSubtotalRow" dxfId="120"/>
      <tableStyleElement type="secondSubtotalRow" dxfId="119"/>
      <tableStyleElement type="firstRowSubheading" dxfId="118"/>
      <tableStyleElement type="secondRowSubheading" dxfId="117"/>
      <tableStyleElement type="pageFieldLabels" dxfId="116"/>
      <tableStyleElement type="pageFieldValues" dxfId="115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eetMetadata" Target="metadata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microsoft.com/office/2007/relationships/slicerCache" Target="slicerCaches/slicerCache3.xml"/><Relationship Id="rId20" Type="http://schemas.microsoft.com/office/2007/relationships/slicerCache" Target="slicerCaches/slicerCache2.xml"/><Relationship Id="rId2" Type="http://schemas.openxmlformats.org/officeDocument/2006/relationships/worksheet" Target="worksheets/sheet2.xml"/><Relationship Id="rId19" Type="http://schemas.microsoft.com/office/2007/relationships/slicerCache" Target="slicerCaches/slicerCache1.xml"/><Relationship Id="rId18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 Projects Set.xlsx]Project 13!PivotTable1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'Project 13'!$B$35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13'!$A$36:$A$43</c:f>
              <c:strCache>
                <c:ptCount val="7"/>
                <c:pt idx="0">
                  <c:v>YouTube</c:v>
                </c:pt>
                <c:pt idx="1">
                  <c:v>Twitter</c:v>
                </c:pt>
                <c:pt idx="2">
                  <c:v>TikTok</c:v>
                </c:pt>
                <c:pt idx="3">
                  <c:v>Snapchat</c:v>
                </c:pt>
                <c:pt idx="4">
                  <c:v>LinkedIn</c:v>
                </c:pt>
                <c:pt idx="5">
                  <c:v>Instagram</c:v>
                </c:pt>
                <c:pt idx="6">
                  <c:v>Facebook</c:v>
                </c:pt>
              </c:strCache>
            </c:strRef>
          </c:cat>
          <c:val>
            <c:numRef>
              <c:f>'Project 13'!$B$36:$B$43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98045822"/>
        <c:axId val="502790689"/>
      </c:barChart>
      <c:catAx>
        <c:axId val="69804582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2790689"/>
        <c:crosses val="autoZero"/>
        <c:auto val="1"/>
        <c:lblAlgn val="ctr"/>
        <c:lblOffset val="100"/>
        <c:noMultiLvlLbl val="0"/>
      </c:catAx>
      <c:valAx>
        <c:axId val="50279068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0458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30180c-9459-4dd7-86f7-a6010bd276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 Projects Set.xlsx]Project 13!PivotTable2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'Project 13'!$H$35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13'!$G$36:$G$39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'Project 13'!$H$36:$H$39</c:f>
              <c:numCache>
                <c:formatCode>General</c:formatCode>
                <c:ptCount val="3"/>
                <c:pt idx="0">
                  <c:v>8.125</c:v>
                </c:pt>
                <c:pt idx="1">
                  <c:v>6.67142857142857</c:v>
                </c:pt>
                <c:pt idx="2">
                  <c:v>5.06666666666667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28550352"/>
        <c:axId val="230179128"/>
      </c:barChart>
      <c:catAx>
        <c:axId val="52855035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0179128"/>
        <c:crosses val="autoZero"/>
        <c:auto val="1"/>
        <c:lblAlgn val="ctr"/>
        <c:lblOffset val="100"/>
        <c:noMultiLvlLbl val="0"/>
      </c:catAx>
      <c:valAx>
        <c:axId val="23017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55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9e43a1-a05c-41cc-b7e4-0db5425548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 Projects Set.xlsx]Project 13!PivotTable3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'Project 13'!$B$55:$B$56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13'!$A$57:$A$60</c:f>
              <c:strCache>
                <c:ptCount val="3"/>
                <c:pt idx="0">
                  <c:v>Undergraduate</c:v>
                </c:pt>
                <c:pt idx="1">
                  <c:v>High School</c:v>
                </c:pt>
                <c:pt idx="2">
                  <c:v>Graduate</c:v>
                </c:pt>
              </c:strCache>
            </c:strRef>
          </c:cat>
          <c:val>
            <c:numRef>
              <c:f>'Project 13'!$B$57:$B$60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</c:ser>
        <c:ser>
          <c:idx val="1"/>
          <c:order val="1"/>
          <c:tx>
            <c:strRef>
              <c:f>'Project 13'!$C$55:$C$56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13'!$A$57:$A$60</c:f>
              <c:strCache>
                <c:ptCount val="3"/>
                <c:pt idx="0">
                  <c:v>Undergraduate</c:v>
                </c:pt>
                <c:pt idx="1">
                  <c:v>High School</c:v>
                </c:pt>
                <c:pt idx="2">
                  <c:v>Graduate</c:v>
                </c:pt>
              </c:strCache>
            </c:strRef>
          </c:cat>
          <c:val>
            <c:numRef>
              <c:f>'Project 13'!$C$57:$C$60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51400160"/>
        <c:axId val="661336303"/>
      </c:barChart>
      <c:catAx>
        <c:axId val="5514001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336303"/>
        <c:crosses val="autoZero"/>
        <c:auto val="1"/>
        <c:lblAlgn val="ctr"/>
        <c:lblOffset val="100"/>
        <c:noMultiLvlLbl val="0"/>
      </c:catAx>
      <c:valAx>
        <c:axId val="66133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4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59a77d-7afb-4bb0-879f-ffee15a188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 Projects Set.xlsx]Project 13!PivotTable4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'Project 13'!$B$77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13'!$A$78:$A$80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'Project 13'!$B$78:$B$80</c:f>
              <c:numCache>
                <c:formatCode>General</c:formatCode>
                <c:ptCount val="2"/>
                <c:pt idx="0">
                  <c:v>6.56</c:v>
                </c:pt>
                <c:pt idx="1">
                  <c:v>3.94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65164888"/>
        <c:axId val="805587202"/>
      </c:barChart>
      <c:catAx>
        <c:axId val="4651648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587202"/>
        <c:crosses val="autoZero"/>
        <c:auto val="1"/>
        <c:lblAlgn val="ctr"/>
        <c:lblOffset val="100"/>
        <c:noMultiLvlLbl val="0"/>
      </c:catAx>
      <c:valAx>
        <c:axId val="80558720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16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6af350-ad66-43d2-b48e-c6c50bb084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 Projects Set.xlsx]Project 13!PivotTable5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'Project 13'!$I$55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13'!$H$56:$H$58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'Project 13'!$I$56:$I$58</c:f>
              <c:numCache>
                <c:formatCode>General</c:formatCode>
                <c:ptCount val="2"/>
                <c:pt idx="0">
                  <c:v>12</c:v>
                </c:pt>
                <c:pt idx="1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87486121"/>
        <c:axId val="439022120"/>
      </c:barChart>
      <c:catAx>
        <c:axId val="28748612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022120"/>
        <c:crosses val="autoZero"/>
        <c:auto val="1"/>
        <c:lblAlgn val="ctr"/>
        <c:lblOffset val="100"/>
        <c:noMultiLvlLbl val="0"/>
      </c:catAx>
      <c:valAx>
        <c:axId val="439022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4861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94c0ea-ad98-46c4-9232-1c9c84960d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 Projects Set.xlsx]Project 14 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'Project 14 '!$B$55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14 '!$A$56:$A$59</c:f>
              <c:strCache>
                <c:ptCount val="3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</c:strCache>
            </c:strRef>
          </c:cat>
          <c:val>
            <c:numRef>
              <c:f>'Project 14 '!$B$56:$B$59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13446265"/>
        <c:axId val="636380105"/>
      </c:barChart>
      <c:catAx>
        <c:axId val="11344626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6380105"/>
        <c:crosses val="autoZero"/>
        <c:auto val="1"/>
        <c:lblAlgn val="ctr"/>
        <c:lblOffset val="100"/>
        <c:noMultiLvlLbl val="0"/>
      </c:catAx>
      <c:valAx>
        <c:axId val="6363801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4462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1bf9d3-eb41-414b-9ad2-3d59641526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 Projects Set.xlsx]Project 14 !PivotTable12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'Project 14 '!$B$73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14 '!$A$74:$A$76</c:f>
              <c:strCache>
                <c:ptCount val="2"/>
                <c:pt idx="0">
                  <c:v>Neutral</c:v>
                </c:pt>
                <c:pt idx="1">
                  <c:v>Negative</c:v>
                </c:pt>
              </c:strCache>
            </c:strRef>
          </c:cat>
          <c:val>
            <c:numRef>
              <c:f>'Project 14 '!$B$74:$B$76</c:f>
              <c:numCache>
                <c:formatCode>General</c:formatCode>
                <c:ptCount val="2"/>
                <c:pt idx="0">
                  <c:v>7</c:v>
                </c:pt>
                <c:pt idx="1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575ac4-d2bd-43be-8aa7-8b8762a9db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 Projects Set.xlsx]Project 14 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'Project 14 '!$F$39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14 '!$E$40:$E$42</c:f>
              <c:strCache>
                <c:ptCount val="2"/>
                <c:pt idx="0">
                  <c:v>18-20</c:v>
                </c:pt>
                <c:pt idx="1">
                  <c:v>21-24</c:v>
                </c:pt>
              </c:strCache>
            </c:strRef>
          </c:cat>
          <c:val>
            <c:numRef>
              <c:f>'Project 14 '!$F$40:$F$42</c:f>
              <c:numCache>
                <c:formatCode>General</c:formatCode>
                <c:ptCount val="2"/>
                <c:pt idx="0">
                  <c:v>2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4a4d39-b9f1-49c1-a251-9e71dd8832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 Projects Set.xlsx]Project 14 !PivotTable10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'Project 14 '!$F$39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14 '!$E$40:$E$42</c:f>
              <c:strCache>
                <c:ptCount val="2"/>
                <c:pt idx="0">
                  <c:v>18-20</c:v>
                </c:pt>
                <c:pt idx="1">
                  <c:v>21-24</c:v>
                </c:pt>
              </c:strCache>
            </c:strRef>
          </c:cat>
          <c:val>
            <c:numRef>
              <c:f>'Project 14 '!$F$40:$F$42</c:f>
              <c:numCache>
                <c:formatCode>General</c:formatCode>
                <c:ptCount val="2"/>
                <c:pt idx="0">
                  <c:v>2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0e7a8a-097b-48fc-a3f1-be6bddcba645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 Projects Set.xlsx]Project 14 !PivotTable11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'Project 14 '!$B$55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14 '!$A$56:$A$59</c:f>
              <c:strCache>
                <c:ptCount val="3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</c:strCache>
            </c:strRef>
          </c:cat>
          <c:val>
            <c:numRef>
              <c:f>'Project 14 '!$B$56:$B$59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13446265"/>
        <c:axId val="636380105"/>
      </c:barChart>
      <c:catAx>
        <c:axId val="11344626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6380105"/>
        <c:crosses val="autoZero"/>
        <c:auto val="1"/>
        <c:lblAlgn val="ctr"/>
        <c:lblOffset val="100"/>
        <c:noMultiLvlLbl val="0"/>
      </c:catAx>
      <c:valAx>
        <c:axId val="6363801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4462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117023-fcd0-4216-ae28-1504d40cdeec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 Projects Set.xlsx]Project 14 !PivotTable12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'Project 14 '!$B$73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14 '!$A$74:$A$76</c:f>
              <c:strCache>
                <c:ptCount val="2"/>
                <c:pt idx="0">
                  <c:v>Neutral</c:v>
                </c:pt>
                <c:pt idx="1">
                  <c:v>Negative</c:v>
                </c:pt>
              </c:strCache>
            </c:strRef>
          </c:cat>
          <c:val>
            <c:numRef>
              <c:f>'Project 14 '!$B$74:$B$76</c:f>
              <c:numCache>
                <c:formatCode>General</c:formatCode>
                <c:ptCount val="2"/>
                <c:pt idx="0">
                  <c:v>7</c:v>
                </c:pt>
                <c:pt idx="1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c04ead-4bc5-48ff-9f57-5381da512e9d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30480</xdr:colOff>
      <xdr:row>33</xdr:row>
      <xdr:rowOff>177800</xdr:rowOff>
    </xdr:from>
    <xdr:to>
      <xdr:col>4</xdr:col>
      <xdr:colOff>1016000</xdr:colOff>
      <xdr:row>48</xdr:row>
      <xdr:rowOff>177800</xdr:rowOff>
    </xdr:to>
    <xdr:graphicFrame>
      <xdr:nvGraphicFramePr>
        <xdr:cNvPr id="2" name="Chart 1"/>
        <xdr:cNvGraphicFramePr/>
      </xdr:nvGraphicFramePr>
      <xdr:xfrm>
        <a:off x="3726180" y="6380480"/>
        <a:ext cx="30581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33</xdr:row>
      <xdr:rowOff>175260</xdr:rowOff>
    </xdr:from>
    <xdr:to>
      <xdr:col>14</xdr:col>
      <xdr:colOff>15240</xdr:colOff>
      <xdr:row>48</xdr:row>
      <xdr:rowOff>175260</xdr:rowOff>
    </xdr:to>
    <xdr:graphicFrame>
      <xdr:nvGraphicFramePr>
        <xdr:cNvPr id="3" name="Chart 2"/>
        <xdr:cNvGraphicFramePr/>
      </xdr:nvGraphicFramePr>
      <xdr:xfrm>
        <a:off x="12158980" y="6377940"/>
        <a:ext cx="85293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22860</xdr:colOff>
      <xdr:row>54</xdr:row>
      <xdr:rowOff>25400</xdr:rowOff>
    </xdr:from>
    <xdr:to>
      <xdr:col>6</xdr:col>
      <xdr:colOff>1115060</xdr:colOff>
      <xdr:row>69</xdr:row>
      <xdr:rowOff>25400</xdr:rowOff>
    </xdr:to>
    <xdr:graphicFrame>
      <xdr:nvGraphicFramePr>
        <xdr:cNvPr id="4" name="Chart 3"/>
        <xdr:cNvGraphicFramePr/>
      </xdr:nvGraphicFramePr>
      <xdr:xfrm>
        <a:off x="5791200" y="10068560"/>
        <a:ext cx="48107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22860</xdr:colOff>
      <xdr:row>76</xdr:row>
      <xdr:rowOff>20320</xdr:rowOff>
    </xdr:from>
    <xdr:to>
      <xdr:col>5</xdr:col>
      <xdr:colOff>718820</xdr:colOff>
      <xdr:row>91</xdr:row>
      <xdr:rowOff>20320</xdr:rowOff>
    </xdr:to>
    <xdr:graphicFrame>
      <xdr:nvGraphicFramePr>
        <xdr:cNvPr id="5" name="Chart 4"/>
        <xdr:cNvGraphicFramePr/>
      </xdr:nvGraphicFramePr>
      <xdr:xfrm>
        <a:off x="3718560" y="14086840"/>
        <a:ext cx="48031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58420</xdr:colOff>
      <xdr:row>54</xdr:row>
      <xdr:rowOff>12700</xdr:rowOff>
    </xdr:from>
    <xdr:to>
      <xdr:col>14</xdr:col>
      <xdr:colOff>411480</xdr:colOff>
      <xdr:row>69</xdr:row>
      <xdr:rowOff>12700</xdr:rowOff>
    </xdr:to>
    <xdr:graphicFrame>
      <xdr:nvGraphicFramePr>
        <xdr:cNvPr id="6" name="Chart 5"/>
        <xdr:cNvGraphicFramePr/>
      </xdr:nvGraphicFramePr>
      <xdr:xfrm>
        <a:off x="14231620" y="10055860"/>
        <a:ext cx="6852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144780</xdr:colOff>
      <xdr:row>38</xdr:row>
      <xdr:rowOff>17780</xdr:rowOff>
    </xdr:from>
    <xdr:to>
      <xdr:col>3</xdr:col>
      <xdr:colOff>617220</xdr:colOff>
      <xdr:row>51</xdr:row>
      <xdr:rowOff>15240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Overall_Impa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verall_Impa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0" y="71348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45720</xdr:colOff>
      <xdr:row>54</xdr:row>
      <xdr:rowOff>2540</xdr:rowOff>
    </xdr:from>
    <xdr:to>
      <xdr:col>6</xdr:col>
      <xdr:colOff>71120</xdr:colOff>
      <xdr:row>69</xdr:row>
      <xdr:rowOff>2540</xdr:rowOff>
    </xdr:to>
    <xdr:graphicFrame>
      <xdr:nvGraphicFramePr>
        <xdr:cNvPr id="3" name="Chart 2"/>
        <xdr:cNvGraphicFramePr/>
      </xdr:nvGraphicFramePr>
      <xdr:xfrm>
        <a:off x="2872740" y="10045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22860</xdr:colOff>
      <xdr:row>72</xdr:row>
      <xdr:rowOff>38100</xdr:rowOff>
    </xdr:from>
    <xdr:to>
      <xdr:col>6</xdr:col>
      <xdr:colOff>48260</xdr:colOff>
      <xdr:row>87</xdr:row>
      <xdr:rowOff>38100</xdr:rowOff>
    </xdr:to>
    <xdr:graphicFrame>
      <xdr:nvGraphicFramePr>
        <xdr:cNvPr id="4" name="Chart 3"/>
        <xdr:cNvGraphicFramePr/>
      </xdr:nvGraphicFramePr>
      <xdr:xfrm>
        <a:off x="2849880" y="13373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30480</xdr:colOff>
      <xdr:row>38</xdr:row>
      <xdr:rowOff>43180</xdr:rowOff>
    </xdr:from>
    <xdr:to>
      <xdr:col>9</xdr:col>
      <xdr:colOff>452120</xdr:colOff>
      <xdr:row>53</xdr:row>
      <xdr:rowOff>43180</xdr:rowOff>
    </xdr:to>
    <xdr:graphicFrame>
      <xdr:nvGraphicFramePr>
        <xdr:cNvPr id="5" name="Chart 4"/>
        <xdr:cNvGraphicFramePr/>
      </xdr:nvGraphicFramePr>
      <xdr:xfrm>
        <a:off x="7658100" y="71602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635</xdr:rowOff>
    </xdr:from>
    <xdr:to>
      <xdr:col>7</xdr:col>
      <xdr:colOff>559435</xdr:colOff>
      <xdr:row>14</xdr:row>
      <xdr:rowOff>183515</xdr:rowOff>
    </xdr:to>
    <xdr:graphicFrame>
      <xdr:nvGraphicFramePr>
        <xdr:cNvPr id="3" name="Chart 2"/>
        <xdr:cNvGraphicFramePr/>
      </xdr:nvGraphicFramePr>
      <xdr:xfrm>
        <a:off x="635" y="635"/>
        <a:ext cx="482600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16</xdr:row>
      <xdr:rowOff>91440</xdr:rowOff>
    </xdr:from>
    <xdr:to>
      <xdr:col>7</xdr:col>
      <xdr:colOff>574040</xdr:colOff>
      <xdr:row>31</xdr:row>
      <xdr:rowOff>91440</xdr:rowOff>
    </xdr:to>
    <xdr:graphicFrame>
      <xdr:nvGraphicFramePr>
        <xdr:cNvPr id="4" name="Chart 3"/>
        <xdr:cNvGraphicFramePr/>
      </xdr:nvGraphicFramePr>
      <xdr:xfrm>
        <a:off x="15240" y="30175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0</xdr:row>
      <xdr:rowOff>7620</xdr:rowOff>
    </xdr:from>
    <xdr:to>
      <xdr:col>21</xdr:col>
      <xdr:colOff>429260</xdr:colOff>
      <xdr:row>15</xdr:row>
      <xdr:rowOff>7620</xdr:rowOff>
    </xdr:to>
    <xdr:graphicFrame>
      <xdr:nvGraphicFramePr>
        <xdr:cNvPr id="5" name="Chart 4"/>
        <xdr:cNvGraphicFramePr/>
      </xdr:nvGraphicFramePr>
      <xdr:xfrm>
        <a:off x="8404860" y="76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182880</xdr:colOff>
      <xdr:row>17</xdr:row>
      <xdr:rowOff>40640</xdr:rowOff>
    </xdr:from>
    <xdr:to>
      <xdr:col>11</xdr:col>
      <xdr:colOff>182880</xdr:colOff>
      <xdr:row>30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9680" y="31496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431800</xdr:colOff>
      <xdr:row>0</xdr:row>
      <xdr:rowOff>92710</xdr:rowOff>
    </xdr:from>
    <xdr:to>
      <xdr:col>11</xdr:col>
      <xdr:colOff>431800</xdr:colOff>
      <xdr:row>13</xdr:row>
      <xdr:rowOff>90170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A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8600" y="9271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8.9439236111" refreshedBy="David-Bazunu" recordCount="20">
  <cacheSource type="worksheet">
    <worksheetSource ref="A12:L32" sheet="Project 13"/>
  </cacheSource>
  <cacheFields count="11">
    <cacheField name="Student_ID" numFmtId="0">
      <sharedItems containsSemiMixedTypes="0" containsString="0" containsNumber="1" containsInteger="1" minValue="0" maxValue="862" count="20">
        <n v="232"/>
        <n v="564"/>
        <n v="788"/>
        <n v="686"/>
        <n v="608"/>
        <n v="370"/>
        <n v="862"/>
        <n v="520"/>
        <n v="703"/>
        <n v="33"/>
        <n v="519"/>
        <n v="738"/>
        <n v="119"/>
        <n v="287"/>
        <n v="610"/>
        <n v="383"/>
        <n v="699"/>
        <n v="302"/>
        <n v="277"/>
        <n v="631"/>
      </sharedItems>
    </cacheField>
    <cacheField name="Age" numFmtId="0">
      <sharedItems containsSemiMixedTypes="0" containsString="0" containsNumber="1" containsInteger="1" minValue="0" maxValue="24" count="7">
        <n v="21"/>
        <n v="23"/>
        <n v="22"/>
        <n v="18"/>
        <n v="24"/>
        <n v="19"/>
        <n v="20"/>
      </sharedItems>
    </cacheField>
    <cacheField name="Gender" numFmtId="0">
      <sharedItems count="2">
        <s v="Male"/>
        <s v="Female"/>
      </sharedItems>
    </cacheField>
    <cacheField name="Academic_Level" numFmtId="0">
      <sharedItems count="3">
        <s v="Undergraduate"/>
        <s v="Graduate"/>
        <s v="High School"/>
      </sharedItems>
    </cacheField>
    <cacheField name="Country" numFmtId="0">
      <sharedItems count="5">
        <s v="Other"/>
        <s v="Canada"/>
        <s v="USA"/>
        <s v="India"/>
        <s v="Australia"/>
      </sharedItems>
    </cacheField>
    <cacheField name="Avg_Daily_Usage_Hours" numFmtId="0">
      <sharedItems containsSemiMixedTypes="0" containsString="0" containsNumber="1" minValue="0" maxValue="8" count="19">
        <n v="4"/>
        <n v="1.6"/>
        <n v="4.6"/>
        <n v="7"/>
        <n v="7.5"/>
        <n v="4.1"/>
        <n v="8"/>
        <n v="6"/>
        <n v="4.7"/>
        <n v="3.6"/>
        <n v="7.6"/>
        <n v="2.4"/>
        <n v="6.2"/>
        <n v="2.7"/>
        <n v="5.2"/>
        <n v="6.5"/>
        <n v="6.8"/>
        <n v="6.9"/>
        <n v="5.5"/>
      </sharedItems>
    </cacheField>
    <cacheField name="Most_Used_Platform" numFmtId="0">
      <sharedItems count="7">
        <s v="Facebook"/>
        <s v="LinkedIn"/>
        <s v="Instagram"/>
        <s v="Snapchat"/>
        <s v="Twitter"/>
        <s v="YouTube"/>
        <s v="TikTok"/>
      </sharedItems>
    </cacheField>
    <cacheField name="Affects_Academic" numFmtId="0">
      <sharedItems count="2">
        <s v="No"/>
        <s v="Yes"/>
      </sharedItems>
    </cacheField>
    <cacheField name="Sleep_Hours" numFmtId="0">
      <sharedItems containsSemiMixedTypes="0" containsString="0" containsNumber="1" minValue="0" maxValue="8.8" count="13">
        <n v="6.7"/>
        <n v="8.6"/>
        <n v="5.4"/>
        <n v="5"/>
        <n v="6.8"/>
        <n v="5.2"/>
        <n v="5.7"/>
        <n v="7"/>
        <n v="8.1"/>
        <n v="7.3"/>
        <n v="5.3"/>
        <n v="8.8"/>
        <n v="5.9"/>
      </sharedItems>
    </cacheField>
    <cacheField name="Mental_Health_Score" numFmtId="0">
      <sharedItems containsSemiMixedTypes="0" containsString="0" containsNumber="1" minValue="0" maxValue="8.6" count="14">
        <n v="6.8"/>
        <n v="7.6"/>
        <n v="7"/>
        <n v="5.3"/>
        <n v="4.4"/>
        <n v="4.7"/>
        <n v="6.2"/>
        <n v="8.6"/>
        <n v="5.5"/>
        <n v="8.5"/>
        <n v="5.4"/>
        <n v="7.8"/>
        <n v="6.3"/>
        <n v="5"/>
      </sharedItems>
    </cacheField>
    <cacheField name="Overall_Impact" numFmtId="0">
      <sharedItems count="3">
        <s v="Neutral"/>
        <s v="Positive"/>
        <s v="Negativ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8.9667708333" refreshedBy="David-Bazunu" recordCount="20">
  <cacheSource type="worksheet">
    <worksheetSource ref="A12:K32" sheet="Project 14 "/>
  </cacheSource>
  <cacheFields count="11">
    <cacheField name="Student_ID" numFmtId="0">
      <sharedItems containsSemiMixedTypes="0" containsString="0" containsNumber="1" containsInteger="1" minValue="0" maxValue="862" count="20">
        <n v="232"/>
        <n v="564"/>
        <n v="788"/>
        <n v="686"/>
        <n v="608"/>
        <n v="370"/>
        <n v="862"/>
        <n v="520"/>
        <n v="703"/>
        <n v="33"/>
        <n v="519"/>
        <n v="738"/>
        <n v="119"/>
        <n v="287"/>
        <n v="610"/>
        <n v="383"/>
        <n v="699"/>
        <n v="302"/>
        <n v="277"/>
        <n v="631"/>
      </sharedItems>
    </cacheField>
    <cacheField name="Age" numFmtId="0">
      <sharedItems containsSemiMixedTypes="0" containsString="0" containsNumber="1" containsInteger="1" minValue="0" maxValue="24" count="7">
        <n v="21"/>
        <n v="23"/>
        <n v="22"/>
        <n v="18"/>
        <n v="24"/>
        <n v="19"/>
        <n v="20"/>
      </sharedItems>
      <fieldGroup base="1">
        <rangePr autoStart="0" autoEnd="0" startNum="18" endNum="24" groupInterval="3"/>
        <groupItems count="4">
          <s v="&lt;18"/>
          <s v="18-20"/>
          <s v="21-24"/>
          <s v="&gt;24"/>
        </groupItems>
      </fieldGroup>
    </cacheField>
    <cacheField name="Gender" numFmtId="0">
      <sharedItems count="2">
        <s v="Male"/>
        <s v="Female"/>
      </sharedItems>
    </cacheField>
    <cacheField name="Academic_Level" numFmtId="0">
      <sharedItems count="3">
        <s v="Undergraduate"/>
        <s v="Graduate"/>
        <s v="High School"/>
      </sharedItems>
    </cacheField>
    <cacheField name="Country" numFmtId="0">
      <sharedItems count="5">
        <s v="Other"/>
        <s v="Canada"/>
        <s v="USA"/>
        <s v="India"/>
        <s v="Australia"/>
      </sharedItems>
    </cacheField>
    <cacheField name="Avg_Daily_Usage_Hours" numFmtId="0">
      <sharedItems containsSemiMixedTypes="0" containsString="0" containsNumber="1" minValue="0" maxValue="8" count="19">
        <n v="4"/>
        <n v="1.6"/>
        <n v="4.6"/>
        <n v="7"/>
        <n v="7.5"/>
        <n v="4.1"/>
        <n v="8"/>
        <n v="6"/>
        <n v="4.7"/>
        <n v="3.6"/>
        <n v="7.6"/>
        <n v="2.4"/>
        <n v="6.2"/>
        <n v="2.7"/>
        <n v="5.2"/>
        <n v="6.5"/>
        <n v="6.8"/>
        <n v="6.9"/>
        <n v="5.5"/>
      </sharedItems>
    </cacheField>
    <cacheField name="Most_Used_Platform" numFmtId="0">
      <sharedItems count="7">
        <s v="Facebook"/>
        <s v="LinkedIn"/>
        <s v="Instagram"/>
        <s v="Snapchat"/>
        <s v="Twitter"/>
        <s v="YouTube"/>
        <s v="TikTok"/>
      </sharedItems>
    </cacheField>
    <cacheField name="Affects_Academic" numFmtId="0">
      <sharedItems count="2">
        <s v="No"/>
        <s v="Yes"/>
      </sharedItems>
    </cacheField>
    <cacheField name="Sleep_Hours" numFmtId="0">
      <sharedItems containsSemiMixedTypes="0" containsString="0" containsNumber="1" minValue="0" maxValue="8.8" count="13">
        <n v="6.7"/>
        <n v="8.6"/>
        <n v="5.4"/>
        <n v="5"/>
        <n v="6.8"/>
        <n v="5.2"/>
        <n v="5.7"/>
        <n v="7"/>
        <n v="8.1"/>
        <n v="7.3"/>
        <n v="5.3"/>
        <n v="8.8"/>
        <n v="5.9"/>
      </sharedItems>
    </cacheField>
    <cacheField name="Mental_Health_Score" numFmtId="0">
      <sharedItems containsSemiMixedTypes="0" containsString="0" containsNumber="1" minValue="0" maxValue="8.6" count="14">
        <n v="6.8"/>
        <n v="7.6"/>
        <n v="7"/>
        <n v="5.3"/>
        <n v="4.4"/>
        <n v="4.7"/>
        <n v="6.2"/>
        <n v="8.6"/>
        <n v="5.5"/>
        <n v="8.5"/>
        <n v="5.4"/>
        <n v="7.8"/>
        <n v="6.3"/>
        <n v="5"/>
      </sharedItems>
    </cacheField>
    <cacheField name="Overall_Impact" numFmtId="0">
      <sharedItems count="3">
        <s v="Neutral"/>
        <s v="Positive"/>
        <s v="Negativ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  <x v="0"/>
    <x v="0"/>
    <x v="0"/>
    <x v="0"/>
    <x v="0"/>
    <x v="0"/>
  </r>
  <r>
    <x v="1"/>
    <x v="1"/>
    <x v="1"/>
    <x v="0"/>
    <x v="0"/>
    <x v="1"/>
    <x v="1"/>
    <x v="0"/>
    <x v="1"/>
    <x v="1"/>
    <x v="1"/>
  </r>
  <r>
    <x v="2"/>
    <x v="2"/>
    <x v="0"/>
    <x v="1"/>
    <x v="1"/>
    <x v="2"/>
    <x v="2"/>
    <x v="0"/>
    <x v="0"/>
    <x v="2"/>
    <x v="0"/>
  </r>
  <r>
    <x v="3"/>
    <x v="3"/>
    <x v="0"/>
    <x v="0"/>
    <x v="0"/>
    <x v="3"/>
    <x v="3"/>
    <x v="1"/>
    <x v="2"/>
    <x v="3"/>
    <x v="2"/>
  </r>
  <r>
    <x v="4"/>
    <x v="4"/>
    <x v="1"/>
    <x v="2"/>
    <x v="0"/>
    <x v="4"/>
    <x v="0"/>
    <x v="1"/>
    <x v="3"/>
    <x v="4"/>
    <x v="2"/>
  </r>
  <r>
    <x v="5"/>
    <x v="5"/>
    <x v="1"/>
    <x v="2"/>
    <x v="0"/>
    <x v="5"/>
    <x v="4"/>
    <x v="1"/>
    <x v="4"/>
    <x v="0"/>
    <x v="0"/>
  </r>
  <r>
    <x v="6"/>
    <x v="2"/>
    <x v="1"/>
    <x v="1"/>
    <x v="0"/>
    <x v="6"/>
    <x v="2"/>
    <x v="1"/>
    <x v="5"/>
    <x v="3"/>
    <x v="2"/>
  </r>
  <r>
    <x v="7"/>
    <x v="0"/>
    <x v="1"/>
    <x v="1"/>
    <x v="0"/>
    <x v="7"/>
    <x v="0"/>
    <x v="1"/>
    <x v="6"/>
    <x v="5"/>
    <x v="2"/>
  </r>
  <r>
    <x v="8"/>
    <x v="4"/>
    <x v="0"/>
    <x v="0"/>
    <x v="2"/>
    <x v="8"/>
    <x v="5"/>
    <x v="0"/>
    <x v="7"/>
    <x v="6"/>
    <x v="0"/>
  </r>
  <r>
    <x v="9"/>
    <x v="5"/>
    <x v="0"/>
    <x v="2"/>
    <x v="0"/>
    <x v="9"/>
    <x v="6"/>
    <x v="0"/>
    <x v="8"/>
    <x v="7"/>
    <x v="1"/>
  </r>
  <r>
    <x v="10"/>
    <x v="3"/>
    <x v="0"/>
    <x v="1"/>
    <x v="0"/>
    <x v="5"/>
    <x v="1"/>
    <x v="0"/>
    <x v="9"/>
    <x v="0"/>
    <x v="0"/>
  </r>
  <r>
    <x v="11"/>
    <x v="3"/>
    <x v="0"/>
    <x v="2"/>
    <x v="0"/>
    <x v="10"/>
    <x v="3"/>
    <x v="1"/>
    <x v="10"/>
    <x v="8"/>
    <x v="2"/>
  </r>
  <r>
    <x v="12"/>
    <x v="6"/>
    <x v="0"/>
    <x v="0"/>
    <x v="0"/>
    <x v="11"/>
    <x v="0"/>
    <x v="0"/>
    <x v="11"/>
    <x v="9"/>
    <x v="1"/>
  </r>
  <r>
    <x v="13"/>
    <x v="1"/>
    <x v="1"/>
    <x v="0"/>
    <x v="0"/>
    <x v="12"/>
    <x v="1"/>
    <x v="0"/>
    <x v="10"/>
    <x v="10"/>
    <x v="2"/>
  </r>
  <r>
    <x v="14"/>
    <x v="4"/>
    <x v="0"/>
    <x v="1"/>
    <x v="3"/>
    <x v="13"/>
    <x v="2"/>
    <x v="0"/>
    <x v="1"/>
    <x v="11"/>
    <x v="1"/>
  </r>
  <r>
    <x v="15"/>
    <x v="3"/>
    <x v="1"/>
    <x v="1"/>
    <x v="0"/>
    <x v="14"/>
    <x v="4"/>
    <x v="1"/>
    <x v="7"/>
    <x v="12"/>
    <x v="0"/>
  </r>
  <r>
    <x v="16"/>
    <x v="2"/>
    <x v="1"/>
    <x v="1"/>
    <x v="2"/>
    <x v="15"/>
    <x v="5"/>
    <x v="1"/>
    <x v="2"/>
    <x v="13"/>
    <x v="2"/>
  </r>
  <r>
    <x v="17"/>
    <x v="0"/>
    <x v="0"/>
    <x v="2"/>
    <x v="4"/>
    <x v="16"/>
    <x v="5"/>
    <x v="1"/>
    <x v="6"/>
    <x v="13"/>
    <x v="2"/>
  </r>
  <r>
    <x v="18"/>
    <x v="0"/>
    <x v="0"/>
    <x v="1"/>
    <x v="1"/>
    <x v="17"/>
    <x v="0"/>
    <x v="1"/>
    <x v="12"/>
    <x v="13"/>
    <x v="2"/>
  </r>
  <r>
    <x v="19"/>
    <x v="6"/>
    <x v="0"/>
    <x v="0"/>
    <x v="0"/>
    <x v="18"/>
    <x v="2"/>
    <x v="0"/>
    <x v="4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"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5:B43" firstHeaderRow="1" firstDataRow="1" firstDataCol="1"/>
  <pivotFields count="11">
    <pivotField dataField="1"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compact="0" sortType="descending" showAll="0">
      <items count="8">
        <item x="5"/>
        <item x="4"/>
        <item x="6"/>
        <item x="3"/>
        <item x="1"/>
        <item x="2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35:H39" firstHeaderRow="1" firstDataRow="1" firstDataCol="1"/>
  <pivotFields count="11">
    <pivotField compact="0" showAll="0">
      <items count="21">
        <item x="9"/>
        <item x="12"/>
        <item x="0"/>
        <item x="18"/>
        <item x="13"/>
        <item x="17"/>
        <item x="5"/>
        <item x="15"/>
        <item x="10"/>
        <item x="7"/>
        <item x="1"/>
        <item x="4"/>
        <item x="14"/>
        <item x="19"/>
        <item x="3"/>
        <item x="16"/>
        <item x="8"/>
        <item x="11"/>
        <item x="2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8">
        <item x="0"/>
        <item x="2"/>
        <item x="1"/>
        <item x="3"/>
        <item x="6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ortType="descending" showAll="0">
      <items count="4">
        <item x="1"/>
        <item x="0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ental_Health_Score" fld="9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5:D60" firstHeaderRow="1" firstDataRow="2" firstDataCol="1"/>
  <pivotFields count="11">
    <pivotField dataField="1" compact="0" showAll="0">
      <items count="21">
        <item x="9"/>
        <item x="12"/>
        <item x="0"/>
        <item x="18"/>
        <item x="13"/>
        <item x="17"/>
        <item x="5"/>
        <item x="15"/>
        <item x="10"/>
        <item x="7"/>
        <item x="1"/>
        <item x="4"/>
        <item x="14"/>
        <item x="19"/>
        <item x="3"/>
        <item x="16"/>
        <item x="8"/>
        <item x="11"/>
        <item x="2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showAll="0">
      <items count="3">
        <item x="0"/>
        <item x="1"/>
        <item t="default"/>
      </items>
    </pivotField>
    <pivotField axis="axisRow" compact="0" sortType="descending" showAll="0">
      <items count="4">
        <item x="0"/>
        <item x="2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8">
        <item x="0"/>
        <item x="2"/>
        <item x="1"/>
        <item x="3"/>
        <item x="6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Studen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77:B80" firstHeaderRow="1" firstDataRow="1" firstDataCol="1"/>
  <pivotFields count="11">
    <pivotField compact="0" showAll="0">
      <items count="21">
        <item x="9"/>
        <item x="12"/>
        <item x="0"/>
        <item x="18"/>
        <item x="13"/>
        <item x="17"/>
        <item x="5"/>
        <item x="15"/>
        <item x="10"/>
        <item x="7"/>
        <item x="1"/>
        <item x="4"/>
        <item x="14"/>
        <item x="19"/>
        <item x="3"/>
        <item x="16"/>
        <item x="8"/>
        <item x="11"/>
        <item x="2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8">
        <item x="0"/>
        <item x="2"/>
        <item x="1"/>
        <item x="3"/>
        <item x="6"/>
        <item x="4"/>
        <item x="5"/>
        <item t="default"/>
      </items>
    </pivotField>
    <pivotField axis="axisRow" compact="0" sortType="descending" showAll="0">
      <items count="3">
        <item x="1"/>
        <item x="0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Avg_Daily_Usage_Hours" fld="5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H55:I58" firstHeaderRow="1" firstDataRow="1" firstDataCol="1"/>
  <pivotFields count="11">
    <pivotField compact="0" showAll="0">
      <items count="21">
        <item x="9"/>
        <item x="12"/>
        <item x="0"/>
        <item x="18"/>
        <item x="13"/>
        <item x="17"/>
        <item x="5"/>
        <item x="15"/>
        <item x="10"/>
        <item x="7"/>
        <item x="1"/>
        <item x="4"/>
        <item x="14"/>
        <item x="19"/>
        <item x="3"/>
        <item x="16"/>
        <item x="8"/>
        <item x="11"/>
        <item x="2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ortType="descending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compact="0" showAll="0">
      <items count="8">
        <item x="0"/>
        <item x="2"/>
        <item x="1"/>
        <item x="3"/>
        <item x="6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Most_Used_Platform" fld="6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9:B41" firstHeaderRow="1" firstDataRow="1" firstDataCol="1"/>
  <pivotFields count="11">
    <pivotField dataField="1" compact="0" showAll="0">
      <items count="21">
        <item x="9"/>
        <item x="12"/>
        <item x="0"/>
        <item x="18"/>
        <item x="13"/>
        <item x="17"/>
        <item x="5"/>
        <item x="15"/>
        <item x="10"/>
        <item x="7"/>
        <item x="1"/>
        <item x="4"/>
        <item x="14"/>
        <item x="19"/>
        <item x="3"/>
        <item x="16"/>
        <item x="8"/>
        <item x="11"/>
        <item x="2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">
        <item x="4"/>
        <item x="1"/>
        <item x="3"/>
        <item x="0"/>
        <item x="2"/>
        <item t="default"/>
      </items>
    </pivotField>
    <pivotField compact="0" showAll="0">
      <items count="20">
        <item x="1"/>
        <item x="11"/>
        <item x="13"/>
        <item x="9"/>
        <item x="0"/>
        <item x="5"/>
        <item x="2"/>
        <item x="8"/>
        <item x="14"/>
        <item x="18"/>
        <item x="7"/>
        <item x="12"/>
        <item x="15"/>
        <item x="16"/>
        <item x="17"/>
        <item x="3"/>
        <item x="4"/>
        <item x="10"/>
        <item x="6"/>
        <item t="default"/>
      </items>
    </pivotField>
    <pivotField compact="0" showAll="0">
      <items count="8">
        <item x="0"/>
        <item x="2"/>
        <item x="1"/>
        <item x="3"/>
        <item x="6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3"/>
        <item x="5"/>
        <item x="10"/>
        <item x="2"/>
        <item x="6"/>
        <item x="12"/>
        <item x="0"/>
        <item x="4"/>
        <item x="7"/>
        <item x="9"/>
        <item x="8"/>
        <item x="1"/>
        <item x="11"/>
        <item t="default"/>
      </items>
    </pivotField>
    <pivotField compact="0" showAll="0">
      <items count="15">
        <item x="4"/>
        <item x="5"/>
        <item x="13"/>
        <item x="3"/>
        <item x="10"/>
        <item x="8"/>
        <item x="6"/>
        <item x="12"/>
        <item x="0"/>
        <item x="2"/>
        <item x="1"/>
        <item x="11"/>
        <item x="9"/>
        <item x="7"/>
        <item t="default"/>
      </items>
    </pivotField>
    <pivotField axis="axisRow" compact="0" showAll="0">
      <items count="4">
        <item x="2"/>
        <item h="1" x="0"/>
        <item h="1" x="1"/>
        <item t="default"/>
      </items>
    </pivotField>
  </pivotFields>
  <rowFields count="1">
    <field x="10"/>
  </rowFields>
  <rowItems count="2">
    <i>
      <x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39:F42" firstHeaderRow="1" firstDataRow="1" firstDataCol="1"/>
  <pivotFields count="11">
    <pivotField dataField="1" compact="0" showAll="0">
      <items count="21">
        <item x="9"/>
        <item x="12"/>
        <item x="0"/>
        <item x="18"/>
        <item x="13"/>
        <item x="17"/>
        <item x="5"/>
        <item x="15"/>
        <item x="10"/>
        <item x="7"/>
        <item x="1"/>
        <item x="4"/>
        <item x="14"/>
        <item x="19"/>
        <item x="3"/>
        <item x="16"/>
        <item x="8"/>
        <item x="11"/>
        <item x="2"/>
        <item x="6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">
        <item x="4"/>
        <item x="1"/>
        <item x="3"/>
        <item x="0"/>
        <item x="2"/>
        <item t="default"/>
      </items>
    </pivotField>
    <pivotField compact="0" showAll="0">
      <items count="20">
        <item x="1"/>
        <item x="11"/>
        <item x="13"/>
        <item x="9"/>
        <item x="0"/>
        <item x="5"/>
        <item x="2"/>
        <item x="8"/>
        <item x="14"/>
        <item x="18"/>
        <item x="7"/>
        <item x="12"/>
        <item x="15"/>
        <item x="16"/>
        <item x="17"/>
        <item x="3"/>
        <item x="4"/>
        <item x="10"/>
        <item x="6"/>
        <item t="default"/>
      </items>
    </pivotField>
    <pivotField compact="0" showAll="0">
      <items count="8">
        <item x="0"/>
        <item x="2"/>
        <item x="1"/>
        <item x="3"/>
        <item x="6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3"/>
        <item x="5"/>
        <item x="10"/>
        <item x="2"/>
        <item x="6"/>
        <item x="12"/>
        <item x="0"/>
        <item x="4"/>
        <item x="7"/>
        <item x="9"/>
        <item x="8"/>
        <item x="1"/>
        <item x="11"/>
        <item t="default"/>
      </items>
    </pivotField>
    <pivotField compact="0" showAll="0">
      <items count="15">
        <item x="4"/>
        <item x="5"/>
        <item x="13"/>
        <item x="3"/>
        <item x="10"/>
        <item x="8"/>
        <item x="6"/>
        <item x="12"/>
        <item x="0"/>
        <item x="2"/>
        <item x="1"/>
        <item x="11"/>
        <item x="9"/>
        <item x="7"/>
        <item t="default"/>
      </items>
    </pivotField>
    <pivotField compact="0" showAll="0">
      <items count="4">
        <item x="2"/>
        <item h="1" x="0"/>
        <item h="1" x="1"/>
        <item t="default"/>
      </items>
    </pivotField>
  </pivotFields>
  <rowFields count="1">
    <field x="1"/>
  </rowFields>
  <rowItems count="3">
    <i>
      <x v="1"/>
    </i>
    <i>
      <x v="2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5:B59" firstHeaderRow="1" firstDataRow="1" firstDataCol="1"/>
  <pivotFields count="11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6">
        <item x="4"/>
        <item x="1"/>
        <item x="3"/>
        <item h="1" x="0"/>
        <item h="1" x="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st_Used_Platform" fld="6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73:B76" firstHeaderRow="1" firstDataRow="1" firstDataCol="1"/>
  <pivotFields count="11">
    <pivotField compact="0" showAll="0">
      <items count="21">
        <item x="9"/>
        <item x="12"/>
        <item x="0"/>
        <item x="18"/>
        <item x="13"/>
        <item x="17"/>
        <item x="5"/>
        <item x="15"/>
        <item x="10"/>
        <item x="7"/>
        <item x="1"/>
        <item x="4"/>
        <item x="14"/>
        <item x="19"/>
        <item x="3"/>
        <item x="16"/>
        <item x="8"/>
        <item x="11"/>
        <item x="2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4"/>
        <item x="1"/>
        <item x="3"/>
        <item x="0"/>
        <item x="2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4">
        <item x="0"/>
        <item h="1" x="1"/>
        <item x="2"/>
        <item t="default"/>
      </items>
    </pivotField>
  </pivotFields>
  <rowFields count="1">
    <field x="10"/>
  </rowFields>
  <rowItems count="3">
    <i>
      <x/>
    </i>
    <i>
      <x v="2"/>
    </i>
    <i t="grand">
      <x/>
    </i>
  </rowItems>
  <colItems count="1">
    <i/>
  </colItems>
  <dataFields count="1">
    <dataField name="Count of Most_Used_Platform" fld="6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" sourceName="Age">
  <pivotTables>
    <pivotTable tabId="15" name="PivotTable10"/>
  </pivotTables>
  <data>
    <tabular pivotCacheId="1">
      <items count="4">
        <i x="1" s="1"/>
        <i x="2" s="1"/>
        <i x="0" s="1" nd="1"/>
        <i x="3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15" name="PivotTable11"/>
  </pivotTables>
  <data>
    <tabular pivotCacheId="1">
      <items count="5">
        <i x="4" s="1"/>
        <i x="1" s="1"/>
        <i x="3" s="1"/>
        <i x="0" s="0"/>
        <i x="2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verall_Impact" sourceName="Overall_Impact">
  <pivotTables>
    <pivotTable tabId="15" name="PivotTable9"/>
    <pivotTable tabId="15" name="PivotTable10"/>
  </pivotTables>
  <data>
    <tabular pivotCacheId="1">
      <items count="3">
        <i x="2" s="1"/>
        <i x="0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verall_Impact" cache="Slicer_Overall_Impact" caption="Overall_Impact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style="SlicerStyleOther1" rowHeight="225425"/>
  <slicer name="Age" cache="Slicer_Age" caption="Age" style="SlicerStyleOther1" rowHeight="225425"/>
</slicers>
</file>

<file path=xl/tables/table1.xml><?xml version="1.0" encoding="utf-8"?>
<table xmlns="http://schemas.openxmlformats.org/spreadsheetml/2006/main" id="1" name="Table1" displayName="Table1" ref="A10:K18" totalsRowShown="0">
  <autoFilter xmlns:etc="http://www.wps.cn/officeDocument/2017/etCustomData" ref="A10:K18" etc:filterBottomFollowUsedRange="0"/>
  <tableColumns count="11">
    <tableColumn id="1" name="EmpID"/>
    <tableColumn id="2" name="Full Name"/>
    <tableColumn id="3" name="Start Date"/>
    <tableColumn id="4" name="Salary"/>
    <tableColumn id="5" name="Dept"/>
    <tableColumn id="6" name="Email"/>
    <tableColumn id="7" name="First Name "/>
    <tableColumn id="8" name="Domain Name "/>
    <tableColumn id="9" name="Full Name ( Length )"/>
    <tableColumn id="10" name="GREETING"/>
    <tableColumn id="11" name="YEARS OF SERVICE "/>
  </tableColumns>
  <tableStyleInfo name="TableStylePreset11_Accent4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3:G25" totalsRowShown="0">
  <autoFilter xmlns:etc="http://www.wps.cn/officeDocument/2017/etCustomData" ref="A13:G25" etc:filterBottomFollowUsedRange="0"/>
  <tableColumns count="7">
    <tableColumn id="1" name="EmpID" dataDxfId="0"/>
    <tableColumn id="2" name="Full Name" dataDxfId="1"/>
    <tableColumn id="3" name="Gender" dataDxfId="2"/>
    <tableColumn id="4" name="Department" dataDxfId="3"/>
    <tableColumn id="5" name="Salary" dataDxfId="4"/>
    <tableColumn id="6" name="Total employees in each dept " dataDxfId="5"/>
    <tableColumn id="7" name="Counts " dataDxfId="6"/>
  </tableColumns>
  <tableStyleInfo name="TableStylePreset3_Accent6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4:M24" totalsRowShown="0">
  <autoFilter xmlns:etc="http://www.wps.cn/officeDocument/2017/etCustomData" ref="A14:M24" etc:filterBottomFollowUsedRange="0"/>
  <tableColumns count="13">
    <tableColumn id="1" name="EmpID" dataDxfId="7"/>
    <tableColumn id="2" name="Name" dataDxfId="8"/>
    <tableColumn id="3" name="Raw Score" dataDxfId="9">
      <calculatedColumnFormula>RANDBETWEEN(50,100)</calculatedColumnFormula>
    </tableColumn>
    <tableColumn id="4" name="Rounded Score" dataDxfId="10">
      <calculatedColumnFormula>MROUND(C15,5)</calculatedColumnFormula>
    </tableColumn>
    <tableColumn id="5" name="Grade Tier" dataDxfId="11">
      <calculatedColumnFormula>RANDBETWEEN(1,5)</calculatedColumnFormula>
    </tableColumn>
    <tableColumn id="6" name=" formulas (RANDBETWEEN)" dataDxfId="12">
      <calculatedColumnFormula>RANDBETWEEN(30000,80000)</calculatedColumnFormula>
    </tableColumn>
    <tableColumn id="7" name="TEST SCORES" dataDxfId="13">
      <calculatedColumnFormula>RANDBETWEEN(0,100)</calculatedColumnFormula>
    </tableColumn>
    <tableColumn id="8" name="NEAREST MULTIPLE " dataDxfId="14">
      <calculatedColumnFormula>MROUND(G15,5)</calculatedColumnFormula>
    </tableColumn>
    <tableColumn id="9" name="DATES" dataDxfId="15"/>
    <tableColumn id="10" name="TEST SCORES2" dataDxfId="16">
      <calculatedColumnFormula>RAND()*100</calculatedColumnFormula>
    </tableColumn>
    <tableColumn id="11" name="COMPARISON" dataDxfId="17">
      <calculatedColumnFormula>IF(G15&gt;J15,"A is greater "," B is greater ")</calculatedColumnFormula>
    </tableColumn>
    <tableColumn id="12" name="EMLOYEE IDS" dataDxfId="18">
      <calculatedColumnFormula>IF(MOD(A15,2)=0,"Employee is even","Employee is odd")</calculatedColumnFormula>
    </tableColumn>
    <tableColumn id="13" name="score difference" dataDxfId="19">
      <calculatedColumnFormula>ROUNDUP(C15,0)-ROUNDDOWN(C15,0)</calculatedColumnFormula>
    </tableColumn>
  </tableColumns>
  <tableStyleInfo name="TableStylePreset11_Dark" showFirstColumn="1" showLastColumn="0" showRowStripes="1" showColumnStripes="0"/>
</table>
</file>

<file path=xl/tables/table4.xml><?xml version="1.0" encoding="utf-8"?>
<table xmlns="http://schemas.openxmlformats.org/spreadsheetml/2006/main" id="6" name="Table6" displayName="Table6" ref="H1:Q11" totalsRowShown="0">
  <autoFilter xmlns:etc="http://www.wps.cn/officeDocument/2017/etCustomData" ref="H1:Q11" etc:filterBottomFollowUsedRange="0"/>
  <tableColumns count="10">
    <tableColumn id="1" name="Multiplication Table "/>
    <tableColumn id="2" name="1">
      <calculatedColumnFormula>$H2*I$1</calculatedColumnFormula>
    </tableColumn>
    <tableColumn id="3" name="2">
      <calculatedColumnFormula>$H2*J$15</calculatedColumnFormula>
    </tableColumn>
    <tableColumn id="4" name="3">
      <calculatedColumnFormula>$H2*K$15</calculatedColumnFormula>
    </tableColumn>
    <tableColumn id="5" name="4">
      <calculatedColumnFormula>$H2*L$15</calculatedColumnFormula>
    </tableColumn>
    <tableColumn id="6" name="5">
      <calculatedColumnFormula>$H2*M$15</calculatedColumnFormula>
    </tableColumn>
    <tableColumn id="7" name="6">
      <calculatedColumnFormula>$H2*N$15</calculatedColumnFormula>
    </tableColumn>
    <tableColumn id="8" name="7">
      <calculatedColumnFormula>$H2*O$15</calculatedColumnFormula>
    </tableColumn>
    <tableColumn id="9" name="8">
      <calculatedColumnFormula>$H2*P$15</calculatedColumnFormula>
    </tableColumn>
    <tableColumn id="10" name="9">
      <calculatedColumnFormula>$H2*Q$15</calculatedColumnFormula>
    </tableColumn>
  </tableColumns>
  <tableStyleInfo name="TableStylePreset11_Dark" showFirstColumn="1" showLastColumn="0" showRowStripes="1" showColumnStripes="0"/>
</table>
</file>

<file path=xl/tables/table5.xml><?xml version="1.0" encoding="utf-8"?>
<table xmlns="http://schemas.openxmlformats.org/spreadsheetml/2006/main" id="7" name="Table7" displayName="Table7" ref="A15:I23" totalsRowShown="0">
  <autoFilter xmlns:etc="http://www.wps.cn/officeDocument/2017/etCustomData" ref="A15:I23" etc:filterBottomFollowUsedRange="0"/>
  <tableColumns count="9">
    <tableColumn id="1" name="Full Name (to split)" dataDxfId="20"/>
    <tableColumn id="2" name="First Name" dataDxfId="21"/>
    <tableColumn id="3" name="Last Name" dataDxfId="22"/>
    <tableColumn id="4" name="Email" dataDxfId="23"/>
    <tableColumn id="5" name="Salary" dataDxfId="24"/>
    <tableColumn id="6" name="Tax Rate : 0.25" dataDxfId="25">
      <calculatedColumnFormula>E16*(1-$G$33)</calculatedColumnFormula>
    </tableColumn>
    <tableColumn id="7" name="Price Table " dataDxfId="26">
      <calculatedColumnFormula>E16*$G$33</calculatedColumnFormula>
    </tableColumn>
    <tableColumn id="8" name="Net Salary" dataDxfId="27">
      <calculatedColumnFormula>E16-(E16*0.2)</calculatedColumnFormula>
    </tableColumn>
    <tableColumn id="9" name="Salary (cross sheet )" dataDxfId="28">
      <calculatedColumnFormula>'Project 2'!D11</calculatedColumnFormula>
    </tableColumn>
  </tableColumns>
  <tableStyleInfo name="TableStylePreset11_Dark" showFirstColumn="1" showLastColumn="0" showRowStripes="1" showColumnStripes="0"/>
</table>
</file>

<file path=xl/tables/table6.xml><?xml version="1.0" encoding="utf-8"?>
<table xmlns="http://schemas.openxmlformats.org/spreadsheetml/2006/main" id="8" name="Employee_Table" displayName="Employee_Table" ref="A4:I16" totalsRowShown="0">
  <autoFilter xmlns:etc="http://www.wps.cn/officeDocument/2017/etCustomData" ref="A4:I16" etc:filterBottomFollowUsedRange="0"/>
  <sortState ref="A4:I16">
    <sortCondition ref="E4:E16" descending="1"/>
  </sortState>
  <tableColumns count="9">
    <tableColumn id="1" name="EmpID"/>
    <tableColumn id="2" name="Full Name"/>
    <tableColumn id="3" name="Gender"/>
    <tableColumn id="4" name="Department"/>
    <tableColumn id="5" name="Salary"/>
    <tableColumn id="6" name="Job Title"/>
    <tableColumn id="7" name="Start Date"/>
    <tableColumn id="8" name="Tenure (Yrs)"/>
    <tableColumn id="9" name="Emai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9" name="Employee_Table7" displayName="Employee_Table7" ref="A22:I34" totalsRowShown="0">
  <autoFilter xmlns:etc="http://www.wps.cn/officeDocument/2017/etCustomData" ref="A22:I34" etc:filterBottomFollowUsedRange="0"/>
  <sortState ref="A22:I34">
    <sortCondition ref="E22:E34" descending="1"/>
  </sortState>
  <tableColumns count="9">
    <tableColumn id="1" name="EmpID"/>
    <tableColumn id="2" name="Full Name"/>
    <tableColumn id="3" name="Gender"/>
    <tableColumn id="4" name="Department"/>
    <tableColumn id="5" name="Salary"/>
    <tableColumn id="6" name="Job Title"/>
    <tableColumn id="7" name="Start Date"/>
    <tableColumn id="8" name="Tenure (Yrs)"/>
    <tableColumn id="9" name="Email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0" name="Employee_Table78" displayName="Employee_Table78" ref="A40:I52" totalsRowShown="0">
  <autoFilter xmlns:etc="http://www.wps.cn/officeDocument/2017/etCustomData" ref="A40:I52" etc:filterBottomFollowUsedRange="0"/>
  <sortState ref="A40:I52">
    <sortCondition ref="D40:D52"/>
  </sortState>
  <tableColumns count="9">
    <tableColumn id="1" name="EmpID"/>
    <tableColumn id="2" name="Full Name"/>
    <tableColumn id="3" name="Gender"/>
    <tableColumn id="4" name="Department"/>
    <tableColumn id="5" name="Salary"/>
    <tableColumn id="6" name="Job Title"/>
    <tableColumn id="7" name="Start Date"/>
    <tableColumn id="8" name="Tenure (Yrs)"/>
    <tableColumn id="9" name="Email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1" name="Table11" displayName="Table11" ref="A94:I107" totalsRowShown="0">
  <autoFilter xmlns:etc="http://www.wps.cn/officeDocument/2017/etCustomData" ref="A94:I107" etc:filterBottomFollowUsedRange="0"/>
  <tableColumns count="9">
    <tableColumn id="1" name="EmpID" dataDxfId="29"/>
    <tableColumn id="2" name="Full Name" dataDxfId="30"/>
    <tableColumn id="3" name="Gender" dataDxfId="31"/>
    <tableColumn id="4" name="Department" dataDxfId="32"/>
    <tableColumn id="5" name="Salary" dataDxfId="33"/>
    <tableColumn id="6" name="Job Title" dataDxfId="34"/>
    <tableColumn id="7" name="Start Date" dataDxfId="35"/>
    <tableColumn id="8" name="Tenure (Yrs)" dataDxfId="36"/>
    <tableColumn id="9" name="Email" dataDxfId="37"/>
  </tableColumns>
  <tableStyleInfo name="TableStylePreset3_Accent5" showFirstColumn="0" showLastColumn="0" showRowStripes="1" showColumnStripes="0"/>
</table>
</file>

<file path=xl/tables/table10.xml><?xml version="1.0" encoding="utf-8"?>
<table xmlns="http://schemas.openxmlformats.org/spreadsheetml/2006/main" id="12" name="Employee_Table7813" displayName="Employee_Table7813" ref="A115:I127" totalsRowShown="0">
  <autoFilter xmlns:etc="http://www.wps.cn/officeDocument/2017/etCustomData" ref="A115:I127" etc:filterBottomFollowUsedRange="0"/>
  <sortState ref="A115:I127">
    <sortCondition ref="D115:D127"/>
  </sortState>
  <tableColumns count="9">
    <tableColumn id="1" name="EmpID"/>
    <tableColumn id="2" name="Full Name"/>
    <tableColumn id="3" name="Gender"/>
    <tableColumn id="4" name="Department"/>
    <tableColumn id="5" name="Salary"/>
    <tableColumn id="6" name="Job Title"/>
    <tableColumn id="7" name="Start Date"/>
    <tableColumn id="8" name="Tenure (Yrs)"/>
    <tableColumn id="9" name="Email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3" name="Table13" displayName="Table13" ref="A13:G21" totalsRowShown="0">
  <autoFilter xmlns:etc="http://www.wps.cn/officeDocument/2017/etCustomData" ref="A13:G21" etc:filterBottomFollowUsedRange="0"/>
  <tableColumns count="7">
    <tableColumn id="1" name="EmpID" dataDxfId="41"/>
    <tableColumn id="2" name="Full Name " dataDxfId="42"/>
    <tableColumn id="3" name="Department " dataDxfId="43"/>
    <tableColumn id="4" name="Salary (Text)" dataDxfId="44"/>
    <tableColumn id="5" name="Email" dataDxfId="45"/>
    <tableColumn id="6" name="Age (Text)" dataDxfId="46"/>
    <tableColumn id="7" name=" SALARY (Edited)" dataDxfId="47">
      <calculatedColumnFormula>VALUE(SUBSTITUTE(D14,45000,45000))</calculatedColumnFormula>
    </tableColumn>
  </tableColumns>
  <tableStyleInfo name="TableStylePreset3_Accent1" showFirstColumn="0" showLastColumn="0" showRowStripes="1" showColumnStripes="0"/>
</table>
</file>

<file path=xl/tables/table12.xml><?xml version="1.0" encoding="utf-8"?>
<table xmlns="http://schemas.openxmlformats.org/spreadsheetml/2006/main" id="16" name="Table16" displayName="Table16" ref="A10:F20" totalsRowShown="0">
  <autoFilter xmlns:etc="http://www.wps.cn/officeDocument/2017/etCustomData" ref="A10:F20" etc:filterBottomFollowUsedRange="0"/>
  <tableColumns count="6">
    <tableColumn id="1" name="Student_ID" dataDxfId="48"/>
    <tableColumn id="2" name="Age" dataDxfId="49"/>
    <tableColumn id="3" name="Gender" dataDxfId="50"/>
    <tableColumn id="4" name="Academic_Level" dataDxfId="51"/>
    <tableColumn id="5" name="Country" dataDxfId="52"/>
    <tableColumn id="6" name="Avg_Daily_Usage_Hours" dataDxfId="53"/>
  </tableColumns>
  <tableStyleInfo name="TableStylePreset3_Accent1" showFirstColumn="0" showLastColumn="0" showRowStripes="1" showColumnStripes="0"/>
</table>
</file>

<file path=xl/tables/table13.xml><?xml version="1.0" encoding="utf-8"?>
<table xmlns="http://schemas.openxmlformats.org/spreadsheetml/2006/main" id="17" name="Table17" displayName="Table17" ref="A14:P35">
  <autoFilter xmlns:etc="http://www.wps.cn/officeDocument/2017/etCustomData" ref="A14:P35" etc:filterBottomFollowUsedRange="0"/>
  <tableColumns count="16">
    <tableColumn id="1" name="Student_ID" dataDxfId="54" totalsRowLabel="Total"/>
    <tableColumn id="2" name="Age" dataDxfId="55"/>
    <tableColumn id="3" name="Gender" dataDxfId="56"/>
    <tableColumn id="4" name="Academic_Level" dataDxfId="57"/>
    <tableColumn id="5" name="Country" dataDxfId="58"/>
    <tableColumn id="6" name="Avg_Daily_Usage_Hours" dataDxfId="59"/>
    <tableColumn id="7" name="Most_Used_Platform" dataDxfId="60"/>
    <tableColumn id="8" name="Affects_Academic" dataDxfId="61"/>
    <tableColumn id="9" name="Sleep_Hours" dataDxfId="62"/>
    <tableColumn id="10" name="Mental_Health_Score" dataDxfId="63"/>
    <tableColumn id="11" name="Overall_Impact" dataDxfId="64"/>
    <tableColumn id="12" name="Division formula " dataDxfId="65">
      <calculatedColumnFormula>IFERROR(I15/F15,"ERROR")</calculatedColumnFormula>
    </tableColumn>
    <tableColumn id="13" name="SleepBands" dataDxfId="66"/>
    <tableColumn id="14" name="Flagged Students (Affects Academic )" dataDxfId="67"/>
    <tableColumn id="15" name="Mental State" dataDxfId="68"/>
    <tableColumn id="16" name="Classification Students" dataDxfId="69" totalsRowFunction="count"/>
  </tableColumns>
  <tableStyleInfo name="TableStylePreset8_Accent2" showFirstColumn="1" showLastColumn="0" showRowStripes="0" showColumnStripes="0"/>
</table>
</file>

<file path=xl/tables/table14.xml><?xml version="1.0" encoding="utf-8"?>
<table xmlns="http://schemas.openxmlformats.org/spreadsheetml/2006/main" id="18" name="Table9" displayName="Table9" ref="A21:D24" totalsRowShown="0">
  <autoFilter xmlns:etc="http://www.wps.cn/officeDocument/2017/etCustomData" ref="A21:D24" etc:filterBottomFollowUsedRange="0"/>
  <tableColumns count="4">
    <tableColumn id="1" name="Emp_ID"/>
    <tableColumn id="2" name="Name">
      <calculatedColumnFormula>VLOOKUP(A22,'Project 11'!$A$4:$H$14,2,0)</calculatedColumnFormula>
    </tableColumn>
    <tableColumn id="3" name="Dept">
      <calculatedColumnFormula>VLOOKUP($A22,'Project 11'!$A$4:$H$14,3,0)</calculatedColumnFormula>
    </tableColumn>
    <tableColumn id="4" name="Salary">
      <calculatedColumnFormula>VLOOKUP($A22,'Project 11'!$A$4:$H$14,2,0)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9" name="Table13_20" displayName="Table13_20" ref="A29:D33" totalsRowShown="0">
  <autoFilter xmlns:etc="http://www.wps.cn/officeDocument/2017/etCustomData" ref="A29:D33" etc:filterBottomFollowUsedRange="0"/>
  <tableColumns count="4">
    <tableColumn id="1" name="Emp_ID"/>
    <tableColumn id="2" name="Name">
      <calculatedColumnFormula array="1">INDEX('Project 11'!$A$4:$H$14,MATCH('Project 11'!$A$9,'Project 11'!$A$4:$A$14,0),2)</calculatedColumnFormula>
    </tableColumn>
    <tableColumn id="3" name="Dept"/>
    <tableColumn id="4" name="Salar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20" name="Table9_15" displayName="Table9_15" ref="A38:D41" totalsRowShown="0">
  <autoFilter xmlns:etc="http://www.wps.cn/officeDocument/2017/etCustomData" ref="A38:D41" etc:filterBottomFollowUsedRange="0"/>
  <tableColumns count="4">
    <tableColumn id="1" name="Emp_ID"/>
    <tableColumn id="2" name="Name">
      <calculatedColumnFormula>VLOOKUP(A39,'Project 11'!$A$4:$H$14,2,0)</calculatedColumnFormula>
    </tableColumn>
    <tableColumn id="3" name="Dept">
      <calculatedColumnFormula>VLOOKUP($A39,'Project 11'!$A$4:$H$14,3,0)</calculatedColumnFormula>
    </tableColumn>
    <tableColumn id="4" name="Salary">
      <calculatedColumnFormula>VLOOKUP($A39,'Project 11'!$A$4:$H$14,2,0)</calculatedColumnFormula>
    </tableColumn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21" name="Table15" displayName="Table15" ref="A46:D50" totalsRowShown="0">
  <autoFilter xmlns:etc="http://www.wps.cn/officeDocument/2017/etCustomData" ref="A46:D50" etc:filterBottomFollowUsedRange="0"/>
  <tableColumns count="4">
    <tableColumn id="1" name="Emp_ID"/>
    <tableColumn id="2" name="Name ">
      <calculatedColumnFormula array="1">INDEX('Project 11'!$A$5:$H$14,MATCH($A47,'Project 11'!$A$5:$A$14,0),2)</calculatedColumnFormula>
    </tableColumn>
    <tableColumn id="3" name="Dept">
      <calculatedColumnFormula array="1">INDEX('Project 11'!$A$5:$H$14,MATCH($A47,'Project 11'!$A$5:$A$14,0),3)</calculatedColumnFormula>
    </tableColumn>
    <tableColumn id="4" name="Salary">
      <calculatedColumnFormula array="1">INDEX('Project 11'!$A$5:$H$14,MATCH($A47,'Project 11'!$A$5:$A$14,0),4)</calculatedColumnFormula>
    </tableColumn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22" name="Table16_23" displayName="Table16_23" ref="A8:M28" totalsRowShown="0">
  <autoFilter xmlns:etc="http://www.wps.cn/officeDocument/2017/etCustomData" ref="A8:M28" etc:filterBottomFollowUsedRange="0"/>
  <tableColumns count="13">
    <tableColumn id="1" name="Student_ID"/>
    <tableColumn id="2" name="Age"/>
    <tableColumn id="3" name="Gender"/>
    <tableColumn id="4" name="Academic_Level"/>
    <tableColumn id="5" name="Country"/>
    <tableColumn id="6" name="Avg_Daily_Usage_Hours"/>
    <tableColumn id="7" name="Most_Used_Platform"/>
    <tableColumn id="8" name="Affects_Academic"/>
    <tableColumn id="9" name="Sleep_Hours"/>
    <tableColumn id="10" name="Mental_Health_Score"/>
    <tableColumn id="11" name="Comparison "/>
    <tableColumn id="12" name="Sub Total"/>
    <tableColumn id="13" name="Overall_Impact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23" name="Table17_24" displayName="Table17_24" ref="A45:B51" totalsRowShown="0">
  <autoFilter xmlns:etc="http://www.wps.cn/officeDocument/2017/etCustomData" ref="A45:B51" etc:filterBottomFollowUsedRange="0"/>
  <tableColumns count="2">
    <tableColumn id="1" name="Student_ID"/>
    <tableColumn id="2" name="Mental_Health_Scor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4" name="Table18" displayName="Table18" ref="A56:C64" totalsRowShown="0">
  <autoFilter xmlns:etc="http://www.wps.cn/officeDocument/2017/etCustomData" ref="A56:C64" etc:filterBottomFollowUsedRange="0"/>
  <tableColumns count="3">
    <tableColumn id="1" name="Most Daily Usage "/>
    <tableColumn id="2" name="Platform"/>
    <tableColumn id="3" name="Student 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5" name="Table19" displayName="Table19" ref="A69:C76" totalsRowShown="0">
  <autoFilter xmlns:etc="http://www.wps.cn/officeDocument/2017/etCustomData" ref="A69:C76" etc:filterBottomFollowUsedRange="0"/>
  <tableColumns count="3">
    <tableColumn id="1" name="Row"/>
    <tableColumn id="2" name="Column "/>
    <tableColumn id="3" name="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7.xml"/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1.xml"/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3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9.xml"/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0" sqref="A10:G21"/>
    </sheetView>
  </sheetViews>
  <sheetFormatPr defaultColWidth="8.88888888888889" defaultRowHeight="14.4" outlineLevelCol="6"/>
  <cols>
    <col min="2" max="2" width="25.2222222222222" customWidth="1"/>
    <col min="3" max="3" width="20.8888888888889" customWidth="1"/>
    <col min="4" max="4" width="27.8888888888889" customWidth="1"/>
    <col min="5" max="6" width="24.8888888888889" customWidth="1"/>
    <col min="7" max="7" width="30.1111111111111" customWidth="1"/>
  </cols>
  <sheetData>
    <row r="1" ht="15.6" spans="1:7">
      <c r="A1" s="34" t="s">
        <v>0</v>
      </c>
      <c r="B1" s="35"/>
      <c r="C1" s="35"/>
      <c r="D1" s="35"/>
      <c r="E1" s="35"/>
      <c r="F1" s="35"/>
      <c r="G1" s="35"/>
    </row>
    <row r="2" spans="1:7">
      <c r="A2" s="3" t="s">
        <v>1</v>
      </c>
      <c r="B2" s="9"/>
      <c r="C2" s="9"/>
      <c r="D2" s="9"/>
      <c r="E2" s="9"/>
      <c r="F2" s="9"/>
      <c r="G2" s="10"/>
    </row>
    <row r="3" spans="1:7">
      <c r="A3" s="3" t="s">
        <v>2</v>
      </c>
      <c r="B3" s="9"/>
      <c r="C3" s="9"/>
      <c r="D3" s="9"/>
      <c r="E3" s="9"/>
      <c r="F3" s="9"/>
      <c r="G3" s="10"/>
    </row>
    <row r="4" spans="1:7">
      <c r="A4" s="3" t="s">
        <v>3</v>
      </c>
      <c r="B4" s="9"/>
      <c r="C4" s="9"/>
      <c r="D4" s="9"/>
      <c r="E4" s="9"/>
      <c r="F4" s="9"/>
      <c r="G4" s="10"/>
    </row>
    <row r="5" spans="1:7">
      <c r="A5" s="3" t="s">
        <v>4</v>
      </c>
      <c r="B5" s="9"/>
      <c r="C5" s="9"/>
      <c r="D5" s="9"/>
      <c r="E5" s="9"/>
      <c r="F5" s="9"/>
      <c r="G5" s="10"/>
    </row>
    <row r="6" spans="1:7">
      <c r="A6" s="3" t="s">
        <v>5</v>
      </c>
      <c r="B6" s="9"/>
      <c r="C6" s="9"/>
      <c r="D6" s="9"/>
      <c r="E6" s="9"/>
      <c r="F6" s="9"/>
      <c r="G6" s="10"/>
    </row>
    <row r="7" spans="1:7">
      <c r="A7" s="3" t="s">
        <v>6</v>
      </c>
      <c r="B7" s="9"/>
      <c r="C7" s="9"/>
      <c r="D7" s="9"/>
      <c r="E7" s="9"/>
      <c r="F7" s="9"/>
      <c r="G7" s="10"/>
    </row>
    <row r="8" spans="1:7">
      <c r="A8" s="3" t="s">
        <v>7</v>
      </c>
      <c r="B8" s="9"/>
      <c r="C8" s="9"/>
      <c r="D8" s="9"/>
      <c r="E8" s="9"/>
      <c r="F8" s="9"/>
      <c r="G8" s="10"/>
    </row>
    <row r="10" spans="1:7">
      <c r="A10" s="36" t="s">
        <v>8</v>
      </c>
      <c r="B10" s="36" t="s">
        <v>9</v>
      </c>
      <c r="C10" s="36" t="s">
        <v>10</v>
      </c>
      <c r="D10" s="36" t="s">
        <v>11</v>
      </c>
      <c r="E10" s="36" t="s">
        <v>12</v>
      </c>
      <c r="F10" s="36" t="s">
        <v>13</v>
      </c>
      <c r="G10" s="36" t="s">
        <v>14</v>
      </c>
    </row>
    <row r="11" spans="1:7">
      <c r="A11" s="5">
        <v>1001</v>
      </c>
      <c r="B11" s="5" t="s">
        <v>15</v>
      </c>
      <c r="C11" s="5" t="s">
        <v>16</v>
      </c>
      <c r="D11" s="23">
        <v>45000</v>
      </c>
      <c r="E11" s="23">
        <f t="shared" ref="E11:E20" si="0">(D11/10)*2</f>
        <v>9000</v>
      </c>
      <c r="F11" s="23">
        <f t="shared" ref="F11:F20" si="1">(D11+G11-E11)</f>
        <v>40500</v>
      </c>
      <c r="G11" s="23">
        <f t="shared" ref="G11:G20" si="2">(D11/10)</f>
        <v>4500</v>
      </c>
    </row>
    <row r="12" spans="1:7">
      <c r="A12" s="6">
        <v>1002</v>
      </c>
      <c r="B12" s="6" t="s">
        <v>17</v>
      </c>
      <c r="C12" s="6" t="s">
        <v>18</v>
      </c>
      <c r="D12" s="22">
        <v>36000</v>
      </c>
      <c r="E12" s="22">
        <f t="shared" si="0"/>
        <v>7200</v>
      </c>
      <c r="F12" s="22">
        <f t="shared" si="1"/>
        <v>32400</v>
      </c>
      <c r="G12" s="22">
        <f t="shared" si="2"/>
        <v>3600</v>
      </c>
    </row>
    <row r="13" spans="1:7">
      <c r="A13" s="5">
        <v>1003</v>
      </c>
      <c r="B13" s="5" t="s">
        <v>19</v>
      </c>
      <c r="C13" s="5" t="s">
        <v>16</v>
      </c>
      <c r="D13" s="23">
        <v>63000</v>
      </c>
      <c r="E13" s="23">
        <f t="shared" si="0"/>
        <v>12600</v>
      </c>
      <c r="F13" s="23">
        <f t="shared" si="1"/>
        <v>56700</v>
      </c>
      <c r="G13" s="23">
        <f t="shared" si="2"/>
        <v>6300</v>
      </c>
    </row>
    <row r="14" spans="1:7">
      <c r="A14" s="6">
        <v>1004</v>
      </c>
      <c r="B14" s="6" t="s">
        <v>20</v>
      </c>
      <c r="C14" s="6" t="s">
        <v>21</v>
      </c>
      <c r="D14" s="22">
        <v>47000</v>
      </c>
      <c r="E14" s="22">
        <f t="shared" si="0"/>
        <v>9400</v>
      </c>
      <c r="F14" s="22">
        <f t="shared" si="1"/>
        <v>42300</v>
      </c>
      <c r="G14" s="22">
        <f t="shared" si="2"/>
        <v>4700</v>
      </c>
    </row>
    <row r="15" spans="1:7">
      <c r="A15" s="5">
        <v>1005</v>
      </c>
      <c r="B15" s="5" t="s">
        <v>22</v>
      </c>
      <c r="C15" s="5" t="s">
        <v>23</v>
      </c>
      <c r="D15" s="23">
        <v>50000</v>
      </c>
      <c r="E15" s="23">
        <f t="shared" si="0"/>
        <v>10000</v>
      </c>
      <c r="F15" s="23">
        <f t="shared" si="1"/>
        <v>45000</v>
      </c>
      <c r="G15" s="23">
        <f t="shared" si="2"/>
        <v>5000</v>
      </c>
    </row>
    <row r="16" spans="1:7">
      <c r="A16" s="6">
        <v>1006</v>
      </c>
      <c r="B16" s="6" t="s">
        <v>24</v>
      </c>
      <c r="C16" s="6" t="s">
        <v>25</v>
      </c>
      <c r="D16" s="22">
        <v>65000</v>
      </c>
      <c r="E16" s="22">
        <f t="shared" si="0"/>
        <v>13000</v>
      </c>
      <c r="F16" s="22">
        <f t="shared" si="1"/>
        <v>58500</v>
      </c>
      <c r="G16" s="22">
        <f t="shared" si="2"/>
        <v>6500</v>
      </c>
    </row>
    <row r="17" spans="1:7">
      <c r="A17" s="5">
        <v>1007</v>
      </c>
      <c r="B17" s="5" t="s">
        <v>26</v>
      </c>
      <c r="C17" s="5" t="s">
        <v>27</v>
      </c>
      <c r="D17" s="23">
        <v>55000</v>
      </c>
      <c r="E17" s="23">
        <f t="shared" si="0"/>
        <v>11000</v>
      </c>
      <c r="F17" s="23">
        <f t="shared" si="1"/>
        <v>49500</v>
      </c>
      <c r="G17" s="23">
        <f t="shared" si="2"/>
        <v>5500</v>
      </c>
    </row>
    <row r="18" spans="1:7">
      <c r="A18" s="6">
        <v>1008</v>
      </c>
      <c r="B18" s="6" t="s">
        <v>28</v>
      </c>
      <c r="C18" s="6" t="s">
        <v>16</v>
      </c>
      <c r="D18" s="22">
        <v>48000</v>
      </c>
      <c r="E18" s="22">
        <f t="shared" si="0"/>
        <v>9600</v>
      </c>
      <c r="F18" s="22">
        <f t="shared" si="1"/>
        <v>43200</v>
      </c>
      <c r="G18" s="22">
        <f t="shared" si="2"/>
        <v>4800</v>
      </c>
    </row>
    <row r="19" spans="1:7">
      <c r="A19" s="5">
        <v>1009</v>
      </c>
      <c r="B19" s="5" t="s">
        <v>29</v>
      </c>
      <c r="C19" s="5" t="s">
        <v>21</v>
      </c>
      <c r="D19" s="23">
        <v>52000</v>
      </c>
      <c r="E19" s="23">
        <f t="shared" si="0"/>
        <v>10400</v>
      </c>
      <c r="F19" s="23">
        <f t="shared" si="1"/>
        <v>46800</v>
      </c>
      <c r="G19" s="23">
        <f t="shared" si="2"/>
        <v>5200</v>
      </c>
    </row>
    <row r="20" spans="1:7">
      <c r="A20" s="6">
        <v>1010</v>
      </c>
      <c r="B20" s="6" t="s">
        <v>30</v>
      </c>
      <c r="C20" s="6" t="s">
        <v>21</v>
      </c>
      <c r="D20" s="22">
        <v>58000</v>
      </c>
      <c r="E20" s="22">
        <f t="shared" si="0"/>
        <v>11600</v>
      </c>
      <c r="F20" s="22">
        <f t="shared" si="1"/>
        <v>52200</v>
      </c>
      <c r="G20" s="22">
        <f t="shared" si="2"/>
        <v>5800</v>
      </c>
    </row>
    <row r="21" spans="1:7">
      <c r="A21" s="37" t="s">
        <v>31</v>
      </c>
      <c r="B21" s="37"/>
      <c r="C21" s="37"/>
      <c r="D21" s="38">
        <f t="shared" ref="D21:G21" si="3">SUM(D11:D20)</f>
        <v>519000</v>
      </c>
      <c r="E21" s="38">
        <f t="shared" si="3"/>
        <v>103800</v>
      </c>
      <c r="F21" s="38">
        <f t="shared" si="3"/>
        <v>467100</v>
      </c>
      <c r="G21" s="38">
        <f t="shared" si="3"/>
        <v>51900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21:C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21" sqref="A21"/>
    </sheetView>
  </sheetViews>
  <sheetFormatPr defaultColWidth="8.88888888888889" defaultRowHeight="14.4"/>
  <cols>
    <col min="1" max="1" width="25.7777777777778" customWidth="1"/>
    <col min="2" max="2" width="29.5555555555556" customWidth="1"/>
    <col min="3" max="3" width="23.4444444444444" customWidth="1"/>
    <col min="4" max="4" width="20.4444444444444" customWidth="1"/>
    <col min="5" max="5" width="21.7777777777778" customWidth="1"/>
    <col min="6" max="6" width="33.1111111111111" customWidth="1"/>
    <col min="7" max="7" width="26.5555555555556" customWidth="1"/>
    <col min="8" max="8" width="23.8888888888889" customWidth="1"/>
    <col min="9" max="9" width="19.5555555555556" customWidth="1"/>
    <col min="10" max="10" width="17.5555555555556" customWidth="1"/>
    <col min="11" max="11" width="21.6666666666667" customWidth="1"/>
  </cols>
  <sheetData>
    <row r="1" ht="30" customHeight="1" spans="1:6">
      <c r="A1" s="28" t="s">
        <v>32</v>
      </c>
      <c r="B1" s="29"/>
      <c r="C1" s="29"/>
      <c r="D1" s="29"/>
      <c r="E1" s="29"/>
      <c r="F1" s="29"/>
    </row>
    <row r="2" spans="1:6">
      <c r="A2" s="30" t="s">
        <v>33</v>
      </c>
      <c r="B2" s="31"/>
      <c r="C2" s="31"/>
      <c r="D2" s="31"/>
      <c r="E2" s="31"/>
      <c r="F2" s="32"/>
    </row>
    <row r="3" spans="1:6">
      <c r="A3" s="3" t="s">
        <v>34</v>
      </c>
      <c r="B3" s="9"/>
      <c r="C3" s="9"/>
      <c r="D3" s="9"/>
      <c r="E3" s="9"/>
      <c r="F3" s="10"/>
    </row>
    <row r="4" spans="1:6">
      <c r="A4" s="3" t="s">
        <v>35</v>
      </c>
      <c r="B4" s="9"/>
      <c r="C4" s="9"/>
      <c r="D4" s="9"/>
      <c r="E4" s="9"/>
      <c r="F4" s="10"/>
    </row>
    <row r="5" spans="1:6">
      <c r="A5" s="3" t="s">
        <v>36</v>
      </c>
      <c r="B5" s="9"/>
      <c r="C5" s="9"/>
      <c r="D5" s="9"/>
      <c r="E5" s="9"/>
      <c r="F5" s="10"/>
    </row>
    <row r="6" spans="1:6">
      <c r="A6" s="3" t="s">
        <v>37</v>
      </c>
      <c r="B6" s="9"/>
      <c r="C6" s="9"/>
      <c r="D6" s="9"/>
      <c r="E6" s="9"/>
      <c r="F6" s="10"/>
    </row>
    <row r="7" spans="1:6">
      <c r="A7" s="3" t="s">
        <v>38</v>
      </c>
      <c r="B7" s="9"/>
      <c r="C7" s="9"/>
      <c r="D7" s="9"/>
      <c r="E7" s="9"/>
      <c r="F7" s="10"/>
    </row>
    <row r="8" spans="1:6">
      <c r="A8" s="3" t="s">
        <v>39</v>
      </c>
      <c r="B8" s="9"/>
      <c r="C8" s="9"/>
      <c r="D8" s="9"/>
      <c r="E8" s="9"/>
      <c r="F8" s="10"/>
    </row>
    <row r="10" spans="1:11">
      <c r="A10" t="s">
        <v>8</v>
      </c>
      <c r="B10" s="14" t="s">
        <v>9</v>
      </c>
      <c r="C10" s="14" t="s">
        <v>40</v>
      </c>
      <c r="D10" s="14" t="s">
        <v>11</v>
      </c>
      <c r="E10" s="14" t="s">
        <v>41</v>
      </c>
      <c r="F10" s="14" t="s">
        <v>42</v>
      </c>
      <c r="G10" s="14" t="s">
        <v>43</v>
      </c>
      <c r="H10" s="14" t="s">
        <v>44</v>
      </c>
      <c r="I10" s="14" t="s">
        <v>45</v>
      </c>
      <c r="J10" s="14" t="s">
        <v>46</v>
      </c>
      <c r="K10" s="14" t="s">
        <v>47</v>
      </c>
    </row>
    <row r="11" spans="1:11">
      <c r="A11" s="14">
        <v>1001</v>
      </c>
      <c r="B11" s="14" t="str">
        <f>UPPER("Jim Halpert")</f>
        <v>JIM HALPERT</v>
      </c>
      <c r="C11" s="33">
        <v>37197</v>
      </c>
      <c r="D11" s="25">
        <v>45000</v>
      </c>
      <c r="E11" s="14" t="s">
        <v>16</v>
      </c>
      <c r="F11" s="14" t="s">
        <v>48</v>
      </c>
      <c r="G11" s="14" t="str">
        <f>LEFT(B11,3)</f>
        <v>JIM</v>
      </c>
      <c r="H11" s="14" t="str">
        <f t="shared" ref="H11:H16" si="0">RIGHT(F11,17)</f>
        <v>DunderMifflin.com</v>
      </c>
      <c r="I11" s="14">
        <f t="shared" ref="I11:I18" si="1">LEN(B11)</f>
        <v>11</v>
      </c>
      <c r="J11" s="14" t="str">
        <f t="shared" ref="J11:J18" si="2">_xlfn.CONCAT("HI,"," ",G11)</f>
        <v>HI, JIM</v>
      </c>
      <c r="K11" s="14">
        <f ca="1" t="shared" ref="K11:K18" si="3">DATEDIF(C11,TODAY(),"Y")</f>
        <v>24</v>
      </c>
    </row>
    <row r="12" spans="1:11">
      <c r="A12" s="14">
        <v>1002</v>
      </c>
      <c r="B12" s="14" t="str">
        <f>UPPER("Pam Beasley")</f>
        <v>PAM BEASLEY</v>
      </c>
      <c r="C12" s="33">
        <v>36436</v>
      </c>
      <c r="D12" s="25">
        <v>36000</v>
      </c>
      <c r="E12" s="14" t="s">
        <v>18</v>
      </c>
      <c r="F12" s="14" t="s">
        <v>49</v>
      </c>
      <c r="G12" s="14" t="str">
        <f>LEFT(B12,3)</f>
        <v>PAM</v>
      </c>
      <c r="H12" s="14" t="str">
        <f t="shared" si="0"/>
        <v>DunderMifflin.com</v>
      </c>
      <c r="I12" s="14">
        <f t="shared" si="1"/>
        <v>11</v>
      </c>
      <c r="J12" s="14" t="str">
        <f t="shared" si="2"/>
        <v>HI, PAM</v>
      </c>
      <c r="K12" s="14">
        <f ca="1" t="shared" si="3"/>
        <v>26</v>
      </c>
    </row>
    <row r="13" spans="1:11">
      <c r="A13" s="14">
        <v>1003</v>
      </c>
      <c r="B13" s="14" t="str">
        <f>UPPER("Dwight Schrute")</f>
        <v>DWIGHT SCHRUTE</v>
      </c>
      <c r="C13" s="33">
        <v>36711</v>
      </c>
      <c r="D13" s="25">
        <v>63000</v>
      </c>
      <c r="E13" s="14" t="s">
        <v>16</v>
      </c>
      <c r="F13" s="14" t="s">
        <v>50</v>
      </c>
      <c r="G13" s="14" t="str">
        <f>LEFT(B13,6)</f>
        <v>DWIGHT</v>
      </c>
      <c r="H13" s="14" t="str">
        <f>RIGHT(F13,7)</f>
        <v>AOL.com</v>
      </c>
      <c r="I13" s="14">
        <f t="shared" si="1"/>
        <v>14</v>
      </c>
      <c r="J13" s="14" t="str">
        <f t="shared" si="2"/>
        <v>HI, DWIGHT</v>
      </c>
      <c r="K13" s="14">
        <f ca="1" t="shared" si="3"/>
        <v>26</v>
      </c>
    </row>
    <row r="14" spans="1:11">
      <c r="A14" s="14">
        <v>1004</v>
      </c>
      <c r="B14" s="14" t="str">
        <f>UPPER("Angela Martin")</f>
        <v>ANGELA MARTIN</v>
      </c>
      <c r="C14" s="33">
        <v>36530</v>
      </c>
      <c r="D14" s="25">
        <v>47000</v>
      </c>
      <c r="E14" s="14" t="s">
        <v>21</v>
      </c>
      <c r="F14" s="14" t="s">
        <v>51</v>
      </c>
      <c r="G14" s="14" t="str">
        <f>LEFT(B14,6)</f>
        <v>ANGELA</v>
      </c>
      <c r="H14" s="14" t="str">
        <f t="shared" si="0"/>
        <v>DunderMifflin.com</v>
      </c>
      <c r="I14" s="14">
        <f t="shared" si="1"/>
        <v>13</v>
      </c>
      <c r="J14" s="14" t="str">
        <f t="shared" si="2"/>
        <v>HI, ANGELA</v>
      </c>
      <c r="K14" s="14">
        <f ca="1" t="shared" si="3"/>
        <v>26</v>
      </c>
    </row>
    <row r="15" spans="1:11">
      <c r="A15" s="14">
        <v>1005</v>
      </c>
      <c r="B15" s="14" t="str">
        <f>UPPER("Toby Flenderson")</f>
        <v>TOBY FLENDERSON</v>
      </c>
      <c r="C15" s="33">
        <v>37017</v>
      </c>
      <c r="D15" s="25">
        <v>50000</v>
      </c>
      <c r="E15" s="14" t="s">
        <v>23</v>
      </c>
      <c r="F15" s="14" t="s">
        <v>52</v>
      </c>
      <c r="G15" s="14" t="str">
        <f>LEFT(B15,4)</f>
        <v>TOBY</v>
      </c>
      <c r="H15" s="14" t="str">
        <f t="shared" si="0"/>
        <v>DunderMifflin.com</v>
      </c>
      <c r="I15" s="14">
        <f t="shared" si="1"/>
        <v>15</v>
      </c>
      <c r="J15" s="14" t="str">
        <f t="shared" si="2"/>
        <v>HI, TOBY</v>
      </c>
      <c r="K15" s="14">
        <f ca="1" t="shared" si="3"/>
        <v>25</v>
      </c>
    </row>
    <row r="16" spans="1:11">
      <c r="A16" s="14">
        <v>1006</v>
      </c>
      <c r="B16" s="14" t="str">
        <f>UPPER("Michael Scott")</f>
        <v>MICHAEL SCOTT</v>
      </c>
      <c r="C16" s="33">
        <v>37017</v>
      </c>
      <c r="D16" s="25">
        <v>65000</v>
      </c>
      <c r="E16" s="14" t="s">
        <v>25</v>
      </c>
      <c r="F16" s="14" t="s">
        <v>53</v>
      </c>
      <c r="G16" s="14" t="str">
        <f>LEFT(B16,7)</f>
        <v>MICHAEL</v>
      </c>
      <c r="H16" s="14" t="str">
        <f t="shared" si="0"/>
        <v>DunderMifflin.com</v>
      </c>
      <c r="I16" s="14">
        <f t="shared" si="1"/>
        <v>13</v>
      </c>
      <c r="J16" s="14" t="str">
        <f t="shared" si="2"/>
        <v>HI, MICHAEL</v>
      </c>
      <c r="K16" s="14">
        <f ca="1" t="shared" si="3"/>
        <v>25</v>
      </c>
    </row>
    <row r="17" spans="1:11">
      <c r="A17" s="14">
        <v>1007</v>
      </c>
      <c r="B17" s="14" t="str">
        <f>UPPER("Meredith Palmer")</f>
        <v>MEREDITH PALMER</v>
      </c>
      <c r="C17" s="33">
        <v>37933</v>
      </c>
      <c r="D17" s="25">
        <v>55000</v>
      </c>
      <c r="E17" s="14" t="s">
        <v>27</v>
      </c>
      <c r="F17" s="14" t="s">
        <v>54</v>
      </c>
      <c r="G17" s="14" t="str">
        <f>LEFT(B17,8)</f>
        <v>MEREDITH</v>
      </c>
      <c r="H17" s="14" t="str">
        <f>RIGHT(F17,9)</f>
        <v>Yahoo.com</v>
      </c>
      <c r="I17" s="14">
        <f t="shared" si="1"/>
        <v>15</v>
      </c>
      <c r="J17" s="14" t="str">
        <f t="shared" si="2"/>
        <v>HI, MEREDITH</v>
      </c>
      <c r="K17" s="14">
        <f ca="1" t="shared" si="3"/>
        <v>22</v>
      </c>
    </row>
    <row r="18" spans="1:11">
      <c r="A18" s="14">
        <v>1008</v>
      </c>
      <c r="B18" s="14" t="str">
        <f>UPPER("Stanley Hudson")</f>
        <v>STANLEY HUDSON</v>
      </c>
      <c r="C18" s="33">
        <v>37416</v>
      </c>
      <c r="D18" s="25">
        <v>48000</v>
      </c>
      <c r="E18" s="14" t="s">
        <v>16</v>
      </c>
      <c r="F18" s="14" t="s">
        <v>55</v>
      </c>
      <c r="G18" s="14" t="str">
        <f>LEFT(B18,7)</f>
        <v>STANLEY</v>
      </c>
      <c r="H18" s="14" t="str">
        <f>RIGHT(F18,9)</f>
        <v>gmail.com</v>
      </c>
      <c r="I18" s="14">
        <f t="shared" si="1"/>
        <v>14</v>
      </c>
      <c r="J18" s="14" t="str">
        <f t="shared" si="2"/>
        <v>HI, STANLEY</v>
      </c>
      <c r="K18" s="14">
        <f ca="1" t="shared" si="3"/>
        <v>24</v>
      </c>
    </row>
    <row r="21" spans="1:1">
      <c r="A21" s="25" t="str">
        <f>CONCATENATE("TOTAL SALARY : ",SUM($D$11:$D$18))</f>
        <v>TOTAL SALARY : 409000</v>
      </c>
    </row>
    <row r="22" spans="1:1">
      <c r="A22" s="25" t="str">
        <f>CONCATENATE("AVERAGE SALARY : ",AVERAGE($D$11:$D$18))</f>
        <v>AVERAGE SALARY : 51125</v>
      </c>
    </row>
    <row r="23" spans="1:1">
      <c r="A23" s="25" t="str">
        <f>CONCATENATE("MINIMIUM SALARY : ",MIN($D$11:$D$18))</f>
        <v>MINIMIUM SALARY : 36000</v>
      </c>
    </row>
    <row r="24" spans="1:1">
      <c r="A24" s="25" t="str">
        <f>CONCATENATE("MAXIMIUM SALARY : ",MAX($D$11:$D$18))</f>
        <v>MAXIMIUM SALARY : 65000</v>
      </c>
    </row>
  </sheetData>
  <mergeCells count="8">
    <mergeCell ref="A1:F1"/>
    <mergeCell ref="A2:F2"/>
    <mergeCell ref="A3:F3"/>
    <mergeCell ref="A4:F4"/>
    <mergeCell ref="A5:F5"/>
    <mergeCell ref="A6:F6"/>
    <mergeCell ref="A7:F7"/>
    <mergeCell ref="A8:F8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32"/>
  <sheetViews>
    <sheetView topLeftCell="A3" workbookViewId="0">
      <selection activeCell="F5" sqref="F5"/>
    </sheetView>
  </sheetViews>
  <sheetFormatPr defaultColWidth="8.88888888888889" defaultRowHeight="14.4" outlineLevelCol="6"/>
  <cols>
    <col min="1" max="1" width="43.5555555555556" customWidth="1"/>
    <col min="2" max="2" width="31.3333333333333" customWidth="1"/>
    <col min="3" max="3" width="29.4444444444444" customWidth="1"/>
    <col min="4" max="4" width="28.1111111111111" customWidth="1"/>
    <col min="5" max="5" width="23.6666666666667" customWidth="1"/>
    <col min="6" max="6" width="33" customWidth="1"/>
    <col min="7" max="7" width="22.8888888888889" customWidth="1"/>
  </cols>
  <sheetData>
    <row r="3" ht="15.6" spans="1:5">
      <c r="A3" s="1" t="s">
        <v>56</v>
      </c>
      <c r="B3" s="7"/>
      <c r="C3" s="7"/>
      <c r="D3" s="7"/>
      <c r="E3" s="7"/>
    </row>
    <row r="4" spans="1:5">
      <c r="A4" s="3" t="s">
        <v>57</v>
      </c>
      <c r="B4" s="9"/>
      <c r="C4" s="9"/>
      <c r="D4" s="9"/>
      <c r="E4" s="10"/>
    </row>
    <row r="5" spans="1:5">
      <c r="A5" s="3" t="s">
        <v>58</v>
      </c>
      <c r="B5" s="9"/>
      <c r="C5" s="9"/>
      <c r="D5" s="9"/>
      <c r="E5" s="10"/>
    </row>
    <row r="6" spans="1:5">
      <c r="A6" s="3" t="s">
        <v>59</v>
      </c>
      <c r="B6" s="9"/>
      <c r="C6" s="9"/>
      <c r="D6" s="9"/>
      <c r="E6" s="10"/>
    </row>
    <row r="7" spans="1:5">
      <c r="A7" s="3" t="s">
        <v>60</v>
      </c>
      <c r="B7" s="9"/>
      <c r="C7" s="9"/>
      <c r="D7" s="9"/>
      <c r="E7" s="10"/>
    </row>
    <row r="8" spans="1:5">
      <c r="A8" s="3" t="s">
        <v>61</v>
      </c>
      <c r="B8" s="9"/>
      <c r="C8" s="9"/>
      <c r="D8" s="9"/>
      <c r="E8" s="10"/>
    </row>
    <row r="9" spans="1:5">
      <c r="A9" s="3" t="s">
        <v>62</v>
      </c>
      <c r="B9" s="9"/>
      <c r="C9" s="9"/>
      <c r="D9" s="9"/>
      <c r="E9" s="10"/>
    </row>
    <row r="10" spans="1:5">
      <c r="A10" s="3" t="s">
        <v>63</v>
      </c>
      <c r="B10" s="9"/>
      <c r="C10" s="9"/>
      <c r="D10" s="9"/>
      <c r="E10" s="10"/>
    </row>
    <row r="11" spans="1:5">
      <c r="A11" s="7"/>
      <c r="B11" s="7"/>
      <c r="C11" s="7"/>
      <c r="D11" s="7"/>
      <c r="E11" s="7"/>
    </row>
    <row r="12" spans="1:5">
      <c r="A12" s="7"/>
      <c r="B12" s="7"/>
      <c r="C12" s="7"/>
      <c r="D12" s="7"/>
      <c r="E12" s="7"/>
    </row>
    <row r="13" spans="1:7">
      <c r="A13" s="14" t="s">
        <v>8</v>
      </c>
      <c r="B13" s="14" t="s">
        <v>9</v>
      </c>
      <c r="C13" s="14" t="s">
        <v>64</v>
      </c>
      <c r="D13" s="14" t="s">
        <v>10</v>
      </c>
      <c r="E13" s="14" t="s">
        <v>11</v>
      </c>
      <c r="F13" s="14" t="s">
        <v>65</v>
      </c>
      <c r="G13" s="14" t="s">
        <v>66</v>
      </c>
    </row>
    <row r="14" spans="1:7">
      <c r="A14" s="14">
        <v>1001</v>
      </c>
      <c r="B14" s="14" t="s">
        <v>15</v>
      </c>
      <c r="C14" s="14" t="s">
        <v>67</v>
      </c>
      <c r="D14" s="14" t="s">
        <v>16</v>
      </c>
      <c r="E14" s="25">
        <v>45000</v>
      </c>
      <c r="F14" s="14" t="s">
        <v>68</v>
      </c>
      <c r="G14" s="14">
        <f>COUNTIF(D14:D25,D17)</f>
        <v>3</v>
      </c>
    </row>
    <row r="15" spans="1:7">
      <c r="A15" s="14">
        <v>1002</v>
      </c>
      <c r="B15" s="14" t="s">
        <v>17</v>
      </c>
      <c r="C15" s="14" t="s">
        <v>69</v>
      </c>
      <c r="D15" s="14" t="s">
        <v>18</v>
      </c>
      <c r="E15" s="25">
        <v>36000</v>
      </c>
      <c r="F15" s="14" t="s">
        <v>16</v>
      </c>
      <c r="G15" s="14">
        <f>COUNTIF(D14:D25,D14)</f>
        <v>4</v>
      </c>
    </row>
    <row r="16" spans="1:7">
      <c r="A16" s="14">
        <v>1003</v>
      </c>
      <c r="B16" s="14" t="s">
        <v>19</v>
      </c>
      <c r="C16" s="14" t="s">
        <v>67</v>
      </c>
      <c r="D16" s="14" t="s">
        <v>16</v>
      </c>
      <c r="E16" s="25">
        <v>63000</v>
      </c>
      <c r="F16" s="14" t="s">
        <v>18</v>
      </c>
      <c r="G16" s="14">
        <f>COUNTIF(D14:D25,D15)</f>
        <v>1</v>
      </c>
    </row>
    <row r="17" spans="1:7">
      <c r="A17" s="14">
        <v>1004</v>
      </c>
      <c r="B17" s="14" t="s">
        <v>20</v>
      </c>
      <c r="C17" s="14" t="s">
        <v>69</v>
      </c>
      <c r="D17" s="14" t="s">
        <v>21</v>
      </c>
      <c r="E17" s="25">
        <v>47000</v>
      </c>
      <c r="F17" s="14" t="s">
        <v>25</v>
      </c>
      <c r="G17" s="14">
        <f>COUNTIF(D14:D25,D19)</f>
        <v>1</v>
      </c>
    </row>
    <row r="18" spans="1:7">
      <c r="A18" s="14">
        <v>1005</v>
      </c>
      <c r="B18" s="14" t="s">
        <v>22</v>
      </c>
      <c r="C18" s="14" t="s">
        <v>67</v>
      </c>
      <c r="D18" s="14" t="s">
        <v>23</v>
      </c>
      <c r="E18" s="25">
        <v>50000</v>
      </c>
      <c r="F18" s="14" t="s">
        <v>27</v>
      </c>
      <c r="G18" s="14">
        <f>COUNTIF(D14:D25,D20)</f>
        <v>1</v>
      </c>
    </row>
    <row r="19" spans="1:7">
      <c r="A19" s="14">
        <v>1006</v>
      </c>
      <c r="B19" s="14" t="s">
        <v>24</v>
      </c>
      <c r="C19" s="14" t="s">
        <v>67</v>
      </c>
      <c r="D19" s="14" t="s">
        <v>25</v>
      </c>
      <c r="E19" s="25">
        <v>65000</v>
      </c>
      <c r="F19" s="14" t="s">
        <v>23</v>
      </c>
      <c r="G19" s="14">
        <f>COUNTIF(D14:D25,D18)</f>
        <v>1</v>
      </c>
    </row>
    <row r="20" spans="1:7">
      <c r="A20" s="14">
        <v>1007</v>
      </c>
      <c r="B20" s="14" t="s">
        <v>26</v>
      </c>
      <c r="C20" s="14" t="s">
        <v>69</v>
      </c>
      <c r="D20" s="14" t="s">
        <v>27</v>
      </c>
      <c r="E20" s="25">
        <v>55000</v>
      </c>
      <c r="F20" s="14" t="s">
        <v>70</v>
      </c>
      <c r="G20" s="14">
        <f>COUNTIF(D14:D25,D25)</f>
        <v>1</v>
      </c>
    </row>
    <row r="21" spans="1:7">
      <c r="A21" s="14">
        <v>1008</v>
      </c>
      <c r="B21" s="14" t="s">
        <v>28</v>
      </c>
      <c r="C21" s="14" t="s">
        <v>67</v>
      </c>
      <c r="D21" s="14" t="s">
        <v>16</v>
      </c>
      <c r="E21" s="25">
        <v>48000</v>
      </c>
      <c r="F21" s="14"/>
      <c r="G21" s="14"/>
    </row>
    <row r="22" spans="1:7">
      <c r="A22" s="14">
        <v>1009</v>
      </c>
      <c r="B22" s="14" t="s">
        <v>29</v>
      </c>
      <c r="C22" s="14" t="s">
        <v>67</v>
      </c>
      <c r="D22" s="14" t="s">
        <v>21</v>
      </c>
      <c r="E22" s="25">
        <v>52000</v>
      </c>
      <c r="F22" s="14"/>
      <c r="G22" s="14"/>
    </row>
    <row r="23" spans="1:7">
      <c r="A23" s="14">
        <v>1010</v>
      </c>
      <c r="B23" s="14" t="s">
        <v>30</v>
      </c>
      <c r="C23" s="14" t="s">
        <v>67</v>
      </c>
      <c r="D23" s="14" t="s">
        <v>21</v>
      </c>
      <c r="E23" s="25">
        <v>58000</v>
      </c>
      <c r="F23" s="14"/>
      <c r="G23" s="14"/>
    </row>
    <row r="24" spans="1:7">
      <c r="A24" s="14">
        <v>1011</v>
      </c>
      <c r="B24" s="14" t="s">
        <v>71</v>
      </c>
      <c r="C24" s="14" t="s">
        <v>69</v>
      </c>
      <c r="D24" s="14" t="s">
        <v>16</v>
      </c>
      <c r="E24" s="25">
        <v>44000</v>
      </c>
      <c r="F24" s="14"/>
      <c r="G24" s="14"/>
    </row>
    <row r="25" spans="1:7">
      <c r="A25" s="14">
        <v>1012</v>
      </c>
      <c r="B25" s="14" t="s">
        <v>72</v>
      </c>
      <c r="C25" s="14" t="s">
        <v>67</v>
      </c>
      <c r="D25" s="14" t="s">
        <v>70</v>
      </c>
      <c r="E25" s="25">
        <v>32000</v>
      </c>
      <c r="F25" s="14"/>
      <c r="G25" s="14"/>
    </row>
    <row r="27" spans="1:2">
      <c r="A27" t="str">
        <f>CONCATENATE("ACCOUNTING TOTAL SALARY : ",SUMIF($D$14:$D$25,D17,E14:E25))</f>
        <v>ACCOUNTING TOTAL SALARY : 157000</v>
      </c>
      <c r="B27" s="27" t="str">
        <f>CONCATENATE("FEMALE EMPLYEE &gt; 45000  : ",COUNTIFS($C$14:$C$25,C15,$E$14:$E$25,"&gt;45000"))</f>
        <v>FEMALE EMPLYEE &gt; 45000  : 2</v>
      </c>
    </row>
    <row r="28" spans="1:1">
      <c r="A28" t="str">
        <f>CONCATENATE("SALES TOTAL SALARY : ",SUMIF($D$14:$D$25,D16,E14:$E$25))</f>
        <v>SALES TOTAL SALARY : 200000</v>
      </c>
    </row>
    <row r="29" spans="1:1">
      <c r="A29" t="str">
        <f ca="1">CONCATENATE("HR TOTAL SALARY : ",SUMIF($D$14:$D$25,D18,E15:$E$25))</f>
        <v>HR TOTAL SALARY : 65000</v>
      </c>
    </row>
    <row r="30" spans="1:1">
      <c r="A30" t="str">
        <f>CONCATENATE("MALE TOTAL SALARY : ",SUMIF($C$14:$C$25,C14,$E$14:$E$25))</f>
        <v>MALE TOTAL SALARY : 413000</v>
      </c>
    </row>
    <row r="31" spans="1:1">
      <c r="A31" t="str">
        <f>CONCATENATE("FEMALE TOTAL SALARY : ",SUMIF($C$14:$C$25,C15,$E$14:$E$25))</f>
        <v>FEMALE TOTAL SALARY : 182000</v>
      </c>
    </row>
    <row r="32" spans="1:1">
      <c r="A32" t="str">
        <f>CONCATENATE("ACCOUNTING AVERAGE SALARY : ",AVERAGEIF($D$14:$D$25,$D$17,$E$14:$E$25))</f>
        <v>ACCOUNTING AVERAGE SALARY : 52333.3333333333</v>
      </c>
    </row>
  </sheetData>
  <mergeCells count="8">
    <mergeCell ref="A3:E3"/>
    <mergeCell ref="A4:E4"/>
    <mergeCell ref="A5:E5"/>
    <mergeCell ref="A6:E6"/>
    <mergeCell ref="A7:E7"/>
    <mergeCell ref="A8:E8"/>
    <mergeCell ref="A9:E9"/>
    <mergeCell ref="A10:E10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I15" sqref="I15"/>
    </sheetView>
  </sheetViews>
  <sheetFormatPr defaultColWidth="8.88888888888889" defaultRowHeight="14.4"/>
  <cols>
    <col min="1" max="1" width="26.6666666666667" customWidth="1"/>
    <col min="2" max="2" width="25" customWidth="1"/>
    <col min="3" max="3" width="31.2222222222222" customWidth="1"/>
    <col min="4" max="4" width="31.5555555555556" customWidth="1"/>
    <col min="5" max="5" width="38.5555555555556" customWidth="1"/>
    <col min="6" max="6" width="35.7777777777778" customWidth="1"/>
    <col min="7" max="7" width="18.3333333333333" customWidth="1"/>
    <col min="8" max="8" width="24.8888888888889" customWidth="1"/>
    <col min="9" max="9" width="14.5555555555556" customWidth="1"/>
    <col min="10" max="10" width="20.7777777777778" customWidth="1"/>
    <col min="11" max="11" width="28.8888888888889" customWidth="1"/>
    <col min="12" max="12" width="27.7777777777778" customWidth="1"/>
    <col min="13" max="13" width="18.7777777777778" customWidth="1"/>
  </cols>
  <sheetData>
    <row r="1" ht="15.6" spans="1:5">
      <c r="A1" s="1" t="s">
        <v>56</v>
      </c>
      <c r="B1" s="7"/>
      <c r="C1" s="7"/>
      <c r="D1" s="7"/>
      <c r="E1" s="7"/>
    </row>
    <row r="2" spans="1:5">
      <c r="A2" s="3" t="s">
        <v>73</v>
      </c>
      <c r="B2" s="9"/>
      <c r="C2" s="9"/>
      <c r="D2" s="9"/>
      <c r="E2" s="10"/>
    </row>
    <row r="3" spans="1:5">
      <c r="A3" s="3" t="s">
        <v>74</v>
      </c>
      <c r="B3" s="9"/>
      <c r="C3" s="9"/>
      <c r="D3" s="9"/>
      <c r="E3" s="10"/>
    </row>
    <row r="4" spans="1:5">
      <c r="A4" s="3" t="s">
        <v>75</v>
      </c>
      <c r="B4" s="9"/>
      <c r="C4" s="9"/>
      <c r="D4" s="9"/>
      <c r="E4" s="10"/>
    </row>
    <row r="5" spans="1:5">
      <c r="A5" s="3" t="s">
        <v>76</v>
      </c>
      <c r="B5" s="9"/>
      <c r="C5" s="9"/>
      <c r="D5" s="9"/>
      <c r="E5" s="10"/>
    </row>
    <row r="6" spans="1:5">
      <c r="A6" s="3" t="s">
        <v>77</v>
      </c>
      <c r="B6" s="9"/>
      <c r="C6" s="9"/>
      <c r="D6" s="9"/>
      <c r="E6" s="10"/>
    </row>
    <row r="7" spans="1:5">
      <c r="A7" s="3" t="s">
        <v>78</v>
      </c>
      <c r="B7" s="9"/>
      <c r="C7" s="9"/>
      <c r="D7" s="9"/>
      <c r="E7" s="10"/>
    </row>
    <row r="8" spans="1:5">
      <c r="A8" s="3" t="s">
        <v>79</v>
      </c>
      <c r="B8" s="9"/>
      <c r="C8" s="9"/>
      <c r="D8" s="9"/>
      <c r="E8" s="10"/>
    </row>
    <row r="9" spans="1:5">
      <c r="A9" s="7"/>
      <c r="B9" s="7"/>
      <c r="C9" s="7"/>
      <c r="D9" s="7"/>
      <c r="E9" s="7"/>
    </row>
    <row r="10" spans="1:5">
      <c r="A10" s="7"/>
      <c r="B10" s="7"/>
      <c r="C10" s="7"/>
      <c r="D10" s="7"/>
      <c r="E10" s="7"/>
    </row>
    <row r="14" spans="1:13">
      <c r="A14" s="14" t="s">
        <v>8</v>
      </c>
      <c r="B14" s="14" t="s">
        <v>80</v>
      </c>
      <c r="C14" s="14" t="s">
        <v>81</v>
      </c>
      <c r="D14" s="14" t="s">
        <v>82</v>
      </c>
      <c r="E14" s="14" t="s">
        <v>83</v>
      </c>
      <c r="F14" s="14" t="s">
        <v>84</v>
      </c>
      <c r="G14" s="14" t="s">
        <v>85</v>
      </c>
      <c r="H14" s="14" t="s">
        <v>86</v>
      </c>
      <c r="I14" s="14" t="s">
        <v>87</v>
      </c>
      <c r="J14" s="14" t="s">
        <v>88</v>
      </c>
      <c r="K14" s="14" t="s">
        <v>89</v>
      </c>
      <c r="L14" s="14" t="s">
        <v>90</v>
      </c>
      <c r="M14" s="14" t="s">
        <v>91</v>
      </c>
    </row>
    <row r="15" spans="1:13">
      <c r="A15" s="14">
        <v>1001</v>
      </c>
      <c r="B15" s="14" t="s">
        <v>92</v>
      </c>
      <c r="C15" s="14">
        <f ca="1" t="shared" ref="C15:C24" si="0">RANDBETWEEN(50,100)</f>
        <v>60</v>
      </c>
      <c r="D15" s="14">
        <f ca="1" t="shared" ref="D15:D24" si="1">MROUND(C15,5)</f>
        <v>60</v>
      </c>
      <c r="E15" s="14">
        <f ca="1" t="shared" ref="E15:E24" si="2">RANDBETWEEN(1,5)</f>
        <v>2</v>
      </c>
      <c r="F15" s="14">
        <f ca="1" t="shared" ref="F15:F24" si="3">RANDBETWEEN(30000,80000)</f>
        <v>55736</v>
      </c>
      <c r="G15" s="14">
        <f ca="1" t="shared" ref="G15:G24" si="4">RANDBETWEEN(0,100)</f>
        <v>36</v>
      </c>
      <c r="H15" s="14">
        <f ca="1" t="shared" ref="H15:H24" si="5">MROUND(G15,5)</f>
        <v>35</v>
      </c>
      <c r="I15" s="26">
        <v>45292</v>
      </c>
      <c r="J15" s="14">
        <f ca="1" t="shared" ref="J15:J24" si="6">RAND()*100</f>
        <v>17.7877963275764</v>
      </c>
      <c r="K15" s="14" t="str">
        <f ca="1">IF(G15&gt;J15,"A is greater "," B is greater ")</f>
        <v>A is greater </v>
      </c>
      <c r="L15" s="14" t="str">
        <f>IF(MOD(A15,2)=0,"Employee is even","Employee is odd")</f>
        <v>Employee is odd</v>
      </c>
      <c r="M15" s="14">
        <f ca="1" t="shared" ref="M15:M24" si="7">ROUNDUP(C15,0)-ROUNDDOWN(C15,0)</f>
        <v>0</v>
      </c>
    </row>
    <row r="16" spans="1:13">
      <c r="A16" s="14">
        <v>1002</v>
      </c>
      <c r="B16" s="14" t="s">
        <v>93</v>
      </c>
      <c r="C16" s="14">
        <f ca="1" t="shared" si="0"/>
        <v>75</v>
      </c>
      <c r="D16" s="14">
        <f ca="1" t="shared" si="1"/>
        <v>75</v>
      </c>
      <c r="E16" s="14">
        <f ca="1" t="shared" si="2"/>
        <v>5</v>
      </c>
      <c r="F16" s="14">
        <f ca="1" t="shared" si="3"/>
        <v>55907</v>
      </c>
      <c r="G16" s="14">
        <f ca="1" t="shared" si="4"/>
        <v>22</v>
      </c>
      <c r="H16" s="14">
        <f ca="1" t="shared" si="5"/>
        <v>20</v>
      </c>
      <c r="I16" s="26">
        <v>45323</v>
      </c>
      <c r="J16" s="14">
        <f ca="1" t="shared" si="6"/>
        <v>68.0519572037808</v>
      </c>
      <c r="K16" s="14" t="str">
        <f ca="1" t="shared" ref="K15:K24" si="8">IF(G16&gt;J16,"A is greater "," B is greater ")</f>
        <v> B is greater </v>
      </c>
      <c r="L16" s="14" t="str">
        <f t="shared" ref="L15:L24" si="9">IF(MOD(A16,2)=0,"Employee is even","Employee is odd")</f>
        <v>Employee is even</v>
      </c>
      <c r="M16" s="14">
        <f ca="1" t="shared" si="7"/>
        <v>0</v>
      </c>
    </row>
    <row r="17" spans="1:13">
      <c r="A17" s="14">
        <v>1003</v>
      </c>
      <c r="B17" s="14" t="s">
        <v>94</v>
      </c>
      <c r="C17" s="14">
        <f ca="1" t="shared" si="0"/>
        <v>76</v>
      </c>
      <c r="D17" s="14">
        <f ca="1" t="shared" si="1"/>
        <v>75</v>
      </c>
      <c r="E17" s="14">
        <f ca="1" t="shared" si="2"/>
        <v>1</v>
      </c>
      <c r="F17" s="14">
        <f ca="1" t="shared" si="3"/>
        <v>60546</v>
      </c>
      <c r="G17" s="14">
        <f ca="1" t="shared" si="4"/>
        <v>4</v>
      </c>
      <c r="H17" s="14">
        <f ca="1" t="shared" si="5"/>
        <v>5</v>
      </c>
      <c r="I17" s="26">
        <v>45352</v>
      </c>
      <c r="J17" s="14">
        <f ca="1" t="shared" si="6"/>
        <v>44.167289760188</v>
      </c>
      <c r="K17" s="14" t="str">
        <f ca="1" t="shared" si="8"/>
        <v> B is greater </v>
      </c>
      <c r="L17" s="14" t="str">
        <f t="shared" si="9"/>
        <v>Employee is odd</v>
      </c>
      <c r="M17" s="14">
        <f ca="1" t="shared" si="7"/>
        <v>0</v>
      </c>
    </row>
    <row r="18" spans="1:13">
      <c r="A18" s="14">
        <v>1004</v>
      </c>
      <c r="B18" s="14" t="s">
        <v>95</v>
      </c>
      <c r="C18" s="14">
        <f ca="1" t="shared" si="0"/>
        <v>60</v>
      </c>
      <c r="D18" s="14">
        <f ca="1" t="shared" si="1"/>
        <v>60</v>
      </c>
      <c r="E18" s="14">
        <f ca="1" t="shared" si="2"/>
        <v>5</v>
      </c>
      <c r="F18" s="14">
        <f ca="1" t="shared" si="3"/>
        <v>59121</v>
      </c>
      <c r="G18" s="14">
        <f ca="1" t="shared" si="4"/>
        <v>55</v>
      </c>
      <c r="H18" s="14">
        <f ca="1" t="shared" si="5"/>
        <v>55</v>
      </c>
      <c r="I18" s="26">
        <v>45383</v>
      </c>
      <c r="J18" s="14">
        <f ca="1" t="shared" si="6"/>
        <v>55.0829717538859</v>
      </c>
      <c r="K18" s="14" t="str">
        <f ca="1" t="shared" si="8"/>
        <v> B is greater </v>
      </c>
      <c r="L18" s="14" t="str">
        <f t="shared" si="9"/>
        <v>Employee is even</v>
      </c>
      <c r="M18" s="14">
        <f ca="1" t="shared" si="7"/>
        <v>0</v>
      </c>
    </row>
    <row r="19" spans="1:13">
      <c r="A19" s="14">
        <v>1005</v>
      </c>
      <c r="B19" s="14" t="s">
        <v>96</v>
      </c>
      <c r="C19" s="14">
        <f ca="1" t="shared" si="0"/>
        <v>85</v>
      </c>
      <c r="D19" s="14">
        <f ca="1" t="shared" si="1"/>
        <v>85</v>
      </c>
      <c r="E19" s="14">
        <f ca="1" t="shared" si="2"/>
        <v>3</v>
      </c>
      <c r="F19" s="14">
        <f ca="1" t="shared" si="3"/>
        <v>73333</v>
      </c>
      <c r="G19" s="14">
        <f ca="1" t="shared" si="4"/>
        <v>97</v>
      </c>
      <c r="H19" s="14">
        <f ca="1" t="shared" si="5"/>
        <v>95</v>
      </c>
      <c r="I19" s="26">
        <v>45413</v>
      </c>
      <c r="J19" s="14">
        <f ca="1" t="shared" si="6"/>
        <v>36.4212174273519</v>
      </c>
      <c r="K19" s="14" t="str">
        <f ca="1" t="shared" si="8"/>
        <v>A is greater </v>
      </c>
      <c r="L19" s="14" t="str">
        <f t="shared" si="9"/>
        <v>Employee is odd</v>
      </c>
      <c r="M19" s="14">
        <f ca="1" t="shared" si="7"/>
        <v>0</v>
      </c>
    </row>
    <row r="20" spans="1:13">
      <c r="A20" s="14">
        <v>1006</v>
      </c>
      <c r="B20" s="14" t="s">
        <v>97</v>
      </c>
      <c r="C20" s="14">
        <f ca="1" t="shared" si="0"/>
        <v>73</v>
      </c>
      <c r="D20" s="14">
        <f ca="1" t="shared" si="1"/>
        <v>75</v>
      </c>
      <c r="E20" s="14">
        <f ca="1" t="shared" si="2"/>
        <v>2</v>
      </c>
      <c r="F20" s="14">
        <f ca="1" t="shared" si="3"/>
        <v>64732</v>
      </c>
      <c r="G20" s="14">
        <f ca="1" t="shared" si="4"/>
        <v>46</v>
      </c>
      <c r="H20" s="14">
        <f ca="1" t="shared" si="5"/>
        <v>45</v>
      </c>
      <c r="I20" s="26">
        <v>45444</v>
      </c>
      <c r="J20" s="14">
        <f ca="1" t="shared" si="6"/>
        <v>47.4829577656312</v>
      </c>
      <c r="K20" s="14" t="str">
        <f ca="1" t="shared" si="8"/>
        <v> B is greater </v>
      </c>
      <c r="L20" s="14" t="str">
        <f t="shared" si="9"/>
        <v>Employee is even</v>
      </c>
      <c r="M20" s="14">
        <f ca="1" t="shared" si="7"/>
        <v>0</v>
      </c>
    </row>
    <row r="21" spans="1:13">
      <c r="A21" s="14">
        <v>1007</v>
      </c>
      <c r="B21" s="14" t="s">
        <v>98</v>
      </c>
      <c r="C21" s="14">
        <f ca="1" t="shared" si="0"/>
        <v>88</v>
      </c>
      <c r="D21" s="14">
        <f ca="1" t="shared" si="1"/>
        <v>90</v>
      </c>
      <c r="E21" s="14">
        <f ca="1" t="shared" si="2"/>
        <v>2</v>
      </c>
      <c r="F21" s="14">
        <f ca="1" t="shared" si="3"/>
        <v>34732</v>
      </c>
      <c r="G21" s="14">
        <f ca="1" t="shared" si="4"/>
        <v>66</v>
      </c>
      <c r="H21" s="14">
        <f ca="1" t="shared" si="5"/>
        <v>65</v>
      </c>
      <c r="I21" s="26">
        <v>45474</v>
      </c>
      <c r="J21" s="14">
        <f ca="1" t="shared" si="6"/>
        <v>71.737509562151</v>
      </c>
      <c r="K21" s="14" t="str">
        <f ca="1" t="shared" si="8"/>
        <v> B is greater </v>
      </c>
      <c r="L21" s="14" t="str">
        <f t="shared" si="9"/>
        <v>Employee is odd</v>
      </c>
      <c r="M21" s="14">
        <f ca="1" t="shared" si="7"/>
        <v>0</v>
      </c>
    </row>
    <row r="22" spans="1:13">
      <c r="A22" s="14">
        <v>1008</v>
      </c>
      <c r="B22" s="14" t="s">
        <v>99</v>
      </c>
      <c r="C22" s="14">
        <f ca="1" t="shared" si="0"/>
        <v>66</v>
      </c>
      <c r="D22" s="14">
        <f ca="1" t="shared" si="1"/>
        <v>65</v>
      </c>
      <c r="E22" s="14">
        <f ca="1" t="shared" si="2"/>
        <v>3</v>
      </c>
      <c r="F22" s="14">
        <f ca="1" t="shared" si="3"/>
        <v>74588</v>
      </c>
      <c r="G22" s="14">
        <f ca="1" t="shared" si="4"/>
        <v>53</v>
      </c>
      <c r="H22" s="14">
        <f ca="1" t="shared" si="5"/>
        <v>55</v>
      </c>
      <c r="I22" s="26">
        <v>45505</v>
      </c>
      <c r="J22" s="14">
        <f ca="1" t="shared" si="6"/>
        <v>38.774803835946</v>
      </c>
      <c r="K22" s="14" t="str">
        <f ca="1" t="shared" si="8"/>
        <v>A is greater </v>
      </c>
      <c r="L22" s="14" t="str">
        <f t="shared" si="9"/>
        <v>Employee is even</v>
      </c>
      <c r="M22" s="14">
        <f ca="1" t="shared" si="7"/>
        <v>0</v>
      </c>
    </row>
    <row r="23" spans="1:13">
      <c r="A23" s="14">
        <v>1009</v>
      </c>
      <c r="B23" s="14" t="s">
        <v>100</v>
      </c>
      <c r="C23" s="14">
        <f ca="1" t="shared" si="0"/>
        <v>70</v>
      </c>
      <c r="D23" s="14">
        <f ca="1" t="shared" si="1"/>
        <v>70</v>
      </c>
      <c r="E23" s="14">
        <f ca="1" t="shared" si="2"/>
        <v>3</v>
      </c>
      <c r="F23" s="14">
        <f ca="1" t="shared" si="3"/>
        <v>62365</v>
      </c>
      <c r="G23" s="14">
        <f ca="1" t="shared" si="4"/>
        <v>52</v>
      </c>
      <c r="H23" s="14">
        <f ca="1" t="shared" si="5"/>
        <v>50</v>
      </c>
      <c r="I23" s="26">
        <v>45536</v>
      </c>
      <c r="J23" s="14">
        <f ca="1" t="shared" si="6"/>
        <v>78.0069610550413</v>
      </c>
      <c r="K23" s="14" t="str">
        <f ca="1" t="shared" si="8"/>
        <v> B is greater </v>
      </c>
      <c r="L23" s="14" t="str">
        <f t="shared" si="9"/>
        <v>Employee is odd</v>
      </c>
      <c r="M23" s="14">
        <f ca="1" t="shared" si="7"/>
        <v>0</v>
      </c>
    </row>
    <row r="24" spans="1:13">
      <c r="A24" s="14">
        <v>1010</v>
      </c>
      <c r="B24" s="14" t="s">
        <v>101</v>
      </c>
      <c r="C24" s="14">
        <f ca="1" t="shared" si="0"/>
        <v>82</v>
      </c>
      <c r="D24" s="14">
        <f ca="1" t="shared" si="1"/>
        <v>80</v>
      </c>
      <c r="E24" s="14">
        <f ca="1" t="shared" si="2"/>
        <v>3</v>
      </c>
      <c r="F24" s="14">
        <f ca="1" t="shared" si="3"/>
        <v>43025</v>
      </c>
      <c r="G24" s="14">
        <f ca="1" t="shared" si="4"/>
        <v>75</v>
      </c>
      <c r="H24" s="14">
        <f ca="1" t="shared" si="5"/>
        <v>75</v>
      </c>
      <c r="I24" s="26">
        <v>45566</v>
      </c>
      <c r="J24" s="14">
        <f ca="1" t="shared" si="6"/>
        <v>20.2065007355177</v>
      </c>
      <c r="K24" s="14" t="str">
        <f ca="1" t="shared" si="8"/>
        <v>A is greater </v>
      </c>
      <c r="L24" s="14" t="str">
        <f t="shared" si="9"/>
        <v>Employee is even</v>
      </c>
      <c r="M24" s="14">
        <f ca="1" t="shared" si="7"/>
        <v>0</v>
      </c>
    </row>
  </sheetData>
  <mergeCells count="8">
    <mergeCell ref="A1:E1"/>
    <mergeCell ref="A2:E2"/>
    <mergeCell ref="A3:E3"/>
    <mergeCell ref="A4:E4"/>
    <mergeCell ref="A5:E5"/>
    <mergeCell ref="A6:E6"/>
    <mergeCell ref="A7:E7"/>
    <mergeCell ref="A8:E8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workbookViewId="0">
      <selection activeCell="A16" sqref="A16:A23"/>
    </sheetView>
  </sheetViews>
  <sheetFormatPr defaultColWidth="8.88888888888889" defaultRowHeight="14.4"/>
  <cols>
    <col min="1" max="1" width="18.8888888888889" customWidth="1"/>
    <col min="2" max="2" width="18.6666666666667" customWidth="1"/>
    <col min="3" max="3" width="18.8888888888889" customWidth="1"/>
    <col min="4" max="4" width="18.3333333333333" customWidth="1"/>
    <col min="5" max="5" width="17.6666666666667" customWidth="1"/>
    <col min="6" max="6" width="19.7777777777778" customWidth="1"/>
    <col min="7" max="7" width="18.5555555555556" customWidth="1"/>
    <col min="8" max="8" width="22.8888888888889" customWidth="1"/>
    <col min="9" max="9" width="19.5555555555556" customWidth="1"/>
    <col min="10" max="10" width="18.1111111111111" customWidth="1"/>
    <col min="11" max="11" width="19.1111111111111" customWidth="1"/>
    <col min="12" max="12" width="14" customWidth="1"/>
    <col min="13" max="13" width="14.5555555555556" customWidth="1"/>
    <col min="14" max="14" width="16.5555555555556" customWidth="1"/>
    <col min="15" max="15" width="17.8888888888889" customWidth="1"/>
    <col min="16" max="16" width="15.4444444444444" customWidth="1"/>
    <col min="17" max="17" width="14.3333333333333" customWidth="1"/>
    <col min="18" max="18" width="15.7777777777778" customWidth="1"/>
  </cols>
  <sheetData>
    <row r="1" ht="15.6" spans="1:17">
      <c r="A1" s="1" t="s">
        <v>56</v>
      </c>
      <c r="B1" s="7"/>
      <c r="C1" s="7"/>
      <c r="D1" s="7"/>
      <c r="E1" s="7"/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</row>
    <row r="2" spans="1:18">
      <c r="A2" s="3" t="s">
        <v>112</v>
      </c>
      <c r="B2" s="9"/>
      <c r="C2" s="9"/>
      <c r="D2" s="9"/>
      <c r="E2" s="10"/>
      <c r="H2">
        <v>1</v>
      </c>
      <c r="I2">
        <f>$H2*I$1</f>
        <v>1</v>
      </c>
      <c r="J2">
        <f t="shared" ref="J2:Q2" si="0">$H2*J$1</f>
        <v>2</v>
      </c>
      <c r="K2">
        <f t="shared" si="0"/>
        <v>3</v>
      </c>
      <c r="L2">
        <f t="shared" si="0"/>
        <v>4</v>
      </c>
      <c r="M2">
        <f t="shared" si="0"/>
        <v>5</v>
      </c>
      <c r="N2">
        <f t="shared" si="0"/>
        <v>6</v>
      </c>
      <c r="O2">
        <f t="shared" si="0"/>
        <v>7</v>
      </c>
      <c r="P2">
        <f t="shared" si="0"/>
        <v>8</v>
      </c>
      <c r="Q2">
        <f t="shared" si="0"/>
        <v>9</v>
      </c>
      <c r="R2" s="7"/>
    </row>
    <row r="3" spans="1:17">
      <c r="A3" s="3" t="s">
        <v>113</v>
      </c>
      <c r="B3" s="9"/>
      <c r="C3" s="9"/>
      <c r="D3" s="9"/>
      <c r="E3" s="10"/>
      <c r="H3">
        <v>2</v>
      </c>
      <c r="I3">
        <f t="shared" ref="I3:I11" si="1">$H3*I$1</f>
        <v>2</v>
      </c>
      <c r="J3">
        <f t="shared" ref="J3:Q3" si="2">$H3*J$1</f>
        <v>4</v>
      </c>
      <c r="K3">
        <f t="shared" si="2"/>
        <v>6</v>
      </c>
      <c r="L3">
        <f t="shared" si="2"/>
        <v>8</v>
      </c>
      <c r="M3">
        <f t="shared" si="2"/>
        <v>10</v>
      </c>
      <c r="N3">
        <f t="shared" si="2"/>
        <v>12</v>
      </c>
      <c r="O3">
        <f t="shared" si="2"/>
        <v>14</v>
      </c>
      <c r="P3">
        <f t="shared" si="2"/>
        <v>16</v>
      </c>
      <c r="Q3">
        <f t="shared" si="2"/>
        <v>18</v>
      </c>
    </row>
    <row r="4" spans="1:17">
      <c r="A4" s="3" t="s">
        <v>114</v>
      </c>
      <c r="B4" s="9"/>
      <c r="C4" s="9"/>
      <c r="D4" s="9"/>
      <c r="E4" s="10"/>
      <c r="H4">
        <v>3</v>
      </c>
      <c r="I4">
        <f t="shared" si="1"/>
        <v>3</v>
      </c>
      <c r="J4">
        <f t="shared" ref="J4:Q4" si="3">$H4*J$1</f>
        <v>6</v>
      </c>
      <c r="K4">
        <f t="shared" si="3"/>
        <v>9</v>
      </c>
      <c r="L4">
        <f t="shared" si="3"/>
        <v>12</v>
      </c>
      <c r="M4">
        <f t="shared" si="3"/>
        <v>15</v>
      </c>
      <c r="N4">
        <f t="shared" si="3"/>
        <v>18</v>
      </c>
      <c r="O4">
        <f t="shared" si="3"/>
        <v>21</v>
      </c>
      <c r="P4">
        <f t="shared" si="3"/>
        <v>24</v>
      </c>
      <c r="Q4">
        <f t="shared" si="3"/>
        <v>27</v>
      </c>
    </row>
    <row r="5" spans="1:17">
      <c r="A5" s="3" t="s">
        <v>115</v>
      </c>
      <c r="B5" s="9"/>
      <c r="C5" s="9"/>
      <c r="D5" s="9"/>
      <c r="E5" s="10"/>
      <c r="H5">
        <v>4</v>
      </c>
      <c r="I5">
        <f t="shared" si="1"/>
        <v>4</v>
      </c>
      <c r="J5">
        <f t="shared" ref="J5:Q5" si="4">$H5*J$1</f>
        <v>8</v>
      </c>
      <c r="K5">
        <f t="shared" si="4"/>
        <v>12</v>
      </c>
      <c r="L5">
        <f t="shared" si="4"/>
        <v>16</v>
      </c>
      <c r="M5">
        <f t="shared" si="4"/>
        <v>20</v>
      </c>
      <c r="N5">
        <f t="shared" si="4"/>
        <v>24</v>
      </c>
      <c r="O5">
        <f t="shared" si="4"/>
        <v>28</v>
      </c>
      <c r="P5">
        <f t="shared" si="4"/>
        <v>32</v>
      </c>
      <c r="Q5">
        <f t="shared" si="4"/>
        <v>36</v>
      </c>
    </row>
    <row r="6" spans="1:17">
      <c r="A6" s="3" t="s">
        <v>116</v>
      </c>
      <c r="B6" s="9"/>
      <c r="C6" s="9"/>
      <c r="D6" s="9"/>
      <c r="E6" s="10"/>
      <c r="H6">
        <v>5</v>
      </c>
      <c r="I6">
        <f t="shared" si="1"/>
        <v>5</v>
      </c>
      <c r="J6">
        <f t="shared" ref="J6:Q6" si="5">$H6*J$1</f>
        <v>10</v>
      </c>
      <c r="K6">
        <f t="shared" si="5"/>
        <v>15</v>
      </c>
      <c r="L6">
        <f t="shared" si="5"/>
        <v>20</v>
      </c>
      <c r="M6">
        <f t="shared" si="5"/>
        <v>25</v>
      </c>
      <c r="N6">
        <f t="shared" si="5"/>
        <v>30</v>
      </c>
      <c r="O6">
        <f t="shared" si="5"/>
        <v>35</v>
      </c>
      <c r="P6">
        <f t="shared" si="5"/>
        <v>40</v>
      </c>
      <c r="Q6">
        <f t="shared" si="5"/>
        <v>45</v>
      </c>
    </row>
    <row r="7" spans="1:17">
      <c r="A7" s="3" t="s">
        <v>117</v>
      </c>
      <c r="B7" s="9"/>
      <c r="C7" s="9"/>
      <c r="D7" s="9"/>
      <c r="E7" s="10"/>
      <c r="H7">
        <v>6</v>
      </c>
      <c r="I7">
        <f t="shared" si="1"/>
        <v>6</v>
      </c>
      <c r="J7">
        <f t="shared" ref="J7:Q7" si="6">$H7*J$1</f>
        <v>12</v>
      </c>
      <c r="K7">
        <f t="shared" si="6"/>
        <v>18</v>
      </c>
      <c r="L7">
        <f t="shared" si="6"/>
        <v>24</v>
      </c>
      <c r="M7">
        <f t="shared" si="6"/>
        <v>30</v>
      </c>
      <c r="N7">
        <f t="shared" si="6"/>
        <v>36</v>
      </c>
      <c r="O7">
        <f t="shared" si="6"/>
        <v>42</v>
      </c>
      <c r="P7">
        <f t="shared" si="6"/>
        <v>48</v>
      </c>
      <c r="Q7">
        <f t="shared" si="6"/>
        <v>54</v>
      </c>
    </row>
    <row r="8" spans="1:17">
      <c r="A8" s="3" t="s">
        <v>118</v>
      </c>
      <c r="B8" s="9"/>
      <c r="C8" s="9"/>
      <c r="D8" s="9"/>
      <c r="E8" s="10"/>
      <c r="H8">
        <v>7</v>
      </c>
      <c r="I8">
        <f t="shared" si="1"/>
        <v>7</v>
      </c>
      <c r="J8">
        <f t="shared" ref="J8:Q8" si="7">$H8*J$1</f>
        <v>14</v>
      </c>
      <c r="K8">
        <f t="shared" si="7"/>
        <v>21</v>
      </c>
      <c r="L8">
        <f t="shared" si="7"/>
        <v>28</v>
      </c>
      <c r="M8">
        <f t="shared" si="7"/>
        <v>35</v>
      </c>
      <c r="N8">
        <f t="shared" si="7"/>
        <v>42</v>
      </c>
      <c r="O8">
        <f t="shared" si="7"/>
        <v>49</v>
      </c>
      <c r="P8">
        <f t="shared" si="7"/>
        <v>56</v>
      </c>
      <c r="Q8">
        <f t="shared" si="7"/>
        <v>63</v>
      </c>
    </row>
    <row r="9" spans="8:17">
      <c r="H9">
        <v>8</v>
      </c>
      <c r="I9">
        <f t="shared" si="1"/>
        <v>8</v>
      </c>
      <c r="J9">
        <f t="shared" ref="J9:Q9" si="8">$H9*J$1</f>
        <v>16</v>
      </c>
      <c r="K9">
        <f t="shared" si="8"/>
        <v>24</v>
      </c>
      <c r="L9">
        <f t="shared" si="8"/>
        <v>32</v>
      </c>
      <c r="M9">
        <f t="shared" si="8"/>
        <v>40</v>
      </c>
      <c r="N9">
        <f t="shared" si="8"/>
        <v>48</v>
      </c>
      <c r="O9">
        <f t="shared" si="8"/>
        <v>56</v>
      </c>
      <c r="P9">
        <f t="shared" si="8"/>
        <v>64</v>
      </c>
      <c r="Q9">
        <f t="shared" si="8"/>
        <v>72</v>
      </c>
    </row>
    <row r="10" spans="8:17">
      <c r="H10">
        <v>9</v>
      </c>
      <c r="I10">
        <f t="shared" si="1"/>
        <v>9</v>
      </c>
      <c r="J10">
        <f t="shared" ref="J10:Q10" si="9">$H10*J$1</f>
        <v>18</v>
      </c>
      <c r="K10">
        <f t="shared" si="9"/>
        <v>27</v>
      </c>
      <c r="L10">
        <f t="shared" si="9"/>
        <v>36</v>
      </c>
      <c r="M10">
        <f t="shared" si="9"/>
        <v>45</v>
      </c>
      <c r="N10">
        <f t="shared" si="9"/>
        <v>54</v>
      </c>
      <c r="O10">
        <f t="shared" si="9"/>
        <v>63</v>
      </c>
      <c r="P10">
        <f t="shared" si="9"/>
        <v>72</v>
      </c>
      <c r="Q10">
        <f t="shared" si="9"/>
        <v>81</v>
      </c>
    </row>
    <row r="11" spans="8:17">
      <c r="H11">
        <v>10</v>
      </c>
      <c r="I11">
        <f t="shared" si="1"/>
        <v>10</v>
      </c>
      <c r="J11">
        <f t="shared" ref="J11:Q11" si="10">$H11*J$1</f>
        <v>20</v>
      </c>
      <c r="K11">
        <f t="shared" si="10"/>
        <v>30</v>
      </c>
      <c r="L11">
        <f t="shared" si="10"/>
        <v>40</v>
      </c>
      <c r="M11">
        <f t="shared" si="10"/>
        <v>50</v>
      </c>
      <c r="N11">
        <f t="shared" si="10"/>
        <v>60</v>
      </c>
      <c r="O11">
        <f t="shared" si="10"/>
        <v>70</v>
      </c>
      <c r="P11">
        <f t="shared" si="10"/>
        <v>80</v>
      </c>
      <c r="Q11">
        <f t="shared" si="10"/>
        <v>90</v>
      </c>
    </row>
    <row r="12" spans="8:8">
      <c r="H12" s="7"/>
    </row>
    <row r="15" spans="1:18">
      <c r="A15" s="14" t="s">
        <v>119</v>
      </c>
      <c r="B15" s="14" t="s">
        <v>120</v>
      </c>
      <c r="C15" s="14" t="s">
        <v>121</v>
      </c>
      <c r="D15" s="14" t="s">
        <v>42</v>
      </c>
      <c r="E15" s="14" t="s">
        <v>11</v>
      </c>
      <c r="F15" s="14" t="s">
        <v>122</v>
      </c>
      <c r="G15" s="14" t="s">
        <v>123</v>
      </c>
      <c r="H15" s="14" t="s">
        <v>124</v>
      </c>
      <c r="I15" t="s">
        <v>125</v>
      </c>
      <c r="R15">
        <v>10</v>
      </c>
    </row>
    <row r="16" spans="1:18">
      <c r="A16" s="14" t="s">
        <v>15</v>
      </c>
      <c r="B16" s="14" t="s">
        <v>92</v>
      </c>
      <c r="C16" s="14" t="s">
        <v>126</v>
      </c>
      <c r="D16" s="14"/>
      <c r="E16" s="25">
        <v>45000</v>
      </c>
      <c r="F16" s="25">
        <f t="shared" ref="F16:F23" si="11">E16*(1-$G$33)</f>
        <v>45000</v>
      </c>
      <c r="G16" s="25">
        <f t="shared" ref="G16:G23" si="12">E16*$G$33</f>
        <v>0</v>
      </c>
      <c r="H16" s="25">
        <f t="shared" ref="H16:H23" si="13">E16-(E16*0.2)</f>
        <v>36000</v>
      </c>
      <c r="I16" s="25">
        <f>'Project 2'!D11</f>
        <v>45000</v>
      </c>
      <c r="R16">
        <f t="shared" ref="R16:R25" si="14">$H2*R$15</f>
        <v>10</v>
      </c>
    </row>
    <row r="17" spans="1:18">
      <c r="A17" s="14" t="s">
        <v>17</v>
      </c>
      <c r="B17" s="14" t="s">
        <v>93</v>
      </c>
      <c r="C17" s="14" t="s">
        <v>127</v>
      </c>
      <c r="D17" s="14"/>
      <c r="E17" s="25">
        <v>36000</v>
      </c>
      <c r="F17" s="25">
        <f t="shared" si="11"/>
        <v>36000</v>
      </c>
      <c r="G17" s="25">
        <f t="shared" si="12"/>
        <v>0</v>
      </c>
      <c r="H17" s="25">
        <f t="shared" si="13"/>
        <v>28800</v>
      </c>
      <c r="I17" s="25">
        <f>'Project 2'!D12</f>
        <v>36000</v>
      </c>
      <c r="R17">
        <f t="shared" si="14"/>
        <v>20</v>
      </c>
    </row>
    <row r="18" spans="1:18">
      <c r="A18" s="14" t="s">
        <v>19</v>
      </c>
      <c r="B18" s="14" t="s">
        <v>94</v>
      </c>
      <c r="C18" s="14" t="s">
        <v>128</v>
      </c>
      <c r="D18" s="14"/>
      <c r="E18" s="25">
        <v>63000</v>
      </c>
      <c r="F18" s="25">
        <f t="shared" si="11"/>
        <v>63000</v>
      </c>
      <c r="G18" s="25">
        <f t="shared" si="12"/>
        <v>0</v>
      </c>
      <c r="H18" s="25">
        <f t="shared" si="13"/>
        <v>50400</v>
      </c>
      <c r="I18" s="25">
        <f>'Project 2'!D13</f>
        <v>63000</v>
      </c>
      <c r="R18">
        <f t="shared" si="14"/>
        <v>30</v>
      </c>
    </row>
    <row r="19" spans="1:18">
      <c r="A19" s="14" t="s">
        <v>20</v>
      </c>
      <c r="B19" s="14" t="s">
        <v>95</v>
      </c>
      <c r="C19" s="14" t="s">
        <v>129</v>
      </c>
      <c r="D19" s="14"/>
      <c r="E19" s="25">
        <v>47000</v>
      </c>
      <c r="F19" s="25">
        <f t="shared" si="11"/>
        <v>47000</v>
      </c>
      <c r="G19" s="25">
        <f t="shared" si="12"/>
        <v>0</v>
      </c>
      <c r="H19" s="25">
        <f t="shared" si="13"/>
        <v>37600</v>
      </c>
      <c r="I19" s="25">
        <f>'Project 2'!D14</f>
        <v>47000</v>
      </c>
      <c r="R19">
        <f t="shared" si="14"/>
        <v>40</v>
      </c>
    </row>
    <row r="20" spans="1:18">
      <c r="A20" s="14" t="s">
        <v>22</v>
      </c>
      <c r="B20" s="14" t="s">
        <v>96</v>
      </c>
      <c r="C20" s="14" t="s">
        <v>130</v>
      </c>
      <c r="D20" s="14"/>
      <c r="E20" s="25">
        <v>50000</v>
      </c>
      <c r="F20" s="25">
        <f t="shared" si="11"/>
        <v>50000</v>
      </c>
      <c r="G20" s="25">
        <f t="shared" si="12"/>
        <v>0</v>
      </c>
      <c r="H20" s="25">
        <f t="shared" si="13"/>
        <v>40000</v>
      </c>
      <c r="I20" s="25">
        <f>'Project 2'!D15</f>
        <v>50000</v>
      </c>
      <c r="R20">
        <f t="shared" si="14"/>
        <v>50</v>
      </c>
    </row>
    <row r="21" spans="1:18">
      <c r="A21" s="14" t="s">
        <v>24</v>
      </c>
      <c r="B21" s="14" t="s">
        <v>97</v>
      </c>
      <c r="C21" s="14" t="s">
        <v>131</v>
      </c>
      <c r="D21" s="14"/>
      <c r="E21" s="25">
        <v>65000</v>
      </c>
      <c r="F21" s="25">
        <f t="shared" si="11"/>
        <v>65000</v>
      </c>
      <c r="G21" s="25">
        <f t="shared" si="12"/>
        <v>0</v>
      </c>
      <c r="H21" s="25">
        <f t="shared" si="13"/>
        <v>52000</v>
      </c>
      <c r="I21" s="25">
        <f>'Project 2'!D16</f>
        <v>65000</v>
      </c>
      <c r="R21">
        <f t="shared" si="14"/>
        <v>60</v>
      </c>
    </row>
    <row r="22" spans="1:18">
      <c r="A22" s="14" t="s">
        <v>26</v>
      </c>
      <c r="B22" s="14" t="s">
        <v>98</v>
      </c>
      <c r="C22" s="14" t="s">
        <v>132</v>
      </c>
      <c r="D22" s="14"/>
      <c r="E22" s="25">
        <v>55000</v>
      </c>
      <c r="F22" s="25">
        <f t="shared" si="11"/>
        <v>55000</v>
      </c>
      <c r="G22" s="25">
        <f t="shared" si="12"/>
        <v>0</v>
      </c>
      <c r="H22" s="25">
        <f t="shared" si="13"/>
        <v>44000</v>
      </c>
      <c r="I22" s="25">
        <f>'Project 2'!D17</f>
        <v>55000</v>
      </c>
      <c r="R22">
        <f t="shared" si="14"/>
        <v>70</v>
      </c>
    </row>
    <row r="23" spans="1:18">
      <c r="A23" s="14" t="s">
        <v>28</v>
      </c>
      <c r="B23" s="14" t="s">
        <v>99</v>
      </c>
      <c r="C23" s="14" t="s">
        <v>133</v>
      </c>
      <c r="D23" s="14"/>
      <c r="E23" s="25">
        <v>48000</v>
      </c>
      <c r="F23" s="25">
        <f t="shared" si="11"/>
        <v>48000</v>
      </c>
      <c r="G23" s="25">
        <f t="shared" si="12"/>
        <v>0</v>
      </c>
      <c r="H23" s="25">
        <f t="shared" si="13"/>
        <v>38400</v>
      </c>
      <c r="I23" s="25">
        <f>'Project 2'!D18</f>
        <v>48000</v>
      </c>
      <c r="R23">
        <f t="shared" si="14"/>
        <v>80</v>
      </c>
    </row>
    <row r="24" spans="18:18">
      <c r="R24">
        <f t="shared" si="14"/>
        <v>90</v>
      </c>
    </row>
    <row r="25" spans="18:18">
      <c r="R25">
        <f t="shared" si="14"/>
        <v>100</v>
      </c>
    </row>
  </sheetData>
  <mergeCells count="8">
    <mergeCell ref="A1:E1"/>
    <mergeCell ref="A2:E2"/>
    <mergeCell ref="A3:E3"/>
    <mergeCell ref="A4:E4"/>
    <mergeCell ref="A5:E5"/>
    <mergeCell ref="A6:E6"/>
    <mergeCell ref="A7:E7"/>
    <mergeCell ref="A8:E8"/>
  </mergeCells>
  <pageMargins left="0.75" right="0.75" top="1" bottom="1" header="0.5" footer="0.5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3:I127"/>
  <sheetViews>
    <sheetView topLeftCell="A105" workbookViewId="0">
      <selection activeCell="B128" sqref="B128"/>
    </sheetView>
  </sheetViews>
  <sheetFormatPr defaultColWidth="8.88888888888889" defaultRowHeight="14.4"/>
  <cols>
    <col min="1" max="1" width="19.1111111111111" customWidth="1"/>
    <col min="2" max="2" width="25.2222222222222" customWidth="1"/>
    <col min="3" max="3" width="25.8888888888889" customWidth="1"/>
    <col min="4" max="4" width="23.4444444444444" customWidth="1"/>
    <col min="5" max="5" width="24.5555555555556" customWidth="1"/>
    <col min="6" max="6" width="31.4444444444444" customWidth="1"/>
    <col min="7" max="7" width="28" customWidth="1"/>
    <col min="8" max="8" width="24.1111111111111" customWidth="1"/>
    <col min="9" max="9" width="38.5555555555556" customWidth="1"/>
  </cols>
  <sheetData>
    <row r="3" spans="1:9">
      <c r="A3" s="16" t="s">
        <v>134</v>
      </c>
      <c r="B3" s="17"/>
      <c r="C3" s="17"/>
      <c r="D3" s="17"/>
      <c r="E3" s="17"/>
      <c r="F3" s="17"/>
      <c r="G3" s="18"/>
      <c r="H3" s="7"/>
      <c r="I3" s="7"/>
    </row>
    <row r="4" spans="1:9">
      <c r="A4" s="4" t="s">
        <v>8</v>
      </c>
      <c r="B4" s="4" t="s">
        <v>9</v>
      </c>
      <c r="C4" s="4" t="s">
        <v>64</v>
      </c>
      <c r="D4" s="4" t="s">
        <v>10</v>
      </c>
      <c r="E4" s="4" t="s">
        <v>11</v>
      </c>
      <c r="F4" s="4" t="s">
        <v>135</v>
      </c>
      <c r="G4" s="4" t="s">
        <v>40</v>
      </c>
      <c r="H4" s="4" t="s">
        <v>136</v>
      </c>
      <c r="I4" s="4" t="s">
        <v>42</v>
      </c>
    </row>
    <row r="5" spans="1:9">
      <c r="A5" s="6">
        <v>1006</v>
      </c>
      <c r="B5" s="6" t="s">
        <v>24</v>
      </c>
      <c r="C5" s="6" t="s">
        <v>67</v>
      </c>
      <c r="D5" s="6" t="s">
        <v>25</v>
      </c>
      <c r="E5" s="6">
        <v>65000</v>
      </c>
      <c r="F5" s="6" t="s">
        <v>137</v>
      </c>
      <c r="G5" s="6" t="s">
        <v>138</v>
      </c>
      <c r="H5" s="6">
        <f ca="1">DATEDIF(DATE(2001,5,6),TODAY(),"Y")</f>
        <v>25</v>
      </c>
      <c r="I5" s="6" t="s">
        <v>139</v>
      </c>
    </row>
    <row r="6" spans="1:9">
      <c r="A6" s="5">
        <v>1003</v>
      </c>
      <c r="B6" s="5" t="s">
        <v>19</v>
      </c>
      <c r="C6" s="5" t="s">
        <v>67</v>
      </c>
      <c r="D6" s="5" t="s">
        <v>16</v>
      </c>
      <c r="E6" s="5">
        <v>63000</v>
      </c>
      <c r="F6" s="5" t="s">
        <v>140</v>
      </c>
      <c r="G6" s="5" t="s">
        <v>141</v>
      </c>
      <c r="H6" s="5">
        <f ca="1">DATEDIF(DATE(2000,7,4),TODAY(),"Y")</f>
        <v>26</v>
      </c>
      <c r="I6" s="5" t="s">
        <v>142</v>
      </c>
    </row>
    <row r="7" spans="1:9">
      <c r="A7" s="6">
        <v>1010</v>
      </c>
      <c r="B7" s="6" t="s">
        <v>30</v>
      </c>
      <c r="C7" s="6" t="s">
        <v>67</v>
      </c>
      <c r="D7" s="6" t="s">
        <v>21</v>
      </c>
      <c r="E7" s="6">
        <v>58000</v>
      </c>
      <c r="F7" s="6" t="s">
        <v>143</v>
      </c>
      <c r="G7" s="6" t="s">
        <v>144</v>
      </c>
      <c r="H7" s="6">
        <f ca="1">DATEDIF(DATE(2002,3,15),TODAY(),"Y")</f>
        <v>24</v>
      </c>
      <c r="I7" s="6" t="s">
        <v>145</v>
      </c>
    </row>
    <row r="8" spans="1:9">
      <c r="A8" s="5">
        <v>1007</v>
      </c>
      <c r="B8" s="5" t="s">
        <v>26</v>
      </c>
      <c r="C8" s="5" t="s">
        <v>69</v>
      </c>
      <c r="D8" s="5" t="s">
        <v>27</v>
      </c>
      <c r="E8" s="5">
        <v>55000</v>
      </c>
      <c r="F8" s="5" t="s">
        <v>146</v>
      </c>
      <c r="G8" s="5" t="s">
        <v>147</v>
      </c>
      <c r="H8" s="5">
        <f ca="1">DATEDIF(DATE(2003,11,8),TODAY(),"Y")</f>
        <v>22</v>
      </c>
      <c r="I8" s="5" t="s">
        <v>148</v>
      </c>
    </row>
    <row r="9" spans="1:9">
      <c r="A9" s="5">
        <v>1009</v>
      </c>
      <c r="B9" s="5" t="s">
        <v>29</v>
      </c>
      <c r="C9" s="5" t="s">
        <v>67</v>
      </c>
      <c r="D9" s="5" t="s">
        <v>21</v>
      </c>
      <c r="E9" s="5">
        <v>52000</v>
      </c>
      <c r="F9" s="5" t="s">
        <v>149</v>
      </c>
      <c r="G9" s="5" t="s">
        <v>150</v>
      </c>
      <c r="H9" s="5">
        <f ca="1">DATEDIF(DATE(2003,8,10),TODAY(),"Y")</f>
        <v>23</v>
      </c>
      <c r="I9" s="5" t="s">
        <v>151</v>
      </c>
    </row>
    <row r="10" spans="1:9">
      <c r="A10" s="5">
        <v>1005</v>
      </c>
      <c r="B10" s="5" t="s">
        <v>22</v>
      </c>
      <c r="C10" s="5" t="s">
        <v>67</v>
      </c>
      <c r="D10" s="5" t="s">
        <v>23</v>
      </c>
      <c r="E10" s="5">
        <v>50000</v>
      </c>
      <c r="F10" s="5" t="s">
        <v>152</v>
      </c>
      <c r="G10" s="5" t="s">
        <v>138</v>
      </c>
      <c r="H10" s="5">
        <f ca="1">DATEDIF(DATE(2001,5,6),TODAY(),"Y")</f>
        <v>25</v>
      </c>
      <c r="I10" s="5" t="s">
        <v>153</v>
      </c>
    </row>
    <row r="11" spans="1:9">
      <c r="A11" s="6">
        <v>1008</v>
      </c>
      <c r="B11" s="6" t="s">
        <v>28</v>
      </c>
      <c r="C11" s="6" t="s">
        <v>67</v>
      </c>
      <c r="D11" s="6" t="s">
        <v>16</v>
      </c>
      <c r="E11" s="6">
        <v>48000</v>
      </c>
      <c r="F11" s="6" t="s">
        <v>154</v>
      </c>
      <c r="G11" s="6" t="s">
        <v>155</v>
      </c>
      <c r="H11" s="6">
        <f ca="1">DATEDIF(DATE(2002,6,9),TODAY(),"Y")</f>
        <v>24</v>
      </c>
      <c r="I11" s="6" t="s">
        <v>156</v>
      </c>
    </row>
    <row r="12" spans="1:9">
      <c r="A12" s="6">
        <v>1004</v>
      </c>
      <c r="B12" s="6" t="s">
        <v>20</v>
      </c>
      <c r="C12" s="6" t="s">
        <v>69</v>
      </c>
      <c r="D12" s="6" t="s">
        <v>21</v>
      </c>
      <c r="E12" s="6">
        <v>47000</v>
      </c>
      <c r="F12" s="6" t="s">
        <v>149</v>
      </c>
      <c r="G12" s="6" t="s">
        <v>157</v>
      </c>
      <c r="H12" s="6">
        <f ca="1">DATEDIF(DATE(2000,1,5),TODAY(),"Y")</f>
        <v>26</v>
      </c>
      <c r="I12" s="6" t="s">
        <v>158</v>
      </c>
    </row>
    <row r="13" spans="1:9">
      <c r="A13" s="5">
        <v>1001</v>
      </c>
      <c r="B13" s="5" t="s">
        <v>15</v>
      </c>
      <c r="C13" s="5" t="s">
        <v>67</v>
      </c>
      <c r="D13" s="5" t="s">
        <v>16</v>
      </c>
      <c r="E13" s="5">
        <v>45000</v>
      </c>
      <c r="F13" s="5" t="s">
        <v>154</v>
      </c>
      <c r="G13" s="5" t="s">
        <v>159</v>
      </c>
      <c r="H13" s="5">
        <f ca="1">DATEDIF(DATE(2001,11,2),TODAY(),"Y")</f>
        <v>24</v>
      </c>
      <c r="I13" s="5" t="s">
        <v>160</v>
      </c>
    </row>
    <row r="14" spans="1:9">
      <c r="A14" s="5">
        <v>1011</v>
      </c>
      <c r="B14" s="5" t="s">
        <v>71</v>
      </c>
      <c r="C14" s="5" t="s">
        <v>69</v>
      </c>
      <c r="D14" s="5" t="s">
        <v>16</v>
      </c>
      <c r="E14" s="5">
        <v>44000</v>
      </c>
      <c r="F14" s="5" t="s">
        <v>161</v>
      </c>
      <c r="G14" s="5" t="s">
        <v>162</v>
      </c>
      <c r="H14" s="5">
        <f ca="1">DATEDIF(DATE(2001,7,11),TODAY(),"Y")</f>
        <v>25</v>
      </c>
      <c r="I14" s="5" t="s">
        <v>163</v>
      </c>
    </row>
    <row r="15" spans="1:9">
      <c r="A15" s="6">
        <v>1002</v>
      </c>
      <c r="B15" s="6" t="s">
        <v>17</v>
      </c>
      <c r="C15" s="6" t="s">
        <v>69</v>
      </c>
      <c r="D15" s="6" t="s">
        <v>18</v>
      </c>
      <c r="E15" s="6">
        <v>36000</v>
      </c>
      <c r="F15" s="6" t="s">
        <v>164</v>
      </c>
      <c r="G15" s="6" t="s">
        <v>165</v>
      </c>
      <c r="H15" s="6">
        <f ca="1">DATEDIF(DATE(1999,10,3),TODAY(),"Y")</f>
        <v>26</v>
      </c>
      <c r="I15" s="6" t="s">
        <v>166</v>
      </c>
    </row>
    <row r="16" spans="1:9">
      <c r="A16" s="6">
        <v>1012</v>
      </c>
      <c r="B16" s="6" t="s">
        <v>72</v>
      </c>
      <c r="C16" s="6" t="s">
        <v>67</v>
      </c>
      <c r="D16" s="6" t="s">
        <v>70</v>
      </c>
      <c r="E16" s="6">
        <v>32000</v>
      </c>
      <c r="F16" s="6" t="s">
        <v>70</v>
      </c>
      <c r="G16" s="6" t="s">
        <v>167</v>
      </c>
      <c r="H16" s="6">
        <f ca="1">DATEDIF(DATE(2004,1,20),TODAY(),"Y")</f>
        <v>22</v>
      </c>
      <c r="I16" s="6" t="s">
        <v>168</v>
      </c>
    </row>
    <row r="21" spans="1:9">
      <c r="A21" s="19" t="s">
        <v>169</v>
      </c>
      <c r="B21" s="20"/>
      <c r="C21" s="20"/>
      <c r="D21" s="20"/>
      <c r="E21" s="20"/>
      <c r="F21" s="20"/>
      <c r="G21" s="21"/>
      <c r="H21" s="7"/>
      <c r="I21" s="7"/>
    </row>
    <row r="22" spans="1:9">
      <c r="A22" s="4" t="s">
        <v>8</v>
      </c>
      <c r="B22" s="4" t="s">
        <v>9</v>
      </c>
      <c r="C22" s="4" t="s">
        <v>64</v>
      </c>
      <c r="D22" s="4" t="s">
        <v>10</v>
      </c>
      <c r="E22" s="4" t="s">
        <v>11</v>
      </c>
      <c r="F22" s="4" t="s">
        <v>135</v>
      </c>
      <c r="G22" s="4" t="s">
        <v>40</v>
      </c>
      <c r="H22" s="4" t="s">
        <v>136</v>
      </c>
      <c r="I22" s="4" t="s">
        <v>42</v>
      </c>
    </row>
    <row r="23" spans="1:9">
      <c r="A23" s="6">
        <v>1006</v>
      </c>
      <c r="B23" s="6" t="s">
        <v>24</v>
      </c>
      <c r="C23" s="6" t="s">
        <v>67</v>
      </c>
      <c r="D23" s="6" t="s">
        <v>25</v>
      </c>
      <c r="E23" s="22">
        <v>65000</v>
      </c>
      <c r="F23" s="6" t="s">
        <v>137</v>
      </c>
      <c r="G23" s="6" t="s">
        <v>138</v>
      </c>
      <c r="H23" s="6">
        <f ca="1">DATEDIF(DATE(2001,5,6),TODAY(),"Y")</f>
        <v>25</v>
      </c>
      <c r="I23" s="6" t="s">
        <v>139</v>
      </c>
    </row>
    <row r="24" spans="1:9">
      <c r="A24" s="5">
        <v>1003</v>
      </c>
      <c r="B24" s="5" t="s">
        <v>19</v>
      </c>
      <c r="C24" s="5" t="s">
        <v>67</v>
      </c>
      <c r="D24" s="5" t="s">
        <v>16</v>
      </c>
      <c r="E24" s="23">
        <v>63000</v>
      </c>
      <c r="F24" s="5" t="s">
        <v>140</v>
      </c>
      <c r="G24" s="5" t="s">
        <v>141</v>
      </c>
      <c r="H24" s="5">
        <f ca="1">DATEDIF(DATE(2000,7,4),TODAY(),"Y")</f>
        <v>26</v>
      </c>
      <c r="I24" s="5" t="s">
        <v>142</v>
      </c>
    </row>
    <row r="25" spans="1:9">
      <c r="A25" s="6">
        <v>1010</v>
      </c>
      <c r="B25" s="6" t="s">
        <v>30</v>
      </c>
      <c r="C25" s="6" t="s">
        <v>67</v>
      </c>
      <c r="D25" s="6" t="s">
        <v>21</v>
      </c>
      <c r="E25" s="22">
        <v>58000</v>
      </c>
      <c r="F25" s="6" t="s">
        <v>143</v>
      </c>
      <c r="G25" s="6" t="s">
        <v>144</v>
      </c>
      <c r="H25" s="6">
        <f ca="1">DATEDIF(DATE(2002,3,15),TODAY(),"Y")</f>
        <v>24</v>
      </c>
      <c r="I25" s="6" t="s">
        <v>145</v>
      </c>
    </row>
    <row r="26" spans="1:9">
      <c r="A26" s="5">
        <v>1007</v>
      </c>
      <c r="B26" s="5" t="s">
        <v>26</v>
      </c>
      <c r="C26" s="5" t="s">
        <v>69</v>
      </c>
      <c r="D26" s="5" t="s">
        <v>27</v>
      </c>
      <c r="E26" s="23">
        <v>55000</v>
      </c>
      <c r="F26" s="5" t="s">
        <v>146</v>
      </c>
      <c r="G26" s="5" t="s">
        <v>147</v>
      </c>
      <c r="H26" s="5">
        <f ca="1">DATEDIF(DATE(2003,11,8),TODAY(),"Y")</f>
        <v>22</v>
      </c>
      <c r="I26" s="5" t="s">
        <v>148</v>
      </c>
    </row>
    <row r="27" spans="1:9">
      <c r="A27" s="5">
        <v>1009</v>
      </c>
      <c r="B27" s="5" t="s">
        <v>29</v>
      </c>
      <c r="C27" s="5" t="s">
        <v>67</v>
      </c>
      <c r="D27" s="5" t="s">
        <v>21</v>
      </c>
      <c r="E27" s="23">
        <v>52000</v>
      </c>
      <c r="F27" s="5" t="s">
        <v>149</v>
      </c>
      <c r="G27" s="5" t="s">
        <v>150</v>
      </c>
      <c r="H27" s="5">
        <f ca="1">DATEDIF(DATE(2003,8,10),TODAY(),"Y")</f>
        <v>23</v>
      </c>
      <c r="I27" s="5" t="s">
        <v>151</v>
      </c>
    </row>
    <row r="28" spans="1:9">
      <c r="A28" s="5">
        <v>1005</v>
      </c>
      <c r="B28" s="5" t="s">
        <v>22</v>
      </c>
      <c r="C28" s="5" t="s">
        <v>67</v>
      </c>
      <c r="D28" s="5" t="s">
        <v>23</v>
      </c>
      <c r="E28" s="23">
        <v>50000</v>
      </c>
      <c r="F28" s="5" t="s">
        <v>152</v>
      </c>
      <c r="G28" s="5" t="s">
        <v>138</v>
      </c>
      <c r="H28" s="5">
        <f ca="1">DATEDIF(DATE(2001,5,6),TODAY(),"Y")</f>
        <v>25</v>
      </c>
      <c r="I28" s="5" t="s">
        <v>153</v>
      </c>
    </row>
    <row r="29" spans="1:9">
      <c r="A29" s="6">
        <v>1008</v>
      </c>
      <c r="B29" s="6" t="s">
        <v>28</v>
      </c>
      <c r="C29" s="6" t="s">
        <v>67</v>
      </c>
      <c r="D29" s="6" t="s">
        <v>16</v>
      </c>
      <c r="E29" s="22">
        <v>48000</v>
      </c>
      <c r="F29" s="6" t="s">
        <v>154</v>
      </c>
      <c r="G29" s="6" t="s">
        <v>155</v>
      </c>
      <c r="H29" s="6">
        <f ca="1">DATEDIF(DATE(2002,6,9),TODAY(),"Y")</f>
        <v>24</v>
      </c>
      <c r="I29" s="6" t="s">
        <v>156</v>
      </c>
    </row>
    <row r="30" spans="1:9">
      <c r="A30" s="6">
        <v>1004</v>
      </c>
      <c r="B30" s="6" t="s">
        <v>20</v>
      </c>
      <c r="C30" s="6" t="s">
        <v>69</v>
      </c>
      <c r="D30" s="6" t="s">
        <v>21</v>
      </c>
      <c r="E30" s="22">
        <v>47000</v>
      </c>
      <c r="F30" s="6" t="s">
        <v>149</v>
      </c>
      <c r="G30" s="6" t="s">
        <v>157</v>
      </c>
      <c r="H30" s="6">
        <f ca="1">DATEDIF(DATE(2000,1,5),TODAY(),"Y")</f>
        <v>26</v>
      </c>
      <c r="I30" s="6" t="s">
        <v>158</v>
      </c>
    </row>
    <row r="31" spans="1:9">
      <c r="A31" s="5">
        <v>1001</v>
      </c>
      <c r="B31" s="5" t="s">
        <v>15</v>
      </c>
      <c r="C31" s="5" t="s">
        <v>67</v>
      </c>
      <c r="D31" s="5" t="s">
        <v>16</v>
      </c>
      <c r="E31" s="23">
        <v>45000</v>
      </c>
      <c r="F31" s="5" t="s">
        <v>154</v>
      </c>
      <c r="G31" s="5" t="s">
        <v>159</v>
      </c>
      <c r="H31" s="5">
        <f ca="1">DATEDIF(DATE(2001,11,2),TODAY(),"Y")</f>
        <v>24</v>
      </c>
      <c r="I31" s="5" t="s">
        <v>160</v>
      </c>
    </row>
    <row r="32" spans="1:9">
      <c r="A32" s="5">
        <v>1011</v>
      </c>
      <c r="B32" s="5" t="s">
        <v>71</v>
      </c>
      <c r="C32" s="5" t="s">
        <v>69</v>
      </c>
      <c r="D32" s="5" t="s">
        <v>16</v>
      </c>
      <c r="E32" s="23">
        <v>44000</v>
      </c>
      <c r="F32" s="5" t="s">
        <v>161</v>
      </c>
      <c r="G32" s="5" t="s">
        <v>162</v>
      </c>
      <c r="H32" s="5">
        <f ca="1">DATEDIF(DATE(2001,7,11),TODAY(),"Y")</f>
        <v>25</v>
      </c>
      <c r="I32" s="5" t="s">
        <v>163</v>
      </c>
    </row>
    <row r="33" spans="1:9">
      <c r="A33" s="6">
        <v>1002</v>
      </c>
      <c r="B33" s="6" t="s">
        <v>17</v>
      </c>
      <c r="C33" s="6" t="s">
        <v>69</v>
      </c>
      <c r="D33" s="6" t="s">
        <v>18</v>
      </c>
      <c r="E33" s="22">
        <v>36000</v>
      </c>
      <c r="F33" s="6" t="s">
        <v>164</v>
      </c>
      <c r="G33" s="6" t="s">
        <v>165</v>
      </c>
      <c r="H33" s="6">
        <f ca="1">DATEDIF(DATE(1999,10,3),TODAY(),"Y")</f>
        <v>26</v>
      </c>
      <c r="I33" s="6" t="s">
        <v>166</v>
      </c>
    </row>
    <row r="34" spans="1:9">
      <c r="A34" s="6">
        <v>1012</v>
      </c>
      <c r="B34" s="6" t="s">
        <v>72</v>
      </c>
      <c r="C34" s="6" t="s">
        <v>67</v>
      </c>
      <c r="D34" s="6" t="s">
        <v>70</v>
      </c>
      <c r="E34" s="22">
        <v>32000</v>
      </c>
      <c r="F34" s="6" t="s">
        <v>70</v>
      </c>
      <c r="G34" s="6" t="s">
        <v>167</v>
      </c>
      <c r="H34" s="6">
        <f ca="1">DATEDIF(DATE(2004,1,20),TODAY(),"Y")</f>
        <v>22</v>
      </c>
      <c r="I34" s="6" t="s">
        <v>168</v>
      </c>
    </row>
    <row r="39" spans="1:9">
      <c r="A39" s="19" t="s">
        <v>170</v>
      </c>
      <c r="B39" s="20"/>
      <c r="C39" s="20"/>
      <c r="D39" s="20"/>
      <c r="E39" s="20"/>
      <c r="F39" s="20"/>
      <c r="G39" s="21"/>
      <c r="H39" s="7"/>
      <c r="I39" s="7"/>
    </row>
    <row r="40" spans="1:9">
      <c r="A40" s="4" t="s">
        <v>8</v>
      </c>
      <c r="B40" s="4" t="s">
        <v>9</v>
      </c>
      <c r="C40" s="4" t="s">
        <v>64</v>
      </c>
      <c r="D40" s="4" t="s">
        <v>10</v>
      </c>
      <c r="E40" s="4" t="s">
        <v>11</v>
      </c>
      <c r="F40" s="4" t="s">
        <v>135</v>
      </c>
      <c r="G40" s="4" t="s">
        <v>40</v>
      </c>
      <c r="H40" s="4" t="s">
        <v>136</v>
      </c>
      <c r="I40" s="4" t="s">
        <v>42</v>
      </c>
    </row>
    <row r="41" spans="1:9">
      <c r="A41" s="6">
        <v>1010</v>
      </c>
      <c r="B41" s="6" t="s">
        <v>30</v>
      </c>
      <c r="C41" s="6" t="s">
        <v>67</v>
      </c>
      <c r="D41" s="6" t="s">
        <v>21</v>
      </c>
      <c r="E41" s="22">
        <v>58000</v>
      </c>
      <c r="F41" s="6" t="s">
        <v>143</v>
      </c>
      <c r="G41" s="6" t="s">
        <v>144</v>
      </c>
      <c r="H41" s="6">
        <f ca="1">DATEDIF(DATE(2002,3,15),TODAY(),"Y")</f>
        <v>24</v>
      </c>
      <c r="I41" s="6" t="s">
        <v>145</v>
      </c>
    </row>
    <row r="42" spans="1:9">
      <c r="A42" s="5">
        <v>1009</v>
      </c>
      <c r="B42" s="5" t="s">
        <v>29</v>
      </c>
      <c r="C42" s="5" t="s">
        <v>67</v>
      </c>
      <c r="D42" s="5" t="s">
        <v>21</v>
      </c>
      <c r="E42" s="23">
        <v>52000</v>
      </c>
      <c r="F42" s="5" t="s">
        <v>149</v>
      </c>
      <c r="G42" s="5" t="s">
        <v>150</v>
      </c>
      <c r="H42" s="5">
        <f ca="1">DATEDIF(DATE(2003,8,10),TODAY(),"Y")</f>
        <v>23</v>
      </c>
      <c r="I42" s="5" t="s">
        <v>151</v>
      </c>
    </row>
    <row r="43" spans="1:9">
      <c r="A43" s="6">
        <v>1004</v>
      </c>
      <c r="B43" s="6" t="s">
        <v>20</v>
      </c>
      <c r="C43" s="6" t="s">
        <v>69</v>
      </c>
      <c r="D43" s="6" t="s">
        <v>21</v>
      </c>
      <c r="E43" s="22">
        <v>47000</v>
      </c>
      <c r="F43" s="6" t="s">
        <v>149</v>
      </c>
      <c r="G43" s="6" t="s">
        <v>157</v>
      </c>
      <c r="H43" s="6">
        <f ca="1">DATEDIF(DATE(2000,1,5),TODAY(),"Y")</f>
        <v>26</v>
      </c>
      <c r="I43" s="6" t="s">
        <v>158</v>
      </c>
    </row>
    <row r="44" spans="1:9">
      <c r="A44" s="6">
        <v>1002</v>
      </c>
      <c r="B44" s="6" t="s">
        <v>17</v>
      </c>
      <c r="C44" s="6" t="s">
        <v>69</v>
      </c>
      <c r="D44" s="6" t="s">
        <v>18</v>
      </c>
      <c r="E44" s="22">
        <v>36000</v>
      </c>
      <c r="F44" s="6" t="s">
        <v>164</v>
      </c>
      <c r="G44" s="6" t="s">
        <v>165</v>
      </c>
      <c r="H44" s="6">
        <f ca="1">DATEDIF(DATE(1999,10,3),TODAY(),"Y")</f>
        <v>26</v>
      </c>
      <c r="I44" s="6" t="s">
        <v>166</v>
      </c>
    </row>
    <row r="45" spans="1:9">
      <c r="A45" s="5">
        <v>1005</v>
      </c>
      <c r="B45" s="5" t="s">
        <v>22</v>
      </c>
      <c r="C45" s="5" t="s">
        <v>67</v>
      </c>
      <c r="D45" s="5" t="s">
        <v>23</v>
      </c>
      <c r="E45" s="23">
        <v>50000</v>
      </c>
      <c r="F45" s="5" t="s">
        <v>152</v>
      </c>
      <c r="G45" s="5" t="s">
        <v>138</v>
      </c>
      <c r="H45" s="5">
        <f ca="1">DATEDIF(DATE(2001,5,6),TODAY(),"Y")</f>
        <v>25</v>
      </c>
      <c r="I45" s="5" t="s">
        <v>153</v>
      </c>
    </row>
    <row r="46" spans="1:9">
      <c r="A46" s="6">
        <v>1006</v>
      </c>
      <c r="B46" s="6" t="s">
        <v>24</v>
      </c>
      <c r="C46" s="6" t="s">
        <v>67</v>
      </c>
      <c r="D46" s="6" t="s">
        <v>25</v>
      </c>
      <c r="E46" s="22">
        <v>65000</v>
      </c>
      <c r="F46" s="6" t="s">
        <v>137</v>
      </c>
      <c r="G46" s="6" t="s">
        <v>138</v>
      </c>
      <c r="H46" s="6">
        <f ca="1">DATEDIF(DATE(2001,5,6),TODAY(),"Y")</f>
        <v>25</v>
      </c>
      <c r="I46" s="6" t="s">
        <v>139</v>
      </c>
    </row>
    <row r="47" spans="1:9">
      <c r="A47" s="5">
        <v>1003</v>
      </c>
      <c r="B47" s="5" t="s">
        <v>19</v>
      </c>
      <c r="C47" s="5" t="s">
        <v>67</v>
      </c>
      <c r="D47" s="5" t="s">
        <v>16</v>
      </c>
      <c r="E47" s="23">
        <v>63000</v>
      </c>
      <c r="F47" s="5" t="s">
        <v>140</v>
      </c>
      <c r="G47" s="5" t="s">
        <v>141</v>
      </c>
      <c r="H47" s="5">
        <f ca="1">DATEDIF(DATE(2000,7,4),TODAY(),"Y")</f>
        <v>26</v>
      </c>
      <c r="I47" s="5" t="s">
        <v>142</v>
      </c>
    </row>
    <row r="48" spans="1:9">
      <c r="A48" s="6">
        <v>1008</v>
      </c>
      <c r="B48" s="6" t="s">
        <v>28</v>
      </c>
      <c r="C48" s="6" t="s">
        <v>67</v>
      </c>
      <c r="D48" s="6" t="s">
        <v>16</v>
      </c>
      <c r="E48" s="22">
        <v>48000</v>
      </c>
      <c r="F48" s="6" t="s">
        <v>154</v>
      </c>
      <c r="G48" s="6" t="s">
        <v>155</v>
      </c>
      <c r="H48" s="6">
        <f ca="1">DATEDIF(DATE(2002,6,9),TODAY(),"Y")</f>
        <v>24</v>
      </c>
      <c r="I48" s="6" t="s">
        <v>156</v>
      </c>
    </row>
    <row r="49" spans="1:9">
      <c r="A49" s="5">
        <v>1001</v>
      </c>
      <c r="B49" s="5" t="s">
        <v>15</v>
      </c>
      <c r="C49" s="5" t="s">
        <v>67</v>
      </c>
      <c r="D49" s="5" t="s">
        <v>16</v>
      </c>
      <c r="E49" s="23">
        <v>45000</v>
      </c>
      <c r="F49" s="5" t="s">
        <v>154</v>
      </c>
      <c r="G49" s="5" t="s">
        <v>159</v>
      </c>
      <c r="H49" s="5">
        <f ca="1">DATEDIF(DATE(2001,11,2),TODAY(),"Y")</f>
        <v>24</v>
      </c>
      <c r="I49" s="5" t="s">
        <v>160</v>
      </c>
    </row>
    <row r="50" spans="1:9">
      <c r="A50" s="5">
        <v>1011</v>
      </c>
      <c r="B50" s="5" t="s">
        <v>71</v>
      </c>
      <c r="C50" s="5" t="s">
        <v>69</v>
      </c>
      <c r="D50" s="5" t="s">
        <v>16</v>
      </c>
      <c r="E50" s="23">
        <v>44000</v>
      </c>
      <c r="F50" s="5" t="s">
        <v>161</v>
      </c>
      <c r="G50" s="5" t="s">
        <v>162</v>
      </c>
      <c r="H50" s="5">
        <f ca="1">DATEDIF(DATE(2001,7,11),TODAY(),"Y")</f>
        <v>25</v>
      </c>
      <c r="I50" s="5" t="s">
        <v>163</v>
      </c>
    </row>
    <row r="51" spans="1:9">
      <c r="A51" s="5">
        <v>1007</v>
      </c>
      <c r="B51" s="5" t="s">
        <v>26</v>
      </c>
      <c r="C51" s="5" t="s">
        <v>69</v>
      </c>
      <c r="D51" s="5" t="s">
        <v>27</v>
      </c>
      <c r="E51" s="23">
        <v>55000</v>
      </c>
      <c r="F51" s="5" t="s">
        <v>146</v>
      </c>
      <c r="G51" s="5" t="s">
        <v>147</v>
      </c>
      <c r="H51" s="5">
        <f ca="1">DATEDIF(DATE(2003,11,8),TODAY(),"Y")</f>
        <v>22</v>
      </c>
      <c r="I51" s="5" t="s">
        <v>148</v>
      </c>
    </row>
    <row r="52" spans="1:9">
      <c r="A52" s="6">
        <v>1012</v>
      </c>
      <c r="B52" s="6" t="s">
        <v>72</v>
      </c>
      <c r="C52" s="6" t="s">
        <v>67</v>
      </c>
      <c r="D52" s="6" t="s">
        <v>70</v>
      </c>
      <c r="E52" s="22">
        <v>32000</v>
      </c>
      <c r="F52" s="6" t="s">
        <v>70</v>
      </c>
      <c r="G52" s="6" t="s">
        <v>167</v>
      </c>
      <c r="H52" s="6">
        <f ca="1">DATEDIF(DATE(2004,1,20),TODAY(),"Y")</f>
        <v>22</v>
      </c>
      <c r="I52" s="6" t="s">
        <v>168</v>
      </c>
    </row>
    <row r="58" spans="1:9">
      <c r="A58" s="19" t="s">
        <v>171</v>
      </c>
      <c r="B58" s="20"/>
      <c r="C58" s="20"/>
      <c r="D58" s="20"/>
      <c r="E58" s="20"/>
      <c r="F58" s="20"/>
      <c r="G58" s="21"/>
      <c r="H58" s="7"/>
      <c r="I58" s="7"/>
    </row>
    <row r="59" spans="1:9">
      <c r="A59" s="4" t="s">
        <v>8</v>
      </c>
      <c r="B59" s="4" t="s">
        <v>9</v>
      </c>
      <c r="C59" s="4" t="s">
        <v>64</v>
      </c>
      <c r="D59" s="4" t="s">
        <v>10</v>
      </c>
      <c r="E59" s="4" t="s">
        <v>11</v>
      </c>
      <c r="F59" s="4" t="s">
        <v>135</v>
      </c>
      <c r="G59" s="4" t="s">
        <v>40</v>
      </c>
      <c r="H59" s="4" t="s">
        <v>136</v>
      </c>
      <c r="I59" s="4" t="s">
        <v>42</v>
      </c>
    </row>
    <row r="60" spans="1:9">
      <c r="A60" s="6">
        <v>1010</v>
      </c>
      <c r="B60" s="6" t="s">
        <v>30</v>
      </c>
      <c r="C60" s="6" t="s">
        <v>67</v>
      </c>
      <c r="D60" s="6" t="s">
        <v>21</v>
      </c>
      <c r="E60" s="22">
        <v>58000</v>
      </c>
      <c r="F60" s="6" t="s">
        <v>143</v>
      </c>
      <c r="G60" s="6" t="s">
        <v>144</v>
      </c>
      <c r="H60" s="6">
        <f ca="1">DATEDIF(DATE(2002,3,15),TODAY(),"Y")</f>
        <v>24</v>
      </c>
      <c r="I60" s="6" t="s">
        <v>145</v>
      </c>
    </row>
    <row r="61" spans="1:9">
      <c r="A61" s="5">
        <v>1009</v>
      </c>
      <c r="B61" s="5" t="s">
        <v>29</v>
      </c>
      <c r="C61" s="5" t="s">
        <v>67</v>
      </c>
      <c r="D61" s="5" t="s">
        <v>21</v>
      </c>
      <c r="E61" s="23">
        <v>52000</v>
      </c>
      <c r="F61" s="5" t="s">
        <v>149</v>
      </c>
      <c r="G61" s="5" t="s">
        <v>150</v>
      </c>
      <c r="H61" s="5">
        <f ca="1">DATEDIF(DATE(2003,8,10),TODAY(),"Y")</f>
        <v>23</v>
      </c>
      <c r="I61" s="5" t="s">
        <v>151</v>
      </c>
    </row>
    <row r="62" spans="1:9">
      <c r="A62" s="6">
        <v>1004</v>
      </c>
      <c r="B62" s="6" t="s">
        <v>20</v>
      </c>
      <c r="C62" s="6" t="s">
        <v>69</v>
      </c>
      <c r="D62" s="6" t="s">
        <v>21</v>
      </c>
      <c r="E62" s="22">
        <v>47000</v>
      </c>
      <c r="F62" s="6" t="s">
        <v>149</v>
      </c>
      <c r="G62" s="6" t="s">
        <v>157</v>
      </c>
      <c r="H62" s="6">
        <f ca="1">DATEDIF(DATE(2000,1,5),TODAY(),"Y")</f>
        <v>26</v>
      </c>
      <c r="I62" s="6" t="s">
        <v>158</v>
      </c>
    </row>
    <row r="63" spans="1:9">
      <c r="A63" s="6">
        <v>1002</v>
      </c>
      <c r="B63" s="6" t="s">
        <v>17</v>
      </c>
      <c r="C63" s="6" t="s">
        <v>69</v>
      </c>
      <c r="D63" s="6" t="s">
        <v>18</v>
      </c>
      <c r="E63" s="22">
        <v>36000</v>
      </c>
      <c r="F63" s="6" t="s">
        <v>164</v>
      </c>
      <c r="G63" s="6" t="s">
        <v>165</v>
      </c>
      <c r="H63" s="6">
        <f ca="1">DATEDIF(DATE(1999,10,3),TODAY(),"Y")</f>
        <v>26</v>
      </c>
      <c r="I63" s="6" t="s">
        <v>166</v>
      </c>
    </row>
    <row r="64" spans="1:9">
      <c r="A64" s="5">
        <v>1005</v>
      </c>
      <c r="B64" s="5" t="s">
        <v>22</v>
      </c>
      <c r="C64" s="5" t="s">
        <v>67</v>
      </c>
      <c r="D64" s="5" t="s">
        <v>23</v>
      </c>
      <c r="E64" s="23">
        <v>50000</v>
      </c>
      <c r="F64" s="5" t="s">
        <v>152</v>
      </c>
      <c r="G64" s="5" t="s">
        <v>138</v>
      </c>
      <c r="H64" s="5">
        <f ca="1">DATEDIF(DATE(2001,5,6),TODAY(),"Y")</f>
        <v>25</v>
      </c>
      <c r="I64" s="5" t="s">
        <v>153</v>
      </c>
    </row>
    <row r="65" spans="1:9">
      <c r="A65" s="6">
        <v>1006</v>
      </c>
      <c r="B65" s="6" t="s">
        <v>24</v>
      </c>
      <c r="C65" s="6" t="s">
        <v>67</v>
      </c>
      <c r="D65" s="6" t="s">
        <v>25</v>
      </c>
      <c r="E65" s="22">
        <v>65000</v>
      </c>
      <c r="F65" s="6" t="s">
        <v>137</v>
      </c>
      <c r="G65" s="6" t="s">
        <v>138</v>
      </c>
      <c r="H65" s="6">
        <f ca="1">DATEDIF(DATE(2001,5,6),TODAY(),"Y")</f>
        <v>25</v>
      </c>
      <c r="I65" s="6" t="s">
        <v>139</v>
      </c>
    </row>
    <row r="66" spans="1:9">
      <c r="A66" s="5">
        <v>1003</v>
      </c>
      <c r="B66" s="5" t="s">
        <v>19</v>
      </c>
      <c r="C66" s="5" t="s">
        <v>67</v>
      </c>
      <c r="D66" s="5" t="s">
        <v>16</v>
      </c>
      <c r="E66" s="23">
        <v>63000</v>
      </c>
      <c r="F66" s="5" t="s">
        <v>140</v>
      </c>
      <c r="G66" s="5" t="s">
        <v>141</v>
      </c>
      <c r="H66" s="5">
        <f ca="1">DATEDIF(DATE(2000,7,4),TODAY(),"Y")</f>
        <v>26</v>
      </c>
      <c r="I66" s="5" t="s">
        <v>142</v>
      </c>
    </row>
    <row r="67" spans="1:9">
      <c r="A67" s="6">
        <v>1008</v>
      </c>
      <c r="B67" s="6" t="s">
        <v>28</v>
      </c>
      <c r="C67" s="6" t="s">
        <v>67</v>
      </c>
      <c r="D67" s="6" t="s">
        <v>16</v>
      </c>
      <c r="E67" s="22">
        <v>48000</v>
      </c>
      <c r="F67" s="6" t="s">
        <v>154</v>
      </c>
      <c r="G67" s="6" t="s">
        <v>155</v>
      </c>
      <c r="H67" s="6">
        <f ca="1">DATEDIF(DATE(2002,6,9),TODAY(),"Y")</f>
        <v>24</v>
      </c>
      <c r="I67" s="6" t="s">
        <v>156</v>
      </c>
    </row>
    <row r="68" spans="1:9">
      <c r="A68" s="5">
        <v>1001</v>
      </c>
      <c r="B68" s="5" t="s">
        <v>15</v>
      </c>
      <c r="C68" s="5" t="s">
        <v>67</v>
      </c>
      <c r="D68" s="5" t="s">
        <v>16</v>
      </c>
      <c r="E68" s="23">
        <v>45000</v>
      </c>
      <c r="F68" s="5" t="s">
        <v>154</v>
      </c>
      <c r="G68" s="5" t="s">
        <v>159</v>
      </c>
      <c r="H68" s="5">
        <f ca="1">DATEDIF(DATE(2001,11,2),TODAY(),"Y")</f>
        <v>24</v>
      </c>
      <c r="I68" s="5" t="s">
        <v>160</v>
      </c>
    </row>
    <row r="69" spans="1:9">
      <c r="A69" s="5">
        <v>1011</v>
      </c>
      <c r="B69" s="5" t="s">
        <v>71</v>
      </c>
      <c r="C69" s="5" t="s">
        <v>69</v>
      </c>
      <c r="D69" s="5" t="s">
        <v>16</v>
      </c>
      <c r="E69" s="23">
        <v>44000</v>
      </c>
      <c r="F69" s="5" t="s">
        <v>161</v>
      </c>
      <c r="G69" s="5" t="s">
        <v>162</v>
      </c>
      <c r="H69" s="5">
        <f ca="1">DATEDIF(DATE(2001,7,11),TODAY(),"Y")</f>
        <v>25</v>
      </c>
      <c r="I69" s="5" t="s">
        <v>163</v>
      </c>
    </row>
    <row r="75" spans="1:9">
      <c r="A75" s="19" t="s">
        <v>172</v>
      </c>
      <c r="B75" s="20"/>
      <c r="C75" s="20"/>
      <c r="D75" s="20"/>
      <c r="E75" s="20"/>
      <c r="F75" s="20"/>
      <c r="G75" s="21"/>
      <c r="H75" s="7"/>
      <c r="I75" s="7"/>
    </row>
    <row r="76" spans="1:9">
      <c r="A76" s="4" t="s">
        <v>8</v>
      </c>
      <c r="B76" s="4" t="s">
        <v>9</v>
      </c>
      <c r="C76" s="4" t="s">
        <v>64</v>
      </c>
      <c r="D76" s="4" t="s">
        <v>10</v>
      </c>
      <c r="E76" s="4" t="s">
        <v>11</v>
      </c>
      <c r="F76" s="4" t="s">
        <v>135</v>
      </c>
      <c r="G76" s="4" t="s">
        <v>40</v>
      </c>
      <c r="H76" s="4" t="s">
        <v>136</v>
      </c>
      <c r="I76" s="4" t="s">
        <v>42</v>
      </c>
    </row>
    <row r="77" spans="1:9">
      <c r="A77" s="6">
        <v>1010</v>
      </c>
      <c r="B77" s="6" t="s">
        <v>30</v>
      </c>
      <c r="C77" s="6" t="s">
        <v>67</v>
      </c>
      <c r="D77" s="6" t="s">
        <v>21</v>
      </c>
      <c r="E77" s="22">
        <v>58000</v>
      </c>
      <c r="F77" s="6" t="s">
        <v>143</v>
      </c>
      <c r="G77" s="6" t="s">
        <v>144</v>
      </c>
      <c r="H77" s="6">
        <f ca="1">DATEDIF(DATE(2002,3,15),TODAY(),"Y")</f>
        <v>24</v>
      </c>
      <c r="I77" s="6" t="s">
        <v>145</v>
      </c>
    </row>
    <row r="78" spans="1:9">
      <c r="A78" s="5">
        <v>1009</v>
      </c>
      <c r="B78" s="5" t="s">
        <v>29</v>
      </c>
      <c r="C78" s="5" t="s">
        <v>67</v>
      </c>
      <c r="D78" s="5" t="s">
        <v>21</v>
      </c>
      <c r="E78" s="23">
        <v>52000</v>
      </c>
      <c r="F78" s="5" t="s">
        <v>149</v>
      </c>
      <c r="G78" s="5" t="s">
        <v>150</v>
      </c>
      <c r="H78" s="5">
        <f ca="1">DATEDIF(DATE(2003,8,10),TODAY(),"Y")</f>
        <v>23</v>
      </c>
      <c r="I78" s="5" t="s">
        <v>151</v>
      </c>
    </row>
    <row r="79" hidden="1" spans="1:9">
      <c r="A79" s="6">
        <v>1004</v>
      </c>
      <c r="B79" s="6" t="s">
        <v>20</v>
      </c>
      <c r="C79" s="6" t="s">
        <v>69</v>
      </c>
      <c r="D79" s="6" t="s">
        <v>21</v>
      </c>
      <c r="E79" s="22">
        <v>47000</v>
      </c>
      <c r="F79" s="6" t="s">
        <v>149</v>
      </c>
      <c r="G79" s="6" t="s">
        <v>157</v>
      </c>
      <c r="H79" s="6">
        <f ca="1">DATEDIF(DATE(2000,1,5),TODAY(),"Y")</f>
        <v>26</v>
      </c>
      <c r="I79" s="6" t="s">
        <v>158</v>
      </c>
    </row>
    <row r="80" hidden="1" spans="1:9">
      <c r="A80" s="6">
        <v>1002</v>
      </c>
      <c r="B80" s="6" t="s">
        <v>17</v>
      </c>
      <c r="C80" s="6" t="s">
        <v>69</v>
      </c>
      <c r="D80" s="6" t="s">
        <v>18</v>
      </c>
      <c r="E80" s="22">
        <v>36000</v>
      </c>
      <c r="F80" s="6" t="s">
        <v>164</v>
      </c>
      <c r="G80" s="6" t="s">
        <v>165</v>
      </c>
      <c r="H80" s="6">
        <f ca="1">DATEDIF(DATE(1999,10,3),TODAY(),"Y")</f>
        <v>26</v>
      </c>
      <c r="I80" s="6" t="s">
        <v>166</v>
      </c>
    </row>
    <row r="81" hidden="1" spans="1:9">
      <c r="A81" s="5">
        <v>1005</v>
      </c>
      <c r="B81" s="5" t="s">
        <v>22</v>
      </c>
      <c r="C81" s="5" t="s">
        <v>67</v>
      </c>
      <c r="D81" s="5" t="s">
        <v>23</v>
      </c>
      <c r="E81" s="23">
        <v>50000</v>
      </c>
      <c r="F81" s="5" t="s">
        <v>152</v>
      </c>
      <c r="G81" s="5" t="s">
        <v>138</v>
      </c>
      <c r="H81" s="5">
        <f ca="1">DATEDIF(DATE(2001,5,6),TODAY(),"Y")</f>
        <v>25</v>
      </c>
      <c r="I81" s="5" t="s">
        <v>153</v>
      </c>
    </row>
    <row r="82" spans="1:9">
      <c r="A82" s="6">
        <v>1006</v>
      </c>
      <c r="B82" s="6" t="s">
        <v>24</v>
      </c>
      <c r="C82" s="6" t="s">
        <v>67</v>
      </c>
      <c r="D82" s="6" t="s">
        <v>25</v>
      </c>
      <c r="E82" s="22">
        <v>65000</v>
      </c>
      <c r="F82" s="6" t="s">
        <v>137</v>
      </c>
      <c r="G82" s="6" t="s">
        <v>138</v>
      </c>
      <c r="H82" s="6">
        <f ca="1">DATEDIF(DATE(2001,5,6),TODAY(),"Y")</f>
        <v>25</v>
      </c>
      <c r="I82" s="6" t="s">
        <v>139</v>
      </c>
    </row>
    <row r="83" spans="1:9">
      <c r="A83" s="5">
        <v>1003</v>
      </c>
      <c r="B83" s="5" t="s">
        <v>19</v>
      </c>
      <c r="C83" s="5" t="s">
        <v>67</v>
      </c>
      <c r="D83" s="5" t="s">
        <v>16</v>
      </c>
      <c r="E83" s="23">
        <v>63000</v>
      </c>
      <c r="F83" s="5" t="s">
        <v>140</v>
      </c>
      <c r="G83" s="5" t="s">
        <v>141</v>
      </c>
      <c r="H83" s="5">
        <f ca="1">DATEDIF(DATE(2000,7,4),TODAY(),"Y")</f>
        <v>26</v>
      </c>
      <c r="I83" s="5" t="s">
        <v>142</v>
      </c>
    </row>
    <row r="84" hidden="1" spans="1:9">
      <c r="A84" s="6">
        <v>1008</v>
      </c>
      <c r="B84" s="6" t="s">
        <v>28</v>
      </c>
      <c r="C84" s="6" t="s">
        <v>67</v>
      </c>
      <c r="D84" s="6" t="s">
        <v>16</v>
      </c>
      <c r="E84" s="22">
        <v>48000</v>
      </c>
      <c r="F84" s="6" t="s">
        <v>154</v>
      </c>
      <c r="G84" s="6" t="s">
        <v>155</v>
      </c>
      <c r="H84" s="6">
        <f ca="1">DATEDIF(DATE(2002,6,9),TODAY(),"Y")</f>
        <v>24</v>
      </c>
      <c r="I84" s="6" t="s">
        <v>156</v>
      </c>
    </row>
    <row r="85" hidden="1" spans="1:9">
      <c r="A85" s="5">
        <v>1001</v>
      </c>
      <c r="B85" s="5" t="s">
        <v>15</v>
      </c>
      <c r="C85" s="5" t="s">
        <v>67</v>
      </c>
      <c r="D85" s="5" t="s">
        <v>16</v>
      </c>
      <c r="E85" s="23">
        <v>45000</v>
      </c>
      <c r="F85" s="5" t="s">
        <v>154</v>
      </c>
      <c r="G85" s="5" t="s">
        <v>159</v>
      </c>
      <c r="H85" s="5">
        <f ca="1">DATEDIF(DATE(2001,11,2),TODAY(),"Y")</f>
        <v>24</v>
      </c>
      <c r="I85" s="5" t="s">
        <v>160</v>
      </c>
    </row>
    <row r="86" hidden="1" spans="1:9">
      <c r="A86" s="5">
        <v>1011</v>
      </c>
      <c r="B86" s="5" t="s">
        <v>71</v>
      </c>
      <c r="C86" s="5" t="s">
        <v>69</v>
      </c>
      <c r="D86" s="5" t="s">
        <v>16</v>
      </c>
      <c r="E86" s="23">
        <v>44000</v>
      </c>
      <c r="F86" s="5" t="s">
        <v>161</v>
      </c>
      <c r="G86" s="5" t="s">
        <v>162</v>
      </c>
      <c r="H86" s="5">
        <f ca="1">DATEDIF(DATE(2001,7,11),TODAY(),"Y")</f>
        <v>25</v>
      </c>
      <c r="I86" s="5" t="s">
        <v>163</v>
      </c>
    </row>
    <row r="87" spans="1:9">
      <c r="A87" s="5">
        <v>1007</v>
      </c>
      <c r="B87" s="5" t="s">
        <v>26</v>
      </c>
      <c r="C87" s="5" t="s">
        <v>69</v>
      </c>
      <c r="D87" s="5" t="s">
        <v>27</v>
      </c>
      <c r="E87" s="23">
        <v>55000</v>
      </c>
      <c r="F87" s="5" t="s">
        <v>146</v>
      </c>
      <c r="G87" s="5" t="s">
        <v>147</v>
      </c>
      <c r="H87" s="5">
        <f ca="1">DATEDIF(DATE(2003,11,8),TODAY(),"Y")</f>
        <v>22</v>
      </c>
      <c r="I87" s="5" t="s">
        <v>148</v>
      </c>
    </row>
    <row r="93" spans="1:9">
      <c r="A93" s="24" t="s">
        <v>173</v>
      </c>
      <c r="B93" s="24"/>
      <c r="C93" s="24"/>
      <c r="D93" s="24"/>
      <c r="E93" s="14"/>
      <c r="F93" s="14"/>
      <c r="G93" s="14"/>
      <c r="H93" s="14"/>
      <c r="I93" s="14"/>
    </row>
    <row r="94" spans="1:9">
      <c r="A94" s="14" t="s">
        <v>8</v>
      </c>
      <c r="B94" s="14" t="s">
        <v>9</v>
      </c>
      <c r="C94" s="14" t="s">
        <v>64</v>
      </c>
      <c r="D94" s="14" t="s">
        <v>10</v>
      </c>
      <c r="E94" s="14" t="s">
        <v>11</v>
      </c>
      <c r="F94" s="14" t="s">
        <v>135</v>
      </c>
      <c r="G94" s="14" t="s">
        <v>40</v>
      </c>
      <c r="H94" s="14" t="s">
        <v>136</v>
      </c>
      <c r="I94" s="14" t="s">
        <v>42</v>
      </c>
    </row>
    <row r="95" spans="1:9">
      <c r="A95" s="14">
        <v>1010</v>
      </c>
      <c r="B95" s="14" t="s">
        <v>30</v>
      </c>
      <c r="C95" s="14" t="s">
        <v>67</v>
      </c>
      <c r="D95" s="14" t="s">
        <v>21</v>
      </c>
      <c r="E95" s="25">
        <v>58000</v>
      </c>
      <c r="F95" s="14" t="s">
        <v>143</v>
      </c>
      <c r="G95" s="14" t="s">
        <v>144</v>
      </c>
      <c r="H95" s="14">
        <f ca="1">DATEDIF(DATE(2002,3,15),TODAY(),"Y")</f>
        <v>24</v>
      </c>
      <c r="I95" s="14" t="s">
        <v>145</v>
      </c>
    </row>
    <row r="96" spans="1:9">
      <c r="A96" s="14">
        <v>1009</v>
      </c>
      <c r="B96" s="14" t="s">
        <v>29</v>
      </c>
      <c r="C96" s="14" t="s">
        <v>67</v>
      </c>
      <c r="D96" s="14" t="s">
        <v>21</v>
      </c>
      <c r="E96" s="25">
        <v>52000</v>
      </c>
      <c r="F96" s="14" t="s">
        <v>149</v>
      </c>
      <c r="G96" s="14" t="s">
        <v>150</v>
      </c>
      <c r="H96" s="14">
        <f ca="1">DATEDIF(DATE(2003,8,10),TODAY(),"Y")</f>
        <v>23</v>
      </c>
      <c r="I96" s="14" t="s">
        <v>151</v>
      </c>
    </row>
    <row r="97" spans="1:9">
      <c r="A97" s="14">
        <v>1004</v>
      </c>
      <c r="B97" s="14" t="s">
        <v>20</v>
      </c>
      <c r="C97" s="14" t="s">
        <v>69</v>
      </c>
      <c r="D97" s="14" t="s">
        <v>21</v>
      </c>
      <c r="E97" s="25">
        <v>47000</v>
      </c>
      <c r="F97" s="14" t="s">
        <v>149</v>
      </c>
      <c r="G97" s="14" t="s">
        <v>157</v>
      </c>
      <c r="H97" s="14">
        <f ca="1">DATEDIF(DATE(2000,1,5),TODAY(),"Y")</f>
        <v>26</v>
      </c>
      <c r="I97" s="14" t="s">
        <v>158</v>
      </c>
    </row>
    <row r="98" spans="1:9">
      <c r="A98" s="14">
        <v>1002</v>
      </c>
      <c r="B98" s="14" t="s">
        <v>17</v>
      </c>
      <c r="C98" s="14" t="s">
        <v>69</v>
      </c>
      <c r="D98" s="14" t="s">
        <v>18</v>
      </c>
      <c r="E98" s="25">
        <v>36000</v>
      </c>
      <c r="F98" s="14" t="s">
        <v>164</v>
      </c>
      <c r="G98" s="14" t="s">
        <v>165</v>
      </c>
      <c r="H98" s="14">
        <f ca="1">DATEDIF(DATE(1999,10,3),TODAY(),"Y")</f>
        <v>26</v>
      </c>
      <c r="I98" s="14" t="s">
        <v>166</v>
      </c>
    </row>
    <row r="99" spans="1:9">
      <c r="A99" s="14">
        <v>1005</v>
      </c>
      <c r="B99" s="14" t="s">
        <v>22</v>
      </c>
      <c r="C99" s="14" t="s">
        <v>67</v>
      </c>
      <c r="D99" s="14" t="s">
        <v>23</v>
      </c>
      <c r="E99" s="25">
        <v>50000</v>
      </c>
      <c r="F99" s="14" t="s">
        <v>152</v>
      </c>
      <c r="G99" s="14" t="s">
        <v>138</v>
      </c>
      <c r="H99" s="14">
        <f ca="1">DATEDIF(DATE(2001,5,6),TODAY(),"Y")</f>
        <v>25</v>
      </c>
      <c r="I99" s="14" t="s">
        <v>153</v>
      </c>
    </row>
    <row r="100" spans="1:9">
      <c r="A100" s="14">
        <v>1006</v>
      </c>
      <c r="B100" s="14" t="s">
        <v>24</v>
      </c>
      <c r="C100" s="14" t="s">
        <v>67</v>
      </c>
      <c r="D100" s="14" t="s">
        <v>25</v>
      </c>
      <c r="E100" s="25">
        <v>65000</v>
      </c>
      <c r="F100" s="14" t="s">
        <v>137</v>
      </c>
      <c r="G100" s="14" t="s">
        <v>138</v>
      </c>
      <c r="H100" s="14">
        <f ca="1">DATEDIF(DATE(2001,5,6),TODAY(),"Y")</f>
        <v>25</v>
      </c>
      <c r="I100" s="14" t="s">
        <v>139</v>
      </c>
    </row>
    <row r="101" spans="1:9">
      <c r="A101" s="14">
        <v>1003</v>
      </c>
      <c r="B101" s="14" t="s">
        <v>19</v>
      </c>
      <c r="C101" s="14" t="s">
        <v>67</v>
      </c>
      <c r="D101" s="14" t="s">
        <v>16</v>
      </c>
      <c r="E101" s="25">
        <v>63000</v>
      </c>
      <c r="F101" s="14" t="s">
        <v>140</v>
      </c>
      <c r="G101" s="14" t="s">
        <v>141</v>
      </c>
      <c r="H101" s="14">
        <f ca="1">DATEDIF(DATE(2000,7,4),TODAY(),"Y")</f>
        <v>26</v>
      </c>
      <c r="I101" s="14" t="s">
        <v>142</v>
      </c>
    </row>
    <row r="102" spans="1:9">
      <c r="A102" s="14">
        <v>1008</v>
      </c>
      <c r="B102" s="14" t="s">
        <v>28</v>
      </c>
      <c r="C102" s="14" t="s">
        <v>67</v>
      </c>
      <c r="D102" s="14" t="s">
        <v>16</v>
      </c>
      <c r="E102" s="25">
        <v>48000</v>
      </c>
      <c r="F102" s="14" t="s">
        <v>154</v>
      </c>
      <c r="G102" s="14" t="s">
        <v>155</v>
      </c>
      <c r="H102" s="14">
        <f ca="1">DATEDIF(DATE(2002,6,9),TODAY(),"Y")</f>
        <v>24</v>
      </c>
      <c r="I102" s="14" t="s">
        <v>156</v>
      </c>
    </row>
    <row r="103" spans="1:9">
      <c r="A103" s="14">
        <v>1001</v>
      </c>
      <c r="B103" s="14" t="s">
        <v>15</v>
      </c>
      <c r="C103" s="14" t="s">
        <v>67</v>
      </c>
      <c r="D103" s="14" t="s">
        <v>16</v>
      </c>
      <c r="E103" s="25">
        <v>45000</v>
      </c>
      <c r="F103" s="14" t="s">
        <v>154</v>
      </c>
      <c r="G103" s="14" t="s">
        <v>159</v>
      </c>
      <c r="H103" s="14">
        <f ca="1">DATEDIF(DATE(2001,11,2),TODAY(),"Y")</f>
        <v>24</v>
      </c>
      <c r="I103" s="14" t="s">
        <v>160</v>
      </c>
    </row>
    <row r="104" spans="1:9">
      <c r="A104" s="14">
        <v>1011</v>
      </c>
      <c r="B104" s="14" t="s">
        <v>71</v>
      </c>
      <c r="C104" s="14" t="s">
        <v>69</v>
      </c>
      <c r="D104" s="14" t="s">
        <v>16</v>
      </c>
      <c r="E104" s="25">
        <v>44000</v>
      </c>
      <c r="F104" s="14" t="s">
        <v>161</v>
      </c>
      <c r="G104" s="14" t="s">
        <v>162</v>
      </c>
      <c r="H104" s="14">
        <f ca="1">DATEDIF(DATE(2001,7,11),TODAY(),"Y")</f>
        <v>25</v>
      </c>
      <c r="I104" s="14" t="s">
        <v>163</v>
      </c>
    </row>
    <row r="105" spans="1:9">
      <c r="A105" s="14">
        <v>1007</v>
      </c>
      <c r="B105" s="14" t="s">
        <v>26</v>
      </c>
      <c r="C105" s="14" t="s">
        <v>69</v>
      </c>
      <c r="D105" s="14" t="s">
        <v>27</v>
      </c>
      <c r="E105" s="25">
        <v>55000</v>
      </c>
      <c r="F105" s="14" t="s">
        <v>146</v>
      </c>
      <c r="G105" s="14" t="s">
        <v>147</v>
      </c>
      <c r="H105" s="14">
        <f ca="1">DATEDIF(DATE(2003,11,8),TODAY(),"Y")</f>
        <v>22</v>
      </c>
      <c r="I105" s="14" t="s">
        <v>148</v>
      </c>
    </row>
    <row r="106" spans="1:9">
      <c r="A106" s="14">
        <v>1012</v>
      </c>
      <c r="B106" s="14" t="s">
        <v>72</v>
      </c>
      <c r="C106" s="14" t="s">
        <v>67</v>
      </c>
      <c r="D106" s="14" t="s">
        <v>70</v>
      </c>
      <c r="E106" s="25">
        <v>32000</v>
      </c>
      <c r="F106" s="14" t="s">
        <v>70</v>
      </c>
      <c r="G106" s="14" t="s">
        <v>167</v>
      </c>
      <c r="H106" s="14">
        <f ca="1">DATEDIF(DATE(2004,1,20),TODAY(),"Y")</f>
        <v>22</v>
      </c>
      <c r="I106" s="14" t="s">
        <v>168</v>
      </c>
    </row>
    <row r="107" spans="1:9">
      <c r="A107" s="14" t="s">
        <v>174</v>
      </c>
      <c r="B107" s="14"/>
      <c r="C107" s="14"/>
      <c r="D107" s="14"/>
      <c r="E107" s="25">
        <f>SUM(E95:E106)</f>
        <v>595000</v>
      </c>
      <c r="F107" s="14"/>
      <c r="G107" s="14"/>
      <c r="H107" s="14">
        <f ca="1">AVERAGE(H95:H106)</f>
        <v>24.3333333333333</v>
      </c>
      <c r="I107" s="14"/>
    </row>
    <row r="114" spans="1:9">
      <c r="A114" s="19" t="s">
        <v>175</v>
      </c>
      <c r="B114" s="20"/>
      <c r="C114" s="20"/>
      <c r="D114" s="20"/>
      <c r="E114" s="20"/>
      <c r="F114" s="20"/>
      <c r="G114" s="21"/>
      <c r="H114" s="7"/>
      <c r="I114" s="7"/>
    </row>
    <row r="115" spans="1:9">
      <c r="A115" s="4" t="s">
        <v>8</v>
      </c>
      <c r="B115" s="4" t="s">
        <v>9</v>
      </c>
      <c r="C115" s="4" t="s">
        <v>64</v>
      </c>
      <c r="D115" s="4" t="s">
        <v>10</v>
      </c>
      <c r="E115" s="4" t="s">
        <v>11</v>
      </c>
      <c r="F115" s="4" t="s">
        <v>135</v>
      </c>
      <c r="G115" s="4" t="s">
        <v>40</v>
      </c>
      <c r="H115" s="4" t="s">
        <v>136</v>
      </c>
      <c r="I115" s="4" t="s">
        <v>42</v>
      </c>
    </row>
    <row r="116" spans="1:9">
      <c r="A116" s="6">
        <v>1010</v>
      </c>
      <c r="B116" s="6" t="s">
        <v>30</v>
      </c>
      <c r="C116" s="6" t="s">
        <v>67</v>
      </c>
      <c r="D116" s="6" t="s">
        <v>21</v>
      </c>
      <c r="E116" s="22">
        <v>58000</v>
      </c>
      <c r="F116" s="6" t="s">
        <v>143</v>
      </c>
      <c r="G116" s="6" t="s">
        <v>144</v>
      </c>
      <c r="H116" s="6">
        <f ca="1">DATEDIF(DATE(2002,3,15),TODAY(),"Y")</f>
        <v>24</v>
      </c>
      <c r="I116" s="6" t="s">
        <v>176</v>
      </c>
    </row>
    <row r="117" spans="1:9">
      <c r="A117" s="5">
        <v>1009</v>
      </c>
      <c r="B117" s="5" t="s">
        <v>29</v>
      </c>
      <c r="C117" s="5" t="s">
        <v>67</v>
      </c>
      <c r="D117" s="5" t="s">
        <v>21</v>
      </c>
      <c r="E117" s="23">
        <v>52000</v>
      </c>
      <c r="F117" s="5" t="s">
        <v>149</v>
      </c>
      <c r="G117" s="5" t="s">
        <v>150</v>
      </c>
      <c r="H117" s="5">
        <f ca="1">DATEDIF(DATE(2003,8,10),TODAY(),"Y")</f>
        <v>23</v>
      </c>
      <c r="I117" s="5" t="s">
        <v>176</v>
      </c>
    </row>
    <row r="118" spans="1:9">
      <c r="A118" s="6">
        <v>1004</v>
      </c>
      <c r="B118" s="6" t="s">
        <v>20</v>
      </c>
      <c r="C118" s="6" t="s">
        <v>69</v>
      </c>
      <c r="D118" s="6" t="s">
        <v>21</v>
      </c>
      <c r="E118" s="22">
        <v>47000</v>
      </c>
      <c r="F118" s="6" t="s">
        <v>149</v>
      </c>
      <c r="G118" s="6" t="s">
        <v>157</v>
      </c>
      <c r="H118" s="6">
        <f ca="1">DATEDIF(DATE(2000,1,5),TODAY(),"Y")</f>
        <v>26</v>
      </c>
      <c r="I118" s="6" t="s">
        <v>176</v>
      </c>
    </row>
    <row r="119" spans="1:9">
      <c r="A119" s="6">
        <v>1002</v>
      </c>
      <c r="B119" s="6" t="s">
        <v>17</v>
      </c>
      <c r="C119" s="6" t="s">
        <v>69</v>
      </c>
      <c r="D119" s="6" t="s">
        <v>18</v>
      </c>
      <c r="E119" s="22">
        <v>36000</v>
      </c>
      <c r="F119" s="6" t="s">
        <v>164</v>
      </c>
      <c r="G119" s="6" t="s">
        <v>165</v>
      </c>
      <c r="H119" s="6">
        <f ca="1">DATEDIF(DATE(1999,10,3),TODAY(),"Y")</f>
        <v>26</v>
      </c>
      <c r="I119" s="6" t="s">
        <v>176</v>
      </c>
    </row>
    <row r="120" spans="1:9">
      <c r="A120" s="5">
        <v>1005</v>
      </c>
      <c r="B120" s="5" t="s">
        <v>22</v>
      </c>
      <c r="C120" s="5" t="s">
        <v>67</v>
      </c>
      <c r="D120" s="5" t="s">
        <v>23</v>
      </c>
      <c r="E120" s="23">
        <v>50000</v>
      </c>
      <c r="F120" s="5" t="s">
        <v>152</v>
      </c>
      <c r="G120" s="5" t="s">
        <v>138</v>
      </c>
      <c r="H120" s="5">
        <f ca="1">DATEDIF(DATE(2001,5,6),TODAY(),"Y")</f>
        <v>25</v>
      </c>
      <c r="I120" s="5" t="s">
        <v>176</v>
      </c>
    </row>
    <row r="121" spans="1:9">
      <c r="A121" s="6">
        <v>1006</v>
      </c>
      <c r="B121" s="6" t="s">
        <v>24</v>
      </c>
      <c r="C121" s="6" t="s">
        <v>67</v>
      </c>
      <c r="D121" s="6" t="s">
        <v>25</v>
      </c>
      <c r="E121" s="22">
        <v>65000</v>
      </c>
      <c r="F121" s="6" t="s">
        <v>137</v>
      </c>
      <c r="G121" s="6" t="s">
        <v>138</v>
      </c>
      <c r="H121" s="6">
        <f ca="1">DATEDIF(DATE(2001,5,6),TODAY(),"Y")</f>
        <v>25</v>
      </c>
      <c r="I121" s="6" t="s">
        <v>176</v>
      </c>
    </row>
    <row r="122" spans="1:9">
      <c r="A122" s="5">
        <v>1003</v>
      </c>
      <c r="B122" s="5" t="s">
        <v>19</v>
      </c>
      <c r="C122" s="5" t="s">
        <v>67</v>
      </c>
      <c r="D122" s="5" t="s">
        <v>16</v>
      </c>
      <c r="E122" s="23">
        <v>63000</v>
      </c>
      <c r="F122" s="5" t="s">
        <v>140</v>
      </c>
      <c r="G122" s="5" t="s">
        <v>141</v>
      </c>
      <c r="H122" s="5">
        <f ca="1">DATEDIF(DATE(2000,7,4),TODAY(),"Y")</f>
        <v>26</v>
      </c>
      <c r="I122" s="5" t="s">
        <v>177</v>
      </c>
    </row>
    <row r="123" spans="1:9">
      <c r="A123" s="6">
        <v>1008</v>
      </c>
      <c r="B123" s="6" t="s">
        <v>28</v>
      </c>
      <c r="C123" s="6" t="s">
        <v>67</v>
      </c>
      <c r="D123" s="6" t="s">
        <v>16</v>
      </c>
      <c r="E123" s="22">
        <v>48000</v>
      </c>
      <c r="F123" s="6" t="s">
        <v>154</v>
      </c>
      <c r="G123" s="6" t="s">
        <v>155</v>
      </c>
      <c r="H123" s="6">
        <f ca="1">DATEDIF(DATE(2002,6,9),TODAY(),"Y")</f>
        <v>24</v>
      </c>
      <c r="I123" s="6" t="s">
        <v>178</v>
      </c>
    </row>
    <row r="124" spans="1:9">
      <c r="A124" s="5">
        <v>1001</v>
      </c>
      <c r="B124" s="5" t="s">
        <v>15</v>
      </c>
      <c r="C124" s="5" t="s">
        <v>67</v>
      </c>
      <c r="D124" s="5" t="s">
        <v>16</v>
      </c>
      <c r="E124" s="23">
        <v>45000</v>
      </c>
      <c r="F124" s="5" t="s">
        <v>154</v>
      </c>
      <c r="G124" s="5" t="s">
        <v>159</v>
      </c>
      <c r="H124" s="5">
        <f ca="1">DATEDIF(DATE(2001,11,2),TODAY(),"Y")</f>
        <v>24</v>
      </c>
      <c r="I124" s="5" t="s">
        <v>176</v>
      </c>
    </row>
    <row r="125" spans="1:9">
      <c r="A125" s="5">
        <v>1011</v>
      </c>
      <c r="B125" s="5" t="s">
        <v>71</v>
      </c>
      <c r="C125" s="5" t="s">
        <v>69</v>
      </c>
      <c r="D125" s="5" t="s">
        <v>16</v>
      </c>
      <c r="E125" s="23">
        <v>44000</v>
      </c>
      <c r="F125" s="5" t="s">
        <v>161</v>
      </c>
      <c r="G125" s="5" t="s">
        <v>162</v>
      </c>
      <c r="H125" s="5">
        <f ca="1">DATEDIF(DATE(2001,7,11),TODAY(),"Y")</f>
        <v>25</v>
      </c>
      <c r="I125" s="5" t="s">
        <v>176</v>
      </c>
    </row>
    <row r="126" spans="1:9">
      <c r="A126" s="5">
        <v>1007</v>
      </c>
      <c r="B126" s="5" t="s">
        <v>26</v>
      </c>
      <c r="C126" s="5" t="s">
        <v>69</v>
      </c>
      <c r="D126" s="5" t="s">
        <v>27</v>
      </c>
      <c r="E126" s="23">
        <v>55000</v>
      </c>
      <c r="F126" s="5" t="s">
        <v>146</v>
      </c>
      <c r="G126" s="5" t="s">
        <v>147</v>
      </c>
      <c r="H126" s="5">
        <f ca="1">DATEDIF(DATE(2003,11,8),TODAY(),"Y")</f>
        <v>22</v>
      </c>
      <c r="I126" s="5" t="s">
        <v>179</v>
      </c>
    </row>
    <row r="127" spans="1:9">
      <c r="A127" s="6">
        <v>1012</v>
      </c>
      <c r="B127" s="6" t="s">
        <v>72</v>
      </c>
      <c r="C127" s="6" t="s">
        <v>67</v>
      </c>
      <c r="D127" s="6" t="s">
        <v>70</v>
      </c>
      <c r="E127" s="22">
        <v>32000</v>
      </c>
      <c r="F127" s="6" t="s">
        <v>70</v>
      </c>
      <c r="G127" s="6" t="s">
        <v>167</v>
      </c>
      <c r="H127" s="6">
        <f ca="1">DATEDIF(DATE(2004,1,20),TODAY(),"Y")</f>
        <v>22</v>
      </c>
      <c r="I127" s="6" t="s">
        <v>176</v>
      </c>
    </row>
  </sheetData>
  <autoFilter xmlns:etc="http://www.wps.cn/officeDocument/2017/etCustomData" ref="A76:I87" etc:filterBottomFollowUsedRange="0">
    <filterColumn colId="4">
      <customFilters>
        <customFilter operator="greaterThan" val="50000"/>
      </customFilters>
    </filterColumn>
    <extLst/>
  </autoFilter>
  <mergeCells count="7">
    <mergeCell ref="A3:G3"/>
    <mergeCell ref="A21:G21"/>
    <mergeCell ref="A39:G39"/>
    <mergeCell ref="A58:G58"/>
    <mergeCell ref="A75:G75"/>
    <mergeCell ref="A93:D93"/>
    <mergeCell ref="A114:G114"/>
  </mergeCells>
  <pageMargins left="0.75" right="0.75" top="1" bottom="1" header="0.5" footer="0.5"/>
  <headerFooter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pane xSplit="1" ySplit="11" topLeftCell="B12" activePane="bottomRight" state="frozen"/>
      <selection/>
      <selection pane="topRight"/>
      <selection pane="bottomLeft"/>
      <selection pane="bottomRight" activeCell="B12" sqref="B12"/>
    </sheetView>
  </sheetViews>
  <sheetFormatPr defaultColWidth="8.88888888888889" defaultRowHeight="14.4"/>
  <cols>
    <col min="1" max="2" width="19.4444444444444" customWidth="1"/>
    <col min="3" max="3" width="19.3333333333333" customWidth="1"/>
    <col min="4" max="4" width="27.3333333333333" customWidth="1"/>
    <col min="5" max="5" width="24.2222222222222" customWidth="1"/>
    <col min="6" max="6" width="36.7777777777778" customWidth="1"/>
    <col min="7" max="7" width="35.1111111111111" customWidth="1"/>
    <col min="8" max="9" width="23.7777777777778" customWidth="1"/>
    <col min="10" max="10" width="19.5555555555556" customWidth="1"/>
    <col min="11" max="11" width="21.8888888888889" customWidth="1"/>
  </cols>
  <sheetData>
    <row r="1" ht="15.6" spans="1:7">
      <c r="A1" s="1" t="s">
        <v>56</v>
      </c>
      <c r="B1" s="7"/>
      <c r="C1" s="7"/>
      <c r="D1" s="7"/>
      <c r="E1" s="7"/>
      <c r="F1" s="7"/>
      <c r="G1" s="7"/>
    </row>
    <row r="2" spans="1:7">
      <c r="A2" s="3" t="s">
        <v>180</v>
      </c>
      <c r="B2" s="9"/>
      <c r="C2" s="9"/>
      <c r="D2" s="9"/>
      <c r="E2" s="9"/>
      <c r="F2" s="9"/>
      <c r="G2" s="10"/>
    </row>
    <row r="3" spans="1:7">
      <c r="A3" s="3" t="s">
        <v>181</v>
      </c>
      <c r="B3" s="9"/>
      <c r="C3" s="9"/>
      <c r="D3" s="9"/>
      <c r="E3" s="9"/>
      <c r="F3" s="9"/>
      <c r="G3" s="10"/>
    </row>
    <row r="4" spans="1:7">
      <c r="A4" s="3" t="s">
        <v>182</v>
      </c>
      <c r="B4" s="9"/>
      <c r="C4" s="9"/>
      <c r="D4" s="9"/>
      <c r="E4" s="9"/>
      <c r="F4" s="9"/>
      <c r="G4" s="10"/>
    </row>
    <row r="5" spans="1:7">
      <c r="A5" s="3" t="s">
        <v>183</v>
      </c>
      <c r="B5" s="9"/>
      <c r="C5" s="9"/>
      <c r="D5" s="9"/>
      <c r="E5" s="9"/>
      <c r="F5" s="9"/>
      <c r="G5" s="10"/>
    </row>
    <row r="6" spans="1:7">
      <c r="A6" s="3" t="s">
        <v>184</v>
      </c>
      <c r="B6" s="9"/>
      <c r="C6" s="9"/>
      <c r="D6" s="9"/>
      <c r="E6" s="9"/>
      <c r="F6" s="9"/>
      <c r="G6" s="10"/>
    </row>
    <row r="7" spans="1:7">
      <c r="A7" s="3" t="s">
        <v>185</v>
      </c>
      <c r="B7" s="9"/>
      <c r="C7" s="9"/>
      <c r="D7" s="9"/>
      <c r="E7" s="9"/>
      <c r="F7" s="9"/>
      <c r="G7" s="10"/>
    </row>
    <row r="8" spans="1:7">
      <c r="A8" s="3" t="s">
        <v>186</v>
      </c>
      <c r="B8" s="9"/>
      <c r="C8" s="9"/>
      <c r="D8" s="9"/>
      <c r="E8" s="9"/>
      <c r="F8" s="9"/>
      <c r="G8" s="10"/>
    </row>
    <row r="11" spans="1:11">
      <c r="A11" s="4" t="s">
        <v>187</v>
      </c>
      <c r="B11" s="4" t="s">
        <v>188</v>
      </c>
      <c r="C11" s="4" t="s">
        <v>64</v>
      </c>
      <c r="D11" s="4" t="s">
        <v>189</v>
      </c>
      <c r="E11" s="4" t="s">
        <v>190</v>
      </c>
      <c r="F11" s="4" t="s">
        <v>191</v>
      </c>
      <c r="G11" s="4" t="s">
        <v>192</v>
      </c>
      <c r="H11" s="4" t="s">
        <v>193</v>
      </c>
      <c r="I11" s="4" t="s">
        <v>194</v>
      </c>
      <c r="J11" s="4" t="s">
        <v>195</v>
      </c>
      <c r="K11" s="4" t="s">
        <v>196</v>
      </c>
    </row>
    <row r="12" spans="1:11">
      <c r="A12" s="5">
        <v>232</v>
      </c>
      <c r="B12" s="5">
        <v>21</v>
      </c>
      <c r="C12" s="5" t="s">
        <v>197</v>
      </c>
      <c r="D12" s="5" t="s">
        <v>198</v>
      </c>
      <c r="E12" s="5" t="s">
        <v>199</v>
      </c>
      <c r="F12" s="5">
        <v>4</v>
      </c>
      <c r="G12" s="5" t="s">
        <v>200</v>
      </c>
      <c r="H12" s="5" t="s">
        <v>201</v>
      </c>
      <c r="I12" s="5">
        <v>6.7</v>
      </c>
      <c r="J12" s="5">
        <v>6.8</v>
      </c>
      <c r="K12" s="5" t="s">
        <v>202</v>
      </c>
    </row>
    <row r="13" spans="1:11">
      <c r="A13" s="6">
        <v>564</v>
      </c>
      <c r="B13" s="6">
        <v>23</v>
      </c>
      <c r="C13" s="6" t="s">
        <v>203</v>
      </c>
      <c r="D13" s="6" t="s">
        <v>198</v>
      </c>
      <c r="E13" s="6" t="s">
        <v>199</v>
      </c>
      <c r="F13" s="6">
        <v>1.6</v>
      </c>
      <c r="G13" s="6" t="s">
        <v>204</v>
      </c>
      <c r="H13" s="6" t="s">
        <v>201</v>
      </c>
      <c r="I13" s="6">
        <v>8.6</v>
      </c>
      <c r="J13" s="6">
        <v>7.6</v>
      </c>
      <c r="K13" s="6" t="s">
        <v>205</v>
      </c>
    </row>
    <row r="14" spans="1:11">
      <c r="A14" s="5">
        <v>788</v>
      </c>
      <c r="B14" s="5">
        <v>22</v>
      </c>
      <c r="C14" s="5" t="s">
        <v>197</v>
      </c>
      <c r="D14" s="5" t="s">
        <v>206</v>
      </c>
      <c r="E14" s="5" t="s">
        <v>207</v>
      </c>
      <c r="F14" s="5">
        <v>4.6</v>
      </c>
      <c r="G14" s="5" t="s">
        <v>208</v>
      </c>
      <c r="H14" s="5" t="s">
        <v>201</v>
      </c>
      <c r="I14" s="5">
        <v>6.7</v>
      </c>
      <c r="J14" s="5">
        <v>7</v>
      </c>
      <c r="K14" s="5" t="s">
        <v>202</v>
      </c>
    </row>
    <row r="15" spans="1:11">
      <c r="A15" s="6">
        <v>686</v>
      </c>
      <c r="B15" s="6">
        <v>18</v>
      </c>
      <c r="C15" s="6" t="s">
        <v>197</v>
      </c>
      <c r="D15" s="6" t="s">
        <v>198</v>
      </c>
      <c r="E15" s="6" t="s">
        <v>199</v>
      </c>
      <c r="F15" s="6">
        <v>7</v>
      </c>
      <c r="G15" s="6" t="s">
        <v>209</v>
      </c>
      <c r="H15" s="6" t="s">
        <v>210</v>
      </c>
      <c r="I15" s="6">
        <v>5.4</v>
      </c>
      <c r="J15" s="6">
        <v>5.3</v>
      </c>
      <c r="K15" s="6" t="s">
        <v>211</v>
      </c>
    </row>
    <row r="16" spans="1:11">
      <c r="A16" s="5">
        <v>608</v>
      </c>
      <c r="B16" s="5">
        <v>24</v>
      </c>
      <c r="C16" s="5" t="s">
        <v>203</v>
      </c>
      <c r="D16" s="5" t="s">
        <v>212</v>
      </c>
      <c r="E16" s="5" t="s">
        <v>199</v>
      </c>
      <c r="F16" s="5">
        <v>7.5</v>
      </c>
      <c r="G16" s="5" t="s">
        <v>200</v>
      </c>
      <c r="H16" s="5" t="s">
        <v>210</v>
      </c>
      <c r="I16" s="5">
        <v>5</v>
      </c>
      <c r="J16" s="5">
        <v>4.4</v>
      </c>
      <c r="K16" s="5" t="s">
        <v>211</v>
      </c>
    </row>
    <row r="17" spans="1:11">
      <c r="A17" s="6">
        <v>370</v>
      </c>
      <c r="B17" s="6">
        <v>19</v>
      </c>
      <c r="C17" s="6" t="s">
        <v>203</v>
      </c>
      <c r="D17" s="6" t="s">
        <v>212</v>
      </c>
      <c r="E17" s="6" t="s">
        <v>199</v>
      </c>
      <c r="F17" s="6">
        <v>4.1</v>
      </c>
      <c r="G17" s="6" t="s">
        <v>213</v>
      </c>
      <c r="H17" s="6" t="s">
        <v>210</v>
      </c>
      <c r="I17" s="6">
        <v>6.8</v>
      </c>
      <c r="J17" s="6">
        <v>6.8</v>
      </c>
      <c r="K17" s="6" t="s">
        <v>202</v>
      </c>
    </row>
    <row r="18" spans="1:11">
      <c r="A18" s="5">
        <v>862</v>
      </c>
      <c r="B18" s="5">
        <v>22</v>
      </c>
      <c r="C18" s="5" t="s">
        <v>203</v>
      </c>
      <c r="D18" s="5" t="s">
        <v>206</v>
      </c>
      <c r="E18" s="5" t="s">
        <v>199</v>
      </c>
      <c r="F18" s="5">
        <v>8</v>
      </c>
      <c r="G18" s="5" t="s">
        <v>208</v>
      </c>
      <c r="H18" s="5" t="s">
        <v>210</v>
      </c>
      <c r="I18" s="5">
        <v>5.2</v>
      </c>
      <c r="J18" s="5">
        <v>5.3</v>
      </c>
      <c r="K18" s="5" t="s">
        <v>211</v>
      </c>
    </row>
    <row r="19" spans="1:11">
      <c r="A19" s="6">
        <v>520</v>
      </c>
      <c r="B19" s="6">
        <v>21</v>
      </c>
      <c r="C19" s="6" t="s">
        <v>203</v>
      </c>
      <c r="D19" s="6" t="s">
        <v>206</v>
      </c>
      <c r="E19" s="6" t="s">
        <v>199</v>
      </c>
      <c r="F19" s="6">
        <v>6</v>
      </c>
      <c r="G19" s="6" t="s">
        <v>200</v>
      </c>
      <c r="H19" s="6" t="s">
        <v>210</v>
      </c>
      <c r="I19" s="6">
        <v>5.7</v>
      </c>
      <c r="J19" s="6">
        <v>4.7</v>
      </c>
      <c r="K19" s="6" t="s">
        <v>211</v>
      </c>
    </row>
    <row r="20" spans="1:11">
      <c r="A20" s="5">
        <v>703</v>
      </c>
      <c r="B20" s="5">
        <v>24</v>
      </c>
      <c r="C20" s="5" t="s">
        <v>197</v>
      </c>
      <c r="D20" s="5" t="s">
        <v>198</v>
      </c>
      <c r="E20" s="5" t="s">
        <v>214</v>
      </c>
      <c r="F20" s="5">
        <v>4.7</v>
      </c>
      <c r="G20" s="5" t="s">
        <v>215</v>
      </c>
      <c r="H20" s="5" t="s">
        <v>201</v>
      </c>
      <c r="I20" s="5">
        <v>7</v>
      </c>
      <c r="J20" s="5">
        <v>6.2</v>
      </c>
      <c r="K20" s="5" t="s">
        <v>202</v>
      </c>
    </row>
    <row r="21" spans="1:11">
      <c r="A21" s="6">
        <v>33</v>
      </c>
      <c r="B21" s="6">
        <v>19</v>
      </c>
      <c r="C21" s="6" t="s">
        <v>197</v>
      </c>
      <c r="D21" s="6" t="s">
        <v>212</v>
      </c>
      <c r="E21" s="6" t="s">
        <v>199</v>
      </c>
      <c r="F21" s="6">
        <v>3.6</v>
      </c>
      <c r="G21" s="6" t="s">
        <v>216</v>
      </c>
      <c r="H21" s="6" t="s">
        <v>201</v>
      </c>
      <c r="I21" s="6">
        <v>8.1</v>
      </c>
      <c r="J21" s="6">
        <v>8.6</v>
      </c>
      <c r="K21" s="6" t="s">
        <v>205</v>
      </c>
    </row>
    <row r="22" spans="1:11">
      <c r="A22" s="5">
        <v>519</v>
      </c>
      <c r="B22" s="5">
        <v>18</v>
      </c>
      <c r="C22" s="5" t="s">
        <v>197</v>
      </c>
      <c r="D22" s="5" t="s">
        <v>206</v>
      </c>
      <c r="E22" s="5" t="s">
        <v>199</v>
      </c>
      <c r="F22" s="5">
        <v>4.1</v>
      </c>
      <c r="G22" s="5" t="s">
        <v>204</v>
      </c>
      <c r="H22" s="5" t="s">
        <v>201</v>
      </c>
      <c r="I22" s="5">
        <v>7.3</v>
      </c>
      <c r="J22" s="5">
        <v>6.8</v>
      </c>
      <c r="K22" s="5" t="s">
        <v>202</v>
      </c>
    </row>
    <row r="23" spans="1:11">
      <c r="A23" s="6">
        <v>738</v>
      </c>
      <c r="B23" s="6">
        <v>18</v>
      </c>
      <c r="C23" s="6" t="s">
        <v>197</v>
      </c>
      <c r="D23" s="6" t="s">
        <v>212</v>
      </c>
      <c r="E23" s="6" t="s">
        <v>199</v>
      </c>
      <c r="F23" s="6">
        <v>7.6</v>
      </c>
      <c r="G23" s="6" t="s">
        <v>209</v>
      </c>
      <c r="H23" s="6" t="s">
        <v>210</v>
      </c>
      <c r="I23" s="6">
        <v>5.3</v>
      </c>
      <c r="J23" s="6">
        <v>5.5</v>
      </c>
      <c r="K23" s="6" t="s">
        <v>211</v>
      </c>
    </row>
    <row r="24" spans="1:11">
      <c r="A24" s="5">
        <v>119</v>
      </c>
      <c r="B24" s="5">
        <v>20</v>
      </c>
      <c r="C24" s="5" t="s">
        <v>197</v>
      </c>
      <c r="D24" s="5" t="s">
        <v>198</v>
      </c>
      <c r="E24" s="5" t="s">
        <v>199</v>
      </c>
      <c r="F24" s="5">
        <v>2.4</v>
      </c>
      <c r="G24" s="5" t="s">
        <v>200</v>
      </c>
      <c r="H24" s="5" t="s">
        <v>201</v>
      </c>
      <c r="I24" s="5">
        <v>8.8</v>
      </c>
      <c r="J24" s="5">
        <v>8.5</v>
      </c>
      <c r="K24" s="5" t="s">
        <v>205</v>
      </c>
    </row>
    <row r="25" spans="1:11">
      <c r="A25" s="6">
        <v>287</v>
      </c>
      <c r="B25" s="6">
        <v>23</v>
      </c>
      <c r="C25" s="6" t="s">
        <v>203</v>
      </c>
      <c r="D25" s="6" t="s">
        <v>198</v>
      </c>
      <c r="E25" s="6" t="s">
        <v>199</v>
      </c>
      <c r="F25" s="6">
        <v>6.2</v>
      </c>
      <c r="G25" s="6" t="s">
        <v>204</v>
      </c>
      <c r="H25" s="6" t="s">
        <v>201</v>
      </c>
      <c r="I25" s="6">
        <v>5.3</v>
      </c>
      <c r="J25" s="6">
        <v>5.4</v>
      </c>
      <c r="K25" s="6" t="s">
        <v>211</v>
      </c>
    </row>
    <row r="26" spans="1:11">
      <c r="A26" s="5">
        <v>610</v>
      </c>
      <c r="B26" s="5">
        <v>24</v>
      </c>
      <c r="C26" s="5" t="s">
        <v>197</v>
      </c>
      <c r="D26" s="5" t="s">
        <v>206</v>
      </c>
      <c r="E26" s="5" t="s">
        <v>217</v>
      </c>
      <c r="F26" s="5">
        <v>2.7</v>
      </c>
      <c r="G26" s="5" t="s">
        <v>208</v>
      </c>
      <c r="H26" s="5" t="s">
        <v>201</v>
      </c>
      <c r="I26" s="5">
        <v>8.6</v>
      </c>
      <c r="J26" s="5">
        <v>7.8</v>
      </c>
      <c r="K26" s="5" t="s">
        <v>205</v>
      </c>
    </row>
    <row r="27" spans="1:11">
      <c r="A27" s="6">
        <v>383</v>
      </c>
      <c r="B27" s="6">
        <v>18</v>
      </c>
      <c r="C27" s="6" t="s">
        <v>203</v>
      </c>
      <c r="D27" s="6" t="s">
        <v>206</v>
      </c>
      <c r="E27" s="6" t="s">
        <v>199</v>
      </c>
      <c r="F27" s="6">
        <v>5.2</v>
      </c>
      <c r="G27" s="6" t="s">
        <v>213</v>
      </c>
      <c r="H27" s="6" t="s">
        <v>210</v>
      </c>
      <c r="I27" s="6">
        <v>7</v>
      </c>
      <c r="J27" s="6">
        <v>6.3</v>
      </c>
      <c r="K27" s="6" t="s">
        <v>202</v>
      </c>
    </row>
    <row r="28" spans="1:11">
      <c r="A28" s="5">
        <v>699</v>
      </c>
      <c r="B28" s="5">
        <v>22</v>
      </c>
      <c r="C28" s="5" t="s">
        <v>203</v>
      </c>
      <c r="D28" s="5" t="s">
        <v>206</v>
      </c>
      <c r="E28" s="5" t="s">
        <v>214</v>
      </c>
      <c r="F28" s="5">
        <v>6.5</v>
      </c>
      <c r="G28" s="5" t="s">
        <v>215</v>
      </c>
      <c r="H28" s="5" t="s">
        <v>210</v>
      </c>
      <c r="I28" s="5">
        <v>5.4</v>
      </c>
      <c r="J28" s="5">
        <v>5</v>
      </c>
      <c r="K28" s="5" t="s">
        <v>211</v>
      </c>
    </row>
    <row r="29" spans="1:11">
      <c r="A29" s="6">
        <v>302</v>
      </c>
      <c r="B29" s="6">
        <v>21</v>
      </c>
      <c r="C29" s="6" t="s">
        <v>197</v>
      </c>
      <c r="D29" s="6" t="s">
        <v>212</v>
      </c>
      <c r="E29" s="6" t="s">
        <v>218</v>
      </c>
      <c r="F29" s="6">
        <v>6.8</v>
      </c>
      <c r="G29" s="6" t="s">
        <v>215</v>
      </c>
      <c r="H29" s="6" t="s">
        <v>210</v>
      </c>
      <c r="I29" s="6">
        <v>5.7</v>
      </c>
      <c r="J29" s="6">
        <v>5</v>
      </c>
      <c r="K29" s="6" t="s">
        <v>211</v>
      </c>
    </row>
    <row r="30" spans="1:11">
      <c r="A30" s="5">
        <v>277</v>
      </c>
      <c r="B30" s="5">
        <v>21</v>
      </c>
      <c r="C30" s="5" t="s">
        <v>197</v>
      </c>
      <c r="D30" s="5" t="s">
        <v>206</v>
      </c>
      <c r="E30" s="5" t="s">
        <v>207</v>
      </c>
      <c r="F30" s="5">
        <v>6.9</v>
      </c>
      <c r="G30" s="5" t="s">
        <v>200</v>
      </c>
      <c r="H30" s="5" t="s">
        <v>210</v>
      </c>
      <c r="I30" s="5">
        <v>5.9</v>
      </c>
      <c r="J30" s="5">
        <v>5</v>
      </c>
      <c r="K30" s="5" t="s">
        <v>211</v>
      </c>
    </row>
    <row r="31" spans="1:11">
      <c r="A31" s="6">
        <v>631</v>
      </c>
      <c r="B31" s="6">
        <v>20</v>
      </c>
      <c r="C31" s="6" t="s">
        <v>197</v>
      </c>
      <c r="D31" s="6" t="s">
        <v>198</v>
      </c>
      <c r="E31" s="6" t="s">
        <v>199</v>
      </c>
      <c r="F31" s="6">
        <v>5.5</v>
      </c>
      <c r="G31" s="6" t="s">
        <v>208</v>
      </c>
      <c r="H31" s="6" t="s">
        <v>201</v>
      </c>
      <c r="I31" s="6">
        <v>6.8</v>
      </c>
      <c r="J31" s="6">
        <v>6.8</v>
      </c>
      <c r="K31" s="6" t="s">
        <v>202</v>
      </c>
    </row>
  </sheetData>
  <mergeCells count="8">
    <mergeCell ref="A1:G1"/>
    <mergeCell ref="A2:G2"/>
    <mergeCell ref="A3:G3"/>
    <mergeCell ref="A4:G4"/>
    <mergeCell ref="A5:G5"/>
    <mergeCell ref="A6:G6"/>
    <mergeCell ref="A7:G7"/>
    <mergeCell ref="A8:G8"/>
  </mergeCells>
  <conditionalFormatting sqref="F12:F3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{c874c4bf-413b-49ee-8cad-e3503525ea47}</x14:id>
        </ext>
      </extLst>
    </cfRule>
  </conditionalFormatting>
  <conditionalFormatting sqref="I12:I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J31">
    <cfRule type="cellIs" dxfId="38" priority="6" operator="greaterThan">
      <formula>7.5</formula>
    </cfRule>
    <cfRule type="cellIs" dxfId="39" priority="5" operator="lessThan">
      <formula>5.5</formula>
    </cfRule>
    <cfRule type="iconSet" priority="2">
      <iconSet iconSet="3Arrows">
        <cfvo type="percent" val="0"/>
        <cfvo type="percent" val="33"/>
        <cfvo type="percent" val="67"/>
      </iconSet>
    </cfRule>
    <cfRule type="top10" dxfId="40" priority="1" percent="1" rank="5"/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74c4bf-413b-49ee-8cad-e3503525e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F12:F31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14" sqref="F14:F21"/>
    </sheetView>
  </sheetViews>
  <sheetFormatPr defaultColWidth="8.88888888888889" defaultRowHeight="14.4" outlineLevelCol="6"/>
  <cols>
    <col min="1" max="1" width="18.5555555555556" customWidth="1"/>
    <col min="2" max="2" width="18.8888888888889" customWidth="1"/>
    <col min="3" max="3" width="37.2222222222222" customWidth="1"/>
    <col min="4" max="4" width="18.3333333333333" customWidth="1"/>
    <col min="5" max="5" width="36" customWidth="1"/>
    <col min="6" max="6" width="20.5555555555556" customWidth="1"/>
    <col min="7" max="7" width="19.7777777777778" customWidth="1"/>
  </cols>
  <sheetData>
    <row r="1" ht="15.6" spans="1:6">
      <c r="A1" s="1" t="s">
        <v>56</v>
      </c>
      <c r="B1" s="7"/>
      <c r="C1" s="7"/>
      <c r="D1" s="7"/>
      <c r="E1" s="7"/>
      <c r="F1" s="7"/>
    </row>
    <row r="2" spans="1:6">
      <c r="A2" s="3" t="s">
        <v>219</v>
      </c>
      <c r="B2" s="9"/>
      <c r="C2" s="9"/>
      <c r="D2" s="9"/>
      <c r="E2" s="9"/>
      <c r="F2" s="10"/>
    </row>
    <row r="3" spans="1:6">
      <c r="A3" s="3" t="s">
        <v>220</v>
      </c>
      <c r="B3" s="9"/>
      <c r="C3" s="9"/>
      <c r="D3" s="9"/>
      <c r="E3" s="9"/>
      <c r="F3" s="10"/>
    </row>
    <row r="4" spans="1:6">
      <c r="A4" s="3" t="s">
        <v>221</v>
      </c>
      <c r="B4" s="9"/>
      <c r="C4" s="9"/>
      <c r="D4" s="9"/>
      <c r="E4" s="9"/>
      <c r="F4" s="10"/>
    </row>
    <row r="5" spans="1:6">
      <c r="A5" s="3" t="s">
        <v>222</v>
      </c>
      <c r="B5" s="9"/>
      <c r="C5" s="9"/>
      <c r="D5" s="9"/>
      <c r="E5" s="9"/>
      <c r="F5" s="10"/>
    </row>
    <row r="6" spans="1:6">
      <c r="A6" s="3" t="s">
        <v>223</v>
      </c>
      <c r="B6" s="9"/>
      <c r="C6" s="9"/>
      <c r="D6" s="9"/>
      <c r="E6" s="9"/>
      <c r="F6" s="10"/>
    </row>
    <row r="7" spans="1:6">
      <c r="A7" s="3" t="s">
        <v>224</v>
      </c>
      <c r="B7" s="9"/>
      <c r="C7" s="9"/>
      <c r="D7" s="9"/>
      <c r="E7" s="9"/>
      <c r="F7" s="10"/>
    </row>
    <row r="8" spans="1:6">
      <c r="A8" s="3" t="s">
        <v>225</v>
      </c>
      <c r="B8" s="9"/>
      <c r="C8" s="9"/>
      <c r="D8" s="9"/>
      <c r="E8" s="9"/>
      <c r="F8" s="10"/>
    </row>
    <row r="13" spans="1:7">
      <c r="A13" s="14" t="s">
        <v>8</v>
      </c>
      <c r="B13" s="14" t="s">
        <v>226</v>
      </c>
      <c r="C13" s="14" t="s">
        <v>227</v>
      </c>
      <c r="D13" s="14" t="s">
        <v>228</v>
      </c>
      <c r="E13" s="14" t="s">
        <v>42</v>
      </c>
      <c r="F13" s="14" t="s">
        <v>229</v>
      </c>
      <c r="G13" s="14" t="s">
        <v>230</v>
      </c>
    </row>
    <row r="14" spans="1:7">
      <c r="A14" s="14">
        <v>1001</v>
      </c>
      <c r="B14" s="14" t="str">
        <f>PROPER(TRIM(" jim halpert "))</f>
        <v>Jim Halpert</v>
      </c>
      <c r="C14" s="14" t="s">
        <v>231</v>
      </c>
      <c r="D14" s="14">
        <v>45000</v>
      </c>
      <c r="E14" s="14" t="str">
        <f>LOWER("jim.halpert@dundermifflin.com")</f>
        <v>jim.halpert@dundermifflin.com</v>
      </c>
      <c r="F14" s="14" t="s">
        <v>232</v>
      </c>
      <c r="G14" s="14">
        <f>VALUE(SUBSTITUTE(D14,45000,45000))</f>
        <v>45000</v>
      </c>
    </row>
    <row r="15" spans="1:7">
      <c r="A15" s="14">
        <v>1002</v>
      </c>
      <c r="B15" s="14" t="str">
        <f>PROPER(TRIM("PAM BEASLEY"))</f>
        <v>Pam Beasley</v>
      </c>
      <c r="C15" s="14" t="str">
        <f>PROPER("admin")</f>
        <v>Admin</v>
      </c>
      <c r="D15" s="14" t="s">
        <v>233</v>
      </c>
      <c r="E15" s="14" t="str">
        <f>LOWER("PAM.BEASLEY@DUNDERMIFFLIN.COM")</f>
        <v>pam.beasley@dundermifflin.com</v>
      </c>
      <c r="F15" s="14" t="s">
        <v>234</v>
      </c>
      <c r="G15" s="14">
        <f t="shared" ref="G14:G21" si="0">VALUE(SUBSTITUTE(D15,45000,45000))</f>
        <v>36000</v>
      </c>
    </row>
    <row r="16" spans="1:7">
      <c r="A16" s="14">
        <v>1003</v>
      </c>
      <c r="B16" s="14" t="str">
        <f>PROPER(TRIM("Dwight-Schrute"))</f>
        <v>Dwight-Schrute</v>
      </c>
      <c r="C16" s="14" t="str">
        <f>PROPER("Sales")</f>
        <v>Sales</v>
      </c>
      <c r="D16" s="15">
        <v>63000</v>
      </c>
      <c r="E16" s="14" t="str">
        <f>LOWER("dwight.schrute@aol.com")</f>
        <v>dwight.schrute@aol.com</v>
      </c>
      <c r="F16" s="14" t="s">
        <v>235</v>
      </c>
      <c r="G16" s="14">
        <f t="shared" si="0"/>
        <v>63000</v>
      </c>
    </row>
    <row r="17" spans="1:7">
      <c r="A17" s="14">
        <v>1004</v>
      </c>
      <c r="B17" s="14" t="str">
        <f>PROPER(TRIM("angela  martin"))</f>
        <v>Angela Martin</v>
      </c>
      <c r="C17" s="14" t="str">
        <f>PROPER("accounting")</f>
        <v>Accounting</v>
      </c>
      <c r="D17" s="14" t="s">
        <v>236</v>
      </c>
      <c r="E17" s="14" t="str">
        <f>LOWER("angela.martin@dundermifflin.com")</f>
        <v>angela.martin@dundermifflin.com</v>
      </c>
      <c r="F17" s="14" t="s">
        <v>237</v>
      </c>
      <c r="G17" s="14">
        <f t="shared" si="0"/>
        <v>47000</v>
      </c>
    </row>
    <row r="18" spans="1:7">
      <c r="A18" s="14">
        <v>1005</v>
      </c>
      <c r="B18" s="14" t="str">
        <f>PROPER(TRIM("TOBY FLENDERSON"))</f>
        <v>Toby Flenderson</v>
      </c>
      <c r="C18" s="14" t="str">
        <f>PROPER("HR")</f>
        <v>Hr</v>
      </c>
      <c r="D18" s="14" t="s">
        <v>238</v>
      </c>
      <c r="E18" s="14" t="str">
        <f>LOWER("toby.flenderson@dundermifflin.com")</f>
        <v>toby.flenderson@dundermifflin.com</v>
      </c>
      <c r="F18" s="14" t="s">
        <v>239</v>
      </c>
      <c r="G18" s="14">
        <f t="shared" si="0"/>
        <v>50000</v>
      </c>
    </row>
    <row r="19" spans="1:7">
      <c r="A19" s="14">
        <v>1006</v>
      </c>
      <c r="B19" s="14" t="str">
        <f>PROPER(TRIM("michael scott"))</f>
        <v>Michael Scott</v>
      </c>
      <c r="C19" s="14" t="str">
        <f>PROPER("management")</f>
        <v>Management</v>
      </c>
      <c r="D19" s="14" t="s">
        <v>240</v>
      </c>
      <c r="E19" s="14" t="str">
        <f>LOWER("Michael.Scott@DunderMifflin.com")</f>
        <v>michael.scott@dundermifflin.com</v>
      </c>
      <c r="F19" s="14" t="s">
        <v>241</v>
      </c>
      <c r="G19" s="14">
        <f t="shared" si="0"/>
        <v>65000</v>
      </c>
    </row>
    <row r="20" spans="1:7">
      <c r="A20" s="14">
        <v>1007</v>
      </c>
      <c r="B20" s="14" t="str">
        <f>PROPER(TRIM(" Meredith Palmer"))</f>
        <v>Meredith Palmer</v>
      </c>
      <c r="C20" s="14" t="str">
        <f>PROPER("Supply")</f>
        <v>Supply</v>
      </c>
      <c r="D20" s="14" t="s">
        <v>242</v>
      </c>
      <c r="E20" s="14" t="str">
        <f>LOWER("meredith.palmer@yahoo.com")</f>
        <v>meredith.palmer@yahoo.com</v>
      </c>
      <c r="F20" s="14" t="s">
        <v>243</v>
      </c>
      <c r="G20" s="14">
        <f t="shared" si="0"/>
        <v>55000</v>
      </c>
    </row>
    <row r="21" spans="1:7">
      <c r="A21" s="14">
        <v>1008</v>
      </c>
      <c r="B21" s="14" t="str">
        <f>PROPER(TRIM("stanley hudson"))</f>
        <v>Stanley Hudson</v>
      </c>
      <c r="C21" s="14" t="str">
        <f>PROPER("SALES")</f>
        <v>Sales</v>
      </c>
      <c r="D21" s="14" t="s">
        <v>244</v>
      </c>
      <c r="E21" s="14" t="str">
        <f>LOWER("stanley.hudson@gmail.com")</f>
        <v>stanley.hudson@gmail.com</v>
      </c>
      <c r="F21" s="14" t="s">
        <v>245</v>
      </c>
      <c r="G21" s="14">
        <f t="shared" si="0"/>
        <v>48000</v>
      </c>
    </row>
  </sheetData>
  <mergeCells count="8">
    <mergeCell ref="A1:F1"/>
    <mergeCell ref="A2:F2"/>
    <mergeCell ref="A3:F3"/>
    <mergeCell ref="A4:F4"/>
    <mergeCell ref="A5:F5"/>
    <mergeCell ref="A6:F6"/>
    <mergeCell ref="A7:F7"/>
    <mergeCell ref="A8:F8"/>
  </mergeCells>
  <dataValidations count="1">
    <dataValidation type="whole" operator="between" allowBlank="1" showInputMessage="1" showErrorMessage="1" sqref="F14:F21">
      <formula1>18</formula1>
      <formula2>70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9" sqref="D29"/>
    </sheetView>
  </sheetViews>
  <sheetFormatPr defaultColWidth="8.88888888888889" defaultRowHeight="14.4" outlineLevelCol="5"/>
  <cols>
    <col min="1" max="1" width="24.3333333333333" customWidth="1"/>
    <col min="2" max="2" width="23.6666666666667" customWidth="1"/>
    <col min="3" max="3" width="32" customWidth="1"/>
    <col min="4" max="4" width="23.3333333333333" customWidth="1"/>
    <col min="5" max="5" width="21.1111111111111" customWidth="1"/>
    <col min="6" max="6" width="25.6666666666667" customWidth="1"/>
  </cols>
  <sheetData>
    <row r="1" ht="15.6" spans="1:6">
      <c r="A1" s="1" t="s">
        <v>56</v>
      </c>
      <c r="B1" s="7"/>
      <c r="C1" s="7"/>
      <c r="D1" s="7"/>
      <c r="E1" s="7"/>
      <c r="F1" s="7"/>
    </row>
    <row r="2" spans="1:6">
      <c r="A2" s="3" t="s">
        <v>246</v>
      </c>
      <c r="B2" s="9"/>
      <c r="C2" s="9"/>
      <c r="D2" s="9"/>
      <c r="E2" s="9"/>
      <c r="F2" s="10"/>
    </row>
    <row r="3" spans="1:6">
      <c r="A3" s="3" t="s">
        <v>247</v>
      </c>
      <c r="B3" s="9"/>
      <c r="C3" s="9"/>
      <c r="D3" s="9"/>
      <c r="E3" s="9"/>
      <c r="F3" s="10"/>
    </row>
    <row r="4" spans="1:6">
      <c r="A4" s="3" t="s">
        <v>248</v>
      </c>
      <c r="B4" s="9"/>
      <c r="C4" s="9"/>
      <c r="D4" s="9"/>
      <c r="E4" s="9"/>
      <c r="F4" s="10"/>
    </row>
    <row r="5" spans="1:6">
      <c r="A5" s="3" t="s">
        <v>249</v>
      </c>
      <c r="B5" s="9"/>
      <c r="C5" s="9"/>
      <c r="D5" s="9"/>
      <c r="E5" s="9"/>
      <c r="F5" s="10"/>
    </row>
    <row r="6" spans="1:6">
      <c r="A6" s="3" t="s">
        <v>250</v>
      </c>
      <c r="B6" s="9"/>
      <c r="C6" s="9"/>
      <c r="D6" s="9"/>
      <c r="E6" s="9"/>
      <c r="F6" s="10"/>
    </row>
    <row r="7" spans="1:6">
      <c r="A7" s="3" t="s">
        <v>251</v>
      </c>
      <c r="B7" s="9"/>
      <c r="C7" s="9"/>
      <c r="D7" s="9"/>
      <c r="E7" s="9"/>
      <c r="F7" s="10"/>
    </row>
    <row r="8" spans="1:6">
      <c r="A8" s="3" t="s">
        <v>252</v>
      </c>
      <c r="B8" s="9"/>
      <c r="C8" s="9"/>
      <c r="D8" s="9"/>
      <c r="E8" s="9"/>
      <c r="F8" s="10"/>
    </row>
    <row r="10" spans="1:6">
      <c r="A10" s="14" t="s">
        <v>187</v>
      </c>
      <c r="B10" s="14" t="s">
        <v>188</v>
      </c>
      <c r="C10" s="14" t="s">
        <v>64</v>
      </c>
      <c r="D10" s="14" t="s">
        <v>189</v>
      </c>
      <c r="E10" s="14" t="s">
        <v>190</v>
      </c>
      <c r="F10" s="14" t="s">
        <v>191</v>
      </c>
    </row>
    <row r="11" spans="1:6">
      <c r="A11" s="14">
        <f>VALUE(TRIM("232"))</f>
        <v>232</v>
      </c>
      <c r="B11" s="14" t="s">
        <v>232</v>
      </c>
      <c r="C11" s="14" t="str">
        <f>PROPER("MALE")</f>
        <v>Male</v>
      </c>
      <c r="D11" s="14" t="str">
        <f>PROPER("Undergraduate")</f>
        <v>Undergraduate</v>
      </c>
      <c r="E11" s="14" t="str">
        <f t="shared" ref="E11:E14" si="0">PROPER("Other")</f>
        <v>Other</v>
      </c>
      <c r="F11" s="14">
        <f>VALUE(TRIM("4.0"))</f>
        <v>4</v>
      </c>
    </row>
    <row r="12" spans="1:6">
      <c r="A12" s="14">
        <f>VALUE(TRIM("564"))</f>
        <v>564</v>
      </c>
      <c r="B12" s="14" t="s">
        <v>253</v>
      </c>
      <c r="C12" s="14" t="str">
        <f>PROPER("Female")</f>
        <v>Female</v>
      </c>
      <c r="D12" s="14" t="str">
        <f>PROPER("UNDERGRADUATE")</f>
        <v>Undergraduate</v>
      </c>
      <c r="E12" s="14" t="str">
        <f t="shared" si="0"/>
        <v>Other</v>
      </c>
      <c r="F12" s="14">
        <f>VALUE(TRIM("1.6"))</f>
        <v>1.6</v>
      </c>
    </row>
    <row r="13" spans="1:6">
      <c r="A13" s="14">
        <f>VALUE(TRIM("788"))</f>
        <v>788</v>
      </c>
      <c r="B13" s="14" t="s">
        <v>254</v>
      </c>
      <c r="C13" s="14" t="str">
        <f>PROPER("male")</f>
        <v>Male</v>
      </c>
      <c r="D13" s="14" t="str">
        <f>PROPER("Graduate")</f>
        <v>Graduate</v>
      </c>
      <c r="E13" s="14" t="str">
        <f>PROPER("canada")</f>
        <v>Canada</v>
      </c>
      <c r="F13" s="14">
        <f>VALUE(TRIM("4.6"))</f>
        <v>4.6</v>
      </c>
    </row>
    <row r="14" spans="1:6">
      <c r="A14" s="14">
        <f>VALUE(TRIM("686"))</f>
        <v>686</v>
      </c>
      <c r="B14" s="14" t="s">
        <v>255</v>
      </c>
      <c r="C14" s="14" t="str">
        <f>PROPER("Male")</f>
        <v>Male</v>
      </c>
      <c r="D14" s="14" t="str">
        <f>PROPER("undergraduate")</f>
        <v>Undergraduate</v>
      </c>
      <c r="E14" s="14" t="str">
        <f t="shared" si="0"/>
        <v>Other</v>
      </c>
      <c r="F14" s="14">
        <f>VALUE(TRIM("7"))</f>
        <v>7</v>
      </c>
    </row>
    <row r="15" spans="1:6">
      <c r="A15" s="14">
        <f>VALUE(TRIM("608"))</f>
        <v>608</v>
      </c>
      <c r="B15" s="14" t="s">
        <v>256</v>
      </c>
      <c r="C15" s="14" t="str">
        <f>PROPER("FEMALE")</f>
        <v>Female</v>
      </c>
      <c r="D15" s="14" t="str">
        <f>PROPER("High School")</f>
        <v>High School</v>
      </c>
      <c r="E15" s="14" t="str">
        <f>PROPER("other")</f>
        <v>Other</v>
      </c>
      <c r="F15" s="14">
        <f>VALUE(TRIM("7.5"))</f>
        <v>7.5</v>
      </c>
    </row>
    <row r="16" spans="1:6">
      <c r="A16" s="14">
        <f>VALUE(TRIM("370"))</f>
        <v>370</v>
      </c>
      <c r="B16" s="14" t="s">
        <v>253</v>
      </c>
      <c r="C16" s="14" t="str">
        <f t="shared" ref="C16:C19" si="1">PROPER("Female")</f>
        <v>Female</v>
      </c>
      <c r="D16" s="14" t="str">
        <f>PROPER("Undergraduate")</f>
        <v>Undergraduate</v>
      </c>
      <c r="E16" s="14" t="str">
        <f t="shared" ref="E16:E19" si="2">PROPER("Other")</f>
        <v>Other</v>
      </c>
      <c r="F16" s="14">
        <f>VALUE(TRIM("1.6"))</f>
        <v>1.6</v>
      </c>
    </row>
    <row r="17" spans="1:6">
      <c r="A17" s="14">
        <f>VALUE(TRIM("862"))</f>
        <v>862</v>
      </c>
      <c r="B17" s="14" t="s">
        <v>257</v>
      </c>
      <c r="C17" s="14" t="str">
        <f>PROPER("female")</f>
        <v>Female</v>
      </c>
      <c r="D17" s="14" t="str">
        <f>PROPER("high school")</f>
        <v>High School</v>
      </c>
      <c r="E17" s="14" t="str">
        <f t="shared" si="2"/>
        <v>Other</v>
      </c>
      <c r="F17" s="14">
        <f>VALUE(TRIM("4.1"))</f>
        <v>4.1</v>
      </c>
    </row>
    <row r="18" spans="1:6">
      <c r="A18" s="14">
        <f>VALUE(TRIM("520"))</f>
        <v>520</v>
      </c>
      <c r="B18" s="14" t="s">
        <v>254</v>
      </c>
      <c r="C18" s="14" t="str">
        <f t="shared" si="1"/>
        <v>Female</v>
      </c>
      <c r="D18" s="14" t="str">
        <f>PROPER("GRADUATE")</f>
        <v>Graduate</v>
      </c>
      <c r="E18" s="14" t="str">
        <f t="shared" si="2"/>
        <v>Other</v>
      </c>
      <c r="F18" s="14">
        <f>VALUE(TRIM("8.0"))</f>
        <v>8</v>
      </c>
    </row>
    <row r="19" spans="1:6">
      <c r="A19" s="14">
        <f>VALUE(TRIM("703"))</f>
        <v>703</v>
      </c>
      <c r="B19" s="14" t="s">
        <v>232</v>
      </c>
      <c r="C19" s="14" t="str">
        <f t="shared" si="1"/>
        <v>Female</v>
      </c>
      <c r="D19" s="14" t="str">
        <f>PROPER("Graduate")</f>
        <v>Graduate</v>
      </c>
      <c r="E19" s="14" t="str">
        <f t="shared" si="2"/>
        <v>Other</v>
      </c>
      <c r="F19" s="14">
        <f>VALUE(TRIM("6"))</f>
        <v>6</v>
      </c>
    </row>
    <row r="20" spans="1:6">
      <c r="A20" s="14">
        <f>VALUE(TRIM("702"))</f>
        <v>702</v>
      </c>
      <c r="B20" s="14" t="s">
        <v>256</v>
      </c>
      <c r="C20" s="14" t="str">
        <f>PROPER("Male")</f>
        <v>Male</v>
      </c>
      <c r="D20" s="14" t="str">
        <f>PROPER("Undergraduate")</f>
        <v>Undergraduate</v>
      </c>
      <c r="E20" s="14" t="str">
        <f>PROPER("USA")</f>
        <v>Usa</v>
      </c>
      <c r="F20" s="14">
        <f>VALUE(TRIM("4.7"))</f>
        <v>4.7</v>
      </c>
    </row>
  </sheetData>
  <mergeCells count="8">
    <mergeCell ref="A1:F1"/>
    <mergeCell ref="A2:F2"/>
    <mergeCell ref="A3:F3"/>
    <mergeCell ref="A4:F4"/>
    <mergeCell ref="A5:F5"/>
    <mergeCell ref="A6:F6"/>
    <mergeCell ref="A7:F7"/>
    <mergeCell ref="A8:F8"/>
  </mergeCell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workbookViewId="0">
      <selection activeCell="N17" sqref="N17"/>
    </sheetView>
  </sheetViews>
  <sheetFormatPr defaultColWidth="8.88888888888889" defaultRowHeight="14.4"/>
  <cols>
    <col min="1" max="1" width="24.1111111111111" customWidth="1"/>
    <col min="2" max="2" width="17.4444444444444" customWidth="1"/>
    <col min="3" max="3" width="19.4444444444444" customWidth="1"/>
    <col min="4" max="4" width="22.8888888888889" customWidth="1"/>
    <col min="5" max="5" width="18.5555555555556" customWidth="1"/>
    <col min="6" max="6" width="24.2222222222222" customWidth="1"/>
    <col min="7" max="7" width="20.8888888888889" customWidth="1"/>
    <col min="8" max="8" width="20.2222222222222" customWidth="1"/>
    <col min="9" max="10" width="23" customWidth="1"/>
    <col min="11" max="11" width="20.4444444444444" customWidth="1"/>
    <col min="12" max="12" width="22.7777777777778" customWidth="1"/>
    <col min="13" max="13" width="21.1111111111111" customWidth="1"/>
    <col min="14" max="14" width="33.3333333333333" customWidth="1"/>
    <col min="15" max="15" width="23.4444444444444" customWidth="1"/>
    <col min="16" max="16" width="25.4444444444444" customWidth="1"/>
  </cols>
  <sheetData>
    <row r="1" ht="15.6" spans="1:6">
      <c r="A1" s="1" t="s">
        <v>56</v>
      </c>
      <c r="B1" s="7"/>
      <c r="C1" s="7"/>
      <c r="D1" s="7"/>
      <c r="E1" s="7"/>
      <c r="F1" s="7"/>
    </row>
    <row r="2" spans="1:6">
      <c r="A2" s="3" t="s">
        <v>258</v>
      </c>
      <c r="B2" s="9"/>
      <c r="C2" s="9"/>
      <c r="D2" s="9"/>
      <c r="E2" s="9"/>
      <c r="F2" s="10"/>
    </row>
    <row r="3" spans="1:6">
      <c r="A3" s="3" t="s">
        <v>259</v>
      </c>
      <c r="B3" s="9"/>
      <c r="C3" s="9"/>
      <c r="D3" s="9"/>
      <c r="E3" s="9"/>
      <c r="F3" s="10"/>
    </row>
    <row r="4" spans="1:6">
      <c r="A4" s="3" t="s">
        <v>260</v>
      </c>
      <c r="B4" s="9"/>
      <c r="C4" s="9"/>
      <c r="D4" s="9"/>
      <c r="E4" s="9"/>
      <c r="F4" s="10"/>
    </row>
    <row r="5" spans="1:6">
      <c r="A5" s="3" t="s">
        <v>261</v>
      </c>
      <c r="B5" s="9"/>
      <c r="C5" s="9"/>
      <c r="D5" s="9"/>
      <c r="E5" s="9"/>
      <c r="F5" s="10"/>
    </row>
    <row r="6" spans="1:6">
      <c r="A6" s="3" t="s">
        <v>262</v>
      </c>
      <c r="B6" s="9"/>
      <c r="C6" s="9"/>
      <c r="D6" s="9"/>
      <c r="E6" s="9"/>
      <c r="F6" s="10"/>
    </row>
    <row r="7" spans="1:6">
      <c r="A7" s="3" t="s">
        <v>263</v>
      </c>
      <c r="B7" s="9"/>
      <c r="C7" s="9"/>
      <c r="D7" s="9"/>
      <c r="E7" s="9"/>
      <c r="F7" s="10"/>
    </row>
    <row r="8" spans="1:6">
      <c r="A8" s="3" t="s">
        <v>264</v>
      </c>
      <c r="B8" s="9"/>
      <c r="C8" s="9"/>
      <c r="D8" s="9"/>
      <c r="E8" s="9"/>
      <c r="F8" s="10"/>
    </row>
    <row r="14" spans="1:16">
      <c r="A14" t="s">
        <v>187</v>
      </c>
      <c r="B14" t="s">
        <v>188</v>
      </c>
      <c r="C14" t="s">
        <v>64</v>
      </c>
      <c r="D14" t="s">
        <v>189</v>
      </c>
      <c r="E14" t="s">
        <v>190</v>
      </c>
      <c r="F14" t="s">
        <v>191</v>
      </c>
      <c r="G14" t="s">
        <v>192</v>
      </c>
      <c r="H14" t="s">
        <v>193</v>
      </c>
      <c r="I14" t="s">
        <v>194</v>
      </c>
      <c r="J14" t="s">
        <v>195</v>
      </c>
      <c r="K14" t="s">
        <v>196</v>
      </c>
      <c r="L14" t="s">
        <v>265</v>
      </c>
      <c r="M14" t="s">
        <v>266</v>
      </c>
      <c r="N14" t="s">
        <v>267</v>
      </c>
      <c r="O14" t="s">
        <v>268</v>
      </c>
      <c r="P14" t="s">
        <v>269</v>
      </c>
    </row>
    <row r="15" spans="1:16">
      <c r="A15" s="14">
        <v>232</v>
      </c>
      <c r="B15" s="14">
        <v>21</v>
      </c>
      <c r="C15" s="14" t="s">
        <v>197</v>
      </c>
      <c r="D15" s="14" t="s">
        <v>198</v>
      </c>
      <c r="E15" s="14" t="s">
        <v>199</v>
      </c>
      <c r="F15" s="14">
        <v>4</v>
      </c>
      <c r="G15" s="14" t="s">
        <v>200</v>
      </c>
      <c r="H15" s="14" t="s">
        <v>201</v>
      </c>
      <c r="I15" s="14">
        <v>6.7</v>
      </c>
      <c r="J15" s="14">
        <v>6.8</v>
      </c>
      <c r="K15" s="14" t="s">
        <v>202</v>
      </c>
      <c r="L15" s="14">
        <f t="shared" ref="L15:L34" si="0">IFERROR(I15/F15,"ERROR")</f>
        <v>1.675</v>
      </c>
      <c r="M15" s="14" t="str" cm="1">
        <f t="array" ref="M15">_xlfn.IFS(I15&gt;=8,"Excellent",I15&gt;=6,"Good",I15&gt;=4,"Fair",I15&gt;=0,"Poor")</f>
        <v>Good</v>
      </c>
      <c r="N15" s="14" t="str">
        <f t="shared" ref="N15:N34" si="1">IF(AND(F15&gt;5,H15="Yes"),"At Risk","Not At Risk")</f>
        <v>Not At Risk</v>
      </c>
      <c r="O15" s="14" t="str">
        <f t="shared" ref="O15:O34" si="2">IF(J15&gt;=7,"Healthy",IF(J15&gt;=5,"Moderate","Low"))</f>
        <v>Moderate</v>
      </c>
      <c r="P15" s="14" t="str">
        <f t="shared" ref="P15:P34" si="3">IF(F15&gt;6,"high user ","moderate user ")</f>
        <v>moderate user </v>
      </c>
    </row>
    <row r="16" spans="1:16">
      <c r="A16" s="14">
        <v>564</v>
      </c>
      <c r="B16" s="14">
        <v>23</v>
      </c>
      <c r="C16" s="14" t="s">
        <v>203</v>
      </c>
      <c r="D16" s="14" t="s">
        <v>198</v>
      </c>
      <c r="E16" s="14" t="s">
        <v>199</v>
      </c>
      <c r="F16" s="14">
        <v>1.6</v>
      </c>
      <c r="G16" s="14" t="s">
        <v>204</v>
      </c>
      <c r="H16" s="14" t="s">
        <v>201</v>
      </c>
      <c r="I16" s="14">
        <v>8.6</v>
      </c>
      <c r="J16" s="14">
        <v>7.6</v>
      </c>
      <c r="K16" s="14" t="s">
        <v>205</v>
      </c>
      <c r="L16" s="14">
        <f t="shared" si="0"/>
        <v>5.375</v>
      </c>
      <c r="M16" s="14" t="str" cm="1">
        <f t="array" ref="M16">_xlfn.IFS(I16&gt;=8,"Excellent",I16&gt;=6,"Good",I16&gt;=4,"Fair",I16&gt;=0,"Poor")</f>
        <v>Excellent</v>
      </c>
      <c r="N16" s="14" t="str">
        <f t="shared" si="1"/>
        <v>Not At Risk</v>
      </c>
      <c r="O16" s="14" t="str">
        <f t="shared" si="2"/>
        <v>Healthy</v>
      </c>
      <c r="P16" s="14" t="str">
        <f t="shared" si="3"/>
        <v>moderate user </v>
      </c>
    </row>
    <row r="17" spans="1:16">
      <c r="A17" s="14">
        <v>788</v>
      </c>
      <c r="B17" s="14">
        <v>22</v>
      </c>
      <c r="C17" s="14" t="s">
        <v>197</v>
      </c>
      <c r="D17" s="14" t="s">
        <v>206</v>
      </c>
      <c r="E17" s="14" t="s">
        <v>270</v>
      </c>
      <c r="F17" s="14">
        <v>4.6</v>
      </c>
      <c r="G17" s="14" t="s">
        <v>208</v>
      </c>
      <c r="H17" s="14" t="s">
        <v>201</v>
      </c>
      <c r="I17" s="14">
        <v>6.7</v>
      </c>
      <c r="J17" s="14">
        <v>7</v>
      </c>
      <c r="K17" s="14" t="s">
        <v>202</v>
      </c>
      <c r="L17" s="14">
        <f t="shared" si="0"/>
        <v>1.45652173913044</v>
      </c>
      <c r="M17" s="14" t="str" cm="1">
        <f t="array" ref="M17">_xlfn.IFS(I17&gt;=8,"Excellent",I17&gt;=6,"Good",I17&gt;=4,"Fair",I17&gt;=0,"Poor")</f>
        <v>Good</v>
      </c>
      <c r="N17" s="14" t="str">
        <f t="shared" si="1"/>
        <v>Not At Risk</v>
      </c>
      <c r="O17" s="14" t="str">
        <f t="shared" si="2"/>
        <v>Healthy</v>
      </c>
      <c r="P17" s="14" t="str">
        <f t="shared" si="3"/>
        <v>moderate user </v>
      </c>
    </row>
    <row r="18" spans="1:16">
      <c r="A18" s="14">
        <v>686</v>
      </c>
      <c r="B18" s="14">
        <v>18</v>
      </c>
      <c r="C18" s="14" t="s">
        <v>197</v>
      </c>
      <c r="D18" s="14" t="s">
        <v>198</v>
      </c>
      <c r="E18" s="14" t="s">
        <v>199</v>
      </c>
      <c r="F18" s="14">
        <v>7</v>
      </c>
      <c r="G18" s="14" t="s">
        <v>209</v>
      </c>
      <c r="H18" s="14" t="s">
        <v>210</v>
      </c>
      <c r="I18" s="14">
        <v>5.4</v>
      </c>
      <c r="J18" s="14">
        <v>5.3</v>
      </c>
      <c r="K18" s="14" t="s">
        <v>211</v>
      </c>
      <c r="L18" s="14">
        <f t="shared" si="0"/>
        <v>0.771428571428571</v>
      </c>
      <c r="M18" s="14" t="str" cm="1">
        <f t="array" ref="M18">_xlfn.IFS(I18&gt;=8,"Excellent",I18&gt;=6,"Good",I18&gt;=4,"Fair",I18&gt;=0,"Poor")</f>
        <v>Fair</v>
      </c>
      <c r="N18" s="14" t="str">
        <f t="shared" si="1"/>
        <v>At Risk</v>
      </c>
      <c r="O18" s="14" t="str">
        <f t="shared" si="2"/>
        <v>Moderate</v>
      </c>
      <c r="P18" s="14" t="str">
        <f t="shared" si="3"/>
        <v>high user </v>
      </c>
    </row>
    <row r="19" spans="1:16">
      <c r="A19" s="14">
        <v>608</v>
      </c>
      <c r="B19" s="14">
        <v>24</v>
      </c>
      <c r="C19" s="14" t="s">
        <v>203</v>
      </c>
      <c r="D19" s="14" t="s">
        <v>212</v>
      </c>
      <c r="E19" s="14" t="s">
        <v>199</v>
      </c>
      <c r="F19" s="14">
        <v>7.5</v>
      </c>
      <c r="G19" s="14" t="s">
        <v>200</v>
      </c>
      <c r="H19" s="14" t="s">
        <v>210</v>
      </c>
      <c r="I19" s="14">
        <v>5</v>
      </c>
      <c r="J19" s="14">
        <v>4.4</v>
      </c>
      <c r="K19" s="14" t="s">
        <v>211</v>
      </c>
      <c r="L19" s="14">
        <f t="shared" si="0"/>
        <v>0.666666666666667</v>
      </c>
      <c r="M19" s="14" t="str" cm="1">
        <f t="array" ref="M19">_xlfn.IFS(I19&gt;=8,"Excellent",I19&gt;=6,"Good",I19&gt;=4,"Fair",I19&gt;=0,"Poor")</f>
        <v>Fair</v>
      </c>
      <c r="N19" s="14" t="str">
        <f t="shared" si="1"/>
        <v>At Risk</v>
      </c>
      <c r="O19" s="14" t="str">
        <f t="shared" si="2"/>
        <v>Low</v>
      </c>
      <c r="P19" s="14" t="str">
        <f t="shared" si="3"/>
        <v>high user </v>
      </c>
    </row>
    <row r="20" spans="1:16">
      <c r="A20" s="14">
        <v>370</v>
      </c>
      <c r="B20" s="14">
        <v>19</v>
      </c>
      <c r="C20" s="14" t="s">
        <v>203</v>
      </c>
      <c r="D20" s="14" t="s">
        <v>212</v>
      </c>
      <c r="E20" s="14" t="s">
        <v>199</v>
      </c>
      <c r="F20" s="14">
        <v>4.1</v>
      </c>
      <c r="G20" s="14" t="s">
        <v>271</v>
      </c>
      <c r="H20" s="14" t="s">
        <v>210</v>
      </c>
      <c r="I20" s="14">
        <v>6.8</v>
      </c>
      <c r="J20" s="14">
        <v>6.8</v>
      </c>
      <c r="K20" s="14" t="s">
        <v>202</v>
      </c>
      <c r="L20" s="14">
        <f t="shared" si="0"/>
        <v>1.65853658536585</v>
      </c>
      <c r="M20" s="14" t="str" cm="1">
        <f t="array" ref="M20">_xlfn.IFS(I20&gt;=8,"Excellent",I20&gt;=6,"Good",I20&gt;=4,"Fair",I20&gt;=0,"Poor")</f>
        <v>Good</v>
      </c>
      <c r="N20" s="14" t="str">
        <f t="shared" si="1"/>
        <v>Not At Risk</v>
      </c>
      <c r="O20" s="14" t="str">
        <f t="shared" si="2"/>
        <v>Moderate</v>
      </c>
      <c r="P20" s="14" t="str">
        <f t="shared" si="3"/>
        <v>moderate user </v>
      </c>
    </row>
    <row r="21" spans="1:16">
      <c r="A21" s="14">
        <v>862</v>
      </c>
      <c r="B21" s="14">
        <v>22</v>
      </c>
      <c r="C21" s="14" t="s">
        <v>203</v>
      </c>
      <c r="D21" s="14" t="s">
        <v>206</v>
      </c>
      <c r="E21" s="14" t="s">
        <v>199</v>
      </c>
      <c r="F21" s="14">
        <v>8</v>
      </c>
      <c r="G21" s="14" t="s">
        <v>208</v>
      </c>
      <c r="H21" s="14" t="s">
        <v>210</v>
      </c>
      <c r="I21" s="14">
        <v>5.2</v>
      </c>
      <c r="J21" s="14">
        <v>5.3</v>
      </c>
      <c r="K21" s="14" t="s">
        <v>211</v>
      </c>
      <c r="L21" s="14">
        <f t="shared" si="0"/>
        <v>0.65</v>
      </c>
      <c r="M21" s="14" t="str" cm="1">
        <f t="array" ref="M21">_xlfn.IFS(I21&gt;=8,"Excellent",I21&gt;=6,"Good",I21&gt;=4,"Fair",I21&gt;=0,"Poor")</f>
        <v>Fair</v>
      </c>
      <c r="N21" s="14" t="str">
        <f t="shared" si="1"/>
        <v>At Risk</v>
      </c>
      <c r="O21" s="14" t="str">
        <f t="shared" si="2"/>
        <v>Moderate</v>
      </c>
      <c r="P21" s="14" t="str">
        <f t="shared" si="3"/>
        <v>high user </v>
      </c>
    </row>
    <row r="22" spans="1:16">
      <c r="A22" s="14">
        <v>520</v>
      </c>
      <c r="B22" s="14">
        <v>21</v>
      </c>
      <c r="C22" s="14" t="s">
        <v>203</v>
      </c>
      <c r="D22" s="14" t="s">
        <v>206</v>
      </c>
      <c r="E22" s="14" t="s">
        <v>199</v>
      </c>
      <c r="F22" s="14">
        <v>6</v>
      </c>
      <c r="G22" s="14" t="s">
        <v>200</v>
      </c>
      <c r="H22" s="14" t="s">
        <v>210</v>
      </c>
      <c r="I22" s="14">
        <v>5.7</v>
      </c>
      <c r="J22" s="14">
        <v>4.7</v>
      </c>
      <c r="K22" s="14" t="s">
        <v>211</v>
      </c>
      <c r="L22" s="14">
        <f t="shared" si="0"/>
        <v>0.95</v>
      </c>
      <c r="M22" s="14" t="str" cm="1">
        <f t="array" ref="M22">_xlfn.IFS(I22&gt;=8,"Excellent",I22&gt;=6,"Good",I22&gt;=4,"Fair",I22&gt;=0,"Poor")</f>
        <v>Fair</v>
      </c>
      <c r="N22" s="14" t="str">
        <f t="shared" si="1"/>
        <v>At Risk</v>
      </c>
      <c r="O22" s="14" t="str">
        <f t="shared" si="2"/>
        <v>Low</v>
      </c>
      <c r="P22" s="14" t="str">
        <f t="shared" si="3"/>
        <v>moderate user </v>
      </c>
    </row>
    <row r="23" spans="1:16">
      <c r="A23" s="14">
        <v>703</v>
      </c>
      <c r="B23" s="14">
        <v>24</v>
      </c>
      <c r="C23" s="14" t="s">
        <v>197</v>
      </c>
      <c r="D23" s="14" t="s">
        <v>198</v>
      </c>
      <c r="E23" s="14" t="s">
        <v>270</v>
      </c>
      <c r="F23" s="14">
        <v>4.7</v>
      </c>
      <c r="G23" s="14" t="s">
        <v>215</v>
      </c>
      <c r="H23" s="14" t="s">
        <v>201</v>
      </c>
      <c r="I23" s="14">
        <v>7</v>
      </c>
      <c r="J23" s="14">
        <v>6.2</v>
      </c>
      <c r="K23" s="14" t="s">
        <v>202</v>
      </c>
      <c r="L23" s="14">
        <f t="shared" si="0"/>
        <v>1.48936170212766</v>
      </c>
      <c r="M23" s="14" t="str" cm="1">
        <f t="array" ref="M23">_xlfn.IFS(I23&gt;=8,"Excellent",I23&gt;=6,"Good",I23&gt;=4,"Fair",I23&gt;=0,"Poor")</f>
        <v>Good</v>
      </c>
      <c r="N23" s="14" t="str">
        <f t="shared" si="1"/>
        <v>Not At Risk</v>
      </c>
      <c r="O23" s="14" t="str">
        <f t="shared" si="2"/>
        <v>Moderate</v>
      </c>
      <c r="P23" s="14" t="str">
        <f t="shared" si="3"/>
        <v>moderate user </v>
      </c>
    </row>
    <row r="24" spans="1:16">
      <c r="A24" s="14">
        <v>33</v>
      </c>
      <c r="B24" s="14">
        <v>19</v>
      </c>
      <c r="C24" s="14" t="s">
        <v>197</v>
      </c>
      <c r="D24" s="14" t="s">
        <v>212</v>
      </c>
      <c r="E24" s="14" t="s">
        <v>199</v>
      </c>
      <c r="F24" s="14">
        <v>3.6</v>
      </c>
      <c r="G24" s="14" t="s">
        <v>216</v>
      </c>
      <c r="H24" s="14" t="s">
        <v>201</v>
      </c>
      <c r="I24" s="14">
        <v>8.1</v>
      </c>
      <c r="J24" s="14">
        <v>8.6</v>
      </c>
      <c r="K24" s="14" t="s">
        <v>205</v>
      </c>
      <c r="L24" s="14">
        <f t="shared" si="0"/>
        <v>2.25</v>
      </c>
      <c r="M24" s="14" t="str" cm="1">
        <f t="array" ref="M24">_xlfn.IFS(I24&gt;=8,"Excellent",I24&gt;=6,"Good",I24&gt;=4,"Fair",I24&gt;=0,"Poor")</f>
        <v>Excellent</v>
      </c>
      <c r="N24" s="14" t="str">
        <f t="shared" si="1"/>
        <v>Not At Risk</v>
      </c>
      <c r="O24" s="14" t="str">
        <f t="shared" si="2"/>
        <v>Healthy</v>
      </c>
      <c r="P24" s="14" t="str">
        <f t="shared" si="3"/>
        <v>moderate user </v>
      </c>
    </row>
    <row r="25" spans="1:16">
      <c r="A25" s="14">
        <v>519</v>
      </c>
      <c r="B25" s="14">
        <v>18</v>
      </c>
      <c r="C25" s="14" t="s">
        <v>197</v>
      </c>
      <c r="D25" s="14" t="s">
        <v>206</v>
      </c>
      <c r="E25" s="14" t="s">
        <v>199</v>
      </c>
      <c r="F25" s="14">
        <v>4.1</v>
      </c>
      <c r="G25" s="14" t="s">
        <v>204</v>
      </c>
      <c r="H25" s="14" t="s">
        <v>201</v>
      </c>
      <c r="I25" s="14">
        <v>7.3</v>
      </c>
      <c r="J25" s="14">
        <v>6.8</v>
      </c>
      <c r="K25" s="14" t="s">
        <v>202</v>
      </c>
      <c r="L25" s="14">
        <f t="shared" si="0"/>
        <v>1.78048780487805</v>
      </c>
      <c r="M25" s="14" t="str" cm="1">
        <f t="array" ref="M25">_xlfn.IFS(I25&gt;=8,"Excellent",I25&gt;=6,"Good",I25&gt;=4,"Fair",I25&gt;=0,"Poor")</f>
        <v>Good</v>
      </c>
      <c r="N25" s="14" t="str">
        <f t="shared" si="1"/>
        <v>Not At Risk</v>
      </c>
      <c r="O25" s="14" t="str">
        <f t="shared" si="2"/>
        <v>Moderate</v>
      </c>
      <c r="P25" s="14" t="str">
        <f t="shared" si="3"/>
        <v>moderate user </v>
      </c>
    </row>
    <row r="26" spans="1:16">
      <c r="A26" s="14">
        <v>738</v>
      </c>
      <c r="B26" s="14">
        <v>18</v>
      </c>
      <c r="C26" s="14" t="s">
        <v>197</v>
      </c>
      <c r="D26" s="14" t="s">
        <v>212</v>
      </c>
      <c r="E26" s="14" t="s">
        <v>199</v>
      </c>
      <c r="F26" s="14">
        <v>7.6</v>
      </c>
      <c r="G26" s="14" t="s">
        <v>209</v>
      </c>
      <c r="H26" s="14" t="s">
        <v>210</v>
      </c>
      <c r="I26" s="14">
        <v>5.3</v>
      </c>
      <c r="J26" s="14">
        <v>5.5</v>
      </c>
      <c r="K26" s="14" t="s">
        <v>211</v>
      </c>
      <c r="L26" s="14">
        <f t="shared" si="0"/>
        <v>0.697368421052632</v>
      </c>
      <c r="M26" s="14" t="str" cm="1">
        <f t="array" ref="M26">_xlfn.IFS(I26&gt;=8,"Excellent",I26&gt;=6,"Good",I26&gt;=4,"Fair",I26&gt;=0,"Poor")</f>
        <v>Fair</v>
      </c>
      <c r="N26" s="14" t="str">
        <f t="shared" si="1"/>
        <v>At Risk</v>
      </c>
      <c r="O26" s="14" t="str">
        <f t="shared" si="2"/>
        <v>Moderate</v>
      </c>
      <c r="P26" s="14" t="str">
        <f t="shared" si="3"/>
        <v>high user </v>
      </c>
    </row>
    <row r="27" spans="1:16">
      <c r="A27" s="14">
        <v>119</v>
      </c>
      <c r="B27" s="14">
        <v>20</v>
      </c>
      <c r="C27" s="14" t="s">
        <v>197</v>
      </c>
      <c r="D27" s="14" t="s">
        <v>198</v>
      </c>
      <c r="E27" s="14" t="s">
        <v>199</v>
      </c>
      <c r="F27" s="14">
        <v>2.4</v>
      </c>
      <c r="G27" s="14" t="s">
        <v>200</v>
      </c>
      <c r="H27" s="14" t="s">
        <v>201</v>
      </c>
      <c r="I27" s="14">
        <v>8.8</v>
      </c>
      <c r="J27" s="14">
        <v>8.5</v>
      </c>
      <c r="K27" s="14" t="s">
        <v>205</v>
      </c>
      <c r="L27" s="14">
        <f t="shared" si="0"/>
        <v>3.66666666666667</v>
      </c>
      <c r="M27" s="14" t="str" cm="1">
        <f t="array" ref="M27">_xlfn.IFS(I27&gt;=8,"Excellent",I27&gt;=6,"Good",I27&gt;=4,"Fair",I27&gt;=0,"Poor")</f>
        <v>Excellent</v>
      </c>
      <c r="N27" s="14" t="str">
        <f t="shared" si="1"/>
        <v>Not At Risk</v>
      </c>
      <c r="O27" s="14" t="str">
        <f t="shared" si="2"/>
        <v>Healthy</v>
      </c>
      <c r="P27" s="14" t="str">
        <f t="shared" si="3"/>
        <v>moderate user </v>
      </c>
    </row>
    <row r="28" spans="1:16">
      <c r="A28" s="14">
        <v>287</v>
      </c>
      <c r="B28" s="14">
        <v>23</v>
      </c>
      <c r="C28" s="14" t="s">
        <v>203</v>
      </c>
      <c r="D28" s="14" t="s">
        <v>198</v>
      </c>
      <c r="E28" s="14" t="s">
        <v>199</v>
      </c>
      <c r="F28" s="14">
        <v>6.2</v>
      </c>
      <c r="G28" s="14" t="s">
        <v>204</v>
      </c>
      <c r="H28" s="14" t="s">
        <v>201</v>
      </c>
      <c r="I28" s="14">
        <v>5.3</v>
      </c>
      <c r="J28" s="14">
        <v>5.4</v>
      </c>
      <c r="K28" s="14" t="s">
        <v>211</v>
      </c>
      <c r="L28" s="14">
        <f t="shared" si="0"/>
        <v>0.854838709677419</v>
      </c>
      <c r="M28" s="14" t="str" cm="1">
        <f t="array" ref="M28">_xlfn.IFS(I28&gt;=8,"Excellent",I28&gt;=6,"Good",I28&gt;=4,"Fair",I28&gt;=0,"Poor")</f>
        <v>Fair</v>
      </c>
      <c r="N28" s="14" t="str">
        <f t="shared" si="1"/>
        <v>Not At Risk</v>
      </c>
      <c r="O28" s="14" t="str">
        <f t="shared" si="2"/>
        <v>Moderate</v>
      </c>
      <c r="P28" s="14" t="str">
        <f t="shared" si="3"/>
        <v>high user </v>
      </c>
    </row>
    <row r="29" spans="1:16">
      <c r="A29" s="14">
        <v>610</v>
      </c>
      <c r="B29" s="14">
        <v>24</v>
      </c>
      <c r="C29" s="14" t="s">
        <v>197</v>
      </c>
      <c r="D29" s="14" t="s">
        <v>206</v>
      </c>
      <c r="E29" s="14" t="s">
        <v>217</v>
      </c>
      <c r="F29" s="14">
        <v>2.7</v>
      </c>
      <c r="G29" s="14" t="s">
        <v>208</v>
      </c>
      <c r="H29" s="14" t="s">
        <v>201</v>
      </c>
      <c r="I29" s="14">
        <v>8.6</v>
      </c>
      <c r="J29" s="14">
        <v>7.8</v>
      </c>
      <c r="K29" s="14" t="s">
        <v>205</v>
      </c>
      <c r="L29" s="14">
        <f t="shared" si="0"/>
        <v>3.18518518518518</v>
      </c>
      <c r="M29" s="14" t="str" cm="1">
        <f t="array" ref="M29">_xlfn.IFS(I29&gt;=8,"Excellent",I29&gt;=6,"Good",I29&gt;=4,"Fair",I29&gt;=0,"Poor")</f>
        <v>Excellent</v>
      </c>
      <c r="N29" s="14" t="str">
        <f t="shared" si="1"/>
        <v>Not At Risk</v>
      </c>
      <c r="O29" s="14" t="str">
        <f t="shared" si="2"/>
        <v>Healthy</v>
      </c>
      <c r="P29" s="14" t="str">
        <f t="shared" si="3"/>
        <v>moderate user </v>
      </c>
    </row>
    <row r="30" spans="1:16">
      <c r="A30" s="14">
        <v>383</v>
      </c>
      <c r="B30" s="14">
        <v>18</v>
      </c>
      <c r="C30" s="14" t="s">
        <v>203</v>
      </c>
      <c r="D30" s="14" t="s">
        <v>206</v>
      </c>
      <c r="E30" s="14" t="s">
        <v>199</v>
      </c>
      <c r="F30" s="14">
        <v>5.2</v>
      </c>
      <c r="G30" s="14" t="s">
        <v>213</v>
      </c>
      <c r="H30" s="14" t="s">
        <v>210</v>
      </c>
      <c r="I30" s="14">
        <v>7</v>
      </c>
      <c r="J30" s="14">
        <v>6.3</v>
      </c>
      <c r="K30" s="14" t="s">
        <v>202</v>
      </c>
      <c r="L30" s="14">
        <f t="shared" si="0"/>
        <v>1.34615384615385</v>
      </c>
      <c r="M30" s="14" t="str" cm="1">
        <f t="array" ref="M30">_xlfn.IFS(I30&gt;=8,"Excellent",I30&gt;=6,"Good",I30&gt;=4,"Fair",I30&gt;=0,"Poor")</f>
        <v>Good</v>
      </c>
      <c r="N30" s="14" t="str">
        <f t="shared" si="1"/>
        <v>At Risk</v>
      </c>
      <c r="O30" s="14" t="str">
        <f t="shared" si="2"/>
        <v>Moderate</v>
      </c>
      <c r="P30" s="14" t="str">
        <f t="shared" si="3"/>
        <v>moderate user </v>
      </c>
    </row>
    <row r="31" spans="1:16">
      <c r="A31" s="14">
        <v>699</v>
      </c>
      <c r="B31" s="14">
        <v>22</v>
      </c>
      <c r="C31" s="14" t="s">
        <v>203</v>
      </c>
      <c r="D31" s="14" t="s">
        <v>206</v>
      </c>
      <c r="E31" s="14" t="s">
        <v>270</v>
      </c>
      <c r="F31" s="14">
        <v>6.5</v>
      </c>
      <c r="G31" s="14" t="s">
        <v>215</v>
      </c>
      <c r="H31" s="14" t="s">
        <v>210</v>
      </c>
      <c r="I31" s="14">
        <v>5.4</v>
      </c>
      <c r="J31" s="14">
        <v>5</v>
      </c>
      <c r="K31" s="14" t="s">
        <v>211</v>
      </c>
      <c r="L31" s="14">
        <f t="shared" si="0"/>
        <v>0.830769230769231</v>
      </c>
      <c r="M31" s="14" t="str" cm="1">
        <f t="array" ref="M31">_xlfn.IFS(I31&gt;=8,"Excellent",I31&gt;=6,"Good",I31&gt;=4,"Fair",I31&gt;=0,"Poor")</f>
        <v>Fair</v>
      </c>
      <c r="N31" s="14" t="str">
        <f t="shared" si="1"/>
        <v>At Risk</v>
      </c>
      <c r="O31" s="14" t="str">
        <f t="shared" si="2"/>
        <v>Moderate</v>
      </c>
      <c r="P31" s="14" t="str">
        <f t="shared" si="3"/>
        <v>high user </v>
      </c>
    </row>
    <row r="32" spans="1:16">
      <c r="A32" s="14">
        <v>302</v>
      </c>
      <c r="B32" s="14">
        <v>21</v>
      </c>
      <c r="C32" s="14" t="s">
        <v>197</v>
      </c>
      <c r="D32" s="14" t="s">
        <v>212</v>
      </c>
      <c r="E32" s="14" t="s">
        <v>218</v>
      </c>
      <c r="F32" s="14">
        <v>6.8</v>
      </c>
      <c r="G32" s="14" t="s">
        <v>215</v>
      </c>
      <c r="H32" s="14" t="s">
        <v>210</v>
      </c>
      <c r="I32" s="14">
        <v>5.7</v>
      </c>
      <c r="J32" s="14">
        <v>5</v>
      </c>
      <c r="K32" s="14" t="s">
        <v>211</v>
      </c>
      <c r="L32" s="14">
        <f t="shared" si="0"/>
        <v>0.838235294117647</v>
      </c>
      <c r="M32" s="14" t="str" cm="1">
        <f t="array" ref="M32">_xlfn.IFS(I32&gt;=8,"Excellent",I32&gt;=6,"Good",I32&gt;=4,"Fair",I32&gt;=0,"Poor")</f>
        <v>Fair</v>
      </c>
      <c r="N32" s="14" t="str">
        <f t="shared" si="1"/>
        <v>At Risk</v>
      </c>
      <c r="O32" s="14" t="str">
        <f t="shared" si="2"/>
        <v>Moderate</v>
      </c>
      <c r="P32" s="14" t="str">
        <f t="shared" si="3"/>
        <v>high user </v>
      </c>
    </row>
    <row r="33" spans="1:16">
      <c r="A33" s="14">
        <v>277</v>
      </c>
      <c r="B33" s="14">
        <v>21</v>
      </c>
      <c r="C33" s="14" t="s">
        <v>197</v>
      </c>
      <c r="D33" s="14" t="s">
        <v>206</v>
      </c>
      <c r="E33" s="14" t="s">
        <v>270</v>
      </c>
      <c r="F33" s="14">
        <v>6.9</v>
      </c>
      <c r="G33" s="14" t="s">
        <v>200</v>
      </c>
      <c r="H33" s="14" t="s">
        <v>210</v>
      </c>
      <c r="I33" s="14">
        <v>5.9</v>
      </c>
      <c r="J33" s="14">
        <v>5</v>
      </c>
      <c r="K33" s="14" t="s">
        <v>211</v>
      </c>
      <c r="L33" s="14">
        <f t="shared" si="0"/>
        <v>0.855072463768116</v>
      </c>
      <c r="M33" s="14" t="str" cm="1">
        <f t="array" ref="M33">_xlfn.IFS(I33&gt;=8,"Excellent",I33&gt;=6,"Good",I33&gt;=4,"Fair",I33&gt;=0,"Poor")</f>
        <v>Fair</v>
      </c>
      <c r="N33" s="14" t="str">
        <f t="shared" si="1"/>
        <v>At Risk</v>
      </c>
      <c r="O33" s="14" t="str">
        <f t="shared" si="2"/>
        <v>Moderate</v>
      </c>
      <c r="P33" s="14" t="str">
        <f t="shared" si="3"/>
        <v>high user </v>
      </c>
    </row>
    <row r="34" spans="1:16">
      <c r="A34" s="14">
        <v>631</v>
      </c>
      <c r="B34" s="14">
        <v>20</v>
      </c>
      <c r="C34" s="14" t="s">
        <v>197</v>
      </c>
      <c r="D34" s="14" t="s">
        <v>198</v>
      </c>
      <c r="E34" s="14" t="s">
        <v>199</v>
      </c>
      <c r="F34" s="14">
        <v>5.5</v>
      </c>
      <c r="G34" s="14" t="s">
        <v>208</v>
      </c>
      <c r="H34" s="14" t="s">
        <v>201</v>
      </c>
      <c r="I34" s="14">
        <v>6.8</v>
      </c>
      <c r="J34" s="14">
        <v>6.8</v>
      </c>
      <c r="K34" s="14" t="s">
        <v>202</v>
      </c>
      <c r="L34" s="14">
        <f t="shared" si="0"/>
        <v>1.23636363636364</v>
      </c>
      <c r="M34" s="14" t="str" cm="1">
        <f t="array" ref="M34">_xlfn.IFS(I34&gt;=8,"Excellent",I34&gt;=6,"Good",I34&gt;=4,"Fair",I34&gt;=0,"Poor")</f>
        <v>Good</v>
      </c>
      <c r="N34" s="14" t="str">
        <f t="shared" si="1"/>
        <v>Not At Risk</v>
      </c>
      <c r="O34" s="14" t="str">
        <f t="shared" si="2"/>
        <v>Moderate</v>
      </c>
      <c r="P34" s="14" t="str">
        <f t="shared" si="3"/>
        <v>moderate user </v>
      </c>
    </row>
    <row r="35" spans="1:16">
      <c r="A35" s="14" t="s">
        <v>272</v>
      </c>
      <c r="B35" s="14">
        <f>COUNTIF(N15:N35,N21)</f>
        <v>9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</sheetData>
  <mergeCells count="8">
    <mergeCell ref="A1:F1"/>
    <mergeCell ref="A2:F2"/>
    <mergeCell ref="A3:F3"/>
    <mergeCell ref="A4:F4"/>
    <mergeCell ref="A5:F5"/>
    <mergeCell ref="A6:F6"/>
    <mergeCell ref="A7:F7"/>
    <mergeCell ref="A8:F8"/>
  </mergeCell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H80"/>
  <sheetViews>
    <sheetView topLeftCell="A43" workbookViewId="0">
      <selection activeCell="A69" sqref="A69:H80"/>
    </sheetView>
  </sheetViews>
  <sheetFormatPr defaultColWidth="8.88888888888889" defaultRowHeight="14.4" outlineLevelCol="7"/>
  <cols>
    <col min="1" max="1" width="18.8888888888889" customWidth="1"/>
    <col min="2" max="2" width="21.4444444444444" customWidth="1"/>
    <col min="3" max="3" width="24.3333333333333" customWidth="1"/>
    <col min="4" max="4" width="23.5555555555556" customWidth="1"/>
    <col min="5" max="5" width="21.8888888888889" customWidth="1"/>
    <col min="6" max="6" width="19.1111111111111" customWidth="1"/>
    <col min="7" max="7" width="22.7777777777778" customWidth="1"/>
    <col min="8" max="8" width="23.3333333333333" customWidth="1"/>
  </cols>
  <sheetData>
    <row r="4" spans="1:8">
      <c r="A4" s="4" t="s">
        <v>8</v>
      </c>
      <c r="B4" s="4" t="s">
        <v>80</v>
      </c>
      <c r="C4" s="4" t="s">
        <v>10</v>
      </c>
      <c r="D4" s="4" t="s">
        <v>11</v>
      </c>
      <c r="E4" s="4" t="s">
        <v>273</v>
      </c>
      <c r="F4" s="4" t="s">
        <v>135</v>
      </c>
      <c r="G4" s="4" t="s">
        <v>42</v>
      </c>
      <c r="H4" s="4" t="s">
        <v>274</v>
      </c>
    </row>
    <row r="5" spans="1:8">
      <c r="A5" s="5">
        <v>1001</v>
      </c>
      <c r="B5" s="5" t="s">
        <v>15</v>
      </c>
      <c r="C5" s="5" t="s">
        <v>16</v>
      </c>
      <c r="D5" s="5">
        <v>45000</v>
      </c>
      <c r="E5" s="5">
        <f>VLOOKUP(D5,$A$4:$H$14,4,1)</f>
        <v>58000</v>
      </c>
      <c r="F5" s="5" t="s">
        <v>154</v>
      </c>
      <c r="G5" s="5" t="s">
        <v>275</v>
      </c>
      <c r="H5" s="5">
        <v>13</v>
      </c>
    </row>
    <row r="6" spans="1:8">
      <c r="A6" s="6">
        <v>1002</v>
      </c>
      <c r="B6" s="6" t="s">
        <v>17</v>
      </c>
      <c r="C6" s="6" t="s">
        <v>18</v>
      </c>
      <c r="D6" s="6">
        <v>36000</v>
      </c>
      <c r="E6" s="5">
        <f>VLOOKUP(D6,$A$4:$H$14,4,1)</f>
        <v>58000</v>
      </c>
      <c r="F6" s="6" t="s">
        <v>164</v>
      </c>
      <c r="G6" s="6" t="s">
        <v>276</v>
      </c>
      <c r="H6" s="6">
        <v>16</v>
      </c>
    </row>
    <row r="7" spans="1:8">
      <c r="A7" s="5">
        <v>1003</v>
      </c>
      <c r="B7" s="5" t="s">
        <v>19</v>
      </c>
      <c r="C7" s="5" t="s">
        <v>16</v>
      </c>
      <c r="D7" s="5">
        <v>63000</v>
      </c>
      <c r="E7" s="5">
        <f>VLOOKUP(D7,$A$4:$H$14,4,1)</f>
        <v>58000</v>
      </c>
      <c r="F7" s="5" t="s">
        <v>277</v>
      </c>
      <c r="G7" s="5" t="s">
        <v>278</v>
      </c>
      <c r="H7" s="5">
        <v>17</v>
      </c>
    </row>
    <row r="8" spans="1:8">
      <c r="A8" s="6">
        <v>1004</v>
      </c>
      <c r="B8" s="6" t="s">
        <v>20</v>
      </c>
      <c r="C8" s="6" t="s">
        <v>21</v>
      </c>
      <c r="D8" s="6">
        <v>47000</v>
      </c>
      <c r="E8" s="5">
        <f>VLOOKUP(D8,$A$4:$H$14,4,1)</f>
        <v>58000</v>
      </c>
      <c r="F8" s="6" t="s">
        <v>149</v>
      </c>
      <c r="G8" s="6" t="s">
        <v>279</v>
      </c>
      <c r="H8" s="6">
        <v>15</v>
      </c>
    </row>
    <row r="9" spans="1:8">
      <c r="A9" s="5">
        <v>1005</v>
      </c>
      <c r="B9" s="5" t="s">
        <v>22</v>
      </c>
      <c r="C9" s="5" t="s">
        <v>23</v>
      </c>
      <c r="D9" s="5">
        <v>50000</v>
      </c>
      <c r="E9" s="5">
        <f>VLOOKUP(D9,$A$4:$H$14,4,1)</f>
        <v>58000</v>
      </c>
      <c r="F9" s="5" t="s">
        <v>152</v>
      </c>
      <c r="G9" s="5" t="s">
        <v>280</v>
      </c>
      <c r="H9" s="5">
        <v>16</v>
      </c>
    </row>
    <row r="10" spans="1:8">
      <c r="A10" s="6">
        <v>1006</v>
      </c>
      <c r="B10" s="6" t="s">
        <v>24</v>
      </c>
      <c r="C10" s="6" t="s">
        <v>25</v>
      </c>
      <c r="D10" s="6">
        <v>65000</v>
      </c>
      <c r="E10" s="5">
        <f>VLOOKUP(D10,$A$4:$H$14,4,1)</f>
        <v>58000</v>
      </c>
      <c r="F10" s="6" t="s">
        <v>281</v>
      </c>
      <c r="G10" s="6" t="s">
        <v>282</v>
      </c>
      <c r="H10" s="6">
        <v>12</v>
      </c>
    </row>
    <row r="11" spans="1:8">
      <c r="A11" s="5">
        <v>1007</v>
      </c>
      <c r="B11" s="5" t="s">
        <v>26</v>
      </c>
      <c r="C11" s="5" t="s">
        <v>27</v>
      </c>
      <c r="D11" s="5">
        <v>55000</v>
      </c>
      <c r="E11" s="5">
        <f>VLOOKUP(D11,$A$4:$H$14,4,1)</f>
        <v>58000</v>
      </c>
      <c r="F11" s="5" t="s">
        <v>283</v>
      </c>
      <c r="G11" s="5" t="s">
        <v>284</v>
      </c>
      <c r="H11" s="5">
        <v>9</v>
      </c>
    </row>
    <row r="12" spans="1:8">
      <c r="A12" s="6">
        <v>1008</v>
      </c>
      <c r="B12" s="6" t="s">
        <v>28</v>
      </c>
      <c r="C12" s="6" t="s">
        <v>16</v>
      </c>
      <c r="D12" s="6">
        <v>48000</v>
      </c>
      <c r="E12" s="5">
        <f>VLOOKUP(D12,$A$4:$H$14,4,1)</f>
        <v>58000</v>
      </c>
      <c r="F12" s="6" t="s">
        <v>154</v>
      </c>
      <c r="G12" s="6" t="s">
        <v>285</v>
      </c>
      <c r="H12" s="6">
        <v>12</v>
      </c>
    </row>
    <row r="13" spans="1:8">
      <c r="A13" s="5">
        <v>1009</v>
      </c>
      <c r="B13" s="5" t="s">
        <v>29</v>
      </c>
      <c r="C13" s="5" t="s">
        <v>21</v>
      </c>
      <c r="D13" s="5">
        <v>52000</v>
      </c>
      <c r="E13" s="5">
        <f>VLOOKUP(D13,$A$4:$H$14,4,1)</f>
        <v>58000</v>
      </c>
      <c r="F13" s="5" t="s">
        <v>149</v>
      </c>
      <c r="G13" s="5" t="s">
        <v>286</v>
      </c>
      <c r="H13" s="5">
        <v>11</v>
      </c>
    </row>
    <row r="14" spans="1:8">
      <c r="A14" s="6">
        <v>1010</v>
      </c>
      <c r="B14" s="6" t="s">
        <v>30</v>
      </c>
      <c r="C14" s="6" t="s">
        <v>21</v>
      </c>
      <c r="D14" s="6">
        <v>58000</v>
      </c>
      <c r="E14" s="5">
        <f>VLOOKUP(D14,$A$4:$H$14,4,1)</f>
        <v>58000</v>
      </c>
      <c r="F14" s="6" t="s">
        <v>287</v>
      </c>
      <c r="G14" s="6" t="s">
        <v>288</v>
      </c>
      <c r="H14" s="6">
        <v>13</v>
      </c>
    </row>
    <row r="20" spans="1:7">
      <c r="A20" s="3" t="s">
        <v>289</v>
      </c>
      <c r="B20" s="9"/>
      <c r="C20" s="9"/>
      <c r="D20" s="9"/>
      <c r="E20" s="9"/>
      <c r="F20" s="9"/>
      <c r="G20" s="10"/>
    </row>
    <row r="21" spans="1:7">
      <c r="A21" s="12" t="s">
        <v>290</v>
      </c>
      <c r="B21" s="12" t="s">
        <v>80</v>
      </c>
      <c r="C21" s="12" t="s">
        <v>41</v>
      </c>
      <c r="D21" s="12" t="s">
        <v>11</v>
      </c>
      <c r="E21" s="7"/>
      <c r="F21" s="7"/>
      <c r="G21" s="7"/>
    </row>
    <row r="22" spans="1:7">
      <c r="A22" s="7">
        <v>1005</v>
      </c>
      <c r="B22" s="13" t="str">
        <f>VLOOKUP($A22,'Project 11'!$A$4:$H$14,2,0)</f>
        <v>Toby Flenderson</v>
      </c>
      <c r="C22" s="13" t="str">
        <f>VLOOKUP($A22,'Project 11'!$A$4:$H$14,3,0)</f>
        <v>HR</v>
      </c>
      <c r="D22" s="13">
        <f>VLOOKUP($A22,'Project 11'!$A$4:$H$14,4,0)</f>
        <v>50000</v>
      </c>
      <c r="E22" s="7"/>
      <c r="F22" s="7"/>
      <c r="G22" s="7"/>
    </row>
    <row r="23" spans="1:7">
      <c r="A23" s="7">
        <v>1008</v>
      </c>
      <c r="B23" s="13" t="str">
        <f>VLOOKUP(A23,'Project 11'!$A$4:$H$14,2,0)</f>
        <v>Stanley Hudson</v>
      </c>
      <c r="C23" s="13" t="str">
        <f>VLOOKUP($A23,'Project 11'!$A$4:$H$14,3,0)</f>
        <v>Sales</v>
      </c>
      <c r="D23" s="13">
        <f>VLOOKUP($A23,'Project 11'!$A$4:$H$14,4,0)</f>
        <v>48000</v>
      </c>
      <c r="E23" s="7"/>
      <c r="F23" s="7"/>
      <c r="G23" s="7"/>
    </row>
    <row r="24" spans="1:7">
      <c r="A24" s="7"/>
      <c r="B24" s="13"/>
      <c r="C24" s="13"/>
      <c r="D24" s="13"/>
      <c r="E24" s="7"/>
      <c r="F24" s="7"/>
      <c r="G24" s="7"/>
    </row>
    <row r="25" spans="1:7">
      <c r="A25" s="7"/>
      <c r="B25" s="7"/>
      <c r="C25" s="7"/>
      <c r="D25" s="7"/>
      <c r="E25" s="7"/>
      <c r="F25" s="7"/>
      <c r="G25" s="7"/>
    </row>
    <row r="26" spans="1:7">
      <c r="A26" s="7"/>
      <c r="B26" s="7"/>
      <c r="C26" s="7"/>
      <c r="D26" s="7"/>
      <c r="E26" s="7"/>
      <c r="F26" s="7"/>
      <c r="G26" s="7"/>
    </row>
    <row r="27" spans="1:7">
      <c r="A27" s="7"/>
      <c r="B27" s="7"/>
      <c r="C27" s="7"/>
      <c r="D27" s="7"/>
      <c r="E27" s="7"/>
      <c r="F27" s="7"/>
      <c r="G27" s="7"/>
    </row>
    <row r="28" spans="1:7">
      <c r="A28" s="3" t="s">
        <v>291</v>
      </c>
      <c r="B28" s="9"/>
      <c r="C28" s="9"/>
      <c r="D28" s="9"/>
      <c r="E28" s="9"/>
      <c r="F28" s="9"/>
      <c r="G28" s="10"/>
    </row>
    <row r="29" spans="1:7">
      <c r="A29" s="12" t="s">
        <v>290</v>
      </c>
      <c r="B29" s="12" t="s">
        <v>80</v>
      </c>
      <c r="C29" s="12" t="s">
        <v>41</v>
      </c>
      <c r="D29" s="12" t="s">
        <v>11</v>
      </c>
      <c r="E29" s="7"/>
      <c r="F29" s="7"/>
      <c r="G29" s="7"/>
    </row>
    <row r="30" spans="1:7">
      <c r="A30" s="7">
        <v>1005</v>
      </c>
      <c r="B30" s="13" t="str" cm="1">
        <f t="array" ref="B30">INDEX('Project 11'!$A$4:$H$14,MATCH('Project 11'!$A$9,'Project 11'!$A$4:$A$14,0),2)</f>
        <v>Toby Flenderson</v>
      </c>
      <c r="C30" s="7" t="str" cm="1">
        <f t="array" ref="C30">INDEX('Project 11'!$A$4:$H$14,MATCH('Project 11'!$A$9,'Project 11'!$A$4:$A$14,0),3)</f>
        <v>HR</v>
      </c>
      <c r="D30" s="7" cm="1">
        <f t="array" ref="D30">INDEX('Project 11'!$A$4:$H$14,MATCH('Project 11'!$A$9,'Project 11'!$A$4:$A$14,0),4)</f>
        <v>50000</v>
      </c>
      <c r="E30" s="7"/>
      <c r="F30" s="7"/>
      <c r="G30" s="7"/>
    </row>
    <row r="31" spans="1:7">
      <c r="A31" s="7">
        <v>1008</v>
      </c>
      <c r="B31" s="13" t="str" cm="1">
        <f t="array" ref="B31">INDEX('Project 11'!$A$4:$H$14,MATCH('Project 11'!$A$12,'Project 11'!$A$4:$A$14,0),2)</f>
        <v>Stanley Hudson</v>
      </c>
      <c r="C31" s="7" t="str" cm="1">
        <f t="array" ref="C31">INDEX('Project 11'!$A$4:$H$14,MATCH('Project 11'!$A$12,'Project 11'!$A$4:$A$14,0),3)</f>
        <v>Sales</v>
      </c>
      <c r="D31" s="7" cm="1">
        <f t="array" ref="D31">INDEX('Project 11'!$A$4:$H$14,MATCH('Project 11'!$A$12,'Project 11'!$A$4:$A$14,0),4)</f>
        <v>48000</v>
      </c>
      <c r="E31" s="7"/>
      <c r="F31" s="7"/>
      <c r="G31" s="7"/>
    </row>
    <row r="32" spans="1:7">
      <c r="A32" s="7"/>
      <c r="B32" s="13"/>
      <c r="C32" s="7"/>
      <c r="D32" s="7"/>
      <c r="E32" s="7"/>
      <c r="F32" s="7"/>
      <c r="G32" s="7"/>
    </row>
    <row r="33" spans="1:7">
      <c r="A33" s="7"/>
      <c r="B33" s="13"/>
      <c r="C33" s="7"/>
      <c r="D33" s="7"/>
      <c r="E33" s="7"/>
      <c r="F33" s="7"/>
      <c r="G33" s="7"/>
    </row>
    <row r="34" spans="1:7">
      <c r="A34" s="7"/>
      <c r="B34" s="7"/>
      <c r="C34" s="7"/>
      <c r="D34" s="7"/>
      <c r="E34" s="7"/>
      <c r="F34" s="7"/>
      <c r="G34" s="7"/>
    </row>
    <row r="35" spans="1:7">
      <c r="A35" s="7"/>
      <c r="B35" s="7"/>
      <c r="C35" s="7"/>
      <c r="D35" s="7"/>
      <c r="E35" s="7"/>
      <c r="F35" s="7"/>
      <c r="G35" s="7"/>
    </row>
    <row r="36" spans="1:7">
      <c r="A36" s="7"/>
      <c r="B36" s="7"/>
      <c r="C36" s="7"/>
      <c r="D36" s="7"/>
      <c r="E36" s="7"/>
      <c r="F36" s="7"/>
      <c r="G36" s="7"/>
    </row>
    <row r="37" spans="1:7">
      <c r="A37" s="3" t="s">
        <v>292</v>
      </c>
      <c r="B37" s="9"/>
      <c r="C37" s="9"/>
      <c r="D37" s="9"/>
      <c r="E37" s="9"/>
      <c r="F37" s="9"/>
      <c r="G37" s="10"/>
    </row>
    <row r="38" spans="1:7">
      <c r="A38" s="12" t="s">
        <v>290</v>
      </c>
      <c r="B38" s="12" t="s">
        <v>80</v>
      </c>
      <c r="C38" s="12" t="s">
        <v>41</v>
      </c>
      <c r="D38" s="12" t="s">
        <v>11</v>
      </c>
      <c r="E38" s="7"/>
      <c r="F38" s="7"/>
      <c r="G38" s="7"/>
    </row>
    <row r="39" spans="1:7">
      <c r="A39" s="7">
        <v>1005</v>
      </c>
      <c r="B39" s="13" t="str">
        <f>VLOOKUP($A39,'Project 11'!$A$4:$H$14,2,0)</f>
        <v>Toby Flenderson</v>
      </c>
      <c r="C39" s="13" t="str">
        <f>VLOOKUP($A39,'Project 11'!$A$4:$H$14,3,0)</f>
        <v>HR</v>
      </c>
      <c r="D39" s="13">
        <f>VLOOKUP($A39,'Project 11'!$A$4:$H$14,4,0)</f>
        <v>50000</v>
      </c>
      <c r="E39" s="7"/>
      <c r="F39" s="7"/>
      <c r="G39" s="7"/>
    </row>
    <row r="40" spans="1:7">
      <c r="A40" s="7">
        <v>1008</v>
      </c>
      <c r="B40" s="13" t="str">
        <f>VLOOKUP(A40,'Project 11'!$A$4:$H$14,2,0)</f>
        <v>Stanley Hudson</v>
      </c>
      <c r="C40" s="13" t="str">
        <f>VLOOKUP($A40,'Project 11'!$A$4:$H$14,3,0)</f>
        <v>Sales</v>
      </c>
      <c r="D40" s="13">
        <f>VLOOKUP($A40,'Project 11'!$A$4:$H$14,4,0)</f>
        <v>48000</v>
      </c>
      <c r="E40" s="7"/>
      <c r="F40" s="7"/>
      <c r="G40" s="7"/>
    </row>
    <row r="41" spans="1:7">
      <c r="A41" s="7">
        <v>9999</v>
      </c>
      <c r="B41" s="13" t="str">
        <f>IFERROR(VLOOKUP(A41,'Project 11'!$A$4:$H$14,2,0),"ERROR")</f>
        <v>ERROR</v>
      </c>
      <c r="C41" s="13" t="str">
        <f>IFERROR(VLOOKUP(A41,'Project 11'!$A$4:$H$14,3,0),"ERROR")</f>
        <v>ERROR</v>
      </c>
      <c r="D41" s="13" t="str">
        <f>IFERROR(VLOOKUP(A41,'Project 11'!$A$4:$H$14,4,0),"ERROR")</f>
        <v>ERROR</v>
      </c>
      <c r="E41" s="7"/>
      <c r="F41" s="7"/>
      <c r="G41" s="7"/>
    </row>
    <row r="42" spans="1:7">
      <c r="A42" s="7"/>
      <c r="B42" s="7"/>
      <c r="C42" s="7"/>
      <c r="D42" s="7"/>
      <c r="E42" s="7"/>
      <c r="F42" s="7"/>
      <c r="G42" s="7"/>
    </row>
    <row r="43" spans="1:7">
      <c r="A43" s="7"/>
      <c r="B43" s="7"/>
      <c r="C43" s="7"/>
      <c r="D43" s="7"/>
      <c r="E43" s="7"/>
      <c r="F43" s="7"/>
      <c r="G43" s="7"/>
    </row>
    <row r="44" spans="1:7">
      <c r="A44" s="7"/>
      <c r="B44" s="7"/>
      <c r="C44" s="7"/>
      <c r="D44" s="7"/>
      <c r="E44" s="7"/>
      <c r="F44" s="7"/>
      <c r="G44" s="7"/>
    </row>
    <row r="45" spans="1:7">
      <c r="A45" s="3" t="s">
        <v>293</v>
      </c>
      <c r="B45" s="9"/>
      <c r="C45" s="9"/>
      <c r="D45" s="9"/>
      <c r="E45" s="9"/>
      <c r="F45" s="9"/>
      <c r="G45" s="10"/>
    </row>
    <row r="46" spans="1:7">
      <c r="A46" s="12" t="s">
        <v>290</v>
      </c>
      <c r="B46" s="12" t="s">
        <v>294</v>
      </c>
      <c r="C46" s="12" t="s">
        <v>41</v>
      </c>
      <c r="D46" s="12" t="s">
        <v>11</v>
      </c>
      <c r="E46" s="7"/>
      <c r="F46" s="7"/>
      <c r="G46" s="7"/>
    </row>
    <row r="47" spans="1:7">
      <c r="A47" s="7">
        <v>1008</v>
      </c>
      <c r="B47" s="13" t="str" cm="1">
        <f t="array" ref="B47">INDEX('Project 11'!$A$5:$H$14,MATCH($A47,'Project 11'!$A$5:$A$14,0),2)</f>
        <v>Stanley Hudson</v>
      </c>
      <c r="C47" s="13" t="str" cm="1">
        <f t="array" ref="C47">INDEX('Project 11'!$A$5:$H$14,MATCH($A47,'Project 11'!$A$5:$A$14,0),3)</f>
        <v>Sales</v>
      </c>
      <c r="D47" s="13" cm="1">
        <f t="array" ref="D47">INDEX('Project 11'!$A$5:$H$14,MATCH($A47,'Project 11'!$A$5:$A$14,0),4)</f>
        <v>48000</v>
      </c>
      <c r="E47" s="7"/>
      <c r="F47" s="7"/>
      <c r="G47" s="7"/>
    </row>
    <row r="48" spans="1:7">
      <c r="A48" s="7">
        <v>1005</v>
      </c>
      <c r="B48" s="13" t="str" cm="1">
        <f t="array" ref="B48">INDEX('Project 11'!$A$5:$H$14,MATCH($A48,'Project 11'!$A$5:$A$14,0),2)</f>
        <v>Toby Flenderson</v>
      </c>
      <c r="C48" s="13" t="str" cm="1">
        <f t="array" ref="C48">INDEX('Project 11'!$A$5:$H$14,MATCH($A48,'Project 11'!$A$5:$A$14,0),3)</f>
        <v>HR</v>
      </c>
      <c r="D48" s="13" cm="1">
        <f t="array" ref="D48">INDEX('Project 11'!$A$5:$H$14,MATCH($A48,'Project 11'!$A$5:$A$14,0),4)</f>
        <v>50000</v>
      </c>
      <c r="E48" s="7"/>
      <c r="F48" s="7"/>
      <c r="G48" s="7"/>
    </row>
    <row r="49" spans="1:7">
      <c r="A49" s="7"/>
      <c r="B49" s="13"/>
      <c r="C49" s="13"/>
      <c r="D49" s="13"/>
      <c r="E49" s="7"/>
      <c r="F49" s="7"/>
      <c r="G49" s="7"/>
    </row>
    <row r="50" spans="1:7">
      <c r="A50" s="7"/>
      <c r="B50" s="13"/>
      <c r="C50" s="13"/>
      <c r="D50" s="13"/>
      <c r="E50" s="7"/>
      <c r="F50" s="7"/>
      <c r="G50" s="7"/>
    </row>
    <row r="54" spans="1:7">
      <c r="A54" s="3" t="s">
        <v>295</v>
      </c>
      <c r="B54" s="9"/>
      <c r="C54" s="9"/>
      <c r="D54" s="9"/>
      <c r="E54" s="9"/>
      <c r="F54" s="9"/>
      <c r="G54" s="10"/>
    </row>
    <row r="55" spans="1:8">
      <c r="A55" s="4" t="s">
        <v>8</v>
      </c>
      <c r="B55" s="4" t="s">
        <v>80</v>
      </c>
      <c r="C55" s="4" t="s">
        <v>10</v>
      </c>
      <c r="D55" s="4" t="s">
        <v>11</v>
      </c>
      <c r="E55" s="4" t="s">
        <v>273</v>
      </c>
      <c r="F55" s="4" t="s">
        <v>135</v>
      </c>
      <c r="G55" s="4" t="s">
        <v>42</v>
      </c>
      <c r="H55" s="4" t="s">
        <v>274</v>
      </c>
    </row>
    <row r="56" spans="1:8">
      <c r="A56" s="5">
        <v>1001</v>
      </c>
      <c r="B56" s="5" t="s">
        <v>15</v>
      </c>
      <c r="C56" s="5" t="s">
        <v>16</v>
      </c>
      <c r="D56" s="5">
        <v>45000</v>
      </c>
      <c r="E56" s="5">
        <f>VLOOKUP(D56,$A$4:$H$14,4,1)</f>
        <v>58000</v>
      </c>
      <c r="F56" s="5" t="s">
        <v>154</v>
      </c>
      <c r="G56" s="5" t="s">
        <v>275</v>
      </c>
      <c r="H56" s="5">
        <v>13</v>
      </c>
    </row>
    <row r="57" spans="1:8">
      <c r="A57" s="6">
        <v>1002</v>
      </c>
      <c r="B57" s="6" t="s">
        <v>17</v>
      </c>
      <c r="C57" s="6" t="s">
        <v>18</v>
      </c>
      <c r="D57" s="6">
        <v>36000</v>
      </c>
      <c r="E57" s="5">
        <f>VLOOKUP(D57,$A$4:$H$14,4,1)</f>
        <v>58000</v>
      </c>
      <c r="F57" s="6" t="s">
        <v>164</v>
      </c>
      <c r="G57" s="6" t="s">
        <v>276</v>
      </c>
      <c r="H57" s="6">
        <v>16</v>
      </c>
    </row>
    <row r="58" spans="1:8">
      <c r="A58" s="5">
        <v>1003</v>
      </c>
      <c r="B58" s="5" t="s">
        <v>19</v>
      </c>
      <c r="C58" s="5" t="s">
        <v>16</v>
      </c>
      <c r="D58" s="5">
        <v>63000</v>
      </c>
      <c r="E58" s="5">
        <f>VLOOKUP(D58,$A$4:$H$14,4,1)</f>
        <v>58000</v>
      </c>
      <c r="F58" s="5" t="s">
        <v>277</v>
      </c>
      <c r="G58" s="5" t="s">
        <v>278</v>
      </c>
      <c r="H58" s="5">
        <v>17</v>
      </c>
    </row>
    <row r="59" spans="1:8">
      <c r="A59" s="6">
        <v>1004</v>
      </c>
      <c r="B59" s="6" t="s">
        <v>20</v>
      </c>
      <c r="C59" s="6" t="s">
        <v>21</v>
      </c>
      <c r="D59" s="6">
        <v>47000</v>
      </c>
      <c r="E59" s="5">
        <f>VLOOKUP(D59,$A$4:$H$14,4,1)</f>
        <v>58000</v>
      </c>
      <c r="F59" s="6" t="s">
        <v>149</v>
      </c>
      <c r="G59" s="6" t="s">
        <v>279</v>
      </c>
      <c r="H59" s="6">
        <v>15</v>
      </c>
    </row>
    <row r="60" spans="1:8">
      <c r="A60" s="5">
        <v>1005</v>
      </c>
      <c r="B60" s="5" t="s">
        <v>22</v>
      </c>
      <c r="C60" s="5" t="s">
        <v>23</v>
      </c>
      <c r="D60" s="5">
        <v>50000</v>
      </c>
      <c r="E60" s="5">
        <f>VLOOKUP(D60,$A$4:$H$14,4,1)</f>
        <v>58000</v>
      </c>
      <c r="F60" s="5" t="s">
        <v>152</v>
      </c>
      <c r="G60" s="5" t="s">
        <v>280</v>
      </c>
      <c r="H60" s="5">
        <v>16</v>
      </c>
    </row>
    <row r="61" spans="1:8">
      <c r="A61" s="6">
        <v>1006</v>
      </c>
      <c r="B61" s="6" t="s">
        <v>24</v>
      </c>
      <c r="C61" s="6" t="s">
        <v>25</v>
      </c>
      <c r="D61" s="6">
        <v>65000</v>
      </c>
      <c r="E61" s="5">
        <f>VLOOKUP(D61,$A$4:$H$14,4,1)</f>
        <v>58000</v>
      </c>
      <c r="F61" s="6" t="s">
        <v>281</v>
      </c>
      <c r="G61" s="6" t="s">
        <v>282</v>
      </c>
      <c r="H61" s="6">
        <v>12</v>
      </c>
    </row>
    <row r="62" spans="1:8">
      <c r="A62" s="5">
        <v>1007</v>
      </c>
      <c r="B62" s="5" t="s">
        <v>26</v>
      </c>
      <c r="C62" s="5" t="s">
        <v>27</v>
      </c>
      <c r="D62" s="5">
        <v>55000</v>
      </c>
      <c r="E62" s="5">
        <f>VLOOKUP(D62,$A$4:$H$14,4,1)</f>
        <v>58000</v>
      </c>
      <c r="F62" s="5" t="s">
        <v>283</v>
      </c>
      <c r="G62" s="5" t="s">
        <v>284</v>
      </c>
      <c r="H62" s="5">
        <v>9</v>
      </c>
    </row>
    <row r="63" spans="1:8">
      <c r="A63" s="6">
        <v>1008</v>
      </c>
      <c r="B63" s="6" t="s">
        <v>28</v>
      </c>
      <c r="C63" s="6" t="s">
        <v>16</v>
      </c>
      <c r="D63" s="6">
        <v>48000</v>
      </c>
      <c r="E63" s="5">
        <f>VLOOKUP(D63,$A$4:$H$14,4,1)</f>
        <v>58000</v>
      </c>
      <c r="F63" s="6" t="s">
        <v>154</v>
      </c>
      <c r="G63" s="6" t="s">
        <v>285</v>
      </c>
      <c r="H63" s="6">
        <v>12</v>
      </c>
    </row>
    <row r="64" spans="1:8">
      <c r="A64" s="5">
        <v>1009</v>
      </c>
      <c r="B64" s="5" t="s">
        <v>29</v>
      </c>
      <c r="C64" s="5" t="s">
        <v>21</v>
      </c>
      <c r="D64" s="5">
        <v>52000</v>
      </c>
      <c r="E64" s="5">
        <f>VLOOKUP(D64,$A$4:$H$14,4,1)</f>
        <v>58000</v>
      </c>
      <c r="F64" s="5" t="s">
        <v>149</v>
      </c>
      <c r="G64" s="5" t="s">
        <v>286</v>
      </c>
      <c r="H64" s="5">
        <v>11</v>
      </c>
    </row>
    <row r="65" spans="1:8">
      <c r="A65" s="6">
        <v>1010</v>
      </c>
      <c r="B65" s="6" t="s">
        <v>30</v>
      </c>
      <c r="C65" s="6" t="s">
        <v>21</v>
      </c>
      <c r="D65" s="6">
        <v>58000</v>
      </c>
      <c r="E65" s="5">
        <f>VLOOKUP(D65,$A$4:$H$14,4,1)</f>
        <v>58000</v>
      </c>
      <c r="F65" s="6" t="s">
        <v>287</v>
      </c>
      <c r="G65" s="6" t="s">
        <v>288</v>
      </c>
      <c r="H65" s="6">
        <v>13</v>
      </c>
    </row>
    <row r="69" spans="1:8">
      <c r="A69" s="3" t="s">
        <v>296</v>
      </c>
      <c r="B69" s="9"/>
      <c r="C69" s="9"/>
      <c r="D69" s="9"/>
      <c r="E69" s="9"/>
      <c r="F69" s="9"/>
      <c r="G69" s="10"/>
      <c r="H69" s="7"/>
    </row>
    <row r="70" spans="1:8">
      <c r="A70" s="4" t="s">
        <v>8</v>
      </c>
      <c r="B70" s="4" t="s">
        <v>80</v>
      </c>
      <c r="C70" s="4" t="s">
        <v>10</v>
      </c>
      <c r="D70" s="4" t="s">
        <v>11</v>
      </c>
      <c r="E70" s="4" t="s">
        <v>273</v>
      </c>
      <c r="F70" s="4" t="s">
        <v>135</v>
      </c>
      <c r="G70" s="4" t="s">
        <v>42</v>
      </c>
      <c r="H70" s="4" t="s">
        <v>274</v>
      </c>
    </row>
    <row r="71" spans="1:8">
      <c r="A71" s="5">
        <v>1001</v>
      </c>
      <c r="B71" s="5" t="s">
        <v>15</v>
      </c>
      <c r="C71" s="5" t="s">
        <v>16</v>
      </c>
      <c r="D71" s="5">
        <v>45000</v>
      </c>
      <c r="E71" s="5">
        <f>VLOOKUP(D71,'Project 11'!$A$4:$H$14,4,1)</f>
        <v>58000</v>
      </c>
      <c r="F71" s="5" t="s">
        <v>154</v>
      </c>
      <c r="G71" s="5" t="s">
        <v>275</v>
      </c>
      <c r="H71" s="5">
        <v>13</v>
      </c>
    </row>
    <row r="72" spans="1:8">
      <c r="A72" s="6">
        <v>1002</v>
      </c>
      <c r="B72" s="6" t="s">
        <v>17</v>
      </c>
      <c r="C72" s="6" t="s">
        <v>18</v>
      </c>
      <c r="D72" s="6">
        <v>36000</v>
      </c>
      <c r="E72" s="5">
        <f>VLOOKUP(D72,'Project 11'!$A$4:$H$14,4,1)</f>
        <v>58000</v>
      </c>
      <c r="F72" s="6" t="s">
        <v>164</v>
      </c>
      <c r="G72" s="6" t="s">
        <v>276</v>
      </c>
      <c r="H72" s="6">
        <v>16</v>
      </c>
    </row>
    <row r="73" spans="1:8">
      <c r="A73" s="5">
        <v>1003</v>
      </c>
      <c r="B73" s="5" t="s">
        <v>19</v>
      </c>
      <c r="C73" s="5" t="s">
        <v>16</v>
      </c>
      <c r="D73" s="5">
        <v>63000</v>
      </c>
      <c r="E73" s="5">
        <f>VLOOKUP(D73,'Project 11'!$A$4:$H$14,4,1)</f>
        <v>58000</v>
      </c>
      <c r="F73" s="5" t="s">
        <v>277</v>
      </c>
      <c r="G73" s="5" t="s">
        <v>278</v>
      </c>
      <c r="H73" s="5">
        <v>17</v>
      </c>
    </row>
    <row r="74" spans="1:8">
      <c r="A74" s="6">
        <v>1004</v>
      </c>
      <c r="B74" s="6" t="s">
        <v>20</v>
      </c>
      <c r="C74" s="6" t="s">
        <v>21</v>
      </c>
      <c r="D74" s="6">
        <v>47000</v>
      </c>
      <c r="E74" s="5">
        <f>VLOOKUP(D74,'Project 11'!$A$4:$H$14,4,1)</f>
        <v>58000</v>
      </c>
      <c r="F74" s="6" t="s">
        <v>149</v>
      </c>
      <c r="G74" s="6" t="s">
        <v>279</v>
      </c>
      <c r="H74" s="6">
        <v>15</v>
      </c>
    </row>
    <row r="75" spans="1:8">
      <c r="A75" s="5">
        <v>1005</v>
      </c>
      <c r="B75" s="5" t="s">
        <v>22</v>
      </c>
      <c r="C75" s="5" t="s">
        <v>23</v>
      </c>
      <c r="D75" s="5">
        <v>50000</v>
      </c>
      <c r="E75" s="5">
        <f>VLOOKUP(D75,'Project 11'!$A$4:$H$14,4,1)</f>
        <v>58000</v>
      </c>
      <c r="F75" s="5" t="s">
        <v>152</v>
      </c>
      <c r="G75" s="5" t="s">
        <v>280</v>
      </c>
      <c r="H75" s="5">
        <v>16</v>
      </c>
    </row>
    <row r="76" spans="1:8">
      <c r="A76" s="6">
        <v>1006</v>
      </c>
      <c r="B76" s="6" t="s">
        <v>24</v>
      </c>
      <c r="C76" s="6" t="s">
        <v>25</v>
      </c>
      <c r="D76" s="6">
        <v>65000</v>
      </c>
      <c r="E76" s="5">
        <f>VLOOKUP(D76,'Project 11'!$A$4:$H$14,4,1)</f>
        <v>58000</v>
      </c>
      <c r="F76" s="6" t="s">
        <v>281</v>
      </c>
      <c r="G76" s="6" t="s">
        <v>282</v>
      </c>
      <c r="H76" s="6">
        <v>12</v>
      </c>
    </row>
    <row r="77" spans="1:8">
      <c r="A77" s="5">
        <v>1007</v>
      </c>
      <c r="B77" s="5" t="s">
        <v>26</v>
      </c>
      <c r="C77" s="5" t="s">
        <v>27</v>
      </c>
      <c r="D77" s="5">
        <v>55000</v>
      </c>
      <c r="E77" s="5">
        <f>VLOOKUP(D77,'Project 11'!$A$4:$H$14,4,1)</f>
        <v>58000</v>
      </c>
      <c r="F77" s="5" t="s">
        <v>283</v>
      </c>
      <c r="G77" s="5" t="s">
        <v>284</v>
      </c>
      <c r="H77" s="5">
        <v>9</v>
      </c>
    </row>
    <row r="78" spans="1:8">
      <c r="A78" s="6">
        <v>1008</v>
      </c>
      <c r="B78" s="6" t="s">
        <v>28</v>
      </c>
      <c r="C78" s="6" t="s">
        <v>16</v>
      </c>
      <c r="D78" s="6">
        <v>48000</v>
      </c>
      <c r="E78" s="5">
        <f>VLOOKUP(D78,'Project 11'!$A$4:$H$14,4,1)</f>
        <v>58000</v>
      </c>
      <c r="F78" s="6" t="s">
        <v>154</v>
      </c>
      <c r="G78" s="6" t="s">
        <v>285</v>
      </c>
      <c r="H78" s="6">
        <v>12</v>
      </c>
    </row>
    <row r="79" spans="1:8">
      <c r="A79" s="5">
        <v>1009</v>
      </c>
      <c r="B79" s="5" t="s">
        <v>29</v>
      </c>
      <c r="C79" s="5" t="s">
        <v>21</v>
      </c>
      <c r="D79" s="5">
        <v>52000</v>
      </c>
      <c r="E79" s="5">
        <f>VLOOKUP(D79,'Project 11'!$A$4:$H$14,4,1)</f>
        <v>58000</v>
      </c>
      <c r="F79" s="5" t="s">
        <v>149</v>
      </c>
      <c r="G79" s="5" t="s">
        <v>286</v>
      </c>
      <c r="H79" s="5">
        <v>11</v>
      </c>
    </row>
    <row r="80" spans="1:8">
      <c r="A80" s="6">
        <v>1010</v>
      </c>
      <c r="B80" s="6" t="s">
        <v>30</v>
      </c>
      <c r="C80" s="6" t="s">
        <v>21</v>
      </c>
      <c r="D80" s="6">
        <v>58000</v>
      </c>
      <c r="E80" s="5">
        <f>VLOOKUP(D80,'Project 11'!$A$4:$H$14,4,1)</f>
        <v>58000</v>
      </c>
      <c r="F80" s="6" t="s">
        <v>287</v>
      </c>
      <c r="G80" s="6" t="s">
        <v>288</v>
      </c>
      <c r="H80" s="6">
        <v>13</v>
      </c>
    </row>
  </sheetData>
  <mergeCells count="6">
    <mergeCell ref="A20:G20"/>
    <mergeCell ref="A28:G28"/>
    <mergeCell ref="A37:G37"/>
    <mergeCell ref="A45:G45"/>
    <mergeCell ref="A54:G54"/>
    <mergeCell ref="A69:G69"/>
  </mergeCells>
  <dataValidations count="1">
    <dataValidation type="list" allowBlank="1" showInputMessage="1" showErrorMessage="1" sqref="A47:A50">
      <formula1>#REF!</formula1>
    </dataValidation>
  </dataValidations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opLeftCell="A65" workbookViewId="0">
      <selection activeCell="C53" sqref="C53"/>
    </sheetView>
  </sheetViews>
  <sheetFormatPr defaultColWidth="8.88888888888889" defaultRowHeight="14.4"/>
  <cols>
    <col min="1" max="1" width="26.6666666666667" customWidth="1"/>
    <col min="2" max="2" width="22.3333333333333" customWidth="1"/>
    <col min="3" max="3" width="25.7777777777778" customWidth="1"/>
    <col min="4" max="4" width="22.1111111111111" customWidth="1"/>
    <col min="5" max="5" width="18.6666666666667" customWidth="1"/>
    <col min="6" max="6" width="32.7777777777778" customWidth="1"/>
    <col min="7" max="7" width="23.5555555555556" customWidth="1"/>
    <col min="8" max="8" width="32.1111111111111" customWidth="1"/>
    <col min="9" max="9" width="29.2222222222222" customWidth="1"/>
    <col min="10" max="10" width="29" customWidth="1"/>
    <col min="11" max="11" width="24.7777777777778" customWidth="1"/>
    <col min="12" max="12" width="27.7777777777778" customWidth="1"/>
    <col min="13" max="13" width="27.8888888888889" customWidth="1"/>
  </cols>
  <sheetData>
    <row r="1" ht="15.6" spans="1:6">
      <c r="A1" s="1" t="s">
        <v>56</v>
      </c>
      <c r="B1" s="7"/>
      <c r="C1" s="7"/>
      <c r="D1" s="7"/>
      <c r="E1" s="7"/>
      <c r="F1" s="7"/>
    </row>
    <row r="2" spans="1:6">
      <c r="A2" s="3" t="s">
        <v>297</v>
      </c>
      <c r="B2" s="9"/>
      <c r="C2" s="9"/>
      <c r="D2" s="9"/>
      <c r="E2" s="9"/>
      <c r="F2" s="10"/>
    </row>
    <row r="3" spans="1:6">
      <c r="A3" s="3" t="s">
        <v>298</v>
      </c>
      <c r="B3" s="9"/>
      <c r="C3" s="9"/>
      <c r="D3" s="9"/>
      <c r="E3" s="9"/>
      <c r="F3" s="10"/>
    </row>
    <row r="8" spans="1:13">
      <c r="A8" s="4" t="s">
        <v>187</v>
      </c>
      <c r="B8" s="4" t="s">
        <v>188</v>
      </c>
      <c r="C8" s="4" t="s">
        <v>64</v>
      </c>
      <c r="D8" s="4" t="s">
        <v>189</v>
      </c>
      <c r="E8" s="4" t="s">
        <v>190</v>
      </c>
      <c r="F8" s="4" t="s">
        <v>191</v>
      </c>
      <c r="G8" s="4" t="s">
        <v>192</v>
      </c>
      <c r="H8" s="4" t="s">
        <v>193</v>
      </c>
      <c r="I8" s="4" t="s">
        <v>194</v>
      </c>
      <c r="J8" s="4" t="s">
        <v>195</v>
      </c>
      <c r="K8" s="4" t="s">
        <v>299</v>
      </c>
      <c r="L8" s="4" t="s">
        <v>300</v>
      </c>
      <c r="M8" s="4" t="s">
        <v>196</v>
      </c>
    </row>
    <row r="9" spans="1:13">
      <c r="A9" s="5">
        <v>232</v>
      </c>
      <c r="B9" s="5">
        <v>21</v>
      </c>
      <c r="C9" s="5" t="s">
        <v>197</v>
      </c>
      <c r="D9" s="5" t="s">
        <v>198</v>
      </c>
      <c r="E9" s="5" t="s">
        <v>199</v>
      </c>
      <c r="F9" s="5">
        <v>4</v>
      </c>
      <c r="G9" s="5" t="s">
        <v>200</v>
      </c>
      <c r="H9" s="5" t="s">
        <v>201</v>
      </c>
      <c r="I9" s="5">
        <v>6.7</v>
      </c>
      <c r="J9" s="5">
        <v>6.8</v>
      </c>
      <c r="K9" s="5"/>
      <c r="L9" s="5">
        <f>SUBTOTAL(2,$A$9:$A$28)</f>
        <v>20</v>
      </c>
      <c r="M9" s="5" t="s">
        <v>202</v>
      </c>
    </row>
    <row r="10" spans="1:13">
      <c r="A10" s="6">
        <v>564</v>
      </c>
      <c r="B10" s="6">
        <v>23</v>
      </c>
      <c r="C10" s="6" t="s">
        <v>203</v>
      </c>
      <c r="D10" s="6" t="s">
        <v>198</v>
      </c>
      <c r="E10" s="6" t="s">
        <v>199</v>
      </c>
      <c r="F10" s="6">
        <v>1.6</v>
      </c>
      <c r="G10" s="6" t="s">
        <v>204</v>
      </c>
      <c r="H10" s="6" t="s">
        <v>201</v>
      </c>
      <c r="I10" s="6">
        <v>8.6</v>
      </c>
      <c r="J10" s="6">
        <v>7.6</v>
      </c>
      <c r="K10" s="6"/>
      <c r="L10" s="6"/>
      <c r="M10" s="6" t="s">
        <v>205</v>
      </c>
    </row>
    <row r="11" spans="1:13">
      <c r="A11" s="5">
        <v>788</v>
      </c>
      <c r="B11" s="5">
        <v>22</v>
      </c>
      <c r="C11" s="5" t="s">
        <v>197</v>
      </c>
      <c r="D11" s="5" t="s">
        <v>206</v>
      </c>
      <c r="E11" s="5" t="s">
        <v>207</v>
      </c>
      <c r="F11" s="5">
        <v>4.6</v>
      </c>
      <c r="G11" s="5" t="s">
        <v>208</v>
      </c>
      <c r="H11" s="5" t="s">
        <v>201</v>
      </c>
      <c r="I11" s="5">
        <v>6.7</v>
      </c>
      <c r="J11" s="5">
        <v>7</v>
      </c>
      <c r="K11" s="5"/>
      <c r="L11" s="5"/>
      <c r="M11" s="5" t="s">
        <v>202</v>
      </c>
    </row>
    <row r="12" spans="1:13">
      <c r="A12" s="6">
        <v>686</v>
      </c>
      <c r="B12" s="6">
        <v>18</v>
      </c>
      <c r="C12" s="6" t="s">
        <v>197</v>
      </c>
      <c r="D12" s="6" t="s">
        <v>198</v>
      </c>
      <c r="E12" s="6" t="s">
        <v>199</v>
      </c>
      <c r="F12" s="6">
        <v>7</v>
      </c>
      <c r="G12" s="6" t="s">
        <v>209</v>
      </c>
      <c r="H12" s="6" t="s">
        <v>210</v>
      </c>
      <c r="I12" s="6">
        <v>5.4</v>
      </c>
      <c r="J12" s="6">
        <v>5.3</v>
      </c>
      <c r="K12" s="6"/>
      <c r="L12" s="6"/>
      <c r="M12" s="6" t="s">
        <v>211</v>
      </c>
    </row>
    <row r="13" spans="1:13">
      <c r="A13" s="5">
        <v>608</v>
      </c>
      <c r="B13" s="5">
        <v>24</v>
      </c>
      <c r="C13" s="5" t="s">
        <v>203</v>
      </c>
      <c r="D13" s="5" t="s">
        <v>212</v>
      </c>
      <c r="E13" s="5" t="s">
        <v>199</v>
      </c>
      <c r="F13" s="5">
        <v>7.5</v>
      </c>
      <c r="G13" s="5" t="s">
        <v>200</v>
      </c>
      <c r="H13" s="5" t="s">
        <v>210</v>
      </c>
      <c r="I13" s="5">
        <v>5</v>
      </c>
      <c r="J13" s="5">
        <v>4.4</v>
      </c>
      <c r="K13" s="5"/>
      <c r="L13" s="5"/>
      <c r="M13" s="5" t="s">
        <v>211</v>
      </c>
    </row>
    <row r="14" spans="1:13">
      <c r="A14" s="6">
        <v>370</v>
      </c>
      <c r="B14" s="6">
        <v>19</v>
      </c>
      <c r="C14" s="6" t="s">
        <v>203</v>
      </c>
      <c r="D14" s="6" t="s">
        <v>212</v>
      </c>
      <c r="E14" s="6" t="s">
        <v>199</v>
      </c>
      <c r="F14" s="6">
        <v>4.1</v>
      </c>
      <c r="G14" s="6" t="s">
        <v>213</v>
      </c>
      <c r="H14" s="6" t="s">
        <v>210</v>
      </c>
      <c r="I14" s="6">
        <v>6.8</v>
      </c>
      <c r="J14" s="6">
        <v>6.8</v>
      </c>
      <c r="K14" s="6"/>
      <c r="L14" s="6"/>
      <c r="M14" s="6" t="s">
        <v>202</v>
      </c>
    </row>
    <row r="15" spans="1:13">
      <c r="A15" s="5">
        <v>862</v>
      </c>
      <c r="B15" s="5">
        <v>22</v>
      </c>
      <c r="C15" s="5" t="s">
        <v>203</v>
      </c>
      <c r="D15" s="5" t="s">
        <v>206</v>
      </c>
      <c r="E15" s="5" t="s">
        <v>199</v>
      </c>
      <c r="F15" s="5">
        <v>8</v>
      </c>
      <c r="G15" s="5" t="s">
        <v>208</v>
      </c>
      <c r="H15" s="5" t="s">
        <v>210</v>
      </c>
      <c r="I15" s="5">
        <v>5.2</v>
      </c>
      <c r="J15" s="5">
        <v>5.3</v>
      </c>
      <c r="K15" s="5"/>
      <c r="L15" s="5"/>
      <c r="M15" s="5" t="s">
        <v>211</v>
      </c>
    </row>
    <row r="16" spans="1:13">
      <c r="A16" s="6">
        <v>520</v>
      </c>
      <c r="B16" s="6">
        <v>21</v>
      </c>
      <c r="C16" s="6" t="s">
        <v>203</v>
      </c>
      <c r="D16" s="6" t="s">
        <v>206</v>
      </c>
      <c r="E16" s="6" t="s">
        <v>199</v>
      </c>
      <c r="F16" s="6">
        <v>6</v>
      </c>
      <c r="G16" s="6" t="s">
        <v>200</v>
      </c>
      <c r="H16" s="6" t="s">
        <v>210</v>
      </c>
      <c r="I16" s="6">
        <v>5.7</v>
      </c>
      <c r="J16" s="6">
        <v>4.7</v>
      </c>
      <c r="K16" s="6"/>
      <c r="L16" s="6"/>
      <c r="M16" s="6" t="s">
        <v>211</v>
      </c>
    </row>
    <row r="17" spans="1:13">
      <c r="A17" s="5">
        <v>703</v>
      </c>
      <c r="B17" s="5">
        <v>24</v>
      </c>
      <c r="C17" s="5" t="s">
        <v>197</v>
      </c>
      <c r="D17" s="5" t="s">
        <v>198</v>
      </c>
      <c r="E17" s="5" t="s">
        <v>214</v>
      </c>
      <c r="F17" s="5">
        <v>4.7</v>
      </c>
      <c r="G17" s="5" t="s">
        <v>215</v>
      </c>
      <c r="H17" s="5" t="s">
        <v>201</v>
      </c>
      <c r="I17" s="5">
        <v>7</v>
      </c>
      <c r="J17" s="5">
        <v>6.2</v>
      </c>
      <c r="K17" s="5"/>
      <c r="L17" s="5"/>
      <c r="M17" s="5" t="s">
        <v>202</v>
      </c>
    </row>
    <row r="18" spans="1:13">
      <c r="A18" s="6">
        <v>33</v>
      </c>
      <c r="B18" s="6">
        <v>19</v>
      </c>
      <c r="C18" s="6" t="s">
        <v>197</v>
      </c>
      <c r="D18" s="6" t="s">
        <v>212</v>
      </c>
      <c r="E18" s="6" t="s">
        <v>199</v>
      </c>
      <c r="F18" s="6">
        <v>3.6</v>
      </c>
      <c r="G18" s="6" t="s">
        <v>216</v>
      </c>
      <c r="H18" s="6" t="s">
        <v>201</v>
      </c>
      <c r="I18" s="6">
        <v>8.1</v>
      </c>
      <c r="J18" s="6">
        <v>8.6</v>
      </c>
      <c r="K18" s="6"/>
      <c r="L18" s="6"/>
      <c r="M18" s="6" t="s">
        <v>205</v>
      </c>
    </row>
    <row r="19" spans="1:13">
      <c r="A19" s="5">
        <v>519</v>
      </c>
      <c r="B19" s="5">
        <v>18</v>
      </c>
      <c r="C19" s="5" t="s">
        <v>197</v>
      </c>
      <c r="D19" s="5" t="s">
        <v>206</v>
      </c>
      <c r="E19" s="5" t="s">
        <v>199</v>
      </c>
      <c r="F19" s="5">
        <v>4.1</v>
      </c>
      <c r="G19" s="5" t="s">
        <v>204</v>
      </c>
      <c r="H19" s="5" t="s">
        <v>201</v>
      </c>
      <c r="I19" s="5">
        <v>7.3</v>
      </c>
      <c r="J19" s="5">
        <v>6.8</v>
      </c>
      <c r="K19" s="5"/>
      <c r="L19" s="5"/>
      <c r="M19" s="5" t="s">
        <v>202</v>
      </c>
    </row>
    <row r="20" spans="1:13">
      <c r="A20" s="6">
        <v>738</v>
      </c>
      <c r="B20" s="6">
        <v>18</v>
      </c>
      <c r="C20" s="6" t="s">
        <v>197</v>
      </c>
      <c r="D20" s="6" t="s">
        <v>212</v>
      </c>
      <c r="E20" s="6" t="s">
        <v>199</v>
      </c>
      <c r="F20" s="6">
        <v>7.6</v>
      </c>
      <c r="G20" s="6" t="s">
        <v>209</v>
      </c>
      <c r="H20" s="6" t="s">
        <v>210</v>
      </c>
      <c r="I20" s="6">
        <v>5.3</v>
      </c>
      <c r="J20" s="6">
        <v>5.5</v>
      </c>
      <c r="K20" s="6"/>
      <c r="L20" s="6"/>
      <c r="M20" s="6" t="s">
        <v>211</v>
      </c>
    </row>
    <row r="21" spans="1:13">
      <c r="A21" s="5">
        <v>119</v>
      </c>
      <c r="B21" s="5">
        <v>20</v>
      </c>
      <c r="C21" s="5" t="s">
        <v>197</v>
      </c>
      <c r="D21" s="5" t="s">
        <v>198</v>
      </c>
      <c r="E21" s="5" t="s">
        <v>199</v>
      </c>
      <c r="F21" s="5">
        <v>2.4</v>
      </c>
      <c r="G21" s="5" t="s">
        <v>200</v>
      </c>
      <c r="H21" s="5" t="s">
        <v>201</v>
      </c>
      <c r="I21" s="5">
        <v>8.8</v>
      </c>
      <c r="J21" s="5">
        <v>8.5</v>
      </c>
      <c r="K21" s="5"/>
      <c r="L21" s="5"/>
      <c r="M21" s="5" t="s">
        <v>205</v>
      </c>
    </row>
    <row r="22" spans="1:13">
      <c r="A22" s="6">
        <v>287</v>
      </c>
      <c r="B22" s="6">
        <v>23</v>
      </c>
      <c r="C22" s="6" t="s">
        <v>203</v>
      </c>
      <c r="D22" s="6" t="s">
        <v>198</v>
      </c>
      <c r="E22" s="6" t="s">
        <v>199</v>
      </c>
      <c r="F22" s="6">
        <v>6.2</v>
      </c>
      <c r="G22" s="6" t="s">
        <v>204</v>
      </c>
      <c r="H22" s="6" t="s">
        <v>201</v>
      </c>
      <c r="I22" s="6">
        <v>5.3</v>
      </c>
      <c r="J22" s="6">
        <v>5.4</v>
      </c>
      <c r="K22" s="6"/>
      <c r="L22" s="6"/>
      <c r="M22" s="6" t="s">
        <v>211</v>
      </c>
    </row>
    <row r="23" spans="1:13">
      <c r="A23" s="5">
        <v>610</v>
      </c>
      <c r="B23" s="5">
        <v>24</v>
      </c>
      <c r="C23" s="5" t="s">
        <v>197</v>
      </c>
      <c r="D23" s="5" t="s">
        <v>206</v>
      </c>
      <c r="E23" s="5" t="s">
        <v>217</v>
      </c>
      <c r="F23" s="5">
        <v>2.7</v>
      </c>
      <c r="G23" s="5" t="s">
        <v>208</v>
      </c>
      <c r="H23" s="5" t="s">
        <v>201</v>
      </c>
      <c r="I23" s="5">
        <v>8.6</v>
      </c>
      <c r="J23" s="5">
        <v>7.8</v>
      </c>
      <c r="K23" s="5"/>
      <c r="L23" s="5"/>
      <c r="M23" s="5" t="s">
        <v>205</v>
      </c>
    </row>
    <row r="24" spans="1:13">
      <c r="A24" s="6">
        <v>383</v>
      </c>
      <c r="B24" s="6">
        <v>18</v>
      </c>
      <c r="C24" s="6" t="s">
        <v>203</v>
      </c>
      <c r="D24" s="6" t="s">
        <v>206</v>
      </c>
      <c r="E24" s="6" t="s">
        <v>199</v>
      </c>
      <c r="F24" s="6">
        <v>5.2</v>
      </c>
      <c r="G24" s="6" t="s">
        <v>213</v>
      </c>
      <c r="H24" s="6" t="s">
        <v>210</v>
      </c>
      <c r="I24" s="6">
        <v>7</v>
      </c>
      <c r="J24" s="6">
        <v>6.3</v>
      </c>
      <c r="K24" s="6"/>
      <c r="L24" s="6"/>
      <c r="M24" s="6" t="s">
        <v>202</v>
      </c>
    </row>
    <row r="25" spans="1:13">
      <c r="A25" s="5">
        <v>699</v>
      </c>
      <c r="B25" s="5">
        <v>22</v>
      </c>
      <c r="C25" s="5" t="s">
        <v>203</v>
      </c>
      <c r="D25" s="5" t="s">
        <v>206</v>
      </c>
      <c r="E25" s="5" t="s">
        <v>214</v>
      </c>
      <c r="F25" s="5">
        <v>6.5</v>
      </c>
      <c r="G25" s="5" t="s">
        <v>215</v>
      </c>
      <c r="H25" s="5" t="s">
        <v>210</v>
      </c>
      <c r="I25" s="5">
        <v>5.4</v>
      </c>
      <c r="J25" s="5">
        <v>5</v>
      </c>
      <c r="K25" s="5"/>
      <c r="L25" s="5"/>
      <c r="M25" s="5" t="s">
        <v>211</v>
      </c>
    </row>
    <row r="26" spans="1:13">
      <c r="A26" s="6">
        <v>302</v>
      </c>
      <c r="B26" s="6">
        <v>21</v>
      </c>
      <c r="C26" s="6" t="s">
        <v>197</v>
      </c>
      <c r="D26" s="6" t="s">
        <v>212</v>
      </c>
      <c r="E26" s="6" t="s">
        <v>218</v>
      </c>
      <c r="F26" s="6">
        <v>6.8</v>
      </c>
      <c r="G26" s="6" t="s">
        <v>215</v>
      </c>
      <c r="H26" s="6" t="s">
        <v>210</v>
      </c>
      <c r="I26" s="6">
        <v>5.7</v>
      </c>
      <c r="J26" s="6">
        <v>5</v>
      </c>
      <c r="K26" s="6"/>
      <c r="L26" s="6"/>
      <c r="M26" s="6" t="s">
        <v>211</v>
      </c>
    </row>
    <row r="27" spans="1:13">
      <c r="A27" s="5">
        <v>277</v>
      </c>
      <c r="B27" s="5">
        <v>21</v>
      </c>
      <c r="C27" s="5" t="s">
        <v>197</v>
      </c>
      <c r="D27" s="5" t="s">
        <v>206</v>
      </c>
      <c r="E27" s="5" t="s">
        <v>207</v>
      </c>
      <c r="F27" s="5">
        <v>6.9</v>
      </c>
      <c r="G27" s="5" t="s">
        <v>200</v>
      </c>
      <c r="H27" s="5" t="s">
        <v>210</v>
      </c>
      <c r="I27" s="5">
        <v>5.9</v>
      </c>
      <c r="J27" s="5">
        <v>5</v>
      </c>
      <c r="K27" s="5"/>
      <c r="L27" s="5"/>
      <c r="M27" s="5" t="s">
        <v>211</v>
      </c>
    </row>
    <row r="28" spans="1:13">
      <c r="A28" s="6">
        <v>631</v>
      </c>
      <c r="B28" s="6">
        <v>20</v>
      </c>
      <c r="C28" s="6" t="s">
        <v>197</v>
      </c>
      <c r="D28" s="6" t="s">
        <v>198</v>
      </c>
      <c r="E28" s="6" t="s">
        <v>199</v>
      </c>
      <c r="F28" s="6">
        <v>5.5</v>
      </c>
      <c r="G28" s="6" t="s">
        <v>208</v>
      </c>
      <c r="H28" s="6" t="s">
        <v>201</v>
      </c>
      <c r="I28" s="6">
        <v>6.8</v>
      </c>
      <c r="J28" s="6">
        <v>6.8</v>
      </c>
      <c r="K28" s="6"/>
      <c r="L28" s="6"/>
      <c r="M28" s="6" t="s">
        <v>202</v>
      </c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ht="15.6" spans="1:13">
      <c r="A30" s="11" t="s">
        <v>301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4" t="s">
        <v>302</v>
      </c>
      <c r="B31" s="4" t="s">
        <v>303</v>
      </c>
      <c r="C31" s="4" t="s">
        <v>304</v>
      </c>
      <c r="D31" s="4" t="s">
        <v>305</v>
      </c>
      <c r="E31" s="4" t="s">
        <v>306</v>
      </c>
      <c r="F31" s="7"/>
      <c r="G31" s="7"/>
      <c r="H31" s="7"/>
      <c r="I31" s="7"/>
      <c r="J31" s="7"/>
      <c r="K31" s="7"/>
      <c r="L31" s="7"/>
      <c r="M31" s="7"/>
    </row>
    <row r="32" spans="1:13">
      <c r="A32" s="5" t="s">
        <v>307</v>
      </c>
      <c r="B32" s="5">
        <f>SUBTOTAL(3,$C$9:$C$28)</f>
        <v>20</v>
      </c>
      <c r="C32" s="5">
        <f>SUBTOTAL(3,$A$9:$A$28)</f>
        <v>20</v>
      </c>
      <c r="D32" s="5">
        <f>SUBTOTAL(3,$A$9:$A$28)</f>
        <v>20</v>
      </c>
      <c r="E32" s="5" t="s">
        <v>308</v>
      </c>
      <c r="F32" s="7"/>
      <c r="G32" s="7"/>
      <c r="H32" s="7"/>
      <c r="I32" s="7"/>
      <c r="J32" s="7"/>
      <c r="K32" s="7"/>
      <c r="L32" s="7"/>
      <c r="M32" s="7"/>
    </row>
    <row r="33" spans="1:13">
      <c r="A33" s="6" t="s">
        <v>309</v>
      </c>
      <c r="B33" s="6">
        <f>SUBTOTAL(1,$F$9:$F$28)</f>
        <v>5.25</v>
      </c>
      <c r="C33" s="6">
        <f>SUBTOTAL(1,$F$9:$F$28)</f>
        <v>5.25</v>
      </c>
      <c r="D33" s="6">
        <f>SUBTOTAL(1,$F$9:$F$28)</f>
        <v>5.25</v>
      </c>
      <c r="E33" s="6" t="s">
        <v>310</v>
      </c>
      <c r="F33" s="7"/>
      <c r="G33" s="7"/>
      <c r="H33" s="7"/>
      <c r="I33" s="7"/>
      <c r="J33" s="7"/>
      <c r="K33" s="7"/>
      <c r="L33" s="7"/>
      <c r="M33" s="7"/>
    </row>
    <row r="34" spans="1:13">
      <c r="A34" s="5" t="s">
        <v>311</v>
      </c>
      <c r="B34" s="5">
        <f>SUBTOTAL(9,$F$9:$F$28)</f>
        <v>105</v>
      </c>
      <c r="C34" s="5">
        <f>SUBTOTAL(9,$F$9:$F$28)</f>
        <v>105</v>
      </c>
      <c r="D34" s="5">
        <f>SUBTOTAL(9,$F$9:$F$28)</f>
        <v>105</v>
      </c>
      <c r="E34" s="5" t="s">
        <v>312</v>
      </c>
      <c r="F34" s="7"/>
      <c r="G34" s="7"/>
      <c r="H34" s="7"/>
      <c r="I34" s="7"/>
      <c r="J34" s="7"/>
      <c r="K34" s="7"/>
      <c r="L34" s="7"/>
      <c r="M34" s="7"/>
    </row>
    <row r="35" spans="1:13">
      <c r="A35" s="6" t="s">
        <v>313</v>
      </c>
      <c r="B35" s="6">
        <f>SUBTOTAL(4,$J$9:$J$28)</f>
        <v>8.6</v>
      </c>
      <c r="C35" s="6">
        <f>SUBTOTAL(4,$I$9:$I$28)</f>
        <v>8.8</v>
      </c>
      <c r="D35" s="6">
        <f>SUBTOTAL(4,$I$9:$I$28)</f>
        <v>8.8</v>
      </c>
      <c r="E35" s="6" t="s">
        <v>314</v>
      </c>
      <c r="F35" s="7"/>
      <c r="G35" s="7"/>
      <c r="H35" s="7"/>
      <c r="I35" s="7"/>
      <c r="J35" s="7"/>
      <c r="K35" s="7"/>
      <c r="L35" s="7"/>
      <c r="M35" s="7"/>
    </row>
    <row r="36" spans="1:13">
      <c r="A36" s="5" t="s">
        <v>315</v>
      </c>
      <c r="B36" s="5">
        <f>SUBTOTAL(5,$I$9:$I$28)</f>
        <v>5</v>
      </c>
      <c r="C36" s="5">
        <f>SUBTOTAL(5,$H$9:$H$28)</f>
        <v>0</v>
      </c>
      <c r="D36" s="5">
        <f>SUBTOTAL(5,$H$9:$H$28)</f>
        <v>0</v>
      </c>
      <c r="E36" s="5" t="s">
        <v>316</v>
      </c>
      <c r="F36" s="7"/>
      <c r="G36" s="7"/>
      <c r="H36" s="7"/>
      <c r="I36" s="7"/>
      <c r="J36" s="7"/>
      <c r="K36" s="7"/>
      <c r="L36" s="7"/>
      <c r="M36" s="7"/>
    </row>
    <row r="37" spans="1:5">
      <c r="A37" s="6" t="s">
        <v>317</v>
      </c>
      <c r="B37" s="6">
        <f>SUBTOTAL(1,'Project 12'!$I$9:$I$28)</f>
        <v>6.565</v>
      </c>
      <c r="C37" s="6" t="e">
        <f>SUBTOTAL(1,'Project 12'!$H$9:$H$28)</f>
        <v>#DIV/0!</v>
      </c>
      <c r="D37" s="6" t="e">
        <f>SUBTOTAL(1,'Project 12'!$H$9:$H$28)</f>
        <v>#DIV/0!</v>
      </c>
      <c r="E37" s="6" t="s">
        <v>318</v>
      </c>
    </row>
    <row r="38" spans="1:6">
      <c r="A38" s="3" t="s">
        <v>319</v>
      </c>
      <c r="B38" s="9"/>
      <c r="C38" s="9"/>
      <c r="D38" s="9"/>
      <c r="E38" s="9"/>
      <c r="F38" s="10"/>
    </row>
    <row r="39" spans="1:6">
      <c r="A39" s="3" t="s">
        <v>320</v>
      </c>
      <c r="B39" s="9"/>
      <c r="C39" s="9"/>
      <c r="D39" s="9"/>
      <c r="E39" s="9"/>
      <c r="F39" s="10"/>
    </row>
    <row r="44" spans="1:6">
      <c r="A44" s="3" t="s">
        <v>321</v>
      </c>
      <c r="B44" s="9"/>
      <c r="C44" s="9"/>
      <c r="D44" s="9"/>
      <c r="E44" s="9"/>
      <c r="F44" s="10"/>
    </row>
    <row r="45" spans="1:6">
      <c r="A45" s="12" t="s">
        <v>187</v>
      </c>
      <c r="B45" s="12" t="s">
        <v>195</v>
      </c>
      <c r="C45" s="7"/>
      <c r="D45" s="7"/>
      <c r="E45" s="7"/>
      <c r="F45" s="7"/>
    </row>
    <row r="46" spans="1:6">
      <c r="A46" s="7">
        <f>LOOKUP('Project 12'!$J$18,'Project 12'!$J$9:$J$28,'Project 12'!$A$9:$A$28)</f>
        <v>33</v>
      </c>
      <c r="B46" s="7">
        <f>LARGE('Project 12'!$J$9:$J$28,1)</f>
        <v>8.6</v>
      </c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5" spans="1:6">
      <c r="A55" s="3" t="s">
        <v>322</v>
      </c>
      <c r="B55" s="9"/>
      <c r="C55" s="9"/>
      <c r="D55" s="9"/>
      <c r="E55" s="9"/>
      <c r="F55" s="10"/>
    </row>
    <row r="56" spans="1:6">
      <c r="A56" s="12" t="s">
        <v>323</v>
      </c>
      <c r="B56" s="12" t="s">
        <v>324</v>
      </c>
      <c r="C56" s="12" t="s">
        <v>325</v>
      </c>
      <c r="D56" s="7"/>
      <c r="E56" s="7"/>
      <c r="F56" s="7"/>
    </row>
    <row r="57" spans="1:6">
      <c r="A57" s="7">
        <f>LARGE('Project 12'!$F$9:$F$28,1)</f>
        <v>8</v>
      </c>
      <c r="B57" s="7" t="str">
        <f>LOOKUP('Project 12'!$F$15,'Project 12'!$F$9:$F$28,'Project 12'!$G$9:$G$28)</f>
        <v>Instagram</v>
      </c>
      <c r="C57" s="7" cm="1">
        <f t="array" ref="C57">INDEX('Project 12'!$A$8:$M$28,MATCH('Project 12'!$F$15,'Project 12'!$F$8:$F$28,0),1)</f>
        <v>862</v>
      </c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  <row r="68" spans="1:6">
      <c r="A68" s="3" t="s">
        <v>326</v>
      </c>
      <c r="B68" s="9"/>
      <c r="C68" s="9"/>
      <c r="D68" s="9"/>
      <c r="E68" s="9"/>
      <c r="F68" s="10"/>
    </row>
    <row r="69" spans="1:6">
      <c r="A69" s="12" t="s">
        <v>327</v>
      </c>
      <c r="B69" s="12" t="s">
        <v>328</v>
      </c>
      <c r="C69" s="12" t="s">
        <v>329</v>
      </c>
      <c r="D69" s="7"/>
      <c r="E69" s="7"/>
      <c r="F69" s="7"/>
    </row>
    <row r="70" spans="1:6">
      <c r="A70" s="7">
        <v>564</v>
      </c>
      <c r="B70" s="7" t="s">
        <v>191</v>
      </c>
      <c r="C70" s="7" cm="1">
        <f t="array" ref="C70">INDEX('Project 12'!A8:M28,MATCH(A70,'Project 12'!A8:A28,0),MATCH(B70,'Project 12'!A8:M8,0))</f>
        <v>1.6</v>
      </c>
      <c r="D70" s="7"/>
      <c r="E70" s="7"/>
      <c r="F70" s="7"/>
    </row>
    <row r="71" spans="1:6">
      <c r="A71" s="7"/>
      <c r="B71" s="7"/>
      <c r="C71" s="7"/>
      <c r="D71" s="7"/>
      <c r="E71" s="7"/>
      <c r="F71" s="7"/>
    </row>
    <row r="72" spans="1:6">
      <c r="A72" s="7"/>
      <c r="B72" s="7"/>
      <c r="C72" s="7"/>
      <c r="D72" s="7"/>
      <c r="E72" s="7"/>
      <c r="F72" s="7"/>
    </row>
    <row r="73" spans="1:6">
      <c r="A73" s="7"/>
      <c r="B73" s="7"/>
      <c r="C73" s="7"/>
      <c r="D73" s="7"/>
      <c r="E73" s="7"/>
      <c r="F73" s="7"/>
    </row>
    <row r="74" spans="1:6">
      <c r="A74" s="7"/>
      <c r="B74" s="7"/>
      <c r="C74" s="7"/>
      <c r="D74" s="7"/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</sheetData>
  <mergeCells count="9">
    <mergeCell ref="A1:F1"/>
    <mergeCell ref="A2:F2"/>
    <mergeCell ref="A3:F3"/>
    <mergeCell ref="A30:F30"/>
    <mergeCell ref="A38:F38"/>
    <mergeCell ref="A39:F39"/>
    <mergeCell ref="A44:F44"/>
    <mergeCell ref="A55:F55"/>
    <mergeCell ref="A68:F68"/>
  </mergeCells>
  <dataValidations count="1">
    <dataValidation type="list" allowBlank="1" showInputMessage="1" showErrorMessage="1" sqref="A70:B70">
      <formula1>#REF!</formula1>
    </dataValidation>
  </dataValidations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topLeftCell="A4" workbookViewId="0">
      <selection activeCell="K13" sqref="K13:K32"/>
    </sheetView>
  </sheetViews>
  <sheetFormatPr defaultColWidth="8.88888888888889" defaultRowHeight="14.4"/>
  <cols>
    <col min="1" max="1" width="19.6666666666667"/>
    <col min="2" max="2" width="34.2222222222222"/>
    <col min="3" max="3" width="9.55555555555556"/>
    <col min="4" max="4" width="20.6666666666667" customWidth="1"/>
    <col min="5" max="5" width="29.6666666666667"/>
    <col min="6" max="6" width="24.5555555555556"/>
    <col min="7" max="7" width="17"/>
    <col min="8" max="8" width="21.7777777777778" customWidth="1"/>
    <col min="9" max="11" width="29.5555555555556"/>
    <col min="12" max="12" width="17.8888888888889" customWidth="1"/>
  </cols>
  <sheetData>
    <row r="1" ht="15.6" spans="1:7">
      <c r="A1" s="1" t="s">
        <v>330</v>
      </c>
      <c r="B1" s="7"/>
      <c r="C1" s="7"/>
      <c r="D1" s="7"/>
      <c r="E1" s="7"/>
      <c r="F1" s="7"/>
      <c r="G1" s="7"/>
    </row>
    <row r="2" spans="1:7">
      <c r="A2" s="3" t="s">
        <v>331</v>
      </c>
      <c r="B2" s="7"/>
      <c r="C2" s="7"/>
      <c r="D2" s="7"/>
      <c r="E2" s="7"/>
      <c r="F2" s="7"/>
      <c r="G2" s="7"/>
    </row>
    <row r="3" spans="1:7">
      <c r="A3" s="3" t="s">
        <v>332</v>
      </c>
      <c r="B3" s="7"/>
      <c r="C3" s="7"/>
      <c r="D3" s="7"/>
      <c r="E3" s="7"/>
      <c r="F3" s="7"/>
      <c r="G3" s="7"/>
    </row>
    <row r="4" spans="1:7">
      <c r="A4" s="3" t="s">
        <v>333</v>
      </c>
      <c r="B4" s="7"/>
      <c r="C4" s="7"/>
      <c r="D4" s="7"/>
      <c r="E4" s="7"/>
      <c r="F4" s="7"/>
      <c r="G4" s="7"/>
    </row>
    <row r="5" spans="1:7">
      <c r="A5" s="3" t="s">
        <v>334</v>
      </c>
      <c r="B5" s="7"/>
      <c r="C5" s="7"/>
      <c r="D5" s="7"/>
      <c r="E5" s="7"/>
      <c r="F5" s="7"/>
      <c r="G5" s="7"/>
    </row>
    <row r="6" spans="1:7">
      <c r="A6" s="3" t="s">
        <v>335</v>
      </c>
      <c r="B6" s="7"/>
      <c r="C6" s="7"/>
      <c r="D6" s="7"/>
      <c r="E6" s="7"/>
      <c r="F6" s="7"/>
      <c r="G6" s="7"/>
    </row>
    <row r="7" spans="1:7">
      <c r="A7" s="3" t="s">
        <v>336</v>
      </c>
      <c r="B7" s="7"/>
      <c r="C7" s="7"/>
      <c r="D7" s="7"/>
      <c r="E7" s="7"/>
      <c r="F7" s="7"/>
      <c r="G7" s="7"/>
    </row>
    <row r="8" spans="1:7">
      <c r="A8" s="3" t="s">
        <v>337</v>
      </c>
      <c r="B8" s="7"/>
      <c r="C8" s="7"/>
      <c r="D8" s="7"/>
      <c r="E8" s="7"/>
      <c r="F8" s="7"/>
      <c r="G8" s="7"/>
    </row>
    <row r="12" ht="26.4" spans="1:12">
      <c r="A12" s="4" t="s">
        <v>187</v>
      </c>
      <c r="B12" s="4" t="s">
        <v>188</v>
      </c>
      <c r="C12" s="4" t="s">
        <v>64</v>
      </c>
      <c r="D12" s="4" t="s">
        <v>189</v>
      </c>
      <c r="E12" s="4" t="s">
        <v>190</v>
      </c>
      <c r="F12" s="4" t="s">
        <v>191</v>
      </c>
      <c r="G12" s="4" t="s">
        <v>192</v>
      </c>
      <c r="H12" s="4" t="s">
        <v>193</v>
      </c>
      <c r="I12" s="4" t="s">
        <v>194</v>
      </c>
      <c r="J12" s="4" t="s">
        <v>195</v>
      </c>
      <c r="K12" s="4" t="s">
        <v>338</v>
      </c>
      <c r="L12" s="4" t="s">
        <v>196</v>
      </c>
    </row>
    <row r="13" spans="1:12">
      <c r="A13" s="5">
        <v>232</v>
      </c>
      <c r="B13" s="5">
        <v>21</v>
      </c>
      <c r="C13" s="5" t="s">
        <v>197</v>
      </c>
      <c r="D13" s="5" t="s">
        <v>198</v>
      </c>
      <c r="E13" s="5" t="s">
        <v>199</v>
      </c>
      <c r="F13" s="5">
        <v>4</v>
      </c>
      <c r="G13" s="5" t="s">
        <v>200</v>
      </c>
      <c r="H13" s="5" t="s">
        <v>201</v>
      </c>
      <c r="I13" s="5">
        <v>6.7</v>
      </c>
      <c r="J13" s="5">
        <v>6.8</v>
      </c>
      <c r="K13" s="5">
        <f>8-I13</f>
        <v>1.3</v>
      </c>
      <c r="L13" s="5" t="s">
        <v>202</v>
      </c>
    </row>
    <row r="14" spans="1:12">
      <c r="A14" s="6">
        <v>564</v>
      </c>
      <c r="B14" s="6">
        <v>23</v>
      </c>
      <c r="C14" s="6" t="s">
        <v>203</v>
      </c>
      <c r="D14" s="6" t="s">
        <v>198</v>
      </c>
      <c r="E14" s="6" t="s">
        <v>199</v>
      </c>
      <c r="F14" s="6">
        <v>1.6</v>
      </c>
      <c r="G14" s="6" t="s">
        <v>204</v>
      </c>
      <c r="H14" s="6" t="s">
        <v>201</v>
      </c>
      <c r="I14" s="6">
        <v>8.6</v>
      </c>
      <c r="J14" s="6">
        <v>7.6</v>
      </c>
      <c r="K14" s="5">
        <f t="shared" ref="K14:K32" si="0">8-I14</f>
        <v>-0.6</v>
      </c>
      <c r="L14" s="6" t="s">
        <v>205</v>
      </c>
    </row>
    <row r="15" spans="1:12">
      <c r="A15" s="5">
        <v>788</v>
      </c>
      <c r="B15" s="5">
        <v>22</v>
      </c>
      <c r="C15" s="5" t="s">
        <v>197</v>
      </c>
      <c r="D15" s="5" t="s">
        <v>206</v>
      </c>
      <c r="E15" s="5" t="s">
        <v>207</v>
      </c>
      <c r="F15" s="5">
        <v>4.6</v>
      </c>
      <c r="G15" s="5" t="s">
        <v>208</v>
      </c>
      <c r="H15" s="5" t="s">
        <v>201</v>
      </c>
      <c r="I15" s="5">
        <v>6.7</v>
      </c>
      <c r="J15" s="5">
        <v>7</v>
      </c>
      <c r="K15" s="5">
        <f t="shared" si="0"/>
        <v>1.3</v>
      </c>
      <c r="L15" s="5" t="s">
        <v>202</v>
      </c>
    </row>
    <row r="16" spans="1:12">
      <c r="A16" s="6">
        <v>686</v>
      </c>
      <c r="B16" s="6">
        <v>18</v>
      </c>
      <c r="C16" s="6" t="s">
        <v>197</v>
      </c>
      <c r="D16" s="6" t="s">
        <v>198</v>
      </c>
      <c r="E16" s="6" t="s">
        <v>199</v>
      </c>
      <c r="F16" s="6">
        <v>7</v>
      </c>
      <c r="G16" s="6" t="s">
        <v>209</v>
      </c>
      <c r="H16" s="6" t="s">
        <v>210</v>
      </c>
      <c r="I16" s="6">
        <v>5.4</v>
      </c>
      <c r="J16" s="6">
        <v>5.3</v>
      </c>
      <c r="K16" s="5">
        <f t="shared" si="0"/>
        <v>2.6</v>
      </c>
      <c r="L16" s="6" t="s">
        <v>211</v>
      </c>
    </row>
    <row r="17" spans="1:12">
      <c r="A17" s="5">
        <v>608</v>
      </c>
      <c r="B17" s="5">
        <v>24</v>
      </c>
      <c r="C17" s="5" t="s">
        <v>203</v>
      </c>
      <c r="D17" s="5" t="s">
        <v>212</v>
      </c>
      <c r="E17" s="5" t="s">
        <v>199</v>
      </c>
      <c r="F17" s="5">
        <v>7.5</v>
      </c>
      <c r="G17" s="5" t="s">
        <v>200</v>
      </c>
      <c r="H17" s="5" t="s">
        <v>210</v>
      </c>
      <c r="I17" s="5">
        <v>5</v>
      </c>
      <c r="J17" s="5">
        <v>4.4</v>
      </c>
      <c r="K17" s="5">
        <f t="shared" si="0"/>
        <v>3</v>
      </c>
      <c r="L17" s="5" t="s">
        <v>211</v>
      </c>
    </row>
    <row r="18" spans="1:12">
      <c r="A18" s="6">
        <v>370</v>
      </c>
      <c r="B18" s="6">
        <v>19</v>
      </c>
      <c r="C18" s="6" t="s">
        <v>203</v>
      </c>
      <c r="D18" s="6" t="s">
        <v>212</v>
      </c>
      <c r="E18" s="6" t="s">
        <v>199</v>
      </c>
      <c r="F18" s="6">
        <v>4.1</v>
      </c>
      <c r="G18" s="6" t="s">
        <v>213</v>
      </c>
      <c r="H18" s="6" t="s">
        <v>210</v>
      </c>
      <c r="I18" s="6">
        <v>6.8</v>
      </c>
      <c r="J18" s="6">
        <v>6.8</v>
      </c>
      <c r="K18" s="5">
        <f t="shared" si="0"/>
        <v>1.2</v>
      </c>
      <c r="L18" s="6" t="s">
        <v>202</v>
      </c>
    </row>
    <row r="19" spans="1:12">
      <c r="A19" s="5">
        <v>862</v>
      </c>
      <c r="B19" s="5">
        <v>22</v>
      </c>
      <c r="C19" s="5" t="s">
        <v>203</v>
      </c>
      <c r="D19" s="5" t="s">
        <v>206</v>
      </c>
      <c r="E19" s="5" t="s">
        <v>199</v>
      </c>
      <c r="F19" s="5">
        <v>8</v>
      </c>
      <c r="G19" s="5" t="s">
        <v>208</v>
      </c>
      <c r="H19" s="5" t="s">
        <v>210</v>
      </c>
      <c r="I19" s="5">
        <v>5.2</v>
      </c>
      <c r="J19" s="5">
        <v>5.3</v>
      </c>
      <c r="K19" s="5">
        <f t="shared" si="0"/>
        <v>2.8</v>
      </c>
      <c r="L19" s="5" t="s">
        <v>211</v>
      </c>
    </row>
    <row r="20" spans="1:12">
      <c r="A20" s="6">
        <v>520</v>
      </c>
      <c r="B20" s="6">
        <v>21</v>
      </c>
      <c r="C20" s="6" t="s">
        <v>203</v>
      </c>
      <c r="D20" s="6" t="s">
        <v>206</v>
      </c>
      <c r="E20" s="6" t="s">
        <v>199</v>
      </c>
      <c r="F20" s="6">
        <v>6</v>
      </c>
      <c r="G20" s="6" t="s">
        <v>200</v>
      </c>
      <c r="H20" s="6" t="s">
        <v>210</v>
      </c>
      <c r="I20" s="6">
        <v>5.7</v>
      </c>
      <c r="J20" s="6">
        <v>4.7</v>
      </c>
      <c r="K20" s="5">
        <f t="shared" si="0"/>
        <v>2.3</v>
      </c>
      <c r="L20" s="6" t="s">
        <v>211</v>
      </c>
    </row>
    <row r="21" spans="1:12">
      <c r="A21" s="5">
        <v>703</v>
      </c>
      <c r="B21" s="5">
        <v>24</v>
      </c>
      <c r="C21" s="5" t="s">
        <v>197</v>
      </c>
      <c r="D21" s="5" t="s">
        <v>198</v>
      </c>
      <c r="E21" s="5" t="s">
        <v>214</v>
      </c>
      <c r="F21" s="5">
        <v>4.7</v>
      </c>
      <c r="G21" s="5" t="s">
        <v>215</v>
      </c>
      <c r="H21" s="5" t="s">
        <v>201</v>
      </c>
      <c r="I21" s="5">
        <v>7</v>
      </c>
      <c r="J21" s="5">
        <v>6.2</v>
      </c>
      <c r="K21" s="5">
        <f t="shared" si="0"/>
        <v>1</v>
      </c>
      <c r="L21" s="5" t="s">
        <v>202</v>
      </c>
    </row>
    <row r="22" spans="1:12">
      <c r="A22" s="6">
        <v>33</v>
      </c>
      <c r="B22" s="6">
        <v>19</v>
      </c>
      <c r="C22" s="6" t="s">
        <v>197</v>
      </c>
      <c r="D22" s="6" t="s">
        <v>212</v>
      </c>
      <c r="E22" s="6" t="s">
        <v>199</v>
      </c>
      <c r="F22" s="6">
        <v>3.6</v>
      </c>
      <c r="G22" s="6" t="s">
        <v>216</v>
      </c>
      <c r="H22" s="6" t="s">
        <v>201</v>
      </c>
      <c r="I22" s="6">
        <v>8.1</v>
      </c>
      <c r="J22" s="6">
        <v>8.6</v>
      </c>
      <c r="K22" s="5">
        <f t="shared" si="0"/>
        <v>-0.0999999999999996</v>
      </c>
      <c r="L22" s="6" t="s">
        <v>205</v>
      </c>
    </row>
    <row r="23" spans="1:12">
      <c r="A23" s="5">
        <v>519</v>
      </c>
      <c r="B23" s="5">
        <v>18</v>
      </c>
      <c r="C23" s="5" t="s">
        <v>197</v>
      </c>
      <c r="D23" s="5" t="s">
        <v>206</v>
      </c>
      <c r="E23" s="5" t="s">
        <v>199</v>
      </c>
      <c r="F23" s="5">
        <v>4.1</v>
      </c>
      <c r="G23" s="5" t="s">
        <v>204</v>
      </c>
      <c r="H23" s="5" t="s">
        <v>201</v>
      </c>
      <c r="I23" s="5">
        <v>7.3</v>
      </c>
      <c r="J23" s="5">
        <v>6.8</v>
      </c>
      <c r="K23" s="5">
        <f t="shared" si="0"/>
        <v>0.7</v>
      </c>
      <c r="L23" s="5" t="s">
        <v>202</v>
      </c>
    </row>
    <row r="24" spans="1:12">
      <c r="A24" s="6">
        <v>738</v>
      </c>
      <c r="B24" s="6">
        <v>18</v>
      </c>
      <c r="C24" s="6" t="s">
        <v>197</v>
      </c>
      <c r="D24" s="6" t="s">
        <v>212</v>
      </c>
      <c r="E24" s="6" t="s">
        <v>199</v>
      </c>
      <c r="F24" s="6">
        <v>7.6</v>
      </c>
      <c r="G24" s="6" t="s">
        <v>209</v>
      </c>
      <c r="H24" s="6" t="s">
        <v>210</v>
      </c>
      <c r="I24" s="6">
        <v>5.3</v>
      </c>
      <c r="J24" s="6">
        <v>5.5</v>
      </c>
      <c r="K24" s="5">
        <f t="shared" si="0"/>
        <v>2.7</v>
      </c>
      <c r="L24" s="6" t="s">
        <v>211</v>
      </c>
    </row>
    <row r="25" spans="1:12">
      <c r="A25" s="5">
        <v>119</v>
      </c>
      <c r="B25" s="5">
        <v>20</v>
      </c>
      <c r="C25" s="5" t="s">
        <v>197</v>
      </c>
      <c r="D25" s="5" t="s">
        <v>198</v>
      </c>
      <c r="E25" s="5" t="s">
        <v>199</v>
      </c>
      <c r="F25" s="5">
        <v>2.4</v>
      </c>
      <c r="G25" s="5" t="s">
        <v>200</v>
      </c>
      <c r="H25" s="5" t="s">
        <v>201</v>
      </c>
      <c r="I25" s="5">
        <v>8.8</v>
      </c>
      <c r="J25" s="5">
        <v>8.5</v>
      </c>
      <c r="K25" s="5">
        <f t="shared" si="0"/>
        <v>-0.800000000000001</v>
      </c>
      <c r="L25" s="5" t="s">
        <v>205</v>
      </c>
    </row>
    <row r="26" spans="1:12">
      <c r="A26" s="6">
        <v>287</v>
      </c>
      <c r="B26" s="6">
        <v>23</v>
      </c>
      <c r="C26" s="6" t="s">
        <v>203</v>
      </c>
      <c r="D26" s="6" t="s">
        <v>198</v>
      </c>
      <c r="E26" s="6" t="s">
        <v>199</v>
      </c>
      <c r="F26" s="6">
        <v>6.2</v>
      </c>
      <c r="G26" s="6" t="s">
        <v>204</v>
      </c>
      <c r="H26" s="6" t="s">
        <v>201</v>
      </c>
      <c r="I26" s="6">
        <v>5.3</v>
      </c>
      <c r="J26" s="6">
        <v>5.4</v>
      </c>
      <c r="K26" s="5">
        <f t="shared" si="0"/>
        <v>2.7</v>
      </c>
      <c r="L26" s="6" t="s">
        <v>211</v>
      </c>
    </row>
    <row r="27" spans="1:12">
      <c r="A27" s="5">
        <v>610</v>
      </c>
      <c r="B27" s="5">
        <v>24</v>
      </c>
      <c r="C27" s="5" t="s">
        <v>197</v>
      </c>
      <c r="D27" s="5" t="s">
        <v>206</v>
      </c>
      <c r="E27" s="5" t="s">
        <v>217</v>
      </c>
      <c r="F27" s="5">
        <v>2.7</v>
      </c>
      <c r="G27" s="5" t="s">
        <v>208</v>
      </c>
      <c r="H27" s="5" t="s">
        <v>201</v>
      </c>
      <c r="I27" s="5">
        <v>8.6</v>
      </c>
      <c r="J27" s="5">
        <v>7.8</v>
      </c>
      <c r="K27" s="5">
        <f t="shared" si="0"/>
        <v>-0.6</v>
      </c>
      <c r="L27" s="5" t="s">
        <v>205</v>
      </c>
    </row>
    <row r="28" spans="1:12">
      <c r="A28" s="6">
        <v>383</v>
      </c>
      <c r="B28" s="6">
        <v>18</v>
      </c>
      <c r="C28" s="6" t="s">
        <v>203</v>
      </c>
      <c r="D28" s="6" t="s">
        <v>206</v>
      </c>
      <c r="E28" s="6" t="s">
        <v>199</v>
      </c>
      <c r="F28" s="6">
        <v>5.2</v>
      </c>
      <c r="G28" s="6" t="s">
        <v>213</v>
      </c>
      <c r="H28" s="6" t="s">
        <v>210</v>
      </c>
      <c r="I28" s="6">
        <v>7</v>
      </c>
      <c r="J28" s="6">
        <v>6.3</v>
      </c>
      <c r="K28" s="5">
        <f t="shared" si="0"/>
        <v>1</v>
      </c>
      <c r="L28" s="6" t="s">
        <v>202</v>
      </c>
    </row>
    <row r="29" spans="1:12">
      <c r="A29" s="5">
        <v>699</v>
      </c>
      <c r="B29" s="5">
        <v>22</v>
      </c>
      <c r="C29" s="5" t="s">
        <v>203</v>
      </c>
      <c r="D29" s="5" t="s">
        <v>206</v>
      </c>
      <c r="E29" s="5" t="s">
        <v>214</v>
      </c>
      <c r="F29" s="5">
        <v>6.5</v>
      </c>
      <c r="G29" s="5" t="s">
        <v>215</v>
      </c>
      <c r="H29" s="5" t="s">
        <v>210</v>
      </c>
      <c r="I29" s="5">
        <v>5.4</v>
      </c>
      <c r="J29" s="5">
        <v>5</v>
      </c>
      <c r="K29" s="5">
        <f t="shared" si="0"/>
        <v>2.6</v>
      </c>
      <c r="L29" s="5" t="s">
        <v>211</v>
      </c>
    </row>
    <row r="30" spans="1:12">
      <c r="A30" s="6">
        <v>302</v>
      </c>
      <c r="B30" s="6">
        <v>21</v>
      </c>
      <c r="C30" s="6" t="s">
        <v>197</v>
      </c>
      <c r="D30" s="6" t="s">
        <v>212</v>
      </c>
      <c r="E30" s="6" t="s">
        <v>218</v>
      </c>
      <c r="F30" s="6">
        <v>6.8</v>
      </c>
      <c r="G30" s="6" t="s">
        <v>215</v>
      </c>
      <c r="H30" s="6" t="s">
        <v>210</v>
      </c>
      <c r="I30" s="6">
        <v>5.7</v>
      </c>
      <c r="J30" s="6">
        <v>5</v>
      </c>
      <c r="K30" s="5">
        <f t="shared" si="0"/>
        <v>2.3</v>
      </c>
      <c r="L30" s="6" t="s">
        <v>211</v>
      </c>
    </row>
    <row r="31" spans="1:12">
      <c r="A31" s="5">
        <v>277</v>
      </c>
      <c r="B31" s="5">
        <v>21</v>
      </c>
      <c r="C31" s="5" t="s">
        <v>197</v>
      </c>
      <c r="D31" s="5" t="s">
        <v>206</v>
      </c>
      <c r="E31" s="5" t="s">
        <v>207</v>
      </c>
      <c r="F31" s="5">
        <v>6.9</v>
      </c>
      <c r="G31" s="5" t="s">
        <v>200</v>
      </c>
      <c r="H31" s="5" t="s">
        <v>210</v>
      </c>
      <c r="I31" s="5">
        <v>5.9</v>
      </c>
      <c r="J31" s="5">
        <v>5</v>
      </c>
      <c r="K31" s="5">
        <f t="shared" si="0"/>
        <v>2.1</v>
      </c>
      <c r="L31" s="5" t="s">
        <v>211</v>
      </c>
    </row>
    <row r="32" spans="1:12">
      <c r="A32" s="6">
        <v>631</v>
      </c>
      <c r="B32" s="6">
        <v>20</v>
      </c>
      <c r="C32" s="6" t="s">
        <v>197</v>
      </c>
      <c r="D32" s="6" t="s">
        <v>198</v>
      </c>
      <c r="E32" s="6" t="s">
        <v>199</v>
      </c>
      <c r="F32" s="6">
        <v>5.5</v>
      </c>
      <c r="G32" s="6" t="s">
        <v>208</v>
      </c>
      <c r="H32" s="6" t="s">
        <v>201</v>
      </c>
      <c r="I32" s="6">
        <v>6.8</v>
      </c>
      <c r="J32" s="6">
        <v>6.8</v>
      </c>
      <c r="K32" s="5">
        <f t="shared" si="0"/>
        <v>1.2</v>
      </c>
      <c r="L32" s="6" t="s">
        <v>202</v>
      </c>
    </row>
    <row r="35" spans="1:8">
      <c r="A35" t="s">
        <v>192</v>
      </c>
      <c r="B35" t="s">
        <v>339</v>
      </c>
      <c r="G35" t="s">
        <v>196</v>
      </c>
      <c r="H35" t="s">
        <v>340</v>
      </c>
    </row>
    <row r="36" spans="1:8">
      <c r="A36" t="s">
        <v>215</v>
      </c>
      <c r="B36">
        <v>3</v>
      </c>
      <c r="G36" t="s">
        <v>205</v>
      </c>
      <c r="H36">
        <v>8.125</v>
      </c>
    </row>
    <row r="37" spans="1:8">
      <c r="A37" t="s">
        <v>213</v>
      </c>
      <c r="B37">
        <v>2</v>
      </c>
      <c r="G37" t="s">
        <v>202</v>
      </c>
      <c r="H37">
        <v>6.67142857142857</v>
      </c>
    </row>
    <row r="38" spans="1:8">
      <c r="A38" t="s">
        <v>216</v>
      </c>
      <c r="B38">
        <v>1</v>
      </c>
      <c r="G38" t="s">
        <v>211</v>
      </c>
      <c r="H38">
        <v>5.06666666666667</v>
      </c>
    </row>
    <row r="39" spans="1:8">
      <c r="A39" t="s">
        <v>209</v>
      </c>
      <c r="B39">
        <v>2</v>
      </c>
      <c r="G39" t="s">
        <v>341</v>
      </c>
      <c r="H39">
        <v>6.24</v>
      </c>
    </row>
    <row r="40" spans="1:2">
      <c r="A40" t="s">
        <v>204</v>
      </c>
      <c r="B40">
        <v>3</v>
      </c>
    </row>
    <row r="41" spans="1:2">
      <c r="A41" t="s">
        <v>208</v>
      </c>
      <c r="B41">
        <v>4</v>
      </c>
    </row>
    <row r="42" spans="1:2">
      <c r="A42" t="s">
        <v>200</v>
      </c>
      <c r="B42">
        <v>5</v>
      </c>
    </row>
    <row r="43" spans="1:2">
      <c r="A43" t="s">
        <v>341</v>
      </c>
      <c r="B43">
        <v>20</v>
      </c>
    </row>
    <row r="55" spans="1:9">
      <c r="A55" t="s">
        <v>339</v>
      </c>
      <c r="B55" t="s">
        <v>64</v>
      </c>
      <c r="H55" t="s">
        <v>64</v>
      </c>
      <c r="I55" t="s">
        <v>342</v>
      </c>
    </row>
    <row r="56" spans="1:9">
      <c r="A56" t="s">
        <v>189</v>
      </c>
      <c r="B56" t="s">
        <v>197</v>
      </c>
      <c r="C56" t="s">
        <v>203</v>
      </c>
      <c r="D56" t="s">
        <v>341</v>
      </c>
      <c r="H56" t="s">
        <v>197</v>
      </c>
      <c r="I56">
        <v>12</v>
      </c>
    </row>
    <row r="57" spans="1:9">
      <c r="A57" t="s">
        <v>198</v>
      </c>
      <c r="B57">
        <v>5</v>
      </c>
      <c r="C57">
        <v>2</v>
      </c>
      <c r="D57">
        <v>7</v>
      </c>
      <c r="H57" t="s">
        <v>203</v>
      </c>
      <c r="I57">
        <v>8</v>
      </c>
    </row>
    <row r="58" spans="1:9">
      <c r="A58" t="s">
        <v>212</v>
      </c>
      <c r="B58">
        <v>3</v>
      </c>
      <c r="C58">
        <v>2</v>
      </c>
      <c r="D58">
        <v>5</v>
      </c>
      <c r="H58" t="s">
        <v>341</v>
      </c>
      <c r="I58">
        <v>20</v>
      </c>
    </row>
    <row r="59" spans="1:4">
      <c r="A59" t="s">
        <v>206</v>
      </c>
      <c r="B59">
        <v>4</v>
      </c>
      <c r="C59">
        <v>4</v>
      </c>
      <c r="D59">
        <v>8</v>
      </c>
    </row>
    <row r="60" spans="1:4">
      <c r="A60" t="s">
        <v>341</v>
      </c>
      <c r="B60">
        <v>12</v>
      </c>
      <c r="C60">
        <v>8</v>
      </c>
      <c r="D60">
        <v>20</v>
      </c>
    </row>
    <row r="77" spans="1:2">
      <c r="A77" t="s">
        <v>193</v>
      </c>
      <c r="B77" t="s">
        <v>343</v>
      </c>
    </row>
    <row r="78" spans="1:2">
      <c r="A78" t="s">
        <v>210</v>
      </c>
      <c r="B78">
        <v>6.56</v>
      </c>
    </row>
    <row r="79" spans="1:2">
      <c r="A79" t="s">
        <v>201</v>
      </c>
      <c r="B79">
        <v>3.94</v>
      </c>
    </row>
    <row r="80" spans="1:2">
      <c r="A80" t="s">
        <v>341</v>
      </c>
      <c r="B80">
        <v>5.25</v>
      </c>
    </row>
  </sheetData>
  <mergeCells count="8">
    <mergeCell ref="A1:G1"/>
    <mergeCell ref="A2:G2"/>
    <mergeCell ref="A3:G3"/>
    <mergeCell ref="A4:G4"/>
    <mergeCell ref="A5:G5"/>
    <mergeCell ref="A6:G6"/>
    <mergeCell ref="A7:G7"/>
    <mergeCell ref="A8:G8"/>
  </mergeCells>
  <pageMargins left="0.75" right="0.75" top="1" bottom="1" header="0.5" footer="0.5"/>
  <headerFooter/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topLeftCell="C32" workbookViewId="0">
      <selection activeCell="E39" sqref="E39"/>
    </sheetView>
  </sheetViews>
  <sheetFormatPr defaultColWidth="8.88888888888889" defaultRowHeight="14.4"/>
  <cols>
    <col min="1" max="1" width="11.6666666666667"/>
    <col min="2" max="2" width="29.5555555555556"/>
    <col min="3" max="3" width="19.7777777777778" customWidth="1"/>
    <col min="4" max="4" width="18.5555555555556" customWidth="1"/>
    <col min="5" max="5" width="11.6666666666667"/>
    <col min="6" max="6" width="20"/>
    <col min="7" max="7" width="25.1111111111111" customWidth="1"/>
    <col min="8" max="8" width="17.6666666666667" customWidth="1"/>
    <col min="9" max="9" width="21.4444444444444" customWidth="1"/>
    <col min="10" max="10" width="23.6666666666667" customWidth="1"/>
    <col min="11" max="11" width="33.7777777777778" customWidth="1"/>
  </cols>
  <sheetData>
    <row r="1" ht="15.6" spans="1:4">
      <c r="A1" s="1" t="s">
        <v>56</v>
      </c>
      <c r="B1" s="7"/>
      <c r="C1" s="7"/>
      <c r="D1" s="7"/>
    </row>
    <row r="2" spans="1:4">
      <c r="A2" s="3" t="s">
        <v>344</v>
      </c>
      <c r="B2" s="7"/>
      <c r="C2" s="7"/>
      <c r="D2" s="7"/>
    </row>
    <row r="3" spans="1:4">
      <c r="A3" s="3" t="s">
        <v>345</v>
      </c>
      <c r="B3" s="7"/>
      <c r="C3" s="7"/>
      <c r="D3" s="7"/>
    </row>
    <row r="4" spans="1:4">
      <c r="A4" s="3" t="s">
        <v>346</v>
      </c>
      <c r="B4" s="7"/>
      <c r="C4" s="7"/>
      <c r="D4" s="7"/>
    </row>
    <row r="5" spans="1:4">
      <c r="A5" s="3" t="s">
        <v>347</v>
      </c>
      <c r="B5" s="7"/>
      <c r="C5" s="7"/>
      <c r="D5" s="7"/>
    </row>
    <row r="6" spans="1:4">
      <c r="A6" s="3" t="s">
        <v>348</v>
      </c>
      <c r="B6" s="7"/>
      <c r="C6" s="7"/>
      <c r="D6" s="7"/>
    </row>
    <row r="7" spans="1:4">
      <c r="A7" s="3" t="s">
        <v>349</v>
      </c>
      <c r="B7" s="7"/>
      <c r="C7" s="7"/>
      <c r="D7" s="7"/>
    </row>
    <row r="8" spans="1:5">
      <c r="A8" s="3" t="s">
        <v>350</v>
      </c>
      <c r="B8" s="7"/>
      <c r="C8" s="7"/>
      <c r="D8" s="7"/>
      <c r="E8" s="8"/>
    </row>
    <row r="12" ht="26.4" spans="1:11">
      <c r="A12" s="4" t="s">
        <v>187</v>
      </c>
      <c r="B12" s="4" t="s">
        <v>188</v>
      </c>
      <c r="C12" s="4" t="s">
        <v>64</v>
      </c>
      <c r="D12" s="4" t="s">
        <v>189</v>
      </c>
      <c r="E12" s="4" t="s">
        <v>190</v>
      </c>
      <c r="F12" s="4" t="s">
        <v>191</v>
      </c>
      <c r="G12" s="4" t="s">
        <v>192</v>
      </c>
      <c r="H12" s="4" t="s">
        <v>193</v>
      </c>
      <c r="I12" s="4" t="s">
        <v>194</v>
      </c>
      <c r="J12" s="4" t="s">
        <v>195</v>
      </c>
      <c r="K12" s="4" t="s">
        <v>196</v>
      </c>
    </row>
    <row r="13" spans="1:11">
      <c r="A13" s="5">
        <v>232</v>
      </c>
      <c r="B13" s="5">
        <v>21</v>
      </c>
      <c r="C13" s="5" t="s">
        <v>197</v>
      </c>
      <c r="D13" s="5" t="s">
        <v>198</v>
      </c>
      <c r="E13" s="5" t="s">
        <v>199</v>
      </c>
      <c r="F13" s="5">
        <v>4</v>
      </c>
      <c r="G13" s="5" t="s">
        <v>200</v>
      </c>
      <c r="H13" s="5" t="s">
        <v>201</v>
      </c>
      <c r="I13" s="5">
        <v>6.7</v>
      </c>
      <c r="J13" s="5">
        <v>6.8</v>
      </c>
      <c r="K13" s="5" t="s">
        <v>202</v>
      </c>
    </row>
    <row r="14" spans="1:11">
      <c r="A14" s="6">
        <v>564</v>
      </c>
      <c r="B14" s="6">
        <v>23</v>
      </c>
      <c r="C14" s="6" t="s">
        <v>203</v>
      </c>
      <c r="D14" s="6" t="s">
        <v>198</v>
      </c>
      <c r="E14" s="6" t="s">
        <v>199</v>
      </c>
      <c r="F14" s="6">
        <v>1.6</v>
      </c>
      <c r="G14" s="6" t="s">
        <v>204</v>
      </c>
      <c r="H14" s="6" t="s">
        <v>201</v>
      </c>
      <c r="I14" s="6">
        <v>8.6</v>
      </c>
      <c r="J14" s="6">
        <v>7.6</v>
      </c>
      <c r="K14" s="6" t="s">
        <v>205</v>
      </c>
    </row>
    <row r="15" spans="1:11">
      <c r="A15" s="5">
        <v>788</v>
      </c>
      <c r="B15" s="5">
        <v>22</v>
      </c>
      <c r="C15" s="5" t="s">
        <v>197</v>
      </c>
      <c r="D15" s="5" t="s">
        <v>206</v>
      </c>
      <c r="E15" s="5" t="s">
        <v>207</v>
      </c>
      <c r="F15" s="5">
        <v>4.6</v>
      </c>
      <c r="G15" s="5" t="s">
        <v>208</v>
      </c>
      <c r="H15" s="5" t="s">
        <v>201</v>
      </c>
      <c r="I15" s="5">
        <v>6.7</v>
      </c>
      <c r="J15" s="5">
        <v>7</v>
      </c>
      <c r="K15" s="5" t="s">
        <v>202</v>
      </c>
    </row>
    <row r="16" spans="1:11">
      <c r="A16" s="6">
        <v>686</v>
      </c>
      <c r="B16" s="6">
        <v>18</v>
      </c>
      <c r="C16" s="6" t="s">
        <v>197</v>
      </c>
      <c r="D16" s="6" t="s">
        <v>198</v>
      </c>
      <c r="E16" s="6" t="s">
        <v>199</v>
      </c>
      <c r="F16" s="6">
        <v>7</v>
      </c>
      <c r="G16" s="6" t="s">
        <v>209</v>
      </c>
      <c r="H16" s="6" t="s">
        <v>210</v>
      </c>
      <c r="I16" s="6">
        <v>5.4</v>
      </c>
      <c r="J16" s="6">
        <v>5.3</v>
      </c>
      <c r="K16" s="6" t="s">
        <v>211</v>
      </c>
    </row>
    <row r="17" spans="1:11">
      <c r="A17" s="5">
        <v>608</v>
      </c>
      <c r="B17" s="5">
        <v>24</v>
      </c>
      <c r="C17" s="5" t="s">
        <v>203</v>
      </c>
      <c r="D17" s="5" t="s">
        <v>212</v>
      </c>
      <c r="E17" s="5" t="s">
        <v>199</v>
      </c>
      <c r="F17" s="5">
        <v>7.5</v>
      </c>
      <c r="G17" s="5" t="s">
        <v>200</v>
      </c>
      <c r="H17" s="5" t="s">
        <v>210</v>
      </c>
      <c r="I17" s="5">
        <v>5</v>
      </c>
      <c r="J17" s="5">
        <v>4.4</v>
      </c>
      <c r="K17" s="5" t="s">
        <v>211</v>
      </c>
    </row>
    <row r="18" spans="1:11">
      <c r="A18" s="6">
        <v>370</v>
      </c>
      <c r="B18" s="6">
        <v>19</v>
      </c>
      <c r="C18" s="6" t="s">
        <v>203</v>
      </c>
      <c r="D18" s="6" t="s">
        <v>212</v>
      </c>
      <c r="E18" s="6" t="s">
        <v>199</v>
      </c>
      <c r="F18" s="6">
        <v>4.1</v>
      </c>
      <c r="G18" s="6" t="s">
        <v>213</v>
      </c>
      <c r="H18" s="6" t="s">
        <v>210</v>
      </c>
      <c r="I18" s="6">
        <v>6.8</v>
      </c>
      <c r="J18" s="6">
        <v>6.8</v>
      </c>
      <c r="K18" s="6" t="s">
        <v>202</v>
      </c>
    </row>
    <row r="19" spans="1:11">
      <c r="A19" s="5">
        <v>862</v>
      </c>
      <c r="B19" s="5">
        <v>22</v>
      </c>
      <c r="C19" s="5" t="s">
        <v>203</v>
      </c>
      <c r="D19" s="5" t="s">
        <v>206</v>
      </c>
      <c r="E19" s="5" t="s">
        <v>199</v>
      </c>
      <c r="F19" s="5">
        <v>8</v>
      </c>
      <c r="G19" s="5" t="s">
        <v>208</v>
      </c>
      <c r="H19" s="5" t="s">
        <v>210</v>
      </c>
      <c r="I19" s="5">
        <v>5.2</v>
      </c>
      <c r="J19" s="5">
        <v>5.3</v>
      </c>
      <c r="K19" s="5" t="s">
        <v>211</v>
      </c>
    </row>
    <row r="20" spans="1:11">
      <c r="A20" s="6">
        <v>520</v>
      </c>
      <c r="B20" s="6">
        <v>21</v>
      </c>
      <c r="C20" s="6" t="s">
        <v>203</v>
      </c>
      <c r="D20" s="6" t="s">
        <v>206</v>
      </c>
      <c r="E20" s="6" t="s">
        <v>199</v>
      </c>
      <c r="F20" s="6">
        <v>6</v>
      </c>
      <c r="G20" s="6" t="s">
        <v>200</v>
      </c>
      <c r="H20" s="6" t="s">
        <v>210</v>
      </c>
      <c r="I20" s="6">
        <v>5.7</v>
      </c>
      <c r="J20" s="6">
        <v>4.7</v>
      </c>
      <c r="K20" s="6" t="s">
        <v>211</v>
      </c>
    </row>
    <row r="21" spans="1:11">
      <c r="A21" s="5">
        <v>703</v>
      </c>
      <c r="B21" s="5">
        <v>24</v>
      </c>
      <c r="C21" s="5" t="s">
        <v>197</v>
      </c>
      <c r="D21" s="5" t="s">
        <v>198</v>
      </c>
      <c r="E21" s="5" t="s">
        <v>214</v>
      </c>
      <c r="F21" s="5">
        <v>4.7</v>
      </c>
      <c r="G21" s="5" t="s">
        <v>215</v>
      </c>
      <c r="H21" s="5" t="s">
        <v>201</v>
      </c>
      <c r="I21" s="5">
        <v>7</v>
      </c>
      <c r="J21" s="5">
        <v>6.2</v>
      </c>
      <c r="K21" s="5" t="s">
        <v>202</v>
      </c>
    </row>
    <row r="22" spans="1:11">
      <c r="A22" s="6">
        <v>33</v>
      </c>
      <c r="B22" s="6">
        <v>19</v>
      </c>
      <c r="C22" s="6" t="s">
        <v>197</v>
      </c>
      <c r="D22" s="6" t="s">
        <v>212</v>
      </c>
      <c r="E22" s="6" t="s">
        <v>199</v>
      </c>
      <c r="F22" s="6">
        <v>3.6</v>
      </c>
      <c r="G22" s="6" t="s">
        <v>216</v>
      </c>
      <c r="H22" s="6" t="s">
        <v>201</v>
      </c>
      <c r="I22" s="6">
        <v>8.1</v>
      </c>
      <c r="J22" s="6">
        <v>8.6</v>
      </c>
      <c r="K22" s="6" t="s">
        <v>205</v>
      </c>
    </row>
    <row r="23" spans="1:11">
      <c r="A23" s="5">
        <v>519</v>
      </c>
      <c r="B23" s="5">
        <v>18</v>
      </c>
      <c r="C23" s="5" t="s">
        <v>197</v>
      </c>
      <c r="D23" s="5" t="s">
        <v>206</v>
      </c>
      <c r="E23" s="5" t="s">
        <v>199</v>
      </c>
      <c r="F23" s="5">
        <v>4.1</v>
      </c>
      <c r="G23" s="5" t="s">
        <v>204</v>
      </c>
      <c r="H23" s="5" t="s">
        <v>201</v>
      </c>
      <c r="I23" s="5">
        <v>7.3</v>
      </c>
      <c r="J23" s="5">
        <v>6.8</v>
      </c>
      <c r="K23" s="5" t="s">
        <v>202</v>
      </c>
    </row>
    <row r="24" spans="1:11">
      <c r="A24" s="6">
        <v>738</v>
      </c>
      <c r="B24" s="6">
        <v>18</v>
      </c>
      <c r="C24" s="6" t="s">
        <v>197</v>
      </c>
      <c r="D24" s="6" t="s">
        <v>212</v>
      </c>
      <c r="E24" s="6" t="s">
        <v>199</v>
      </c>
      <c r="F24" s="6">
        <v>7.6</v>
      </c>
      <c r="G24" s="6" t="s">
        <v>209</v>
      </c>
      <c r="H24" s="6" t="s">
        <v>210</v>
      </c>
      <c r="I24" s="6">
        <v>5.3</v>
      </c>
      <c r="J24" s="6">
        <v>5.5</v>
      </c>
      <c r="K24" s="6" t="s">
        <v>211</v>
      </c>
    </row>
    <row r="25" spans="1:11">
      <c r="A25" s="5">
        <v>119</v>
      </c>
      <c r="B25" s="5">
        <v>20</v>
      </c>
      <c r="C25" s="5" t="s">
        <v>197</v>
      </c>
      <c r="D25" s="5" t="s">
        <v>198</v>
      </c>
      <c r="E25" s="5" t="s">
        <v>199</v>
      </c>
      <c r="F25" s="5">
        <v>2.4</v>
      </c>
      <c r="G25" s="5" t="s">
        <v>200</v>
      </c>
      <c r="H25" s="5" t="s">
        <v>201</v>
      </c>
      <c r="I25" s="5">
        <v>8.8</v>
      </c>
      <c r="J25" s="5">
        <v>8.5</v>
      </c>
      <c r="K25" s="5" t="s">
        <v>205</v>
      </c>
    </row>
    <row r="26" spans="1:11">
      <c r="A26" s="6">
        <v>287</v>
      </c>
      <c r="B26" s="6">
        <v>23</v>
      </c>
      <c r="C26" s="6" t="s">
        <v>203</v>
      </c>
      <c r="D26" s="6" t="s">
        <v>198</v>
      </c>
      <c r="E26" s="6" t="s">
        <v>199</v>
      </c>
      <c r="F26" s="6">
        <v>6.2</v>
      </c>
      <c r="G26" s="6" t="s">
        <v>204</v>
      </c>
      <c r="H26" s="6" t="s">
        <v>201</v>
      </c>
      <c r="I26" s="6">
        <v>5.3</v>
      </c>
      <c r="J26" s="6">
        <v>5.4</v>
      </c>
      <c r="K26" s="6" t="s">
        <v>211</v>
      </c>
    </row>
    <row r="27" spans="1:11">
      <c r="A27" s="5">
        <v>610</v>
      </c>
      <c r="B27" s="5">
        <v>24</v>
      </c>
      <c r="C27" s="5" t="s">
        <v>197</v>
      </c>
      <c r="D27" s="5" t="s">
        <v>206</v>
      </c>
      <c r="E27" s="5" t="s">
        <v>217</v>
      </c>
      <c r="F27" s="5">
        <v>2.7</v>
      </c>
      <c r="G27" s="5" t="s">
        <v>208</v>
      </c>
      <c r="H27" s="5" t="s">
        <v>201</v>
      </c>
      <c r="I27" s="5">
        <v>8.6</v>
      </c>
      <c r="J27" s="5">
        <v>7.8</v>
      </c>
      <c r="K27" s="5" t="s">
        <v>205</v>
      </c>
    </row>
    <row r="28" spans="1:11">
      <c r="A28" s="6">
        <v>383</v>
      </c>
      <c r="B28" s="6">
        <v>18</v>
      </c>
      <c r="C28" s="6" t="s">
        <v>203</v>
      </c>
      <c r="D28" s="6" t="s">
        <v>206</v>
      </c>
      <c r="E28" s="6" t="s">
        <v>199</v>
      </c>
      <c r="F28" s="6">
        <v>5.2</v>
      </c>
      <c r="G28" s="6" t="s">
        <v>213</v>
      </c>
      <c r="H28" s="6" t="s">
        <v>210</v>
      </c>
      <c r="I28" s="6">
        <v>7</v>
      </c>
      <c r="J28" s="6">
        <v>6.3</v>
      </c>
      <c r="K28" s="6" t="s">
        <v>202</v>
      </c>
    </row>
    <row r="29" spans="1:11">
      <c r="A29" s="5">
        <v>699</v>
      </c>
      <c r="B29" s="5">
        <v>22</v>
      </c>
      <c r="C29" s="5" t="s">
        <v>203</v>
      </c>
      <c r="D29" s="5" t="s">
        <v>206</v>
      </c>
      <c r="E29" s="5" t="s">
        <v>214</v>
      </c>
      <c r="F29" s="5">
        <v>6.5</v>
      </c>
      <c r="G29" s="5" t="s">
        <v>215</v>
      </c>
      <c r="H29" s="5" t="s">
        <v>210</v>
      </c>
      <c r="I29" s="5">
        <v>5.4</v>
      </c>
      <c r="J29" s="5">
        <v>5</v>
      </c>
      <c r="K29" s="5" t="s">
        <v>211</v>
      </c>
    </row>
    <row r="30" spans="1:11">
      <c r="A30" s="6">
        <v>302</v>
      </c>
      <c r="B30" s="6">
        <v>21</v>
      </c>
      <c r="C30" s="6" t="s">
        <v>197</v>
      </c>
      <c r="D30" s="6" t="s">
        <v>212</v>
      </c>
      <c r="E30" s="6" t="s">
        <v>218</v>
      </c>
      <c r="F30" s="6">
        <v>6.8</v>
      </c>
      <c r="G30" s="6" t="s">
        <v>215</v>
      </c>
      <c r="H30" s="6" t="s">
        <v>210</v>
      </c>
      <c r="I30" s="6">
        <v>5.7</v>
      </c>
      <c r="J30" s="6">
        <v>5</v>
      </c>
      <c r="K30" s="6" t="s">
        <v>211</v>
      </c>
    </row>
    <row r="31" spans="1:11">
      <c r="A31" s="5">
        <v>277</v>
      </c>
      <c r="B31" s="5">
        <v>21</v>
      </c>
      <c r="C31" s="5" t="s">
        <v>197</v>
      </c>
      <c r="D31" s="5" t="s">
        <v>206</v>
      </c>
      <c r="E31" s="5" t="s">
        <v>207</v>
      </c>
      <c r="F31" s="5">
        <v>6.9</v>
      </c>
      <c r="G31" s="5" t="s">
        <v>200</v>
      </c>
      <c r="H31" s="5" t="s">
        <v>210</v>
      </c>
      <c r="I31" s="5">
        <v>5.9</v>
      </c>
      <c r="J31" s="5">
        <v>5</v>
      </c>
      <c r="K31" s="5" t="s">
        <v>211</v>
      </c>
    </row>
    <row r="32" spans="1:11">
      <c r="A32" s="6">
        <v>631</v>
      </c>
      <c r="B32" s="6">
        <v>20</v>
      </c>
      <c r="C32" s="6" t="s">
        <v>197</v>
      </c>
      <c r="D32" s="6" t="s">
        <v>198</v>
      </c>
      <c r="E32" s="6" t="s">
        <v>199</v>
      </c>
      <c r="F32" s="6">
        <v>5.5</v>
      </c>
      <c r="G32" s="6" t="s">
        <v>208</v>
      </c>
      <c r="H32" s="6" t="s">
        <v>201</v>
      </c>
      <c r="I32" s="6">
        <v>6.8</v>
      </c>
      <c r="J32" s="6">
        <v>6.8</v>
      </c>
      <c r="K32" s="6" t="s">
        <v>202</v>
      </c>
    </row>
    <row r="39" spans="1:6">
      <c r="A39" t="s">
        <v>196</v>
      </c>
      <c r="B39" t="s">
        <v>339</v>
      </c>
      <c r="E39" t="s">
        <v>188</v>
      </c>
      <c r="F39" t="s">
        <v>339</v>
      </c>
    </row>
    <row r="40" spans="1:6">
      <c r="A40" t="s">
        <v>211</v>
      </c>
      <c r="B40">
        <v>9</v>
      </c>
      <c r="E40" t="s">
        <v>351</v>
      </c>
      <c r="F40">
        <v>2</v>
      </c>
    </row>
    <row r="41" spans="1:6">
      <c r="A41" t="s">
        <v>341</v>
      </c>
      <c r="B41">
        <v>9</v>
      </c>
      <c r="E41" t="s">
        <v>352</v>
      </c>
      <c r="F41">
        <v>7</v>
      </c>
    </row>
    <row r="42" spans="5:6">
      <c r="E42" t="s">
        <v>341</v>
      </c>
      <c r="F42">
        <v>9</v>
      </c>
    </row>
    <row r="55" spans="1:2">
      <c r="A55" t="s">
        <v>190</v>
      </c>
      <c r="B55" t="s">
        <v>342</v>
      </c>
    </row>
    <row r="56" spans="1:2">
      <c r="A56" t="s">
        <v>218</v>
      </c>
      <c r="B56">
        <v>1</v>
      </c>
    </row>
    <row r="57" spans="1:2">
      <c r="A57" t="s">
        <v>207</v>
      </c>
      <c r="B57">
        <v>2</v>
      </c>
    </row>
    <row r="58" spans="1:2">
      <c r="A58" t="s">
        <v>217</v>
      </c>
      <c r="B58">
        <v>1</v>
      </c>
    </row>
    <row r="59" spans="1:2">
      <c r="A59" t="s">
        <v>341</v>
      </c>
      <c r="B59">
        <v>4</v>
      </c>
    </row>
    <row r="73" spans="1:2">
      <c r="A73" t="s">
        <v>196</v>
      </c>
      <c r="B73" t="s">
        <v>342</v>
      </c>
    </row>
    <row r="74" spans="1:2">
      <c r="A74" t="s">
        <v>202</v>
      </c>
      <c r="B74">
        <v>7</v>
      </c>
    </row>
    <row r="75" spans="1:2">
      <c r="A75" t="s">
        <v>211</v>
      </c>
      <c r="B75">
        <v>9</v>
      </c>
    </row>
    <row r="76" spans="1:2">
      <c r="A76" t="s">
        <v>341</v>
      </c>
      <c r="B76">
        <v>16</v>
      </c>
    </row>
  </sheetData>
  <mergeCells count="8">
    <mergeCell ref="A1:D1"/>
    <mergeCell ref="A2:D2"/>
    <mergeCell ref="A3:D3"/>
    <mergeCell ref="A4:D4"/>
    <mergeCell ref="A5:D5"/>
    <mergeCell ref="A6:D6"/>
    <mergeCell ref="A7:D7"/>
    <mergeCell ref="A8:D8"/>
  </mergeCells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workbookViewId="0">
      <selection activeCell="Q20" sqref="Q20"/>
    </sheetView>
  </sheetViews>
  <sheetFormatPr defaultColWidth="8.88888888888889" defaultRowHeight="14.4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A10" sqref="A10:K30"/>
    </sheetView>
  </sheetViews>
  <sheetFormatPr defaultColWidth="8.88888888888889" defaultRowHeight="14.4"/>
  <cols>
    <col min="1" max="1" width="14.3333333333333" customWidth="1"/>
    <col min="4" max="4" width="17.7777777777778" customWidth="1"/>
    <col min="5" max="5" width="14.1111111111111" customWidth="1"/>
    <col min="6" max="6" width="23.1111111111111" customWidth="1"/>
    <col min="7" max="7" width="23.2222222222222" customWidth="1"/>
    <col min="8" max="9" width="17.8888888888889" customWidth="1"/>
    <col min="10" max="10" width="20.4444444444444" customWidth="1"/>
    <col min="11" max="11" width="19.7777777777778" customWidth="1"/>
  </cols>
  <sheetData>
    <row r="1" ht="15.6" spans="1:6">
      <c r="A1" s="1" t="s">
        <v>353</v>
      </c>
      <c r="B1" s="2"/>
      <c r="C1" s="2"/>
      <c r="D1" s="2"/>
      <c r="E1" s="2"/>
      <c r="F1" s="2"/>
    </row>
    <row r="2" spans="1:6">
      <c r="A2" s="3" t="s">
        <v>354</v>
      </c>
      <c r="B2" s="2"/>
      <c r="C2" s="2"/>
      <c r="D2" s="2"/>
      <c r="E2" s="2"/>
      <c r="F2" s="2"/>
    </row>
    <row r="3" spans="1:6">
      <c r="A3" s="3" t="s">
        <v>355</v>
      </c>
      <c r="B3" s="2"/>
      <c r="C3" s="2"/>
      <c r="D3" s="2"/>
      <c r="E3" s="2"/>
      <c r="F3" s="2"/>
    </row>
    <row r="4" spans="1:6">
      <c r="A4" s="3" t="s">
        <v>356</v>
      </c>
      <c r="B4" s="2"/>
      <c r="C4" s="2"/>
      <c r="D4" s="2"/>
      <c r="E4" s="2"/>
      <c r="F4" s="2"/>
    </row>
    <row r="5" spans="1:6">
      <c r="A5" s="3" t="s">
        <v>357</v>
      </c>
      <c r="B5" s="2"/>
      <c r="C5" s="2"/>
      <c r="D5" s="2"/>
      <c r="E5" s="2"/>
      <c r="F5" s="2"/>
    </row>
    <row r="6" spans="1:6">
      <c r="A6" s="3" t="s">
        <v>358</v>
      </c>
      <c r="B6" s="2"/>
      <c r="C6" s="2"/>
      <c r="D6" s="2"/>
      <c r="E6" s="2"/>
      <c r="F6" s="2"/>
    </row>
    <row r="7" spans="1:6">
      <c r="A7" s="3" t="s">
        <v>359</v>
      </c>
      <c r="B7" s="2"/>
      <c r="C7" s="2"/>
      <c r="D7" s="2"/>
      <c r="E7" s="2"/>
      <c r="F7" s="2"/>
    </row>
    <row r="8" spans="1:6">
      <c r="A8" s="3" t="s">
        <v>360</v>
      </c>
      <c r="B8" s="2"/>
      <c r="C8" s="2"/>
      <c r="D8" s="2"/>
      <c r="E8" s="2"/>
      <c r="F8" s="2"/>
    </row>
    <row r="10" spans="1:11">
      <c r="A10" s="4" t="s">
        <v>187</v>
      </c>
      <c r="B10" s="4" t="s">
        <v>188</v>
      </c>
      <c r="C10" s="4" t="s">
        <v>64</v>
      </c>
      <c r="D10" s="4" t="s">
        <v>189</v>
      </c>
      <c r="E10" s="4" t="s">
        <v>190</v>
      </c>
      <c r="F10" s="4" t="s">
        <v>191</v>
      </c>
      <c r="G10" s="4" t="s">
        <v>192</v>
      </c>
      <c r="H10" s="4" t="s">
        <v>193</v>
      </c>
      <c r="I10" s="4" t="s">
        <v>194</v>
      </c>
      <c r="J10" s="4" t="s">
        <v>195</v>
      </c>
      <c r="K10" s="4" t="s">
        <v>196</v>
      </c>
    </row>
    <row r="11" spans="1:11">
      <c r="A11" s="5">
        <v>232</v>
      </c>
      <c r="B11" s="5">
        <v>21</v>
      </c>
      <c r="C11" s="5" t="s">
        <v>197</v>
      </c>
      <c r="D11" s="5" t="s">
        <v>198</v>
      </c>
      <c r="E11" s="5" t="s">
        <v>199</v>
      </c>
      <c r="F11" s="5">
        <v>4</v>
      </c>
      <c r="G11" s="5" t="s">
        <v>200</v>
      </c>
      <c r="H11" s="5" t="s">
        <v>201</v>
      </c>
      <c r="I11" s="5">
        <v>6.7</v>
      </c>
      <c r="J11" s="5">
        <v>6.8</v>
      </c>
      <c r="K11" s="5" t="s">
        <v>202</v>
      </c>
    </row>
    <row r="12" spans="1:11">
      <c r="A12" s="6">
        <v>564</v>
      </c>
      <c r="B12" s="6">
        <v>23</v>
      </c>
      <c r="C12" s="6" t="s">
        <v>203</v>
      </c>
      <c r="D12" s="6" t="s">
        <v>198</v>
      </c>
      <c r="E12" s="6" t="s">
        <v>199</v>
      </c>
      <c r="F12" s="6">
        <v>1.6</v>
      </c>
      <c r="G12" s="6" t="s">
        <v>204</v>
      </c>
      <c r="H12" s="6" t="s">
        <v>201</v>
      </c>
      <c r="I12" s="6">
        <v>8.6</v>
      </c>
      <c r="J12" s="6">
        <v>7.6</v>
      </c>
      <c r="K12" s="6" t="s">
        <v>205</v>
      </c>
    </row>
    <row r="13" spans="1:11">
      <c r="A13" s="5">
        <v>788</v>
      </c>
      <c r="B13" s="5">
        <v>22</v>
      </c>
      <c r="C13" s="5" t="s">
        <v>197</v>
      </c>
      <c r="D13" s="5" t="s">
        <v>206</v>
      </c>
      <c r="E13" s="5" t="s">
        <v>207</v>
      </c>
      <c r="F13" s="5">
        <v>4.6</v>
      </c>
      <c r="G13" s="5" t="s">
        <v>208</v>
      </c>
      <c r="H13" s="5" t="s">
        <v>201</v>
      </c>
      <c r="I13" s="5">
        <v>6.7</v>
      </c>
      <c r="J13" s="5">
        <v>7</v>
      </c>
      <c r="K13" s="5" t="s">
        <v>202</v>
      </c>
    </row>
    <row r="14" spans="1:11">
      <c r="A14" s="6">
        <v>686</v>
      </c>
      <c r="B14" s="6">
        <v>18</v>
      </c>
      <c r="C14" s="6" t="s">
        <v>197</v>
      </c>
      <c r="D14" s="6" t="s">
        <v>198</v>
      </c>
      <c r="E14" s="6" t="s">
        <v>199</v>
      </c>
      <c r="F14" s="6">
        <v>7</v>
      </c>
      <c r="G14" s="6" t="s">
        <v>209</v>
      </c>
      <c r="H14" s="6" t="s">
        <v>210</v>
      </c>
      <c r="I14" s="6">
        <v>5.4</v>
      </c>
      <c r="J14" s="6">
        <v>5.3</v>
      </c>
      <c r="K14" s="6" t="s">
        <v>211</v>
      </c>
    </row>
    <row r="15" spans="1:11">
      <c r="A15" s="5">
        <v>608</v>
      </c>
      <c r="B15" s="5">
        <v>24</v>
      </c>
      <c r="C15" s="5" t="s">
        <v>203</v>
      </c>
      <c r="D15" s="5" t="s">
        <v>212</v>
      </c>
      <c r="E15" s="5" t="s">
        <v>199</v>
      </c>
      <c r="F15" s="5">
        <v>7.5</v>
      </c>
      <c r="G15" s="5" t="s">
        <v>200</v>
      </c>
      <c r="H15" s="5" t="s">
        <v>210</v>
      </c>
      <c r="I15" s="5">
        <v>5</v>
      </c>
      <c r="J15" s="5">
        <v>4.4</v>
      </c>
      <c r="K15" s="5" t="s">
        <v>211</v>
      </c>
    </row>
    <row r="16" spans="1:11">
      <c r="A16" s="6">
        <v>370</v>
      </c>
      <c r="B16" s="6">
        <v>19</v>
      </c>
      <c r="C16" s="6" t="s">
        <v>203</v>
      </c>
      <c r="D16" s="6" t="s">
        <v>212</v>
      </c>
      <c r="E16" s="6" t="s">
        <v>199</v>
      </c>
      <c r="F16" s="6">
        <v>4.1</v>
      </c>
      <c r="G16" s="6" t="s">
        <v>213</v>
      </c>
      <c r="H16" s="6" t="s">
        <v>210</v>
      </c>
      <c r="I16" s="6">
        <v>6.8</v>
      </c>
      <c r="J16" s="6">
        <v>6.8</v>
      </c>
      <c r="K16" s="6" t="s">
        <v>202</v>
      </c>
    </row>
    <row r="17" spans="1:11">
      <c r="A17" s="5">
        <v>862</v>
      </c>
      <c r="B17" s="5">
        <v>22</v>
      </c>
      <c r="C17" s="5" t="s">
        <v>203</v>
      </c>
      <c r="D17" s="5" t="s">
        <v>206</v>
      </c>
      <c r="E17" s="5" t="s">
        <v>199</v>
      </c>
      <c r="F17" s="5">
        <v>8</v>
      </c>
      <c r="G17" s="5" t="s">
        <v>208</v>
      </c>
      <c r="H17" s="5" t="s">
        <v>210</v>
      </c>
      <c r="I17" s="5">
        <v>5.2</v>
      </c>
      <c r="J17" s="5">
        <v>5.3</v>
      </c>
      <c r="K17" s="5" t="s">
        <v>211</v>
      </c>
    </row>
    <row r="18" spans="1:11">
      <c r="A18" s="6">
        <v>520</v>
      </c>
      <c r="B18" s="6">
        <v>21</v>
      </c>
      <c r="C18" s="6" t="s">
        <v>203</v>
      </c>
      <c r="D18" s="6" t="s">
        <v>206</v>
      </c>
      <c r="E18" s="6" t="s">
        <v>199</v>
      </c>
      <c r="F18" s="6">
        <v>6</v>
      </c>
      <c r="G18" s="6" t="s">
        <v>200</v>
      </c>
      <c r="H18" s="6" t="s">
        <v>210</v>
      </c>
      <c r="I18" s="6">
        <v>5.7</v>
      </c>
      <c r="J18" s="6">
        <v>4.7</v>
      </c>
      <c r="K18" s="6" t="s">
        <v>211</v>
      </c>
    </row>
    <row r="19" spans="1:11">
      <c r="A19" s="5">
        <v>703</v>
      </c>
      <c r="B19" s="5">
        <v>24</v>
      </c>
      <c r="C19" s="5" t="s">
        <v>197</v>
      </c>
      <c r="D19" s="5" t="s">
        <v>198</v>
      </c>
      <c r="E19" s="5" t="s">
        <v>214</v>
      </c>
      <c r="F19" s="5">
        <v>4.7</v>
      </c>
      <c r="G19" s="5" t="s">
        <v>215</v>
      </c>
      <c r="H19" s="5" t="s">
        <v>201</v>
      </c>
      <c r="I19" s="5">
        <v>7</v>
      </c>
      <c r="J19" s="5">
        <v>6.2</v>
      </c>
      <c r="K19" s="5" t="s">
        <v>202</v>
      </c>
    </row>
    <row r="20" spans="1:11">
      <c r="A20" s="6">
        <v>33</v>
      </c>
      <c r="B20" s="6">
        <v>19</v>
      </c>
      <c r="C20" s="6" t="s">
        <v>197</v>
      </c>
      <c r="D20" s="6" t="s">
        <v>212</v>
      </c>
      <c r="E20" s="6" t="s">
        <v>199</v>
      </c>
      <c r="F20" s="6">
        <v>3.6</v>
      </c>
      <c r="G20" s="6" t="s">
        <v>216</v>
      </c>
      <c r="H20" s="6" t="s">
        <v>201</v>
      </c>
      <c r="I20" s="6">
        <v>8.1</v>
      </c>
      <c r="J20" s="6">
        <v>8.6</v>
      </c>
      <c r="K20" s="6" t="s">
        <v>205</v>
      </c>
    </row>
    <row r="21" spans="1:11">
      <c r="A21" s="5">
        <v>519</v>
      </c>
      <c r="B21" s="5">
        <v>18</v>
      </c>
      <c r="C21" s="5" t="s">
        <v>197</v>
      </c>
      <c r="D21" s="5" t="s">
        <v>206</v>
      </c>
      <c r="E21" s="5" t="s">
        <v>199</v>
      </c>
      <c r="F21" s="5">
        <v>4.1</v>
      </c>
      <c r="G21" s="5" t="s">
        <v>204</v>
      </c>
      <c r="H21" s="5" t="s">
        <v>201</v>
      </c>
      <c r="I21" s="5">
        <v>7.3</v>
      </c>
      <c r="J21" s="5">
        <v>6.8</v>
      </c>
      <c r="K21" s="5" t="s">
        <v>202</v>
      </c>
    </row>
    <row r="22" spans="1:11">
      <c r="A22" s="6">
        <v>738</v>
      </c>
      <c r="B22" s="6">
        <v>18</v>
      </c>
      <c r="C22" s="6" t="s">
        <v>197</v>
      </c>
      <c r="D22" s="6" t="s">
        <v>212</v>
      </c>
      <c r="E22" s="6" t="s">
        <v>199</v>
      </c>
      <c r="F22" s="6">
        <v>7.6</v>
      </c>
      <c r="G22" s="6" t="s">
        <v>209</v>
      </c>
      <c r="H22" s="6" t="s">
        <v>210</v>
      </c>
      <c r="I22" s="6">
        <v>5.3</v>
      </c>
      <c r="J22" s="6">
        <v>5.5</v>
      </c>
      <c r="K22" s="6" t="s">
        <v>211</v>
      </c>
    </row>
    <row r="23" spans="1:11">
      <c r="A23" s="5">
        <v>119</v>
      </c>
      <c r="B23" s="5">
        <v>20</v>
      </c>
      <c r="C23" s="5" t="s">
        <v>197</v>
      </c>
      <c r="D23" s="5" t="s">
        <v>198</v>
      </c>
      <c r="E23" s="5" t="s">
        <v>199</v>
      </c>
      <c r="F23" s="5">
        <v>2.4</v>
      </c>
      <c r="G23" s="5" t="s">
        <v>200</v>
      </c>
      <c r="H23" s="5" t="s">
        <v>201</v>
      </c>
      <c r="I23" s="5">
        <v>8.8</v>
      </c>
      <c r="J23" s="5">
        <v>8.5</v>
      </c>
      <c r="K23" s="5" t="s">
        <v>205</v>
      </c>
    </row>
    <row r="24" spans="1:11">
      <c r="A24" s="6">
        <v>287</v>
      </c>
      <c r="B24" s="6">
        <v>23</v>
      </c>
      <c r="C24" s="6" t="s">
        <v>203</v>
      </c>
      <c r="D24" s="6" t="s">
        <v>198</v>
      </c>
      <c r="E24" s="6" t="s">
        <v>199</v>
      </c>
      <c r="F24" s="6">
        <v>6.2</v>
      </c>
      <c r="G24" s="6" t="s">
        <v>204</v>
      </c>
      <c r="H24" s="6" t="s">
        <v>201</v>
      </c>
      <c r="I24" s="6">
        <v>5.3</v>
      </c>
      <c r="J24" s="6">
        <v>5.4</v>
      </c>
      <c r="K24" s="6" t="s">
        <v>211</v>
      </c>
    </row>
    <row r="25" spans="1:11">
      <c r="A25" s="5">
        <v>610</v>
      </c>
      <c r="B25" s="5">
        <v>24</v>
      </c>
      <c r="C25" s="5" t="s">
        <v>197</v>
      </c>
      <c r="D25" s="5" t="s">
        <v>206</v>
      </c>
      <c r="E25" s="5" t="s">
        <v>217</v>
      </c>
      <c r="F25" s="5">
        <v>2.7</v>
      </c>
      <c r="G25" s="5" t="s">
        <v>208</v>
      </c>
      <c r="H25" s="5" t="s">
        <v>201</v>
      </c>
      <c r="I25" s="5">
        <v>8.6</v>
      </c>
      <c r="J25" s="5">
        <v>7.8</v>
      </c>
      <c r="K25" s="5" t="s">
        <v>205</v>
      </c>
    </row>
    <row r="26" spans="1:11">
      <c r="A26" s="6">
        <v>383</v>
      </c>
      <c r="B26" s="6">
        <v>18</v>
      </c>
      <c r="C26" s="6" t="s">
        <v>203</v>
      </c>
      <c r="D26" s="6" t="s">
        <v>206</v>
      </c>
      <c r="E26" s="6" t="s">
        <v>199</v>
      </c>
      <c r="F26" s="6">
        <v>5.2</v>
      </c>
      <c r="G26" s="6" t="s">
        <v>213</v>
      </c>
      <c r="H26" s="6" t="s">
        <v>210</v>
      </c>
      <c r="I26" s="6">
        <v>7</v>
      </c>
      <c r="J26" s="6">
        <v>6.3</v>
      </c>
      <c r="K26" s="6" t="s">
        <v>202</v>
      </c>
    </row>
    <row r="27" spans="1:11">
      <c r="A27" s="5">
        <v>699</v>
      </c>
      <c r="B27" s="5">
        <v>22</v>
      </c>
      <c r="C27" s="5" t="s">
        <v>203</v>
      </c>
      <c r="D27" s="5" t="s">
        <v>206</v>
      </c>
      <c r="E27" s="5" t="s">
        <v>214</v>
      </c>
      <c r="F27" s="5">
        <v>6.5</v>
      </c>
      <c r="G27" s="5" t="s">
        <v>215</v>
      </c>
      <c r="H27" s="5" t="s">
        <v>210</v>
      </c>
      <c r="I27" s="5">
        <v>5.4</v>
      </c>
      <c r="J27" s="5">
        <v>5</v>
      </c>
      <c r="K27" s="5" t="s">
        <v>211</v>
      </c>
    </row>
    <row r="28" spans="1:11">
      <c r="A28" s="6">
        <v>302</v>
      </c>
      <c r="B28" s="6">
        <v>21</v>
      </c>
      <c r="C28" s="6" t="s">
        <v>197</v>
      </c>
      <c r="D28" s="6" t="s">
        <v>212</v>
      </c>
      <c r="E28" s="6" t="s">
        <v>218</v>
      </c>
      <c r="F28" s="6">
        <v>6.8</v>
      </c>
      <c r="G28" s="6" t="s">
        <v>215</v>
      </c>
      <c r="H28" s="6" t="s">
        <v>210</v>
      </c>
      <c r="I28" s="6">
        <v>5.7</v>
      </c>
      <c r="J28" s="6">
        <v>5</v>
      </c>
      <c r="K28" s="6" t="s">
        <v>211</v>
      </c>
    </row>
    <row r="29" spans="1:11">
      <c r="A29" s="5">
        <v>277</v>
      </c>
      <c r="B29" s="5">
        <v>21</v>
      </c>
      <c r="C29" s="5" t="s">
        <v>197</v>
      </c>
      <c r="D29" s="5" t="s">
        <v>206</v>
      </c>
      <c r="E29" s="5" t="s">
        <v>207</v>
      </c>
      <c r="F29" s="5">
        <v>6.9</v>
      </c>
      <c r="G29" s="5" t="s">
        <v>200</v>
      </c>
      <c r="H29" s="5" t="s">
        <v>210</v>
      </c>
      <c r="I29" s="5">
        <v>5.9</v>
      </c>
      <c r="J29" s="5">
        <v>5</v>
      </c>
      <c r="K29" s="5" t="s">
        <v>211</v>
      </c>
    </row>
    <row r="30" spans="1:11">
      <c r="A30" s="6">
        <v>631</v>
      </c>
      <c r="B30" s="6">
        <v>20</v>
      </c>
      <c r="C30" s="6" t="s">
        <v>197</v>
      </c>
      <c r="D30" s="6" t="s">
        <v>198</v>
      </c>
      <c r="E30" s="6" t="s">
        <v>199</v>
      </c>
      <c r="F30" s="6">
        <v>5.5</v>
      </c>
      <c r="G30" s="6" t="s">
        <v>208</v>
      </c>
      <c r="H30" s="6" t="s">
        <v>201</v>
      </c>
      <c r="I30" s="6">
        <v>6.8</v>
      </c>
      <c r="J30" s="6">
        <v>6.8</v>
      </c>
      <c r="K30" s="6" t="s">
        <v>202</v>
      </c>
    </row>
  </sheetData>
  <mergeCells count="8">
    <mergeCell ref="A1:F1"/>
    <mergeCell ref="A2:F2"/>
    <mergeCell ref="A3:F3"/>
    <mergeCell ref="A4:F4"/>
    <mergeCell ref="A5:F5"/>
    <mergeCell ref="A6:F6"/>
    <mergeCell ref="A7:F7"/>
    <mergeCell ref="A8:F8"/>
  </mergeCells>
  <conditionalFormatting sqref="H11:H30">
    <cfRule type="containsText" dxfId="70" priority="1" operator="between" text="Yes">
      <formula>NOT(ISERROR(SEARCH("Yes",H11)))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Project 1</vt:lpstr>
      <vt:lpstr>Project 2</vt:lpstr>
      <vt:lpstr>Project 3 </vt:lpstr>
      <vt:lpstr>Project 4</vt:lpstr>
      <vt:lpstr>Project 5 </vt:lpstr>
      <vt:lpstr>Project 6 </vt:lpstr>
      <vt:lpstr>Project 7</vt:lpstr>
      <vt:lpstr>Project 8</vt:lpstr>
      <vt:lpstr>Project 9</vt:lpstr>
      <vt:lpstr>Project 10 </vt:lpstr>
      <vt:lpstr>Project 11</vt:lpstr>
      <vt:lpstr>Project 12</vt:lpstr>
      <vt:lpstr>Project 13</vt:lpstr>
      <vt:lpstr>Project 14 </vt:lpstr>
      <vt:lpstr>Dash Board </vt:lpstr>
      <vt:lpstr>Project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David-Bazunu</dc:creator>
  <cp:lastModifiedBy>David Bazunu</cp:lastModifiedBy>
  <dcterms:created xsi:type="dcterms:W3CDTF">2026-09-02T05:34:00Z</dcterms:created>
  <dcterms:modified xsi:type="dcterms:W3CDTF">2026-09-06T05:49:18Z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89507D787A3C4ADDA3724BD2FAF6A8FE_11</vt:lpwstr>
  </property>
  <property fmtid="{D5CDD505-2E9C-101B-9397-08002B2CF9AE}" pid="3" name="KSOProductBuildVer">
    <vt:lpwstr>2057-12.2.0.23206</vt:lpwstr>
  </property>
</Properties>
</file>