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03" windowHeight="9720" activeTab="2"/>
  </bookViews>
  <sheets>
    <sheet name="Instructions &amp; Requirements" sheetId="1" r:id="rId1"/>
    <sheet name="Raw_Data_Messy" sheetId="2" r:id="rId2"/>
    <sheet name="Answer_Key_Internal" sheetId="3"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<sst xmlns="http://schemas.openxmlformats.org/spreadsheetml/2006/main" count="158" uniqueCount="101">
  <si>
    <t>DATA CLEANING &amp; ANALYTICS PROJECT</t>
  </si>
  <si>
    <t>Company: ApexTech Solutions Inc. | Dataset: Q3 Sales &amp; Subscriptions</t>
  </si>
  <si>
    <t>Overview &amp; Scenario</t>
  </si>
  <si>
    <t>You are a Data Analyst at ApexTech Solutions. Management has provided a raw export of Q3 order transactions from multiple legacy systems. The dataset contains various data quality issues including missing values, incorrect formats, duplicate records, trailing whitespaces, inconsistent product categories, and bad date formatting.
Your objective is to clean the dataset in a new tab, perform analytics, and answer the business questions below. Once complete, send the completed Excel file back for grading!</t>
  </si>
  <si>
    <t>Task List (Grading Criteria)</t>
  </si>
  <si>
    <t>Task</t>
  </si>
  <si>
    <t>Description &amp; Instructions</t>
  </si>
  <si>
    <t>Task 1: Standardize Dates</t>
  </si>
  <si>
    <t>Convert all values in 'Order Date' to a uniform YYYY-MM-DD date format. Fix text-based or corrupted date formats.</t>
  </si>
  <si>
    <t>Task 2: Trim Whitespace</t>
  </si>
  <si>
    <t>Clean leading/trailing spaces in 'Customer Name', 'Region', and 'Product Category'.</t>
  </si>
  <si>
    <t>Task 3: Text Case &amp; Formatting</t>
  </si>
  <si>
    <t>Standardize 'Region' to Proper Case (e.g., 'North America', 'Europe', 'Asia-Pacific').</t>
  </si>
  <si>
    <t>Task 4: Remove Duplicates</t>
  </si>
  <si>
    <t>Identify and remove exact duplicate order rows based on 'Order ID'.</t>
  </si>
  <si>
    <t>Task 5: Handle Missing Values</t>
  </si>
  <si>
    <t>For missing 'Unit Price' or 'Quantity', calculate them using 'Total Sales' where possible, or flag/fill appropriately.</t>
  </si>
  <si>
    <t>Task 6: Standardize Categories</t>
  </si>
  <si>
    <t>Fix typos and inconsistent naming in 'Product Category' (e.g., 'SaaS Tools', 'saas-tool', 'Software').</t>
  </si>
  <si>
    <t>Task 7: Calculate Total Revenue</t>
  </si>
  <si>
    <t>Ensure 'Total Sales' equals 'Quantity' * 'Unit Price' * (1 - 'Discount %'). Add a clean calculated column.</t>
  </si>
  <si>
    <t>Task 8: Summary Analytics</t>
  </si>
  <si>
    <t>Calculate Total Revenue, Average Order Value, Top Region by Revenue, and Total Units Sold.</t>
  </si>
  <si>
    <t>Order ID</t>
  </si>
  <si>
    <t>Order Date</t>
  </si>
  <si>
    <t>Customer Name</t>
  </si>
  <si>
    <t>Customer Type</t>
  </si>
  <si>
    <t>Region</t>
  </si>
  <si>
    <t>Product Category</t>
  </si>
  <si>
    <t>Quantity</t>
  </si>
  <si>
    <t>Unit Price</t>
  </si>
  <si>
    <t>Discount %</t>
  </si>
  <si>
    <t>Total Sales</t>
  </si>
  <si>
    <t>ORD-1001</t>
  </si>
  <si>
    <t xml:space="preserve">  Acme Corp  </t>
  </si>
  <si>
    <t>Enterprise</t>
  </si>
  <si>
    <t>north america</t>
  </si>
  <si>
    <t>SaaS Tools</t>
  </si>
  <si>
    <t>ORD-1002</t>
  </si>
  <si>
    <t>Global Tech</t>
  </si>
  <si>
    <t>SMB</t>
  </si>
  <si>
    <t xml:space="preserve">Europe </t>
  </si>
  <si>
    <t>saas Tools</t>
  </si>
  <si>
    <t>5</t>
  </si>
  <si>
    <t>ORD-1003</t>
  </si>
  <si>
    <t>Apex Systems</t>
  </si>
  <si>
    <t>NORTH AMERICA</t>
  </si>
  <si>
    <t>Hardware</t>
  </si>
  <si>
    <t>ORD-1004</t>
  </si>
  <si>
    <t>Beta LLC</t>
  </si>
  <si>
    <t>Consumer</t>
  </si>
  <si>
    <t>asia-pacific</t>
  </si>
  <si>
    <t>Cloud Hosting</t>
  </si>
  <si>
    <t>ORD-1005</t>
  </si>
  <si>
    <t>Delta Inc</t>
  </si>
  <si>
    <t>Europe</t>
  </si>
  <si>
    <t>N/A</t>
  </si>
  <si>
    <t>ORD-1006</t>
  </si>
  <si>
    <t>Echo Media</t>
  </si>
  <si>
    <t xml:space="preserve"> North America</t>
  </si>
  <si>
    <t>ORD-1007</t>
  </si>
  <si>
    <t>Foxtrot Logistics</t>
  </si>
  <si>
    <t>EUROPE</t>
  </si>
  <si>
    <t>10</t>
  </si>
  <si>
    <t>ORD-1008</t>
  </si>
  <si>
    <t>Gamma Partners</t>
  </si>
  <si>
    <t xml:space="preserve">asia pacific </t>
  </si>
  <si>
    <t>SaaS</t>
  </si>
  <si>
    <t>ORD-1009</t>
  </si>
  <si>
    <t>Helios Energy</t>
  </si>
  <si>
    <t>North America</t>
  </si>
  <si>
    <t>UNKNOWN</t>
  </si>
  <si>
    <t>ORD-1010</t>
  </si>
  <si>
    <t xml:space="preserve">  Iota Software</t>
  </si>
  <si>
    <t>europe</t>
  </si>
  <si>
    <t>hardware</t>
  </si>
  <si>
    <t>ORD-1011</t>
  </si>
  <si>
    <t>Kappa Retail</t>
  </si>
  <si>
    <t>South America</t>
  </si>
  <si>
    <t>ORD-1012</t>
  </si>
  <si>
    <t>Lambda Health</t>
  </si>
  <si>
    <t xml:space="preserve">SaaS Tools </t>
  </si>
  <si>
    <t>ORD-1013</t>
  </si>
  <si>
    <t>Omega Group</t>
  </si>
  <si>
    <t xml:space="preserve"> Europe</t>
  </si>
  <si>
    <t>ORD-1014</t>
  </si>
  <si>
    <t>Sigma Analytics</t>
  </si>
  <si>
    <t>Asia-Pacific</t>
  </si>
  <si>
    <t>ORD-1015</t>
  </si>
  <si>
    <t>Theta Design</t>
  </si>
  <si>
    <t xml:space="preserve">Hardware </t>
  </si>
  <si>
    <t>ORD-1016</t>
  </si>
  <si>
    <t>Zeta Financial</t>
  </si>
  <si>
    <t>ORD-1017</t>
  </si>
  <si>
    <t xml:space="preserve">   Vortex AI   </t>
  </si>
  <si>
    <t>ORD-1018</t>
  </si>
  <si>
    <t>Zenith Labs</t>
  </si>
  <si>
    <t xml:space="preserve">Total Revenue </t>
  </si>
  <si>
    <t xml:space="preserve">Sum of Total Revenue </t>
  </si>
  <si>
    <t>Asia Pacific</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</si>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</sst>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 numFmtId="179" formatCode="0.00_);[Red]\(0.00\)"/>
    <numFmt numFmtId="180" formatCode="0_);[Red]\(0\)"/>
  </numFmts>
  <fonts count="27">
    <font>
      <sz val="11"/>
      <color theme="1"/>
      <name val="Calibri"/>
      <charset val="134"/>
      <scheme val="minor"/>
    </font>
    <font>
      <b/>
      <sz val="11"/>
      <color rgb="FFFFFFFF"/>
      <name val="Calibri"/>
      <charset val="134"/>
      <scheme val="minor"/>
    </font>
    <font>
      <b/>
      <sz val="11"/>
      <color rgb="FFFFFFFF"/>
      <name val="Calibri"/>
      <charset val="134"/>
    </font>
    <font>
      <sz val="11"/>
      <name val="Calibri"/>
      <charset val="134"/>
    </font>
    <font>
      <b/>
      <sz val="16"/>
      <color rgb="FF1F497D"/>
      <name val="Calibri"/>
      <charset val="134"/>
    </font>
    <font>
      <i/>
      <sz val="11"/>
      <color rgb="FF595959"/>
      <name val="Calibri"/>
      <charset val="134"/>
    </font>
    <font>
      <b/>
      <sz val="13"/>
      <color rgb="FF1F497D"/>
      <name val="Calibri"/>
      <charset val="134"/>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97D"/>
        <bgColor rgb="FF1F497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9">
    <xf numFmtId="0" fontId="0" fillId="0" borderId="0" xfId="0"/>
    <xf numFmtId="178" fontId="0" fillId="0" borderId="0" xfId="0" applyNumberFormat="1"/>
    <xf numFmtId="179" fontId="0" fillId="0" borderId="0" xfId="0" applyNumberFormat="1"/>
    <xf numFmtId="8" fontId="0" fillId="0" borderId="0" xfId="0" applyNumberFormat="1"/>
    <xf numFmtId="10" fontId="0" fillId="0" borderId="0" xfId="0" applyNumberFormat="1"/>
    <xf numFmtId="8" fontId="0" fillId="0" borderId="0" xfId="0" applyNumberFormat="1"/>
    <xf numFmtId="0" fontId="1" fillId="2" borderId="0" xfId="0" applyFont="1" applyFill="1" applyAlignment="1">
      <alignment horizontal="center"/>
    </xf>
    <xf numFmtId="178" fontId="1" fillId="2" borderId="0" xfId="0" applyNumberFormat="1" applyFont="1" applyFill="1" applyAlignment="1">
      <alignment horizontal="center"/>
    </xf>
    <xf numFmtId="179" fontId="1" fillId="2" borderId="0" xfId="0" applyNumberFormat="1" applyFont="1" applyFill="1" applyAlignment="1">
      <alignment horizontal="center"/>
    </xf>
    <xf numFmtId="8" fontId="1" fillId="2" borderId="0" xfId="0" applyNumberFormat="1" applyFont="1" applyFill="1" applyAlignment="1">
      <alignment horizontal="center"/>
    </xf>
    <xf numFmtId="180" fontId="0" fillId="0" borderId="0" xfId="0" applyNumberFormat="1"/>
    <xf numFmtId="180" fontId="0" fillId="0" borderId="0" xfId="0" applyNumberFormat="1" applyAlignment="1">
      <alignment horizontal="right"/>
    </xf>
    <xf numFmtId="8" fontId="0" fillId="0" borderId="0" xfId="0" applyNumberFormat="1" applyAlignment="1">
      <alignment horizontal="right"/>
    </xf>
    <xf numFmtId="178" fontId="0" fillId="0" borderId="0" xfId="0" applyNumberFormat="1" applyAlignment="1">
      <alignment horizontal="right"/>
    </xf>
    <xf numFmtId="10" fontId="1" fillId="2" borderId="0" xfId="0" applyNumberFormat="1" applyFont="1" applyFill="1" applyAlignment="1">
      <alignment horizontal="center"/>
    </xf>
    <xf numFmtId="8" fontId="1" fillId="2" borderId="0" xfId="0" applyNumberFormat="1" applyFont="1" applyFill="1" applyAlignment="1">
      <alignment horizontal="center"/>
    </xf>
    <xf numFmtId="8" fontId="0" fillId="0" borderId="0" xfId="0" applyNumberFormat="1" applyAlignment="1">
      <alignment horizontal="right"/>
    </xf>
    <xf numFmtId="10" fontId="0" fillId="0" borderId="0" xfId="3" applyNumberFormat="1" applyAlignment="1"/>
    <xf numFmtId="0" fontId="2" fillId="2" borderId="0" xfId="0" applyFont="1" applyFill="1" applyAlignment="1">
      <alignment horizontal="center"/>
    </xf>
    <xf numFmtId="0" fontId="3" fillId="0" borderId="1" xfId="0" applyFont="1" applyBorder="1"/>
    <xf numFmtId="58" fontId="3" fillId="0" borderId="1" xfId="0" applyNumberFormat="1" applyFont="1" applyBorder="1"/>
    <xf numFmtId="0" fontId="3" fillId="0" borderId="1" xfId="0" applyFont="1" applyBorder="1" applyAlignment="1">
      <alignment horizontal="right"/>
    </xf>
    <xf numFmtId="178" fontId="3" fillId="0" borderId="1" xfId="0" applyNumberFormat="1" applyFont="1" applyBorder="1"/>
    <xf numFmtId="0" fontId="4" fillId="0" borderId="0" xfId="0" applyFont="1"/>
    <xf numFmtId="0" fontId="5" fillId="0" borderId="0" xfId="0" applyFont="1"/>
    <xf numFmtId="0" fontId="6" fillId="0" borderId="0" xfId="0" applyFont="1"/>
    <xf numFmtId="0" fontId="3" fillId="0" borderId="0" xfId="0" applyFont="1" applyAlignment="1">
      <alignment wrapText="1"/>
    </xf>
    <xf numFmtId="0" fontId="2" fillId="2" borderId="0" xfId="0" applyFont="1" applyFill="1"/>
    <xf numFmtId="0" fontId="7"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[ApexTech_Data_Cleaning_Project.xlsx]Answer_Key_Internal!PivotTable1</c:name>
    <c:fmtId val="0"/>
  </c:pivotSource>
  <c:chart>
    <c:title>
      <c:layout/>
      <c:overlay val="0"/>
      <c:spPr>
        <a:noFill/>
        <a:ln>
          <a:noFill/>
        </a:ln>
        <a:effectLst/>
      </c:spPr>
      <c:txPr>
        <a:bodyPr rot="0" spcFirstLastPara="0"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Answer_Key_Internal!$B$26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Answer_Key_Internal!$A$27:$A$32</c:f>
              <c:strCache>
                <c:ptCount val="5"/>
                <c:pt idx="0">
                  <c:v>Asia Pacific</c:v>
                </c:pt>
                <c:pt idx="1">
                  <c:v>Asia-Pacific</c:v>
                </c:pt>
                <c:pt idx="2">
                  <c:v>Europe</c:v>
                </c:pt>
                <c:pt idx="3">
                  <c:v>North America</c:v>
                </c:pt>
                <c:pt idx="4">
                  <c:v>South America</c:v>
                </c:pt>
              </c:strCache>
            </c:strRef>
          </c:cat>
          <c:val>
            <c:numRef>
              <c:f>Answer_Key_Internal!$B$27:$B$32</c:f>
              <c:numCache>
                <c:formatCode>General</c:formatCode>
                <c:ptCount val="5"/>
                <c:pt idx="0">
                  <c:v>1000</c:v>
                </c:pt>
                <c:pt idx="1">
                  <c:v>8400</c:v>
                </c:pt>
                <c:pt idx="2">
                  <c:v>19470</c:v>
                </c:pt>
                <c:pt idx="3">
                  <c:v>15800</c:v>
                </c:pt>
                <c:pt idx="4">
                  <c:v>500</c:v>
                </c:pt>
              </c:numCache>
            </c:numRef>
          </c:val>
        </c:ser>
        <c:dLbls>
          <c:showLegendKey val="0"/>
          <c:showVal val="1"/>
          <c:showCatName val="0"/>
          <c:showSerName val="0"/>
          <c:showPercent val="1"/>
          <c:showBubbleSize val="1"/>
        </c:dLbls>
        <c:gapWidth val="219"/>
        <c:overlap val="-27"/>
        <c:axId val="93582238"/>
        <c:axId val="917545180"/>
      </c:barChart>
      <c:catAx>
        <c:axId val="9358223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917545180"/>
        <c:crosses val="autoZero"/>
        <c:auto val="1"/>
        <c:lblAlgn val="ctr"/>
        <c:lblOffset val="100"/>
        <c:noMultiLvlLbl val="0"/>
      </c:catAx>
      <c:valAx>
        <c:axId val="9175451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9358223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154940</xdr:colOff>
      <xdr:row>25</xdr:row>
      <xdr:rowOff>10160</xdr:rowOff>
    </xdr:from>
    <xdr:to>
      <xdr:col>5</xdr:col>
      <xdr:colOff>728980</xdr:colOff>
      <xdr:row>40</xdr:row>
      <xdr:rowOff>10160</xdr:rowOff>
    </xdr:to>
    <xdr:graphicFrame>
      <xdr:nvGraphicFramePr>
        <xdr:cNvPr id="2" name="Chart 1"/>
        <xdr:cNvGraphicFramePr/>
      </xdr:nvGraphicFramePr>
      <xdr:xfrm>
        <a:off x="2616200" y="458216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99.9921643519" refreshedBy="David-Bazunu" recordCount="20">
  <cacheSource type="worksheet">
    <worksheetSource ref="A1:K21" sheet="Answer_Key_Internal"/>
  </cacheSource>
  <cacheFields count="11">
    <cacheField name="Order ID" numFmtId="0">
      <sharedItems containsBlank="1" count="19">
        <s v="ORD-1001"/>
        <s v="ORD-1002"/>
        <s v="ORD-1003"/>
        <s v="ORD-1004"/>
        <s v="ORD-1005"/>
        <s v="ORD-1006"/>
        <s v="ORD-1007"/>
        <s v="ORD-1008"/>
        <s v="ORD-1009"/>
        <s v="ORD-1010"/>
        <s v="ORD-1011"/>
        <s v="ORD-1012"/>
        <s v="ORD-1013"/>
        <s v="ORD-1014"/>
        <s v="ORD-1015"/>
        <s v="ORD-1016"/>
        <s v="ORD-1017"/>
        <s v="ORD-1018"/>
        <m/>
      </sharedItems>
    </cacheField>
    <cacheField name="Order Date" numFmtId="178">
      <sharedItems containsDate="1" containsMixedTypes="1" count="17">
        <d v="2026-07-01T00:00:00"/>
        <d v="2026-07-02T00:00:00"/>
        <d v="2026-07-03T00:00:00"/>
        <d v="2026-07-05T00:00:00"/>
        <s v="N/A"/>
        <d v="2026-07-08T00:00:00"/>
        <d v="2026-07-10T00:00:00"/>
        <d v="2026-07-12T00:00:00"/>
        <d v="2026-07-15T00:00:00"/>
        <d v="2026-07-16T00:00:00"/>
        <d v="2026-07-18T00:00:00"/>
        <d v="2026-07-20T00:00:00"/>
        <d v="2026-07-22T00:00:00"/>
        <d v="2026-07-25T00:00:00"/>
        <d v="2026-07-28T00:00:00"/>
        <d v="2026-07-29T00:00:00"/>
        <d v="2026-07-30T00:00:00"/>
      </sharedItems>
    </cacheField>
    <cacheField name="Customer Name" numFmtId="0">
      <sharedItems count="18">
        <s v="Acme Corp"/>
        <s v="Global Tech"/>
        <s v="Apex Systems"/>
        <s v="Beta Llc"/>
        <s v="Delta Inc"/>
        <s v="Echo Media"/>
        <s v="Foxtrot Logistics"/>
        <s v="Gamma Partners"/>
        <s v="Helios Energy"/>
        <s v="Iota Software"/>
        <s v="Kappa Retail"/>
        <s v="Lambda Health"/>
        <s v="Omega Group"/>
        <s v="Sigma Analytics"/>
        <s v="Theta Design"/>
        <s v="Zeta Financial"/>
        <s v="   Vortex AI   "/>
        <s v="Zenith Labs"/>
      </sharedItems>
    </cacheField>
    <cacheField name="Customer Type" numFmtId="0">
      <sharedItems count="3">
        <s v="Enterprise"/>
        <s v="Smb"/>
        <s v="Consumer"/>
      </sharedItems>
    </cacheField>
    <cacheField name="Region" numFmtId="0">
      <sharedItems count="5">
        <s v="North America"/>
        <s v="Europe"/>
        <s v="Asia-Pacific"/>
        <s v="Asia Pacific"/>
        <s v="South America"/>
      </sharedItems>
    </cacheField>
    <cacheField name="Product Category" numFmtId="0">
      <sharedItems count="4">
        <s v="Saas Tools"/>
        <s v="Hardware"/>
        <s v="Cloud Hosting"/>
        <s v="Saas"/>
      </sharedItems>
    </cacheField>
    <cacheField name="Quantity" numFmtId="180">
      <sharedItems containsNumber="1" containsInteger="1" containsMixedTypes="1" count="15">
        <n v="10"/>
        <s v="5"/>
        <n v="2"/>
        <n v="15"/>
        <n v="8"/>
        <n v="1"/>
        <s v="10"/>
        <n v="4"/>
        <s v="N/A"/>
        <n v="3"/>
        <n v="20"/>
        <n v="6"/>
        <n v="12"/>
        <n v="5"/>
        <n v="25"/>
      </sharedItems>
    </cacheField>
    <cacheField name="Unit Price" numFmtId="8">
      <sharedItems containsNumber="1" containsInteger="1" containsMixedTypes="1" count="18">
        <n v="150"/>
        <n v="200"/>
        <n v="1200"/>
        <n v="40"/>
        <s v="N/A"/>
        <n v="300"/>
        <n v="1100"/>
        <n v="250"/>
        <n v="80"/>
        <n v="1500"/>
        <n v="25"/>
        <n v="450"/>
        <n v="60"/>
        <n v="500"/>
        <n v="2200"/>
        <n v="90"/>
        <n v="350"/>
        <n v="1300"/>
      </sharedItems>
    </cacheField>
    <cacheField name="Discount %" numFmtId="10">
      <sharedItems containsSemiMixedTypes="0" containsString="0" containsNumber="1" minValue="0" maxValue="0.2" count="5">
        <n v="0.05"/>
        <n v="0"/>
        <n v="0.1"/>
        <n v="0.15"/>
        <n v="0.2"/>
      </sharedItems>
    </cacheField>
    <cacheField name="Total Revenue " numFmtId="8">
      <sharedItems containsNumber="1" containsInteger="1" containsMixedTypes="1" count="16">
        <n v="1500"/>
        <n v="1000"/>
        <n v="2400"/>
        <n v="600"/>
        <s v="N/A"/>
        <n v="300"/>
        <n v="11000"/>
        <n v="4500"/>
        <n v="500"/>
        <n v="2700"/>
        <n v="720"/>
        <n v="2500"/>
        <n v="2200"/>
        <n v="2250"/>
        <n v="2800"/>
        <n v="5200"/>
      </sharedItems>
    </cacheField>
    <cacheField name="Total Sales" numFmtId="8">
      <sharedItems containsNumber="1" containsInteger="1" containsMixedTypes="1" count="16">
        <n v="1500"/>
        <n v="1000"/>
        <n v="2400"/>
        <n v="600"/>
        <s v="N/A"/>
        <n v="300"/>
        <n v="11000"/>
        <n v="4500"/>
        <n v="500"/>
        <n v="2700"/>
        <n v="720"/>
        <n v="2500"/>
        <n v="2200"/>
        <n v="2250"/>
        <n v="2800"/>
        <n v="5200"/>
      </sharedItems>
    </cacheField>
  </cacheFields>
</pivotCacheDefinition>
</file>

<file path=xl/pivotCache/pivotCacheRecords1.xml><?xml version="1.0" encoding="utf-8"?>
<pivotCacheRecords xmlns="http://schemas.openxmlformats.org/spreadsheetml/2006/main" xmlns:r="http://schemas.openxmlformats.org/officeDocument/2006/relationships" count="20">
  <r>
    <x v="0"/>
    <x v="0"/>
    <x v="0"/>
    <x v="0"/>
    <x v="0"/>
    <x v="0"/>
    <x v="0"/>
    <x v="0"/>
    <x v="0"/>
    <x v="0"/>
    <x v="0"/>
  </r>
  <r>
    <x v="1"/>
    <x v="1"/>
    <x v="1"/>
    <x v="1"/>
    <x v="1"/>
    <x v="0"/>
    <x v="1"/>
    <x v="1"/>
    <x v="1"/>
    <x v="1"/>
    <x v="1"/>
  </r>
  <r>
    <x v="2"/>
    <x v="2"/>
    <x v="2"/>
    <x v="0"/>
    <x v="0"/>
    <x v="1"/>
    <x v="2"/>
    <x v="2"/>
    <x v="2"/>
    <x v="2"/>
    <x v="2"/>
  </r>
  <r>
    <x v="3"/>
    <x v="3"/>
    <x v="3"/>
    <x v="2"/>
    <x v="2"/>
    <x v="2"/>
    <x v="3"/>
    <x v="3"/>
    <x v="1"/>
    <x v="3"/>
    <x v="3"/>
  </r>
  <r>
    <x v="4"/>
    <x v="3"/>
    <x v="4"/>
    <x v="1"/>
    <x v="1"/>
    <x v="2"/>
    <x v="4"/>
    <x v="4"/>
    <x v="0"/>
    <x v="4"/>
    <x v="4"/>
  </r>
  <r>
    <x v="5"/>
    <x v="4"/>
    <x v="5"/>
    <x v="2"/>
    <x v="0"/>
    <x v="0"/>
    <x v="5"/>
    <x v="5"/>
    <x v="1"/>
    <x v="5"/>
    <x v="5"/>
  </r>
  <r>
    <x v="6"/>
    <x v="0"/>
    <x v="0"/>
    <x v="0"/>
    <x v="0"/>
    <x v="0"/>
    <x v="0"/>
    <x v="0"/>
    <x v="0"/>
    <x v="0"/>
    <x v="0"/>
  </r>
  <r>
    <x v="7"/>
    <x v="5"/>
    <x v="6"/>
    <x v="0"/>
    <x v="1"/>
    <x v="1"/>
    <x v="6"/>
    <x v="6"/>
    <x v="3"/>
    <x v="6"/>
    <x v="6"/>
  </r>
  <r>
    <x v="8"/>
    <x v="6"/>
    <x v="7"/>
    <x v="1"/>
    <x v="3"/>
    <x v="3"/>
    <x v="7"/>
    <x v="7"/>
    <x v="1"/>
    <x v="1"/>
    <x v="1"/>
  </r>
  <r>
    <x v="9"/>
    <x v="7"/>
    <x v="8"/>
    <x v="0"/>
    <x v="0"/>
    <x v="2"/>
    <x v="8"/>
    <x v="8"/>
    <x v="1"/>
    <x v="4"/>
    <x v="4"/>
  </r>
  <r>
    <x v="10"/>
    <x v="8"/>
    <x v="9"/>
    <x v="1"/>
    <x v="1"/>
    <x v="1"/>
    <x v="9"/>
    <x v="9"/>
    <x v="2"/>
    <x v="7"/>
    <x v="7"/>
  </r>
  <r>
    <x v="11"/>
    <x v="9"/>
    <x v="10"/>
    <x v="2"/>
    <x v="4"/>
    <x v="2"/>
    <x v="10"/>
    <x v="10"/>
    <x v="1"/>
    <x v="8"/>
    <x v="8"/>
  </r>
  <r>
    <x v="12"/>
    <x v="10"/>
    <x v="11"/>
    <x v="0"/>
    <x v="0"/>
    <x v="0"/>
    <x v="11"/>
    <x v="11"/>
    <x v="0"/>
    <x v="9"/>
    <x v="9"/>
  </r>
  <r>
    <x v="13"/>
    <x v="11"/>
    <x v="12"/>
    <x v="1"/>
    <x v="1"/>
    <x v="2"/>
    <x v="12"/>
    <x v="12"/>
    <x v="2"/>
    <x v="10"/>
    <x v="10"/>
  </r>
  <r>
    <x v="14"/>
    <x v="12"/>
    <x v="13"/>
    <x v="0"/>
    <x v="2"/>
    <x v="0"/>
    <x v="13"/>
    <x v="13"/>
    <x v="1"/>
    <x v="11"/>
    <x v="11"/>
  </r>
  <r>
    <x v="15"/>
    <x v="12"/>
    <x v="13"/>
    <x v="0"/>
    <x v="2"/>
    <x v="0"/>
    <x v="13"/>
    <x v="13"/>
    <x v="1"/>
    <x v="11"/>
    <x v="11"/>
  </r>
  <r>
    <x v="16"/>
    <x v="13"/>
    <x v="14"/>
    <x v="2"/>
    <x v="0"/>
    <x v="1"/>
    <x v="5"/>
    <x v="14"/>
    <x v="4"/>
    <x v="12"/>
    <x v="12"/>
  </r>
  <r>
    <x v="17"/>
    <x v="14"/>
    <x v="15"/>
    <x v="0"/>
    <x v="1"/>
    <x v="2"/>
    <x v="14"/>
    <x v="15"/>
    <x v="0"/>
    <x v="13"/>
    <x v="13"/>
  </r>
  <r>
    <x v="18"/>
    <x v="15"/>
    <x v="16"/>
    <x v="1"/>
    <x v="2"/>
    <x v="0"/>
    <x v="4"/>
    <x v="16"/>
    <x v="1"/>
    <x v="14"/>
    <x v="14"/>
  </r>
  <r>
    <x v="18"/>
    <x v="16"/>
    <x v="17"/>
    <x v="0"/>
    <x v="0"/>
    <x v="1"/>
    <x v="7"/>
    <x v="17"/>
    <x v="2"/>
    <x v="15"/>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6:B32" firstHeaderRow="1" firstDataRow="1" firstDataCol="1"/>
  <pivotFields count="11">
    <pivotField compact="0" showAll="0"/>
    <pivotField compact="0" showAll="0"/>
    <pivotField compact="0" showAll="0"/>
    <pivotField compact="0" showAll="0"/>
    <pivotField axis="axisRow" compact="0" showAll="0">
      <items count="6">
        <item x="3"/>
        <item x="2"/>
        <item x="1"/>
        <item x="0"/>
        <item x="4"/>
        <item t="default"/>
      </items>
    </pivotField>
    <pivotField compact="0" showAll="0"/>
    <pivotField compact="0" showAll="0"/>
    <pivotField compact="0" showAll="0"/>
    <pivotField compact="0" numFmtId="10" showAll="0"/>
    <pivotField dataField="1" compact="0" showAll="0"/>
    <pivotField compact="0" showAll="0"/>
  </pivotFields>
  <rowFields count="1">
    <field x="4"/>
  </rowFields>
  <rowItems count="6">
    <i>
      <x/>
    </i>
    <i>
      <x v="1"/>
    </i>
    <i>
      <x v="2"/>
    </i>
    <i>
      <x v="3"/>
    </i>
    <i>
      <x v="4"/>
    </i>
    <i t="grand">
      <x/>
    </i>
  </rowItems>
  <colItems count="1">
    <i/>
  </colItems>
  <dataFields count="1">
    <dataField name="Sum of Total Revenue "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7"/>
  <sheetViews>
    <sheetView workbookViewId="0">
      <selection activeCell="A1" sqref="A1"/>
    </sheetView>
  </sheetViews>
  <sheetFormatPr defaultColWidth="9" defaultRowHeight="14.4" outlineLevelCol="2"/>
  <cols>
    <col min="1" max="1" width="5" customWidth="1"/>
    <col min="2" max="2" width="25" customWidth="1"/>
    <col min="3" max="3" width="80" customWidth="1"/>
  </cols>
  <sheetData>
    <row r="2" ht="21" spans="2:2">
      <c r="B2" s="23" t="s">
        <v>0</v>
      </c>
    </row>
    <row r="3" spans="2:2">
      <c r="B3" s="24" t="s">
        <v>1</v>
      </c>
    </row>
    <row r="5" ht="17.4" spans="2:2">
      <c r="B5" s="25" t="s">
        <v>2</v>
      </c>
    </row>
    <row r="6" spans="2:2">
      <c r="B6" s="26" t="s">
        <v>3</v>
      </c>
    </row>
    <row r="8" ht="17.4" spans="2:2">
      <c r="B8" s="25" t="s">
        <v>4</v>
      </c>
    </row>
    <row r="9" spans="2:3">
      <c r="B9" s="27" t="s">
        <v>5</v>
      </c>
      <c r="C9" s="27" t="s">
        <v>6</v>
      </c>
    </row>
    <row r="10" spans="2:3">
      <c r="B10" s="28" t="s">
        <v>7</v>
      </c>
      <c r="C10" s="19" t="s">
        <v>8</v>
      </c>
    </row>
    <row r="11" spans="2:3">
      <c r="B11" s="28" t="s">
        <v>9</v>
      </c>
      <c r="C11" s="19" t="s">
        <v>10</v>
      </c>
    </row>
    <row r="12" spans="2:3">
      <c r="B12" s="28" t="s">
        <v>11</v>
      </c>
      <c r="C12" s="19" t="s">
        <v>12</v>
      </c>
    </row>
    <row r="13" spans="2:3">
      <c r="B13" s="28" t="s">
        <v>13</v>
      </c>
      <c r="C13" s="19" t="s">
        <v>14</v>
      </c>
    </row>
    <row r="14" spans="2:3">
      <c r="B14" s="28" t="s">
        <v>15</v>
      </c>
      <c r="C14" s="19" t="s">
        <v>16</v>
      </c>
    </row>
    <row r="15" spans="2:3">
      <c r="B15" s="28" t="s">
        <v>17</v>
      </c>
      <c r="C15" s="19" t="s">
        <v>18</v>
      </c>
    </row>
    <row r="16" spans="2:3">
      <c r="B16" s="28" t="s">
        <v>19</v>
      </c>
      <c r="C16" s="19" t="s">
        <v>20</v>
      </c>
    </row>
    <row r="17" spans="2:3">
      <c r="B17" s="28" t="s">
        <v>21</v>
      </c>
      <c r="C17" s="19" t="s">
        <v>22</v>
      </c>
    </row>
  </sheetData>
  <mergeCells count="1">
    <mergeCell ref="B6:C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H2" sqref="H2"/>
    </sheetView>
  </sheetViews>
  <sheetFormatPr defaultColWidth="9" defaultRowHeight="14.4"/>
  <cols>
    <col min="1" max="1" width="12" customWidth="1"/>
    <col min="2" max="2" width="15" customWidth="1"/>
    <col min="3" max="3" width="20" customWidth="1"/>
    <col min="4" max="4" width="16" customWidth="1"/>
    <col min="5" max="5" width="17" customWidth="1"/>
    <col min="6" max="6" width="19" customWidth="1"/>
    <col min="7" max="7" width="12" customWidth="1"/>
    <col min="8" max="9" width="13" customWidth="1"/>
    <col min="10" max="10" width="14" customWidth="1"/>
  </cols>
  <sheetData>
    <row r="1" spans="1:10">
      <c r="A1" s="18" t="s">
        <v>23</v>
      </c>
      <c r="B1" s="18" t="s">
        <v>24</v>
      </c>
      <c r="C1" s="18" t="s">
        <v>25</v>
      </c>
      <c r="D1" s="18" t="s">
        <v>26</v>
      </c>
      <c r="E1" s="18" t="s">
        <v>27</v>
      </c>
      <c r="F1" s="18" t="s">
        <v>28</v>
      </c>
      <c r="G1" s="18" t="s">
        <v>29</v>
      </c>
      <c r="H1" s="18" t="s">
        <v>30</v>
      </c>
      <c r="I1" s="18" t="s">
        <v>31</v>
      </c>
      <c r="J1" s="18" t="s">
        <v>32</v>
      </c>
    </row>
    <row r="2" spans="1:10">
      <c r="A2" s="19" t="s">
        <v>33</v>
      </c>
      <c r="B2" s="20">
        <v>46204</v>
      </c>
      <c r="C2" s="19" t="s">
        <v>34</v>
      </c>
      <c r="D2" s="19" t="s">
        <v>35</v>
      </c>
      <c r="E2" s="19" t="s">
        <v>36</v>
      </c>
      <c r="F2" s="19" t="s">
        <v>37</v>
      </c>
      <c r="G2" s="21">
        <v>10</v>
      </c>
      <c r="H2" s="21">
        <v>150</v>
      </c>
      <c r="I2" s="21">
        <v>0.05</v>
      </c>
      <c r="J2" s="21">
        <v>1425</v>
      </c>
    </row>
    <row r="3" spans="1:10">
      <c r="A3" s="19" t="s">
        <v>38</v>
      </c>
      <c r="B3" s="20">
        <v>46205</v>
      </c>
      <c r="C3" s="19" t="s">
        <v>39</v>
      </c>
      <c r="D3" s="19" t="s">
        <v>40</v>
      </c>
      <c r="E3" s="19" t="s">
        <v>41</v>
      </c>
      <c r="F3" s="19" t="s">
        <v>42</v>
      </c>
      <c r="G3" s="19" t="s">
        <v>43</v>
      </c>
      <c r="H3" s="21">
        <v>200</v>
      </c>
      <c r="I3" s="21">
        <v>0</v>
      </c>
      <c r="J3" s="21">
        <v>1000</v>
      </c>
    </row>
    <row r="4" spans="1:10">
      <c r="A4" s="19" t="s">
        <v>44</v>
      </c>
      <c r="B4" s="20">
        <v>46206</v>
      </c>
      <c r="C4" s="19" t="s">
        <v>45</v>
      </c>
      <c r="D4" s="19" t="s">
        <v>35</v>
      </c>
      <c r="E4" s="19" t="s">
        <v>46</v>
      </c>
      <c r="F4" s="19" t="s">
        <v>47</v>
      </c>
      <c r="G4" s="21">
        <v>2</v>
      </c>
      <c r="H4" s="21">
        <v>1200</v>
      </c>
      <c r="I4" s="21">
        <v>0.1</v>
      </c>
      <c r="J4" s="21">
        <v>2160</v>
      </c>
    </row>
    <row r="5" spans="1:10">
      <c r="A5" s="19" t="s">
        <v>48</v>
      </c>
      <c r="B5" s="20">
        <v>46208</v>
      </c>
      <c r="C5" s="19" t="s">
        <v>49</v>
      </c>
      <c r="D5" s="19" t="s">
        <v>50</v>
      </c>
      <c r="E5" s="19" t="s">
        <v>51</v>
      </c>
      <c r="F5" s="19" t="s">
        <v>52</v>
      </c>
      <c r="G5" s="21">
        <v>15</v>
      </c>
      <c r="H5" s="21">
        <v>40</v>
      </c>
      <c r="I5" s="21">
        <v>0</v>
      </c>
      <c r="J5" s="21">
        <v>600</v>
      </c>
    </row>
    <row r="6" spans="1:10">
      <c r="A6" s="19" t="s">
        <v>53</v>
      </c>
      <c r="B6" s="22">
        <v>46208</v>
      </c>
      <c r="C6" s="19" t="s">
        <v>54</v>
      </c>
      <c r="D6" s="19" t="s">
        <v>40</v>
      </c>
      <c r="E6" s="19" t="s">
        <v>55</v>
      </c>
      <c r="F6" s="19" t="s">
        <v>52</v>
      </c>
      <c r="G6" s="21">
        <v>8</v>
      </c>
      <c r="H6" s="19" t="s">
        <v>56</v>
      </c>
      <c r="I6" s="21">
        <v>0.05</v>
      </c>
      <c r="J6" s="21">
        <v>380</v>
      </c>
    </row>
    <row r="7" spans="1:10">
      <c r="A7" s="19" t="s">
        <v>57</v>
      </c>
      <c r="B7" s="21" t="s">
        <v>56</v>
      </c>
      <c r="C7" s="19" t="s">
        <v>58</v>
      </c>
      <c r="D7" s="19" t="s">
        <v>50</v>
      </c>
      <c r="E7" s="19" t="s">
        <v>59</v>
      </c>
      <c r="F7" s="19" t="s">
        <v>37</v>
      </c>
      <c r="G7" s="21">
        <v>1</v>
      </c>
      <c r="H7" s="21">
        <v>300</v>
      </c>
      <c r="I7" s="21">
        <v>0</v>
      </c>
      <c r="J7" s="21">
        <v>300</v>
      </c>
    </row>
    <row r="8" spans="1:10">
      <c r="A8" s="19" t="s">
        <v>33</v>
      </c>
      <c r="B8" s="20">
        <v>46204</v>
      </c>
      <c r="C8" s="19" t="s">
        <v>34</v>
      </c>
      <c r="D8" s="19" t="s">
        <v>35</v>
      </c>
      <c r="E8" s="19" t="s">
        <v>36</v>
      </c>
      <c r="F8" s="19" t="s">
        <v>37</v>
      </c>
      <c r="G8" s="21">
        <v>10</v>
      </c>
      <c r="H8" s="21">
        <v>150</v>
      </c>
      <c r="I8" s="21">
        <v>0.05</v>
      </c>
      <c r="J8" s="21">
        <v>1425</v>
      </c>
    </row>
    <row r="9" spans="1:10">
      <c r="A9" s="19" t="s">
        <v>60</v>
      </c>
      <c r="B9" s="20">
        <v>46211</v>
      </c>
      <c r="C9" s="19" t="s">
        <v>61</v>
      </c>
      <c r="D9" s="19" t="s">
        <v>35</v>
      </c>
      <c r="E9" s="19" t="s">
        <v>62</v>
      </c>
      <c r="F9" s="19" t="s">
        <v>47</v>
      </c>
      <c r="G9" s="19" t="s">
        <v>63</v>
      </c>
      <c r="H9" s="21">
        <v>1100</v>
      </c>
      <c r="I9" s="21">
        <v>0.15</v>
      </c>
      <c r="J9" s="21">
        <v>9350</v>
      </c>
    </row>
    <row r="10" spans="1:10">
      <c r="A10" s="19" t="s">
        <v>64</v>
      </c>
      <c r="B10" s="20">
        <v>46213</v>
      </c>
      <c r="C10" s="19" t="s">
        <v>65</v>
      </c>
      <c r="D10" s="19" t="s">
        <v>40</v>
      </c>
      <c r="E10" s="19" t="s">
        <v>66</v>
      </c>
      <c r="F10" s="19" t="s">
        <v>67</v>
      </c>
      <c r="G10" s="21">
        <v>4</v>
      </c>
      <c r="H10" s="21">
        <v>250</v>
      </c>
      <c r="I10" s="21">
        <v>0</v>
      </c>
      <c r="J10" s="21">
        <v>1000</v>
      </c>
    </row>
    <row r="11" spans="1:10">
      <c r="A11" s="19" t="s">
        <v>68</v>
      </c>
      <c r="B11" s="22">
        <v>46215</v>
      </c>
      <c r="C11" s="19" t="s">
        <v>69</v>
      </c>
      <c r="D11" s="19" t="s">
        <v>35</v>
      </c>
      <c r="E11" s="19" t="s">
        <v>70</v>
      </c>
      <c r="F11" s="19" t="s">
        <v>52</v>
      </c>
      <c r="G11" s="19" t="s">
        <v>71</v>
      </c>
      <c r="H11" s="21">
        <v>80</v>
      </c>
      <c r="I11" s="21">
        <v>0</v>
      </c>
      <c r="J11" s="21">
        <v>800</v>
      </c>
    </row>
    <row r="12" spans="1:10">
      <c r="A12" s="19" t="s">
        <v>72</v>
      </c>
      <c r="B12" s="22">
        <v>46218</v>
      </c>
      <c r="C12" s="19" t="s">
        <v>73</v>
      </c>
      <c r="D12" s="19" t="s">
        <v>40</v>
      </c>
      <c r="E12" s="19" t="s">
        <v>74</v>
      </c>
      <c r="F12" s="19" t="s">
        <v>75</v>
      </c>
      <c r="G12" s="21">
        <v>3</v>
      </c>
      <c r="H12" s="21">
        <v>1500</v>
      </c>
      <c r="I12" s="21">
        <v>0.1</v>
      </c>
      <c r="J12" s="21">
        <v>4050</v>
      </c>
    </row>
    <row r="13" spans="1:10">
      <c r="A13" s="19" t="s">
        <v>76</v>
      </c>
      <c r="B13" s="22">
        <v>46219</v>
      </c>
      <c r="C13" s="19" t="s">
        <v>77</v>
      </c>
      <c r="D13" s="19" t="s">
        <v>50</v>
      </c>
      <c r="E13" s="19" t="s">
        <v>78</v>
      </c>
      <c r="F13" s="19" t="s">
        <v>52</v>
      </c>
      <c r="G13" s="21">
        <v>20</v>
      </c>
      <c r="H13" s="21">
        <v>25</v>
      </c>
      <c r="I13" s="21">
        <v>0</v>
      </c>
      <c r="J13" s="21">
        <v>500</v>
      </c>
    </row>
    <row r="14" spans="1:10">
      <c r="A14" s="19" t="s">
        <v>79</v>
      </c>
      <c r="B14" s="22">
        <v>46221</v>
      </c>
      <c r="C14" s="19" t="s">
        <v>80</v>
      </c>
      <c r="D14" s="19" t="s">
        <v>35</v>
      </c>
      <c r="E14" s="19" t="s">
        <v>70</v>
      </c>
      <c r="F14" s="19" t="s">
        <v>81</v>
      </c>
      <c r="G14" s="21">
        <v>6</v>
      </c>
      <c r="H14" s="21">
        <v>450</v>
      </c>
      <c r="I14" s="21">
        <v>0.05</v>
      </c>
      <c r="J14" s="21">
        <v>2565</v>
      </c>
    </row>
    <row r="15" spans="1:10">
      <c r="A15" s="19" t="s">
        <v>82</v>
      </c>
      <c r="B15" s="22">
        <v>46223</v>
      </c>
      <c r="C15" s="19" t="s">
        <v>83</v>
      </c>
      <c r="D15" s="19" t="s">
        <v>40</v>
      </c>
      <c r="E15" s="19" t="s">
        <v>84</v>
      </c>
      <c r="F15" s="19" t="s">
        <v>52</v>
      </c>
      <c r="G15" s="21">
        <v>12</v>
      </c>
      <c r="H15" s="21">
        <v>60</v>
      </c>
      <c r="I15" s="19">
        <v>0.1</v>
      </c>
      <c r="J15" s="21">
        <v>648</v>
      </c>
    </row>
    <row r="16" spans="1:10">
      <c r="A16" s="19" t="s">
        <v>85</v>
      </c>
      <c r="B16" s="22">
        <v>46225</v>
      </c>
      <c r="C16" s="19" t="s">
        <v>86</v>
      </c>
      <c r="D16" s="19" t="s">
        <v>35</v>
      </c>
      <c r="E16" s="19" t="s">
        <v>87</v>
      </c>
      <c r="F16" s="19" t="s">
        <v>37</v>
      </c>
      <c r="G16" s="21">
        <v>5</v>
      </c>
      <c r="H16" s="21">
        <v>500</v>
      </c>
      <c r="I16" s="21">
        <v>0</v>
      </c>
      <c r="J16" s="21">
        <v>2500</v>
      </c>
    </row>
    <row r="17" spans="1:10">
      <c r="A17" s="19" t="s">
        <v>85</v>
      </c>
      <c r="B17" s="22">
        <v>46225</v>
      </c>
      <c r="C17" s="19" t="s">
        <v>86</v>
      </c>
      <c r="D17" s="19" t="s">
        <v>35</v>
      </c>
      <c r="E17" s="19" t="s">
        <v>87</v>
      </c>
      <c r="F17" s="19" t="s">
        <v>37</v>
      </c>
      <c r="G17" s="21">
        <v>5</v>
      </c>
      <c r="H17" s="21">
        <v>500</v>
      </c>
      <c r="I17" s="21">
        <v>0</v>
      </c>
      <c r="J17" s="21">
        <v>2500</v>
      </c>
    </row>
    <row r="18" spans="1:10">
      <c r="A18" s="19" t="s">
        <v>88</v>
      </c>
      <c r="B18" s="22">
        <v>46228</v>
      </c>
      <c r="C18" s="19" t="s">
        <v>89</v>
      </c>
      <c r="D18" s="19" t="s">
        <v>50</v>
      </c>
      <c r="E18" s="19" t="s">
        <v>36</v>
      </c>
      <c r="F18" s="19" t="s">
        <v>90</v>
      </c>
      <c r="G18" s="21">
        <v>1</v>
      </c>
      <c r="H18" s="21">
        <v>2200</v>
      </c>
      <c r="I18" s="21">
        <v>0.2</v>
      </c>
      <c r="J18" s="21">
        <v>1760</v>
      </c>
    </row>
    <row r="19" spans="1:10">
      <c r="A19" s="19" t="s">
        <v>91</v>
      </c>
      <c r="B19" s="22">
        <v>46231</v>
      </c>
      <c r="C19" s="19" t="s">
        <v>92</v>
      </c>
      <c r="D19" s="19" t="s">
        <v>35</v>
      </c>
      <c r="E19" s="19" t="s">
        <v>55</v>
      </c>
      <c r="F19" s="19" t="s">
        <v>52</v>
      </c>
      <c r="G19" s="21">
        <v>25</v>
      </c>
      <c r="H19" s="21">
        <v>90</v>
      </c>
      <c r="I19" s="21">
        <v>0.05</v>
      </c>
      <c r="J19" s="21">
        <v>2137.5</v>
      </c>
    </row>
    <row r="20" spans="1:10">
      <c r="A20" s="19" t="s">
        <v>93</v>
      </c>
      <c r="B20" s="22">
        <v>46232</v>
      </c>
      <c r="C20" s="19" t="s">
        <v>94</v>
      </c>
      <c r="D20" s="19" t="s">
        <v>40</v>
      </c>
      <c r="E20" s="19" t="s">
        <v>87</v>
      </c>
      <c r="F20" s="19" t="s">
        <v>37</v>
      </c>
      <c r="G20" s="21">
        <v>8</v>
      </c>
      <c r="H20" s="21">
        <v>350</v>
      </c>
      <c r="I20" s="21">
        <v>0</v>
      </c>
      <c r="J20" s="21">
        <v>2800</v>
      </c>
    </row>
    <row r="21" spans="1:10">
      <c r="A21" s="19" t="s">
        <v>95</v>
      </c>
      <c r="B21" s="22">
        <v>46233</v>
      </c>
      <c r="C21" s="19" t="s">
        <v>96</v>
      </c>
      <c r="D21" s="19" t="s">
        <v>35</v>
      </c>
      <c r="E21" s="19" t="s">
        <v>70</v>
      </c>
      <c r="F21" s="19" t="s">
        <v>47</v>
      </c>
      <c r="G21" s="21">
        <v>4</v>
      </c>
      <c r="H21" s="21">
        <v>1300</v>
      </c>
      <c r="I21" s="21">
        <v>0.1</v>
      </c>
      <c r="J21" s="21">
        <v>4680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tabSelected="1" topLeftCell="A13" workbookViewId="0">
      <selection activeCell="A24" sqref="A24"/>
    </sheetView>
  </sheetViews>
  <sheetFormatPr defaultColWidth="20.6666666666667" defaultRowHeight="14.4"/>
  <cols>
    <col min="1" max="1" width="14"/>
    <col min="2" max="2" width="21.8888888888889" style="1"/>
    <col min="3" max="6" width="20.6666666666667" customWidth="1"/>
    <col min="7" max="7" width="20.6666666666667" style="2" customWidth="1"/>
    <col min="8" max="8" width="20.6666666666667" style="3" customWidth="1"/>
    <col min="9" max="9" width="20.6666666666667" style="4" customWidth="1"/>
    <col min="10" max="10" width="20.6666666666667" style="5" customWidth="1"/>
    <col min="11" max="16384" width="20.6666666666667" customWidth="1"/>
  </cols>
  <sheetData>
    <row r="1" spans="1:11">
      <c r="A1" s="6" t="s">
        <v>23</v>
      </c>
      <c r="B1" s="7" t="s">
        <v>24</v>
      </c>
      <c r="C1" s="6" t="s">
        <v>25</v>
      </c>
      <c r="D1" s="6" t="s">
        <v>26</v>
      </c>
      <c r="E1" s="6" t="s">
        <v>27</v>
      </c>
      <c r="F1" s="6" t="s">
        <v>28</v>
      </c>
      <c r="G1" s="8" t="s">
        <v>29</v>
      </c>
      <c r="H1" s="9" t="s">
        <v>30</v>
      </c>
      <c r="I1" s="14" t="s">
        <v>31</v>
      </c>
      <c r="J1" s="15" t="s">
        <v>97</v>
      </c>
      <c r="K1" s="6" t="s">
        <v>32</v>
      </c>
    </row>
    <row r="2" spans="1:11">
      <c r="A2" t="str">
        <f>Raw_Data_Messy!A2</f>
        <v>ORD-1001</v>
      </c>
      <c r="B2" s="1">
        <f>Raw_Data_Messy!B2</f>
        <v>46204</v>
      </c>
      <c r="C2" t="str">
        <f>PROPER(TRIM(Raw_Data_Messy!C2))</f>
        <v>Acme Corp</v>
      </c>
      <c r="D2" t="str">
        <f>PROPER(TRIM(Raw_Data_Messy!D2))</f>
        <v>Enterprise</v>
      </c>
      <c r="E2" t="str">
        <f>PROPER(TRIM(Raw_Data_Messy!E2))</f>
        <v>North America</v>
      </c>
      <c r="F2" t="str">
        <f>PROPER(TRIM(Raw_Data_Messy!F2))</f>
        <v>Saas Tools</v>
      </c>
      <c r="G2" s="10">
        <f>Raw_Data_Messy!G2</f>
        <v>10</v>
      </c>
      <c r="H2" s="3">
        <f>Raw_Data_Messy!H2</f>
        <v>150</v>
      </c>
      <c r="I2" s="4">
        <f>Raw_Data_Messy!I2</f>
        <v>0.05</v>
      </c>
      <c r="J2" s="5">
        <f>IFERROR(G2*H2,"N/A")</f>
        <v>1500</v>
      </c>
      <c r="K2" s="5">
        <f>IFERROR(G2*H2,"N/A")</f>
        <v>1500</v>
      </c>
    </row>
    <row r="3" spans="1:11">
      <c r="A3" t="str">
        <f>Raw_Data_Messy!A3</f>
        <v>ORD-1002</v>
      </c>
      <c r="B3" s="1">
        <f>Raw_Data_Messy!B3</f>
        <v>46205</v>
      </c>
      <c r="C3" t="str">
        <f>PROPER(TRIM(Raw_Data_Messy!C3))</f>
        <v>Global Tech</v>
      </c>
      <c r="D3" t="str">
        <f>PROPER(TRIM(Raw_Data_Messy!D3))</f>
        <v>Smb</v>
      </c>
      <c r="E3" t="str">
        <f>PROPER(TRIM(Raw_Data_Messy!E3))</f>
        <v>Europe</v>
      </c>
      <c r="F3" t="str">
        <f>PROPER(TRIM(Raw_Data_Messy!F3))</f>
        <v>Saas Tools</v>
      </c>
      <c r="G3" s="11" t="str">
        <f>Raw_Data_Messy!G3</f>
        <v>5</v>
      </c>
      <c r="H3" s="3">
        <f>Raw_Data_Messy!H3</f>
        <v>200</v>
      </c>
      <c r="I3" s="4">
        <f>Raw_Data_Messy!I3</f>
        <v>0</v>
      </c>
      <c r="J3" s="5">
        <f t="shared" ref="J3:J21" si="0">IFERROR(G3*H3,"N/A")</f>
        <v>1000</v>
      </c>
      <c r="K3" s="5">
        <f t="shared" ref="K3:K21" si="1">IFERROR(G3*H3,"N/A")</f>
        <v>1000</v>
      </c>
    </row>
    <row r="4" spans="1:11">
      <c r="A4" t="str">
        <f>Raw_Data_Messy!A4</f>
        <v>ORD-1003</v>
      </c>
      <c r="B4" s="1">
        <f>Raw_Data_Messy!B4</f>
        <v>46206</v>
      </c>
      <c r="C4" t="str">
        <f>PROPER(TRIM(Raw_Data_Messy!C4))</f>
        <v>Apex Systems</v>
      </c>
      <c r="D4" t="str">
        <f>PROPER(TRIM(Raw_Data_Messy!D4))</f>
        <v>Enterprise</v>
      </c>
      <c r="E4" t="str">
        <f>PROPER(TRIM(Raw_Data_Messy!E4))</f>
        <v>North America</v>
      </c>
      <c r="F4" t="str">
        <f>PROPER(TRIM(Raw_Data_Messy!F4))</f>
        <v>Hardware</v>
      </c>
      <c r="G4" s="10">
        <f>Raw_Data_Messy!G4</f>
        <v>2</v>
      </c>
      <c r="H4" s="3">
        <f>Raw_Data_Messy!H4</f>
        <v>1200</v>
      </c>
      <c r="I4" s="4">
        <f>Raw_Data_Messy!I4</f>
        <v>0.1</v>
      </c>
      <c r="J4" s="5">
        <f t="shared" si="0"/>
        <v>2400</v>
      </c>
      <c r="K4" s="5">
        <f t="shared" si="1"/>
        <v>2400</v>
      </c>
    </row>
    <row r="5" spans="1:11">
      <c r="A5" t="str">
        <f>Raw_Data_Messy!A5</f>
        <v>ORD-1004</v>
      </c>
      <c r="B5" s="1">
        <f>Raw_Data_Messy!B5</f>
        <v>46208</v>
      </c>
      <c r="C5" t="str">
        <f>PROPER(TRIM(Raw_Data_Messy!C5))</f>
        <v>Beta Llc</v>
      </c>
      <c r="D5" t="str">
        <f>PROPER(TRIM(Raw_Data_Messy!D5))</f>
        <v>Consumer</v>
      </c>
      <c r="E5" t="str">
        <f>PROPER(TRIM(Raw_Data_Messy!E5))</f>
        <v>Asia-Pacific</v>
      </c>
      <c r="F5" t="str">
        <f>PROPER(TRIM(Raw_Data_Messy!F5))</f>
        <v>Cloud Hosting</v>
      </c>
      <c r="G5" s="10">
        <f>Raw_Data_Messy!G5</f>
        <v>15</v>
      </c>
      <c r="H5" s="3">
        <f>Raw_Data_Messy!H5</f>
        <v>40</v>
      </c>
      <c r="I5" s="4">
        <f>Raw_Data_Messy!I5</f>
        <v>0</v>
      </c>
      <c r="J5" s="5">
        <f t="shared" si="0"/>
        <v>600</v>
      </c>
      <c r="K5" s="5">
        <f t="shared" si="1"/>
        <v>600</v>
      </c>
    </row>
    <row r="6" spans="1:11">
      <c r="A6" t="str">
        <f>Raw_Data_Messy!A6</f>
        <v>ORD-1005</v>
      </c>
      <c r="B6" s="1">
        <f>Raw_Data_Messy!B6</f>
        <v>46208</v>
      </c>
      <c r="C6" t="str">
        <f>PROPER(TRIM(Raw_Data_Messy!C6))</f>
        <v>Delta Inc</v>
      </c>
      <c r="D6" t="str">
        <f>PROPER(TRIM(Raw_Data_Messy!D6))</f>
        <v>Smb</v>
      </c>
      <c r="E6" t="str">
        <f>PROPER(TRIM(Raw_Data_Messy!E6))</f>
        <v>Europe</v>
      </c>
      <c r="F6" t="str">
        <f>PROPER(TRIM(Raw_Data_Messy!F6))</f>
        <v>Cloud Hosting</v>
      </c>
      <c r="G6" s="10">
        <f>Raw_Data_Messy!G6</f>
        <v>8</v>
      </c>
      <c r="H6" s="12" t="str">
        <f>Raw_Data_Messy!H6</f>
        <v>N/A</v>
      </c>
      <c r="I6" s="4">
        <f>Raw_Data_Messy!I6</f>
        <v>0.05</v>
      </c>
      <c r="J6" s="16" t="str">
        <f t="shared" si="0"/>
        <v>N/A</v>
      </c>
      <c r="K6" s="16" t="str">
        <f t="shared" si="1"/>
        <v>N/A</v>
      </c>
    </row>
    <row r="7" spans="1:11">
      <c r="A7" t="str">
        <f>Raw_Data_Messy!A7</f>
        <v>ORD-1006</v>
      </c>
      <c r="B7" s="13" t="str">
        <f>Raw_Data_Messy!B7</f>
        <v>N/A</v>
      </c>
      <c r="C7" t="str">
        <f>PROPER(TRIM(Raw_Data_Messy!C7))</f>
        <v>Echo Media</v>
      </c>
      <c r="D7" t="str">
        <f>PROPER(TRIM(Raw_Data_Messy!D7))</f>
        <v>Consumer</v>
      </c>
      <c r="E7" t="str">
        <f>PROPER(TRIM(Raw_Data_Messy!E7))</f>
        <v>North America</v>
      </c>
      <c r="F7" t="str">
        <f>PROPER(TRIM(Raw_Data_Messy!F7))</f>
        <v>Saas Tools</v>
      </c>
      <c r="G7" s="10">
        <f>Raw_Data_Messy!G7</f>
        <v>1</v>
      </c>
      <c r="H7" s="3">
        <f>Raw_Data_Messy!H7</f>
        <v>300</v>
      </c>
      <c r="I7" s="4">
        <f>Raw_Data_Messy!I7</f>
        <v>0</v>
      </c>
      <c r="J7" s="5">
        <f t="shared" si="0"/>
        <v>300</v>
      </c>
      <c r="K7" s="5">
        <f t="shared" si="1"/>
        <v>300</v>
      </c>
    </row>
    <row r="8" spans="1:11">
      <c r="A8" t="str">
        <f>Raw_Data_Messy!A9</f>
        <v>ORD-1007</v>
      </c>
      <c r="B8" s="1">
        <f>Raw_Data_Messy!B8</f>
        <v>46204</v>
      </c>
      <c r="C8" t="str">
        <f>PROPER(TRIM(Raw_Data_Messy!C8))</f>
        <v>Acme Corp</v>
      </c>
      <c r="D8" t="str">
        <f>PROPER(TRIM(Raw_Data_Messy!D8))</f>
        <v>Enterprise</v>
      </c>
      <c r="E8" t="str">
        <f>PROPER(TRIM(Raw_Data_Messy!E8))</f>
        <v>North America</v>
      </c>
      <c r="F8" t="str">
        <f>PROPER(TRIM(Raw_Data_Messy!F8))</f>
        <v>Saas Tools</v>
      </c>
      <c r="G8" s="10">
        <f>Raw_Data_Messy!G8</f>
        <v>10</v>
      </c>
      <c r="H8" s="3">
        <f>Raw_Data_Messy!H8</f>
        <v>150</v>
      </c>
      <c r="I8" s="4">
        <f>Raw_Data_Messy!I8</f>
        <v>0.05</v>
      </c>
      <c r="J8" s="5">
        <f t="shared" si="0"/>
        <v>1500</v>
      </c>
      <c r="K8" s="5">
        <f t="shared" si="1"/>
        <v>1500</v>
      </c>
    </row>
    <row r="9" spans="1:11">
      <c r="A9" t="str">
        <f>Raw_Data_Messy!A10</f>
        <v>ORD-1008</v>
      </c>
      <c r="B9" s="1">
        <f>Raw_Data_Messy!B9</f>
        <v>46211</v>
      </c>
      <c r="C9" t="str">
        <f>PROPER(TRIM(Raw_Data_Messy!C9))</f>
        <v>Foxtrot Logistics</v>
      </c>
      <c r="D9" t="str">
        <f>PROPER(TRIM(Raw_Data_Messy!D9))</f>
        <v>Enterprise</v>
      </c>
      <c r="E9" t="str">
        <f>PROPER(TRIM(Raw_Data_Messy!E9))</f>
        <v>Europe</v>
      </c>
      <c r="F9" t="str">
        <f>PROPER(TRIM(Raw_Data_Messy!F9))</f>
        <v>Hardware</v>
      </c>
      <c r="G9" s="11" t="str">
        <f>Raw_Data_Messy!G9</f>
        <v>10</v>
      </c>
      <c r="H9" s="3">
        <f>Raw_Data_Messy!H9</f>
        <v>1100</v>
      </c>
      <c r="I9" s="4">
        <f>Raw_Data_Messy!I9</f>
        <v>0.15</v>
      </c>
      <c r="J9" s="5">
        <f t="shared" si="0"/>
        <v>11000</v>
      </c>
      <c r="K9" s="5">
        <f t="shared" si="1"/>
        <v>11000</v>
      </c>
    </row>
    <row r="10" spans="1:11">
      <c r="A10" t="str">
        <f>Raw_Data_Messy!A11</f>
        <v>ORD-1009</v>
      </c>
      <c r="B10" s="1">
        <f>Raw_Data_Messy!B10</f>
        <v>46213</v>
      </c>
      <c r="C10" t="str">
        <f>PROPER(TRIM(Raw_Data_Messy!C10))</f>
        <v>Gamma Partners</v>
      </c>
      <c r="D10" t="str">
        <f>PROPER(TRIM(Raw_Data_Messy!D10))</f>
        <v>Smb</v>
      </c>
      <c r="E10" t="str">
        <f>PROPER(TRIM(Raw_Data_Messy!E10))</f>
        <v>Asia Pacific</v>
      </c>
      <c r="F10" t="str">
        <f>PROPER(TRIM(Raw_Data_Messy!F10))</f>
        <v>Saas</v>
      </c>
      <c r="G10" s="10">
        <f>Raw_Data_Messy!G10</f>
        <v>4</v>
      </c>
      <c r="H10" s="3">
        <f>Raw_Data_Messy!H10</f>
        <v>250</v>
      </c>
      <c r="I10" s="4">
        <f>Raw_Data_Messy!I10</f>
        <v>0</v>
      </c>
      <c r="J10" s="5">
        <f t="shared" si="0"/>
        <v>1000</v>
      </c>
      <c r="K10" s="5">
        <f t="shared" si="1"/>
        <v>1000</v>
      </c>
    </row>
    <row r="11" spans="1:11">
      <c r="A11" t="str">
        <f>Raw_Data_Messy!A12</f>
        <v>ORD-1010</v>
      </c>
      <c r="B11" s="1">
        <f>Raw_Data_Messy!B11</f>
        <v>46215</v>
      </c>
      <c r="C11" t="str">
        <f>PROPER(TRIM(Raw_Data_Messy!C11))</f>
        <v>Helios Energy</v>
      </c>
      <c r="D11" t="str">
        <f>PROPER(TRIM(Raw_Data_Messy!D11))</f>
        <v>Enterprise</v>
      </c>
      <c r="E11" t="str">
        <f>PROPER(TRIM(Raw_Data_Messy!E11))</f>
        <v>North America</v>
      </c>
      <c r="F11" t="str">
        <f>PROPER(TRIM(Raw_Data_Messy!F11))</f>
        <v>Cloud Hosting</v>
      </c>
      <c r="G11" s="11" t="s">
        <v>56</v>
      </c>
      <c r="H11" s="3">
        <f>Raw_Data_Messy!H11</f>
        <v>80</v>
      </c>
      <c r="I11" s="4">
        <f>Raw_Data_Messy!I11</f>
        <v>0</v>
      </c>
      <c r="J11" s="16" t="str">
        <f t="shared" si="0"/>
        <v>N/A</v>
      </c>
      <c r="K11" s="16" t="str">
        <f t="shared" si="1"/>
        <v>N/A</v>
      </c>
    </row>
    <row r="12" spans="1:11">
      <c r="A12" t="str">
        <f>Raw_Data_Messy!A13</f>
        <v>ORD-1011</v>
      </c>
      <c r="B12" s="1">
        <f>Raw_Data_Messy!B12</f>
        <v>46218</v>
      </c>
      <c r="C12" t="str">
        <f>PROPER(TRIM(Raw_Data_Messy!C12))</f>
        <v>Iota Software</v>
      </c>
      <c r="D12" t="str">
        <f>PROPER(TRIM(Raw_Data_Messy!D12))</f>
        <v>Smb</v>
      </c>
      <c r="E12" t="str">
        <f>PROPER(TRIM(Raw_Data_Messy!E12))</f>
        <v>Europe</v>
      </c>
      <c r="F12" t="str">
        <f>PROPER(TRIM(Raw_Data_Messy!F12))</f>
        <v>Hardware</v>
      </c>
      <c r="G12" s="10">
        <f>Raw_Data_Messy!G12</f>
        <v>3</v>
      </c>
      <c r="H12" s="3">
        <f>Raw_Data_Messy!H12</f>
        <v>1500</v>
      </c>
      <c r="I12" s="4">
        <f>Raw_Data_Messy!I12</f>
        <v>0.1</v>
      </c>
      <c r="J12" s="5">
        <f t="shared" si="0"/>
        <v>4500</v>
      </c>
      <c r="K12" s="5">
        <f t="shared" si="1"/>
        <v>4500</v>
      </c>
    </row>
    <row r="13" spans="1:11">
      <c r="A13" t="str">
        <f>Raw_Data_Messy!A14</f>
        <v>ORD-1012</v>
      </c>
      <c r="B13" s="1">
        <f>Raw_Data_Messy!B13</f>
        <v>46219</v>
      </c>
      <c r="C13" t="str">
        <f>PROPER(TRIM(Raw_Data_Messy!C13))</f>
        <v>Kappa Retail</v>
      </c>
      <c r="D13" t="str">
        <f>PROPER(TRIM(Raw_Data_Messy!D13))</f>
        <v>Consumer</v>
      </c>
      <c r="E13" t="str">
        <f>PROPER(TRIM(Raw_Data_Messy!E13))</f>
        <v>South America</v>
      </c>
      <c r="F13" t="str">
        <f>PROPER(TRIM(Raw_Data_Messy!F13))</f>
        <v>Cloud Hosting</v>
      </c>
      <c r="G13" s="10">
        <f>Raw_Data_Messy!G13</f>
        <v>20</v>
      </c>
      <c r="H13" s="3">
        <f>Raw_Data_Messy!H13</f>
        <v>25</v>
      </c>
      <c r="I13" s="4">
        <f>Raw_Data_Messy!I13</f>
        <v>0</v>
      </c>
      <c r="J13" s="5">
        <f t="shared" si="0"/>
        <v>500</v>
      </c>
      <c r="K13" s="5">
        <f t="shared" si="1"/>
        <v>500</v>
      </c>
    </row>
    <row r="14" spans="1:11">
      <c r="A14" t="str">
        <f>Raw_Data_Messy!A15</f>
        <v>ORD-1013</v>
      </c>
      <c r="B14" s="1">
        <f>Raw_Data_Messy!B14</f>
        <v>46221</v>
      </c>
      <c r="C14" t="str">
        <f>PROPER(TRIM(Raw_Data_Messy!C14))</f>
        <v>Lambda Health</v>
      </c>
      <c r="D14" t="str">
        <f>PROPER(TRIM(Raw_Data_Messy!D14))</f>
        <v>Enterprise</v>
      </c>
      <c r="E14" t="str">
        <f>PROPER(TRIM(Raw_Data_Messy!E14))</f>
        <v>North America</v>
      </c>
      <c r="F14" t="str">
        <f>PROPER(TRIM(Raw_Data_Messy!F14))</f>
        <v>Saas Tools</v>
      </c>
      <c r="G14" s="10">
        <f>Raw_Data_Messy!G14</f>
        <v>6</v>
      </c>
      <c r="H14" s="3">
        <f>Raw_Data_Messy!H14</f>
        <v>450</v>
      </c>
      <c r="I14" s="4">
        <f>Raw_Data_Messy!I14</f>
        <v>0.05</v>
      </c>
      <c r="J14" s="5">
        <f t="shared" si="0"/>
        <v>2700</v>
      </c>
      <c r="K14" s="5">
        <f t="shared" si="1"/>
        <v>2700</v>
      </c>
    </row>
    <row r="15" spans="1:11">
      <c r="A15" t="str">
        <f>Raw_Data_Messy!A16</f>
        <v>ORD-1014</v>
      </c>
      <c r="B15" s="1">
        <f>Raw_Data_Messy!B15</f>
        <v>46223</v>
      </c>
      <c r="C15" t="str">
        <f>PROPER(TRIM(Raw_Data_Messy!C15))</f>
        <v>Omega Group</v>
      </c>
      <c r="D15" t="str">
        <f>PROPER(TRIM(Raw_Data_Messy!D15))</f>
        <v>Smb</v>
      </c>
      <c r="E15" t="str">
        <f>PROPER(TRIM(Raw_Data_Messy!E15))</f>
        <v>Europe</v>
      </c>
      <c r="F15" t="str">
        <f>PROPER(TRIM(Raw_Data_Messy!F15))</f>
        <v>Cloud Hosting</v>
      </c>
      <c r="G15" s="10">
        <f>Raw_Data_Messy!G15</f>
        <v>12</v>
      </c>
      <c r="H15" s="3">
        <f>Raw_Data_Messy!H15</f>
        <v>60</v>
      </c>
      <c r="I15" s="17">
        <f>Raw_Data_Messy!I15</f>
        <v>0.1</v>
      </c>
      <c r="J15" s="5">
        <f t="shared" si="0"/>
        <v>720</v>
      </c>
      <c r="K15" s="5">
        <f t="shared" si="1"/>
        <v>720</v>
      </c>
    </row>
    <row r="16" spans="1:11">
      <c r="A16" t="str">
        <f>Raw_Data_Messy!A18</f>
        <v>ORD-1015</v>
      </c>
      <c r="B16" s="1">
        <f>Raw_Data_Messy!B16</f>
        <v>46225</v>
      </c>
      <c r="C16" t="str">
        <f>PROPER(TRIM(Raw_Data_Messy!C16))</f>
        <v>Sigma Analytics</v>
      </c>
      <c r="D16" t="str">
        <f>PROPER(TRIM(Raw_Data_Messy!D16))</f>
        <v>Enterprise</v>
      </c>
      <c r="E16" t="str">
        <f>PROPER(TRIM(Raw_Data_Messy!E16))</f>
        <v>Asia-Pacific</v>
      </c>
      <c r="F16" t="str">
        <f>PROPER(TRIM(Raw_Data_Messy!F16))</f>
        <v>Saas Tools</v>
      </c>
      <c r="G16" s="10">
        <f>Raw_Data_Messy!G16</f>
        <v>5</v>
      </c>
      <c r="H16" s="3">
        <f>Raw_Data_Messy!H16</f>
        <v>500</v>
      </c>
      <c r="I16" s="4">
        <f>Raw_Data_Messy!I16</f>
        <v>0</v>
      </c>
      <c r="J16" s="5">
        <f t="shared" si="0"/>
        <v>2500</v>
      </c>
      <c r="K16" s="5">
        <f t="shared" si="1"/>
        <v>2500</v>
      </c>
    </row>
    <row r="17" spans="1:11">
      <c r="A17" t="str">
        <f>Raw_Data_Messy!A19</f>
        <v>ORD-1016</v>
      </c>
      <c r="B17" s="1">
        <f>Raw_Data_Messy!B17</f>
        <v>46225</v>
      </c>
      <c r="C17" t="str">
        <f>PROPER(TRIM(Raw_Data_Messy!C17))</f>
        <v>Sigma Analytics</v>
      </c>
      <c r="D17" t="str">
        <f>PROPER(TRIM(Raw_Data_Messy!D17))</f>
        <v>Enterprise</v>
      </c>
      <c r="E17" t="str">
        <f>PROPER(TRIM(Raw_Data_Messy!E17))</f>
        <v>Asia-Pacific</v>
      </c>
      <c r="F17" t="str">
        <f>PROPER(TRIM(Raw_Data_Messy!F17))</f>
        <v>Saas Tools</v>
      </c>
      <c r="G17" s="10">
        <f>Raw_Data_Messy!G17</f>
        <v>5</v>
      </c>
      <c r="H17" s="3">
        <f>Raw_Data_Messy!H17</f>
        <v>500</v>
      </c>
      <c r="I17" s="4">
        <f>Raw_Data_Messy!I17</f>
        <v>0</v>
      </c>
      <c r="J17" s="5">
        <f t="shared" si="0"/>
        <v>2500</v>
      </c>
      <c r="K17" s="5">
        <f t="shared" si="1"/>
        <v>2500</v>
      </c>
    </row>
    <row r="18" spans="1:11">
      <c r="A18" t="str">
        <f>Raw_Data_Messy!A20</f>
        <v>ORD-1017</v>
      </c>
      <c r="B18" s="1">
        <f>Raw_Data_Messy!B18</f>
        <v>46228</v>
      </c>
      <c r="C18" t="str">
        <f>PROPER(TRIM(Raw_Data_Messy!C18))</f>
        <v>Theta Design</v>
      </c>
      <c r="D18" t="str">
        <f>PROPER(TRIM(Raw_Data_Messy!D18))</f>
        <v>Consumer</v>
      </c>
      <c r="E18" t="str">
        <f>PROPER(TRIM(Raw_Data_Messy!E18))</f>
        <v>North America</v>
      </c>
      <c r="F18" t="str">
        <f>PROPER(TRIM(Raw_Data_Messy!F18))</f>
        <v>Hardware</v>
      </c>
      <c r="G18" s="10">
        <f>Raw_Data_Messy!G18</f>
        <v>1</v>
      </c>
      <c r="H18" s="3">
        <f>Raw_Data_Messy!H18</f>
        <v>2200</v>
      </c>
      <c r="I18" s="4">
        <f>Raw_Data_Messy!I18</f>
        <v>0.2</v>
      </c>
      <c r="J18" s="5">
        <f t="shared" si="0"/>
        <v>2200</v>
      </c>
      <c r="K18" s="5">
        <f t="shared" si="1"/>
        <v>2200</v>
      </c>
    </row>
    <row r="19" spans="1:11">
      <c r="A19" t="str">
        <f>Raw_Data_Messy!A21</f>
        <v>ORD-1018</v>
      </c>
      <c r="B19" s="1">
        <f>Raw_Data_Messy!B19</f>
        <v>46231</v>
      </c>
      <c r="C19" t="str">
        <f>PROPER(TRIM(Raw_Data_Messy!C19))</f>
        <v>Zeta Financial</v>
      </c>
      <c r="D19" t="str">
        <f>PROPER(TRIM(Raw_Data_Messy!D19))</f>
        <v>Enterprise</v>
      </c>
      <c r="E19" t="str">
        <f>PROPER(TRIM(Raw_Data_Messy!E19))</f>
        <v>Europe</v>
      </c>
      <c r="F19" t="str">
        <f>PROPER(TRIM(Raw_Data_Messy!F19))</f>
        <v>Cloud Hosting</v>
      </c>
      <c r="G19" s="10">
        <f>Raw_Data_Messy!G19</f>
        <v>25</v>
      </c>
      <c r="H19" s="3">
        <f>Raw_Data_Messy!H19</f>
        <v>90</v>
      </c>
      <c r="I19" s="4">
        <f>Raw_Data_Messy!I19</f>
        <v>0.05</v>
      </c>
      <c r="J19" s="5">
        <f t="shared" si="0"/>
        <v>2250</v>
      </c>
      <c r="K19" s="5">
        <f t="shared" si="1"/>
        <v>2250</v>
      </c>
    </row>
    <row r="20" spans="2:11">
      <c r="B20" s="1">
        <f>Raw_Data_Messy!B20</f>
        <v>46232</v>
      </c>
      <c r="C20" t="str">
        <f>Raw_Data_Messy!C20</f>
        <v>   Vortex AI   </v>
      </c>
      <c r="D20" t="str">
        <f>PROPER(TRIM(Raw_Data_Messy!D20))</f>
        <v>Smb</v>
      </c>
      <c r="E20" t="str">
        <f>PROPER(TRIM(Raw_Data_Messy!E20))</f>
        <v>Asia-Pacific</v>
      </c>
      <c r="F20" t="str">
        <f>PROPER(TRIM(Raw_Data_Messy!F20))</f>
        <v>Saas Tools</v>
      </c>
      <c r="G20" s="10">
        <f>Raw_Data_Messy!G20</f>
        <v>8</v>
      </c>
      <c r="H20" s="3">
        <f>Raw_Data_Messy!H20</f>
        <v>350</v>
      </c>
      <c r="I20" s="4">
        <f>Raw_Data_Messy!I20</f>
        <v>0</v>
      </c>
      <c r="J20" s="5">
        <f t="shared" si="0"/>
        <v>2800</v>
      </c>
      <c r="K20" s="5">
        <f t="shared" si="1"/>
        <v>2800</v>
      </c>
    </row>
    <row r="21" spans="2:11">
      <c r="B21" s="1">
        <f>Raw_Data_Messy!B21</f>
        <v>46233</v>
      </c>
      <c r="C21" t="str">
        <f>PROPER(TRIM(Raw_Data_Messy!C21))</f>
        <v>Zenith Labs</v>
      </c>
      <c r="D21" t="str">
        <f>PROPER(TRIM(Raw_Data_Messy!D21))</f>
        <v>Enterprise</v>
      </c>
      <c r="E21" t="str">
        <f>PROPER(TRIM(Raw_Data_Messy!E21))</f>
        <v>North America</v>
      </c>
      <c r="F21" t="str">
        <f>PROPER(TRIM(Raw_Data_Messy!F21))</f>
        <v>Hardware</v>
      </c>
      <c r="G21" s="10">
        <f>Raw_Data_Messy!G21</f>
        <v>4</v>
      </c>
      <c r="H21" s="3">
        <f>Raw_Data_Messy!H21</f>
        <v>1300</v>
      </c>
      <c r="I21" s="4">
        <f>Raw_Data_Messy!I21</f>
        <v>0.1</v>
      </c>
      <c r="J21" s="5">
        <f t="shared" si="0"/>
        <v>5200</v>
      </c>
      <c r="K21" s="5">
        <f t="shared" si="1"/>
        <v>5200</v>
      </c>
    </row>
    <row r="23" spans="1:1">
      <c r="A23" s="5" t="str">
        <f>CONCATENATE("Average Order Value : ",SUM($J$2:$J$21)/COUNT($G$2:$G$21))</f>
        <v>Average Order Value : 2657.05882352941</v>
      </c>
    </row>
    <row r="26" spans="1:2">
      <c r="A26" t="s">
        <v>27</v>
      </c>
      <c r="B26" t="s">
        <v>98</v>
      </c>
    </row>
    <row r="27" spans="1:2">
      <c r="A27" t="s">
        <v>99</v>
      </c>
      <c r="B27">
        <v>1000</v>
      </c>
    </row>
    <row r="28" spans="1:2">
      <c r="A28" t="s">
        <v>87</v>
      </c>
      <c r="B28">
        <v>8400</v>
      </c>
    </row>
    <row r="29" spans="1:2">
      <c r="A29" t="s">
        <v>55</v>
      </c>
      <c r="B29">
        <v>19470</v>
      </c>
    </row>
    <row r="30" spans="1:2">
      <c r="A30" t="s">
        <v>70</v>
      </c>
      <c r="B30">
        <v>15800</v>
      </c>
    </row>
    <row r="31" spans="1:2">
      <c r="A31" t="s">
        <v>78</v>
      </c>
      <c r="B31">
        <v>500</v>
      </c>
    </row>
    <row r="32" spans="1:2">
      <c r="A32" t="s">
        <v>100</v>
      </c>
      <c r="B32">
        <v>45170</v>
      </c>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sheetData>
  <pageMargins left="0.75" right="0.75" top="1" bottom="1" header="0.5" footer="0.5"/>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Instructions &amp; Requirements</vt:lpstr>
      <vt:lpstr>Raw_Data_Messy</vt:lpstr>
      <vt:lpstr>Answer_Key_Internal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Bazunu</cp:lastModifiedBy>
  <dcterms:created xsi:type="dcterms:W3CDTF">2026-10-05T08:58:00Z</dcterms:created>
  <dcterms:modified xsi:type="dcterms:W3CDTF">2026-10-05T07:01:04Z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2057-12.2.0.23206</vt:lpwstr>
  </property>
  <property fmtid="{D5CDD505-2E9C-101B-9397-08002B2CF9AE}" pid="3" name="ICV">
    <vt:lpwstr>B9C80F3BCF144A27B0193EF24A3DC0DA_12</vt:lpwstr>
  </property>
</Properties>
</file>