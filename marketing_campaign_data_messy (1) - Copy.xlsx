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1" activeTab="2"/>
  </bookViews>
  <sheets>
    <sheet name="marketing_campaign_data_messy (" sheetId="1" r:id="rId1"/>
    <sheet name="marketing_campaign_data_mess(2)" sheetId="2" r:id="rId2"/>
    <sheet name="Edited Campaign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<sst xmlns="http://schemas.openxmlformats.org/spreadsheetml/2006/main" count="29574" uniqueCount="4144">
  <si>
    <t xml:space="preserve"> Campaign_ID </t>
  </si>
  <si>
    <t>Campaign_Name</t>
  </si>
  <si>
    <t>Start_Date</t>
  </si>
  <si>
    <t>End_Date</t>
  </si>
  <si>
    <t>Channel</t>
  </si>
  <si>
    <t>Impressions</t>
  </si>
  <si>
    <t xml:space="preserve">Clicks </t>
  </si>
  <si>
    <t>Spend</t>
  </si>
  <si>
    <t>Conversions</t>
  </si>
  <si>
    <t>Active</t>
  </si>
  <si>
    <t>Clicks</t>
  </si>
  <si>
    <t>Campaign_Tag</t>
  </si>
  <si>
    <t>CMP-00001</t>
  </si>
  <si>
    <t>Q4_Summer_CMP-00001</t>
  </si>
  <si>
    <t>TikTok</t>
  </si>
  <si>
    <t>Y</t>
  </si>
  <si>
    <t>TI</t>
  </si>
  <si>
    <t>CMP-00002</t>
  </si>
  <si>
    <t>Q1_Launch_CMP-00002</t>
  </si>
  <si>
    <t>Facebook</t>
  </si>
  <si>
    <t>FA</t>
  </si>
  <si>
    <t>CMP-00003</t>
  </si>
  <si>
    <t>Q3_Winter_CMP-00003</t>
  </si>
  <si>
    <t>Email</t>
  </si>
  <si>
    <t>No</t>
  </si>
  <si>
    <t>EM</t>
  </si>
  <si>
    <t>CMP-00004</t>
  </si>
  <si>
    <t>Q1_BlackFriday_CMP-00004</t>
  </si>
  <si>
    <t>CMP-00005</t>
  </si>
  <si>
    <t>Q2_Winter_CMP-00005</t>
  </si>
  <si>
    <t>Yes</t>
  </si>
  <si>
    <t>CMP-00006</t>
  </si>
  <si>
    <t>Q4_BlackFriday_CMP-00006</t>
  </si>
  <si>
    <t>Instagram</t>
  </si>
  <si>
    <t>IN</t>
  </si>
  <si>
    <t>CMP-00007</t>
  </si>
  <si>
    <t>Q3_Launch_CMP-00007</t>
  </si>
  <si>
    <t>CMP-00008</t>
  </si>
  <si>
    <t>Q4_Launch_CMP-00008</t>
  </si>
  <si>
    <t>CMP-00009</t>
  </si>
  <si>
    <t>Q4_BlackFriday_CMP-00009</t>
  </si>
  <si>
    <t>Google Ads</t>
  </si>
  <si>
    <t>GO</t>
  </si>
  <si>
    <t>CMP-00010</t>
  </si>
  <si>
    <t>Q2_Winter_CMP-00010</t>
  </si>
  <si>
    <t>CMP-00011</t>
  </si>
  <si>
    <t>Q4_Launch_CMP-00011</t>
  </si>
  <si>
    <t>22/02/2023</t>
  </si>
  <si>
    <t>CMP-00012</t>
  </si>
  <si>
    <t>Q4_Launch_CMP-00012</t>
  </si>
  <si>
    <t>CMP-00013</t>
  </si>
  <si>
    <t>Q2_Launch_CMP-00013</t>
  </si>
  <si>
    <t>CMP-00014</t>
  </si>
  <si>
    <t>Q1_Launch_CMP-00014</t>
  </si>
  <si>
    <t>CMP-00015</t>
  </si>
  <si>
    <t>Q2_Summer_CMP-00015</t>
  </si>
  <si>
    <t>CMP-00016</t>
  </si>
  <si>
    <t>Q2_BlackFriday_CMP-00016</t>
  </si>
  <si>
    <t>E-mail</t>
  </si>
  <si>
    <t>E-</t>
  </si>
  <si>
    <t>CMP-00017</t>
  </si>
  <si>
    <t>Q1_Winter_CMP-00017</t>
  </si>
  <si>
    <t>CMP-00018</t>
  </si>
  <si>
    <t>Q1_BlackFriday_CMP-00018</t>
  </si>
  <si>
    <t>CMP-00019</t>
  </si>
  <si>
    <t>Q4_Winter_CMP-00019</t>
  </si>
  <si>
    <t>CMP-00020</t>
  </si>
  <si>
    <t>Q1_Summer_CMP-00020</t>
  </si>
  <si>
    <t>INVALID</t>
  </si>
  <si>
    <t>CMP-00021</t>
  </si>
  <si>
    <t>Q3_BlackFriday_CMP-00021</t>
  </si>
  <si>
    <t>CMP-00022</t>
  </si>
  <si>
    <t>Q2_BlackFriday_CMP-00022</t>
  </si>
  <si>
    <t>CMP-00023</t>
  </si>
  <si>
    <t>Q4_Winter_CMP-00023</t>
  </si>
  <si>
    <t>CMP-00024</t>
  </si>
  <si>
    <t>Q4_Winter_CMP-00024</t>
  </si>
  <si>
    <t>CMP-00025</t>
  </si>
  <si>
    <t>Q2_Winter_CMP-00025</t>
  </si>
  <si>
    <t>CMP-00026</t>
  </si>
  <si>
    <t>Q1_Winter_CMP-00026</t>
  </si>
  <si>
    <t>CMP-00027</t>
  </si>
  <si>
    <t>Q1_Winter_CMP-00027</t>
  </si>
  <si>
    <t>CMP-00028</t>
  </si>
  <si>
    <t>Q4_Summer_CMP-00028</t>
  </si>
  <si>
    <t>CMP-00029</t>
  </si>
  <si>
    <t>Q4_BlackFriday_CMP-00029</t>
  </si>
  <si>
    <t>CMP-00030</t>
  </si>
  <si>
    <t>Q1_Summer_CMP-00030</t>
  </si>
  <si>
    <t>CMP-00031</t>
  </si>
  <si>
    <t>Q1_Launch_CMP-00031</t>
  </si>
  <si>
    <t>CMP-00032</t>
  </si>
  <si>
    <t>Q2_Summer_CMP-00032</t>
  </si>
  <si>
    <t>CMP-00033</t>
  </si>
  <si>
    <t>Q2_BlackFriday_CMP-00033</t>
  </si>
  <si>
    <t>CMP-00034</t>
  </si>
  <si>
    <t>Q2_Summer_CMP-00034</t>
  </si>
  <si>
    <t>CMP-00035</t>
  </si>
  <si>
    <t>Q2_Summer_CMP-00035</t>
  </si>
  <si>
    <t>CMP-00036</t>
  </si>
  <si>
    <t>Q1_Launch_CMP-00036</t>
  </si>
  <si>
    <t>CMP-00037</t>
  </si>
  <si>
    <t>Q2_Winter_CMP-00037</t>
  </si>
  <si>
    <t>CMP-00038</t>
  </si>
  <si>
    <t>Q4_Winter_CMP-00038</t>
  </si>
  <si>
    <t>CMP-00039</t>
  </si>
  <si>
    <t>Q3_Launch_CMP-00039</t>
  </si>
  <si>
    <t>CMP-00040</t>
  </si>
  <si>
    <t>Q4_BlackFriday_CMP-00040</t>
  </si>
  <si>
    <t>CMP-00041</t>
  </si>
  <si>
    <t>Q4_Summer_CMP-00041</t>
  </si>
  <si>
    <t>CMP-00042</t>
  </si>
  <si>
    <t>Q3_Summer_CMP-00042</t>
  </si>
  <si>
    <t>CMP-00043</t>
  </si>
  <si>
    <t>Q2_Summer_CMP-00043</t>
  </si>
  <si>
    <t>21/08/2023</t>
  </si>
  <si>
    <t>CMP-00044</t>
  </si>
  <si>
    <t>Q1_Winter_CMP-00044</t>
  </si>
  <si>
    <t>CMP-00045</t>
  </si>
  <si>
    <t>Q2_Summer_CMP-00045</t>
  </si>
  <si>
    <t>CMP-00046</t>
  </si>
  <si>
    <t>Q4_Launch_CMP-00046</t>
  </si>
  <si>
    <t>CMP-00047</t>
  </si>
  <si>
    <t>Q4_BlackFriday_CMP-00047</t>
  </si>
  <si>
    <t>CMP-00048</t>
  </si>
  <si>
    <t>Q3_Winter_CMP-00048</t>
  </si>
  <si>
    <t>CMP-00049</t>
  </si>
  <si>
    <t>Q4_Winter_CMP-00049</t>
  </si>
  <si>
    <t>CMP-00050</t>
  </si>
  <si>
    <t>Q3_Summer_CMP-00050</t>
  </si>
  <si>
    <t>CMP-00051</t>
  </si>
  <si>
    <t>Q4_Winter_CMP-00051</t>
  </si>
  <si>
    <t>CMP-00052</t>
  </si>
  <si>
    <t>Q2_Launch_CMP-00052</t>
  </si>
  <si>
    <t>CMP-00053</t>
  </si>
  <si>
    <t>Q1_Winter_CMP-00053</t>
  </si>
  <si>
    <t>CMP-00054</t>
  </si>
  <si>
    <t>Q4_Winter_CMP-00054</t>
  </si>
  <si>
    <t>N/A</t>
  </si>
  <si>
    <t>XX</t>
  </si>
  <si>
    <t>CMP-00055</t>
  </si>
  <si>
    <t>Q1_Launch_CMP-00055</t>
  </si>
  <si>
    <t>CMP-00056</t>
  </si>
  <si>
    <t>Q4_BlackFriday_CMP-00056</t>
  </si>
  <si>
    <t>CMP-00057</t>
  </si>
  <si>
    <t>Q4_Launch_CMP-00057</t>
  </si>
  <si>
    <t>CMP-00058</t>
  </si>
  <si>
    <t>Q2_Summer_CMP-00058</t>
  </si>
  <si>
    <t>CMP-00059</t>
  </si>
  <si>
    <t>Q3_Launch_CMP-00059</t>
  </si>
  <si>
    <t>CMP-00060</t>
  </si>
  <si>
    <t>Q2_BlackFriday_CMP-00060</t>
  </si>
  <si>
    <t>CMP-00061</t>
  </si>
  <si>
    <t>Q1_Summer_CMP-00061</t>
  </si>
  <si>
    <t>CMP-00062</t>
  </si>
  <si>
    <t>Q1_BlackFriday_CMP-00062</t>
  </si>
  <si>
    <t>CMP-00063</t>
  </si>
  <si>
    <t>Q3_Summer_CMP-00063</t>
  </si>
  <si>
    <t>CMP-00064</t>
  </si>
  <si>
    <t>Q2_BlackFriday_CMP-00064</t>
  </si>
  <si>
    <t>CMP-00065</t>
  </si>
  <si>
    <t>Q2_Summer_CMP-00065</t>
  </si>
  <si>
    <t>CMP-00066</t>
  </si>
  <si>
    <t>Q1_Winter_CMP-00066</t>
  </si>
  <si>
    <t>CMP-00067</t>
  </si>
  <si>
    <t>Q1_BlackFriday_CMP-00067</t>
  </si>
  <si>
    <t>CMP-00068</t>
  </si>
  <si>
    <t>Q2_Winter_CMP-00068</t>
  </si>
  <si>
    <t>CMP-00069</t>
  </si>
  <si>
    <t>Q1_Winter_CMP-00069</t>
  </si>
  <si>
    <t>CMP-00070</t>
  </si>
  <si>
    <t>Q3_Summer_CMP-00070</t>
  </si>
  <si>
    <t>CMP-00071</t>
  </si>
  <si>
    <t>Q1_Launch_CMP-00071</t>
  </si>
  <si>
    <t>CMP-00072</t>
  </si>
  <si>
    <t>Q1_Summer_CMP-00072</t>
  </si>
  <si>
    <t>CMP-00073</t>
  </si>
  <si>
    <t>Q3_Summer_CMP-00073</t>
  </si>
  <si>
    <t>CMP-00074</t>
  </si>
  <si>
    <t>Q3_Summer_CMP-00074</t>
  </si>
  <si>
    <t>CMP-00075</t>
  </si>
  <si>
    <t>Q3_BlackFriday_CMP-00075</t>
  </si>
  <si>
    <t>CMP-00076</t>
  </si>
  <si>
    <t>Q4_Winter_CMP-00076</t>
  </si>
  <si>
    <t>CMP-00077</t>
  </si>
  <si>
    <t>Q3_Launch_CMP-00077</t>
  </si>
  <si>
    <t>20/02/2023</t>
  </si>
  <si>
    <t>CMP-00078</t>
  </si>
  <si>
    <t>Q3_Winter_CMP-00078</t>
  </si>
  <si>
    <t>CMP-00079</t>
  </si>
  <si>
    <t>Q1_BlackFriday_CMP-00079</t>
  </si>
  <si>
    <t>Gogle</t>
  </si>
  <si>
    <t>CMP-00080</t>
  </si>
  <si>
    <t>Q4_Summer_CMP-00080</t>
  </si>
  <si>
    <t>CMP-00081</t>
  </si>
  <si>
    <t>Q2_Summer_CMP-00081</t>
  </si>
  <si>
    <t>CMP-00082</t>
  </si>
  <si>
    <t>Q4_Launch_CMP-00082</t>
  </si>
  <si>
    <t>CMP-00083</t>
  </si>
  <si>
    <t>Q1_BlackFriday_CMP-00083</t>
  </si>
  <si>
    <t>CMP-00084</t>
  </si>
  <si>
    <t>Q2_Winter_CMP-00084</t>
  </si>
  <si>
    <t>CMP-00085</t>
  </si>
  <si>
    <t>Q4_Summer_CMP-00085</t>
  </si>
  <si>
    <t>CMP-00086</t>
  </si>
  <si>
    <t>Q1_Winter_CMP-00086</t>
  </si>
  <si>
    <t>CMP-00087</t>
  </si>
  <si>
    <t>Q2_Winter_CMP-00087</t>
  </si>
  <si>
    <t>CMP-00088</t>
  </si>
  <si>
    <t>Q2_BlackFriday_CMP-00088</t>
  </si>
  <si>
    <t>CMP-00089</t>
  </si>
  <si>
    <t>Q4_Winter_CMP-00089</t>
  </si>
  <si>
    <t>CMP-00090</t>
  </si>
  <si>
    <t>Q3_BlackFriday_CMP-00090</t>
  </si>
  <si>
    <t>CMP-00091</t>
  </si>
  <si>
    <t>Q3_Launch_CMP-00091</t>
  </si>
  <si>
    <t>CMP-00092</t>
  </si>
  <si>
    <t>Q1_Launch_CMP-00092</t>
  </si>
  <si>
    <t>CMP-00093</t>
  </si>
  <si>
    <t>Q2_Winter_CMP-00093</t>
  </si>
  <si>
    <t>CMP-00094</t>
  </si>
  <si>
    <t>Q1_Winter_CMP-00094</t>
  </si>
  <si>
    <t>CMP-00095</t>
  </si>
  <si>
    <t>Q4_Summer_CMP-00095</t>
  </si>
  <si>
    <t>CMP-00096</t>
  </si>
  <si>
    <t>Q1_Winter_CMP-00096</t>
  </si>
  <si>
    <t>CMP-00097</t>
  </si>
  <si>
    <t>Q3_Summer_CMP-00097</t>
  </si>
  <si>
    <t>CMP-00098</t>
  </si>
  <si>
    <t>Q4_Summer_CMP-00098</t>
  </si>
  <si>
    <t>CMP-00099</t>
  </si>
  <si>
    <t>Q4_BlackFriday_CMP-00099</t>
  </si>
  <si>
    <t>CMP-00100</t>
  </si>
  <si>
    <t>Q2_BlackFriday_CMP-00100</t>
  </si>
  <si>
    <t>Tik_Tok</t>
  </si>
  <si>
    <t>CMP-00101</t>
  </si>
  <si>
    <t>Q2_Summer_CMP-00101</t>
  </si>
  <si>
    <t>CMP-00102</t>
  </si>
  <si>
    <t>Q3_BlackFriday_CMP-00102</t>
  </si>
  <si>
    <t>CMP-00103</t>
  </si>
  <si>
    <t>Q3_Summer_CMP-00103</t>
  </si>
  <si>
    <t>CMP-00104</t>
  </si>
  <si>
    <t>Q1_Winter_CMP-00104</t>
  </si>
  <si>
    <t>CMP-00105</t>
  </si>
  <si>
    <t>Q4_BlackFriday_CMP-00105</t>
  </si>
  <si>
    <t>CMP-00106</t>
  </si>
  <si>
    <t>Q4_BlackFriday_CMP-00106</t>
  </si>
  <si>
    <t>CMP-00107</t>
  </si>
  <si>
    <t>Q4_Winter_CMP-00107</t>
  </si>
  <si>
    <t>CMP-00108</t>
  </si>
  <si>
    <t>Q1_Launch_CMP-00108</t>
  </si>
  <si>
    <t>CMP-00109</t>
  </si>
  <si>
    <t>Q1_BlackFriday_CMP-00109</t>
  </si>
  <si>
    <t>CMP-00110</t>
  </si>
  <si>
    <t>Q3_Launch_CMP-00110</t>
  </si>
  <si>
    <t>CMP-00111</t>
  </si>
  <si>
    <t>Q4_Winter_CMP-00111</t>
  </si>
  <si>
    <t>CMP-00112</t>
  </si>
  <si>
    <t>Q4_BlackFriday_CMP-00112</t>
  </si>
  <si>
    <t>23/01/2023</t>
  </si>
  <si>
    <t>CMP-00113</t>
  </si>
  <si>
    <t>Q3_BlackFriday_CMP-00113</t>
  </si>
  <si>
    <t>CMP-00114</t>
  </si>
  <si>
    <t>Q1_Launch_CMP-00114</t>
  </si>
  <si>
    <t>CMP-00115</t>
  </si>
  <si>
    <t>Q4_BlackFriday_CMP-00115</t>
  </si>
  <si>
    <t>Facebok</t>
  </si>
  <si>
    <t>CMP-00116</t>
  </si>
  <si>
    <t>Q1_Summer_CMP-00116</t>
  </si>
  <si>
    <t>CMP-00117</t>
  </si>
  <si>
    <t>Q2_Summer_CMP-00117</t>
  </si>
  <si>
    <t>CMP-00118</t>
  </si>
  <si>
    <t>Q2_Summer_CMP-00118</t>
  </si>
  <si>
    <t>CMP-00119</t>
  </si>
  <si>
    <t>Q3_Launch_CMP-00119</t>
  </si>
  <si>
    <t>CMP-00120</t>
  </si>
  <si>
    <t>Q2_Launch_CMP-00120</t>
  </si>
  <si>
    <t>CMP-00121</t>
  </si>
  <si>
    <t>Q1_Winter_CMP-00121</t>
  </si>
  <si>
    <t>CMP-00122</t>
  </si>
  <si>
    <t>Q4_Launch_CMP-00122</t>
  </si>
  <si>
    <t>CMP-00123</t>
  </si>
  <si>
    <t>Q1_BlackFriday_CMP-00123</t>
  </si>
  <si>
    <t>CMP-00124</t>
  </si>
  <si>
    <t>Q4_Launch_CMP-00124</t>
  </si>
  <si>
    <t>CMP-00125</t>
  </si>
  <si>
    <t>Q4_Summer_CMP-00125</t>
  </si>
  <si>
    <t>CMP-00126</t>
  </si>
  <si>
    <t>Q1_Winter_CMP-00126</t>
  </si>
  <si>
    <t>CMP-00127</t>
  </si>
  <si>
    <t>Q1_Launch_CMP-00127</t>
  </si>
  <si>
    <t>CMP-00128</t>
  </si>
  <si>
    <t>Q4_Winter_CMP-00128</t>
  </si>
  <si>
    <t>CMP-00129</t>
  </si>
  <si>
    <t>Q4_BlackFriday_CMP-00129</t>
  </si>
  <si>
    <t>CMP-00130</t>
  </si>
  <si>
    <t>Q1_BlackFriday_CMP-00130</t>
  </si>
  <si>
    <t>CMP-00131</t>
  </si>
  <si>
    <t>Q3_Launch_CMP-00131</t>
  </si>
  <si>
    <t>CMP-00132</t>
  </si>
  <si>
    <t>Q2_Launch_CMP-00132</t>
  </si>
  <si>
    <t>CMP-00133</t>
  </si>
  <si>
    <t>Q1_BlackFriday_CMP-00133</t>
  </si>
  <si>
    <t>CMP-00134</t>
  </si>
  <si>
    <t>Q4_Summer_CMP-00134</t>
  </si>
  <si>
    <t>CMP-00135</t>
  </si>
  <si>
    <t>Q2_Launch_CMP-00135</t>
  </si>
  <si>
    <t>CMP-00136</t>
  </si>
  <si>
    <t>Q2_Winter_CMP-00136</t>
  </si>
  <si>
    <t>CMP-00137</t>
  </si>
  <si>
    <t>Q3_Summer_CMP-00137</t>
  </si>
  <si>
    <t>CMP-00138</t>
  </si>
  <si>
    <t>Q4_Summer_CMP-00138</t>
  </si>
  <si>
    <t>CMP-00139</t>
  </si>
  <si>
    <t>Q3_Launch_CMP-00139</t>
  </si>
  <si>
    <t>CMP-00140</t>
  </si>
  <si>
    <t>Q4_Winter_CMP-00140</t>
  </si>
  <si>
    <t>CMP-00141</t>
  </si>
  <si>
    <t>Q1_Winter_CMP-00141</t>
  </si>
  <si>
    <t>CMP-00142</t>
  </si>
  <si>
    <t>Q1_Launch_CMP-00142</t>
  </si>
  <si>
    <t>CMP-00143</t>
  </si>
  <si>
    <t>Q3_BlackFriday_CMP-00143</t>
  </si>
  <si>
    <t>CMP-00144</t>
  </si>
  <si>
    <t>Q2_Summer_CMP-00144</t>
  </si>
  <si>
    <t>CMP-00145</t>
  </si>
  <si>
    <t>Q2_Summer_CMP-00145</t>
  </si>
  <si>
    <t>CMP-00146</t>
  </si>
  <si>
    <t>Q3_Launch_CMP-00146</t>
  </si>
  <si>
    <t>CMP-00147</t>
  </si>
  <si>
    <t>Q1_BlackFriday_CMP-00147</t>
  </si>
  <si>
    <t>CMP-00148</t>
  </si>
  <si>
    <t>Q4_Launch_CMP-00148</t>
  </si>
  <si>
    <t>CMP-00149</t>
  </si>
  <si>
    <t>Q2_BlackFriday_CMP-00149</t>
  </si>
  <si>
    <t>CMP-00150</t>
  </si>
  <si>
    <t>Q2_Summer_CMP-00150</t>
  </si>
  <si>
    <t>CMP-00151</t>
  </si>
  <si>
    <t>Q1_Launch_CMP-00151</t>
  </si>
  <si>
    <t>CMP-00152</t>
  </si>
  <si>
    <t>Q3_BlackFriday_CMP-00152</t>
  </si>
  <si>
    <t>CMP-00153</t>
  </si>
  <si>
    <t>Q2_Winter_CMP-00153</t>
  </si>
  <si>
    <t>CMP-00154</t>
  </si>
  <si>
    <t>Q3_Launch_CMP-00154</t>
  </si>
  <si>
    <t>CMP-00155</t>
  </si>
  <si>
    <t>Q4_Launch_CMP-00155</t>
  </si>
  <si>
    <t>CMP-00156</t>
  </si>
  <si>
    <t>Q2_Launch_CMP-00156</t>
  </si>
  <si>
    <t>CMP-00157</t>
  </si>
  <si>
    <t>Q3_Launch_CMP-00157</t>
  </si>
  <si>
    <t>CMP-00158</t>
  </si>
  <si>
    <t>Q1_Winter_CMP-00158</t>
  </si>
  <si>
    <t>CMP-00159</t>
  </si>
  <si>
    <t>Q1_Winter_CMP-00159</t>
  </si>
  <si>
    <t>CMP-00160</t>
  </si>
  <si>
    <t>Q3_BlackFriday_CMP-00160</t>
  </si>
  <si>
    <t>CMP-00161</t>
  </si>
  <si>
    <t>Q1_Winter_CMP-00161</t>
  </si>
  <si>
    <t>CMP-00162</t>
  </si>
  <si>
    <t>Q4_Winter_CMP-00162</t>
  </si>
  <si>
    <t>CMP-00163</t>
  </si>
  <si>
    <t>Q4_BlackFriday_CMP-00163</t>
  </si>
  <si>
    <t>CMP-00164</t>
  </si>
  <si>
    <t>Q1_Launch_CMP-00164</t>
  </si>
  <si>
    <t>CMP-00165</t>
  </si>
  <si>
    <t>Q3_Summer_CMP-00165</t>
  </si>
  <si>
    <t>CMP-00166</t>
  </si>
  <si>
    <t>Q4_Winter_CMP-00166</t>
  </si>
  <si>
    <t>CMP-00167</t>
  </si>
  <si>
    <t>Q4_Summer_CMP-00167</t>
  </si>
  <si>
    <t>CMP-00168</t>
  </si>
  <si>
    <t>Q1_Winter_CMP-00168</t>
  </si>
  <si>
    <t>CMP-00169</t>
  </si>
  <si>
    <t>Q2_Launch_CMP-00169</t>
  </si>
  <si>
    <t>CMP-00170</t>
  </si>
  <si>
    <t>Q2_Launch_CMP-00170</t>
  </si>
  <si>
    <t>CMP-00171</t>
  </si>
  <si>
    <t>Q2_BlackFriday_CMP-00171</t>
  </si>
  <si>
    <t>CMP-00172</t>
  </si>
  <si>
    <t>Q2_Winter_CMP-00172</t>
  </si>
  <si>
    <t>CMP-00173</t>
  </si>
  <si>
    <t>Q1_BlackFriday_CMP-00173</t>
  </si>
  <si>
    <t>CMP-00174</t>
  </si>
  <si>
    <t>Q3_Summer_CMP-00174</t>
  </si>
  <si>
    <t>CMP-00175</t>
  </si>
  <si>
    <t>Q3_BlackFriday_CMP-00175</t>
  </si>
  <si>
    <t>CMP-00176</t>
  </si>
  <si>
    <t>Q1_Launch_CMP-00176</t>
  </si>
  <si>
    <t>CMP-00177</t>
  </si>
  <si>
    <t>Q4_Launch_CMP-00177</t>
  </si>
  <si>
    <t>CMP-00178</t>
  </si>
  <si>
    <t>Q4_BlackFriday_CMP-00178</t>
  </si>
  <si>
    <t>CMP-00179</t>
  </si>
  <si>
    <t>Q3_Launch_CMP-00179</t>
  </si>
  <si>
    <t>CMP-00180</t>
  </si>
  <si>
    <t>Q3_Summer_CMP-00180</t>
  </si>
  <si>
    <t>CMP-00181</t>
  </si>
  <si>
    <t>Q2_Launch_CMP-00181</t>
  </si>
  <si>
    <t>CMP-00182</t>
  </si>
  <si>
    <t>Q4_BlackFriday_CMP-00182</t>
  </si>
  <si>
    <t>CMP-00183</t>
  </si>
  <si>
    <t>Q2_Winter_CMP-00183</t>
  </si>
  <si>
    <t>CMP-00184</t>
  </si>
  <si>
    <t>Q4_Launch_CMP-00184</t>
  </si>
  <si>
    <t>CMP-00185</t>
  </si>
  <si>
    <t>Q3_Launch_CMP-00185</t>
  </si>
  <si>
    <t>CMP-00186</t>
  </si>
  <si>
    <t>Q3_Summer_CMP-00186</t>
  </si>
  <si>
    <t>CMP-00187</t>
  </si>
  <si>
    <t>Q1_Summer_CMP-00187</t>
  </si>
  <si>
    <t>CMP-00188</t>
  </si>
  <si>
    <t>Q1_Summer_CMP-00188</t>
  </si>
  <si>
    <t>CMP-00189</t>
  </si>
  <si>
    <t>Q4_Summer_CMP-00189</t>
  </si>
  <si>
    <t>Insta_gram</t>
  </si>
  <si>
    <t>CMP-00190</t>
  </si>
  <si>
    <t>Q4_Summer_CMP-00190</t>
  </si>
  <si>
    <t>CMP-00191</t>
  </si>
  <si>
    <t>Q4_Summer_CMP-00191</t>
  </si>
  <si>
    <t>CMP-00192</t>
  </si>
  <si>
    <t>Q3_Launch_CMP-00192</t>
  </si>
  <si>
    <t>CMP-00193</t>
  </si>
  <si>
    <t>Q2_Winter_CMP-00193</t>
  </si>
  <si>
    <t>CMP-00194</t>
  </si>
  <si>
    <t>Q4_Launch_CMP-00194</t>
  </si>
  <si>
    <t>CMP-00195</t>
  </si>
  <si>
    <t>Q1_Winter_CMP-00195</t>
  </si>
  <si>
    <t>CMP-00196</t>
  </si>
  <si>
    <t>Q4_Summer_CMP-00196</t>
  </si>
  <si>
    <t>CMP-00197</t>
  </si>
  <si>
    <t>Q3_Launch_CMP-00197</t>
  </si>
  <si>
    <t>CMP-00198</t>
  </si>
  <si>
    <t>Q4_Launch_CMP-00198</t>
  </si>
  <si>
    <t>CMP-00199</t>
  </si>
  <si>
    <t>Q1_BlackFriday_CMP-00199</t>
  </si>
  <si>
    <t>30/11/2023</t>
  </si>
  <si>
    <t>CMP-00200</t>
  </si>
  <si>
    <t>Q2_BlackFriday_CMP-00200</t>
  </si>
  <si>
    <t>CMP-00201</t>
  </si>
  <si>
    <t>Q3_BlackFriday_CMP-00201</t>
  </si>
  <si>
    <t>CMP-00202</t>
  </si>
  <si>
    <t>Q3_Launch_CMP-00202</t>
  </si>
  <si>
    <t>CMP-00203</t>
  </si>
  <si>
    <t>Q2_Summer_CMP-00203</t>
  </si>
  <si>
    <t>CMP-00204</t>
  </si>
  <si>
    <t>Q4_Summer_CMP-00204</t>
  </si>
  <si>
    <t>CMP-00205</t>
  </si>
  <si>
    <t>Q1_Summer_CMP-00205</t>
  </si>
  <si>
    <t>CMP-00206</t>
  </si>
  <si>
    <t>Q2_BlackFriday_CMP-00206</t>
  </si>
  <si>
    <t>CMP-00207</t>
  </si>
  <si>
    <t>Q3_BlackFriday_CMP-00207</t>
  </si>
  <si>
    <t>CMP-00208</t>
  </si>
  <si>
    <t>Q2_Launch_CMP-00208</t>
  </si>
  <si>
    <t>CMP-00209</t>
  </si>
  <si>
    <t>Q2_Launch_CMP-00209</t>
  </si>
  <si>
    <t>CMP-00210</t>
  </si>
  <si>
    <t>Q2_Launch_CMP-00210</t>
  </si>
  <si>
    <t>CMP-00211</t>
  </si>
  <si>
    <t>Q1_Launch_CMP-00211</t>
  </si>
  <si>
    <t>CMP-00212</t>
  </si>
  <si>
    <t>Q2_Launch_CMP-00212</t>
  </si>
  <si>
    <t>CMP-00213</t>
  </si>
  <si>
    <t>Q2_Launch_CMP-00213</t>
  </si>
  <si>
    <t>CMP-00214</t>
  </si>
  <si>
    <t>Q3_Winter_CMP-00214</t>
  </si>
  <si>
    <t>CMP-00215</t>
  </si>
  <si>
    <t>Q4_Winter_CMP-00215</t>
  </si>
  <si>
    <t>CMP-00216</t>
  </si>
  <si>
    <t>Q1_Winter_CMP-00216</t>
  </si>
  <si>
    <t>CMP-00217</t>
  </si>
  <si>
    <t>Q1_Launch_CMP-00217</t>
  </si>
  <si>
    <t>CMP-00218</t>
  </si>
  <si>
    <t>Q3_Winter_CMP-00218</t>
  </si>
  <si>
    <t>CMP-00219</t>
  </si>
  <si>
    <t>Q3_Winter_CMP-00219</t>
  </si>
  <si>
    <t>CMP-00220</t>
  </si>
  <si>
    <t>Q1_Summer_CMP-00220</t>
  </si>
  <si>
    <t>CMP-00221</t>
  </si>
  <si>
    <t>Q1_Launch_CMP-00221</t>
  </si>
  <si>
    <t>CMP-00222</t>
  </si>
  <si>
    <t>Q1_Winter_CMP-00222</t>
  </si>
  <si>
    <t>CMP-00223</t>
  </si>
  <si>
    <t>Q1_Summer_CMP-00223</t>
  </si>
  <si>
    <t>22/06/2023</t>
  </si>
  <si>
    <t>CMP-00224</t>
  </si>
  <si>
    <t>Q4_Summer_CMP-00224</t>
  </si>
  <si>
    <t>CMP-00225</t>
  </si>
  <si>
    <t>Q2_Launch_CMP-00225</t>
  </si>
  <si>
    <t>CMP-00226</t>
  </si>
  <si>
    <t>Q3_Winter_CMP-00226</t>
  </si>
  <si>
    <t>CMP-00227</t>
  </si>
  <si>
    <t>Q2_Winter_CMP-00227</t>
  </si>
  <si>
    <t>CMP-00228</t>
  </si>
  <si>
    <t>Q3_Winter_CMP-00228</t>
  </si>
  <si>
    <t>CMP-00229</t>
  </si>
  <si>
    <t>Q2_Launch_CMP-00229</t>
  </si>
  <si>
    <t>CMP-00230</t>
  </si>
  <si>
    <t>Q3_Summer_CMP-00230</t>
  </si>
  <si>
    <t>CMP-00231</t>
  </si>
  <si>
    <t>Q3_Summer_CMP-00231</t>
  </si>
  <si>
    <t>CMP-00232</t>
  </si>
  <si>
    <t>Q2_Summer_CMP-00232</t>
  </si>
  <si>
    <t>CMP-00233</t>
  </si>
  <si>
    <t>Q1_Summer_CMP-00233</t>
  </si>
  <si>
    <t>CMP-00234</t>
  </si>
  <si>
    <t>Q4_Summer_CMP-00234</t>
  </si>
  <si>
    <t>CMP-00235</t>
  </si>
  <si>
    <t>Q1_Winter_CMP-00235</t>
  </si>
  <si>
    <t>CMP-00236</t>
  </si>
  <si>
    <t>Q3_BlackFriday_CMP-00236</t>
  </si>
  <si>
    <t>CMP-00237</t>
  </si>
  <si>
    <t>Q2_Summer_CMP-00237</t>
  </si>
  <si>
    <t>CMP-00238</t>
  </si>
  <si>
    <t>Q1_Launch_CMP-00238</t>
  </si>
  <si>
    <t>CMP-00239</t>
  </si>
  <si>
    <t>Q3_Winter_CMP-00239</t>
  </si>
  <si>
    <t>CMP-00240</t>
  </si>
  <si>
    <t>Q4_Summer_CMP-00240</t>
  </si>
  <si>
    <t>CMP-00241</t>
  </si>
  <si>
    <t>Q4_Summer_CMP-00241</t>
  </si>
  <si>
    <t>CMP-00242</t>
  </si>
  <si>
    <t>Q4_Summer_CMP-00242</t>
  </si>
  <si>
    <t>CMP-00243</t>
  </si>
  <si>
    <t>Q4_Summer_CMP-00243</t>
  </si>
  <si>
    <t>CMP-00244</t>
  </si>
  <si>
    <t>Q2_Launch_CMP-00244</t>
  </si>
  <si>
    <t>CMP-00245</t>
  </si>
  <si>
    <t>Q4_BlackFriday_CMP-00245</t>
  </si>
  <si>
    <t>CMP-00246</t>
  </si>
  <si>
    <t>Q4_Winter_CMP-00246</t>
  </si>
  <si>
    <t>CMP-00247</t>
  </si>
  <si>
    <t>Q2_BlackFriday_CMP-00247</t>
  </si>
  <si>
    <t>CMP-00248</t>
  </si>
  <si>
    <t>Q1_Winter_CMP-00248</t>
  </si>
  <si>
    <t>CMP-00249</t>
  </si>
  <si>
    <t>Q1_Summer_CMP-00249</t>
  </si>
  <si>
    <t>CMP-00250</t>
  </si>
  <si>
    <t>Q3_BlackFriday_CMP-00250</t>
  </si>
  <si>
    <t>CMP-00251</t>
  </si>
  <si>
    <t>Q4_Summer_CMP-00251</t>
  </si>
  <si>
    <t>CMP-00252</t>
  </si>
  <si>
    <t>Q2_BlackFriday_CMP-00252</t>
  </si>
  <si>
    <t>CMP-00253</t>
  </si>
  <si>
    <t>Q1_Winter_CMP-00253</t>
  </si>
  <si>
    <t>CMP-00254</t>
  </si>
  <si>
    <t>Q1_Summer_CMP-00254</t>
  </si>
  <si>
    <t>CMP-00255</t>
  </si>
  <si>
    <t>Q2_Winter_CMP-00255</t>
  </si>
  <si>
    <t>CMP-00256</t>
  </si>
  <si>
    <t>Q3_Summer_CMP-00256</t>
  </si>
  <si>
    <t>CMP-00257</t>
  </si>
  <si>
    <t>Q2_Summer_CMP-00257</t>
  </si>
  <si>
    <t>CMP-00258</t>
  </si>
  <si>
    <t>Q3_Winter_CMP-00258</t>
  </si>
  <si>
    <t>CMP-00259</t>
  </si>
  <si>
    <t>Q2_Summer_CMP-00259</t>
  </si>
  <si>
    <t>CMP-00260</t>
  </si>
  <si>
    <t>Q2_BlackFriday_CMP-00260</t>
  </si>
  <si>
    <t>CMP-00261</t>
  </si>
  <si>
    <t>Q3_Launch_CMP-00261</t>
  </si>
  <si>
    <t>CMP-00262</t>
  </si>
  <si>
    <t>Q2_Summer_CMP-00262</t>
  </si>
  <si>
    <t>CMP-00263</t>
  </si>
  <si>
    <t>Q3_BlackFriday_CMP-00263</t>
  </si>
  <si>
    <t>CMP-00264</t>
  </si>
  <si>
    <t>Q4_Launch_CMP-00264</t>
  </si>
  <si>
    <t>CMP-00265</t>
  </si>
  <si>
    <t>Q4_Launch_CMP-00265</t>
  </si>
  <si>
    <t>CMP-00266</t>
  </si>
  <si>
    <t>Q2_BlackFriday_CMP-00266</t>
  </si>
  <si>
    <t>CMP-00267</t>
  </si>
  <si>
    <t>Q2_Winter_CMP-00267</t>
  </si>
  <si>
    <t>14/03/2023</t>
  </si>
  <si>
    <t>CMP-00268</t>
  </si>
  <si>
    <t>Q3_Launch_CMP-00268</t>
  </si>
  <si>
    <t>CMP-00269</t>
  </si>
  <si>
    <t>Q1_BlackFriday_CMP-00269</t>
  </si>
  <si>
    <t>CMP-00270</t>
  </si>
  <si>
    <t>Q2_Winter_CMP-00270</t>
  </si>
  <si>
    <t>CMP-00271</t>
  </si>
  <si>
    <t>Q4_Launch_CMP-00271</t>
  </si>
  <si>
    <t>CMP-00272</t>
  </si>
  <si>
    <t>Q4_Launch_CMP-00272</t>
  </si>
  <si>
    <t>CMP-00273</t>
  </si>
  <si>
    <t>Q3_BlackFriday_CMP-00273</t>
  </si>
  <si>
    <t>CMP-00274</t>
  </si>
  <si>
    <t>Q1_Launch_CMP-00274</t>
  </si>
  <si>
    <t>CMP-00275</t>
  </si>
  <si>
    <t>Q4_Winter_CMP-00275</t>
  </si>
  <si>
    <t>CMP-00276</t>
  </si>
  <si>
    <t>Q3_BlackFriday_CMP-00276</t>
  </si>
  <si>
    <t>CMP-00277</t>
  </si>
  <si>
    <t>Q1_Launch_CMP-00277</t>
  </si>
  <si>
    <t>CMP-00278</t>
  </si>
  <si>
    <t>Q2_Summer_CMP-00278</t>
  </si>
  <si>
    <t>CMP-00279</t>
  </si>
  <si>
    <t>Q3_Launch_CMP-00279</t>
  </si>
  <si>
    <t>CMP-00280</t>
  </si>
  <si>
    <t>Q3_BlackFriday_CMP-00280</t>
  </si>
  <si>
    <t>CMP-00281</t>
  </si>
  <si>
    <t>Q4_Summer_CMP-00281</t>
  </si>
  <si>
    <t>CMP-00282</t>
  </si>
  <si>
    <t>Q1_Winter_CMP-00282</t>
  </si>
  <si>
    <t>CMP-00283</t>
  </si>
  <si>
    <t>Q3_Launch_CMP-00283</t>
  </si>
  <si>
    <t>CMP-00284</t>
  </si>
  <si>
    <t>Q2_BlackFriday_CMP-00284</t>
  </si>
  <si>
    <t>CMP-00285</t>
  </si>
  <si>
    <t>Q2_Summer_CMP-00285</t>
  </si>
  <si>
    <t>CMP-00286</t>
  </si>
  <si>
    <t>Q2_BlackFriday_CMP-00286</t>
  </si>
  <si>
    <t>CMP-00287</t>
  </si>
  <si>
    <t>Q3_Winter_CMP-00287</t>
  </si>
  <si>
    <t>CMP-00288</t>
  </si>
  <si>
    <t>Q3_Summer_CMP-00288</t>
  </si>
  <si>
    <t>31/07/2023</t>
  </si>
  <si>
    <t>CMP-00289</t>
  </si>
  <si>
    <t>Q1_BlackFriday_CMP-00289</t>
  </si>
  <si>
    <t>CMP-00290</t>
  </si>
  <si>
    <t>Q1_BlackFriday_CMP-00290</t>
  </si>
  <si>
    <t>CMP-00291</t>
  </si>
  <si>
    <t>Q2_Launch_CMP-00291</t>
  </si>
  <si>
    <t>CMP-00292</t>
  </si>
  <si>
    <t>Q3_Winter_CMP-00292</t>
  </si>
  <si>
    <t>CMP-00293</t>
  </si>
  <si>
    <t>Q1_Launch_CMP-00293</t>
  </si>
  <si>
    <t>CMP-00294</t>
  </si>
  <si>
    <t>Q3_Winter_CMP-00294</t>
  </si>
  <si>
    <t>CMP-00295</t>
  </si>
  <si>
    <t>Q2_Summer_CMP-00295</t>
  </si>
  <si>
    <t>CMP-00296</t>
  </si>
  <si>
    <t>Q3_Summer_CMP-00296</t>
  </si>
  <si>
    <t>CMP-00297</t>
  </si>
  <si>
    <t>Q4_Launch_CMP-00297</t>
  </si>
  <si>
    <t>CMP-00298</t>
  </si>
  <si>
    <t>Q3_BlackFriday_CMP-00298</t>
  </si>
  <si>
    <t>CMP-00299</t>
  </si>
  <si>
    <t>Q2_Winter_CMP-00299</t>
  </si>
  <si>
    <t>CMP-00300</t>
  </si>
  <si>
    <t>Q1_Launch_CMP-00300</t>
  </si>
  <si>
    <t>CMP-00301</t>
  </si>
  <si>
    <t>Q4_Summer_CMP-00301</t>
  </si>
  <si>
    <t>CMP-00302</t>
  </si>
  <si>
    <t>Q3_Launch_CMP-00302</t>
  </si>
  <si>
    <t>CMP-00303</t>
  </si>
  <si>
    <t>Q1_Summer_CMP-00303</t>
  </si>
  <si>
    <t>CMP-00304</t>
  </si>
  <si>
    <t>Q4_Winter_CMP-00304</t>
  </si>
  <si>
    <t>CMP-00305</t>
  </si>
  <si>
    <t>Q3_Launch_CMP-00305</t>
  </si>
  <si>
    <t>CMP-00306</t>
  </si>
  <si>
    <t>Q2_Summer_CMP-00306</t>
  </si>
  <si>
    <t>CMP-00307</t>
  </si>
  <si>
    <t>Q3_Summer_CMP-00307</t>
  </si>
  <si>
    <t>CMP-00308</t>
  </si>
  <si>
    <t>Q1_Launch_CMP-00308</t>
  </si>
  <si>
    <t>CMP-00309</t>
  </si>
  <si>
    <t>Q3_Winter_CMP-00309</t>
  </si>
  <si>
    <t>CMP-00310</t>
  </si>
  <si>
    <t>Q4_Summer_CMP-00310</t>
  </si>
  <si>
    <t>CMP-00311</t>
  </si>
  <si>
    <t>Q1_BlackFriday_CMP-00311</t>
  </si>
  <si>
    <t>CMP-00312</t>
  </si>
  <si>
    <t>Q1_Summer_CMP-00312</t>
  </si>
  <si>
    <t>CMP-00313</t>
  </si>
  <si>
    <t>Q4_Summer_CMP-00313</t>
  </si>
  <si>
    <t>CMP-00314</t>
  </si>
  <si>
    <t>Q4_BlackFriday_CMP-00314</t>
  </si>
  <si>
    <t>CMP-00315</t>
  </si>
  <si>
    <t>Q3_BlackFriday_CMP-00315</t>
  </si>
  <si>
    <t>CMP-00316</t>
  </si>
  <si>
    <t>Q3_Launch_CMP-00316</t>
  </si>
  <si>
    <t>14/08/2023</t>
  </si>
  <si>
    <t>CMP-00317</t>
  </si>
  <si>
    <t>Q1_BlackFriday_CMP-00317</t>
  </si>
  <si>
    <t>22/08/2023</t>
  </si>
  <si>
    <t>CMP-00318</t>
  </si>
  <si>
    <t>Q4_Summer_CMP-00318</t>
  </si>
  <si>
    <t>CMP-00319</t>
  </si>
  <si>
    <t>Q4_BlackFriday_CMP-00319</t>
  </si>
  <si>
    <t>21/03/2023</t>
  </si>
  <si>
    <t>CMP-00320</t>
  </si>
  <si>
    <t>Q4_Launch_CMP-00320</t>
  </si>
  <si>
    <t>CMP-00321</t>
  </si>
  <si>
    <t>Q1_BlackFriday_CMP-00321</t>
  </si>
  <si>
    <t>29/11/2023</t>
  </si>
  <si>
    <t>CMP-00322</t>
  </si>
  <si>
    <t>Q1_Summer_CMP-00322</t>
  </si>
  <si>
    <t>CMP-00323</t>
  </si>
  <si>
    <t>Q2_Summer_CMP-00323</t>
  </si>
  <si>
    <t>CMP-00324</t>
  </si>
  <si>
    <t>Q1_Winter_CMP-00324</t>
  </si>
  <si>
    <t>CMP-00325</t>
  </si>
  <si>
    <t>Q1_BlackFriday_CMP-00325</t>
  </si>
  <si>
    <t>CMP-00326</t>
  </si>
  <si>
    <t>Q4_Winter_CMP-00326</t>
  </si>
  <si>
    <t>CMP-00327</t>
  </si>
  <si>
    <t>Q2_Summer_CMP-00327</t>
  </si>
  <si>
    <t>CMP-00328</t>
  </si>
  <si>
    <t>Q2_BlackFriday_CMP-00328</t>
  </si>
  <si>
    <t>CMP-00329</t>
  </si>
  <si>
    <t>Q1_Summer_CMP-00329</t>
  </si>
  <si>
    <t>CMP-00330</t>
  </si>
  <si>
    <t>Q3_Summer_CMP-00330</t>
  </si>
  <si>
    <t>CMP-00331</t>
  </si>
  <si>
    <t>Q1_Summer_CMP-00331</t>
  </si>
  <si>
    <t>CMP-00332</t>
  </si>
  <si>
    <t>Q3_Summer_CMP-00332</t>
  </si>
  <si>
    <t>CMP-00333</t>
  </si>
  <si>
    <t>Q3_BlackFriday_CMP-00333</t>
  </si>
  <si>
    <t>CMP-00334</t>
  </si>
  <si>
    <t>Q4_BlackFriday_CMP-00334</t>
  </si>
  <si>
    <t>CMP-00335</t>
  </si>
  <si>
    <t>Q2_Winter_CMP-00335</t>
  </si>
  <si>
    <t>CMP-00336</t>
  </si>
  <si>
    <t>Q4_Summer_CMP-00336</t>
  </si>
  <si>
    <t>CMP-00337</t>
  </si>
  <si>
    <t>Q2_BlackFriday_CMP-00337</t>
  </si>
  <si>
    <t>CMP-00338</t>
  </si>
  <si>
    <t>Q2_Launch_CMP-00338</t>
  </si>
  <si>
    <t>22/03/2023</t>
  </si>
  <si>
    <t>CMP-00339</t>
  </si>
  <si>
    <t>Q4_Summer_CMP-00339</t>
  </si>
  <si>
    <t>CMP-00340</t>
  </si>
  <si>
    <t>Q2_Launch_CMP-00340</t>
  </si>
  <si>
    <t>CMP-00341</t>
  </si>
  <si>
    <t>Q4_BlackFriday_CMP-00341</t>
  </si>
  <si>
    <t>CMP-00342</t>
  </si>
  <si>
    <t>Q3_Launch_CMP-00342</t>
  </si>
  <si>
    <t>CMP-00343</t>
  </si>
  <si>
    <t>Q2_Summer_CMP-00343</t>
  </si>
  <si>
    <t>CMP-00344</t>
  </si>
  <si>
    <t>Q3_BlackFriday_CMP-00344</t>
  </si>
  <si>
    <t>CMP-00345</t>
  </si>
  <si>
    <t>Q1_BlackFriday_CMP-00345</t>
  </si>
  <si>
    <t>CMP-00346</t>
  </si>
  <si>
    <t>Q2_Winter_CMP-00346</t>
  </si>
  <si>
    <t>CMP-00347</t>
  </si>
  <si>
    <t>Q1_Summer_CMP-00347</t>
  </si>
  <si>
    <t>CMP-00348</t>
  </si>
  <si>
    <t>Q4_Summer_CMP-00348</t>
  </si>
  <si>
    <t>CMP-00349</t>
  </si>
  <si>
    <t>Q2_Summer_CMP-00349</t>
  </si>
  <si>
    <t>CMP-00350</t>
  </si>
  <si>
    <t>Q2_Launch_CMP-00350</t>
  </si>
  <si>
    <t>CMP-00351</t>
  </si>
  <si>
    <t>Q4_Winter_CMP-00351</t>
  </si>
  <si>
    <t>CMP-00352</t>
  </si>
  <si>
    <t>Q4_Summer_CMP-00352</t>
  </si>
  <si>
    <t>CMP-00353</t>
  </si>
  <si>
    <t>Q3_Winter_CMP-00353</t>
  </si>
  <si>
    <t>CMP-00354</t>
  </si>
  <si>
    <t>Q3_BlackFriday_CMP-00354</t>
  </si>
  <si>
    <t>CMP-00355</t>
  </si>
  <si>
    <t>Q4_Winter_CMP-00355</t>
  </si>
  <si>
    <t>CMP-00356</t>
  </si>
  <si>
    <t>Q1_Winter_CMP-00356</t>
  </si>
  <si>
    <t>CMP-00357</t>
  </si>
  <si>
    <t>Q2_BlackFriday_CMP-00357</t>
  </si>
  <si>
    <t>CMP-00358</t>
  </si>
  <si>
    <t>Q4_Launch_CMP-00358</t>
  </si>
  <si>
    <t>CMP-00359</t>
  </si>
  <si>
    <t>Q2_Launch_CMP-00359</t>
  </si>
  <si>
    <t>CMP-00360</t>
  </si>
  <si>
    <t>Q2_Summer_CMP-00360</t>
  </si>
  <si>
    <t>CMP-00361</t>
  </si>
  <si>
    <t>Q3_Launch_CMP-00361</t>
  </si>
  <si>
    <t>CMP-00362</t>
  </si>
  <si>
    <t>Q2_BlackFriday_CMP-00362</t>
  </si>
  <si>
    <t>CMP-00363</t>
  </si>
  <si>
    <t>Q1_Winter_CMP-00363</t>
  </si>
  <si>
    <t>CMP-00364</t>
  </si>
  <si>
    <t>Q4_Summer_CMP-00364</t>
  </si>
  <si>
    <t>CMP-00365</t>
  </si>
  <si>
    <t>Q1_Winter_CMP-00365</t>
  </si>
  <si>
    <t>CMP-00366</t>
  </si>
  <si>
    <t>Q1_Launch_CMP-00366</t>
  </si>
  <si>
    <t>CMP-00367</t>
  </si>
  <si>
    <t>Q2_BlackFriday_CMP-00367</t>
  </si>
  <si>
    <t>CMP-00368</t>
  </si>
  <si>
    <t>Q1_Launch_CMP-00368</t>
  </si>
  <si>
    <t>CMP-00369</t>
  </si>
  <si>
    <t>Q4_BlackFriday_CMP-00369</t>
  </si>
  <si>
    <t>CMP-00370</t>
  </si>
  <si>
    <t>Q3_Summer_CMP-00370</t>
  </si>
  <si>
    <t>CMP-00371</t>
  </si>
  <si>
    <t>Q1_BlackFriday_CMP-00371</t>
  </si>
  <si>
    <t>CMP-00372</t>
  </si>
  <si>
    <t>Q4_Winter_CMP-00372</t>
  </si>
  <si>
    <t>13/03/2023</t>
  </si>
  <si>
    <t>CMP-00373</t>
  </si>
  <si>
    <t>Q2_Launch_CMP-00373</t>
  </si>
  <si>
    <t>CMP-00374</t>
  </si>
  <si>
    <t>Q4_BlackFriday_CMP-00374</t>
  </si>
  <si>
    <t>CMP-00375</t>
  </si>
  <si>
    <t>Q1_Launch_CMP-00375</t>
  </si>
  <si>
    <t>CMP-00376</t>
  </si>
  <si>
    <t>Q3_BlackFriday_CMP-00376</t>
  </si>
  <si>
    <t>CMP-00377</t>
  </si>
  <si>
    <t>Q1_Summer_CMP-00377</t>
  </si>
  <si>
    <t>CMP-00378</t>
  </si>
  <si>
    <t>Q4_Launch_CMP-00378</t>
  </si>
  <si>
    <t>CMP-00379</t>
  </si>
  <si>
    <t>Q2_BlackFriday_CMP-00379</t>
  </si>
  <si>
    <t>24/05/2023</t>
  </si>
  <si>
    <t>CMP-00380</t>
  </si>
  <si>
    <t>Q2_Launch_CMP-00380</t>
  </si>
  <si>
    <t>CMP-00381</t>
  </si>
  <si>
    <t>Q2_BlackFriday_CMP-00381</t>
  </si>
  <si>
    <t>CMP-00382</t>
  </si>
  <si>
    <t>Q4_Launch_CMP-00382</t>
  </si>
  <si>
    <t>CMP-00383</t>
  </si>
  <si>
    <t>Q1_Summer_CMP-00383</t>
  </si>
  <si>
    <t>CMP-00384</t>
  </si>
  <si>
    <t>Q2_Summer_CMP-00384</t>
  </si>
  <si>
    <t>CMP-00385</t>
  </si>
  <si>
    <t>Q2_Summer_CMP-00385</t>
  </si>
  <si>
    <t>CMP-00386</t>
  </si>
  <si>
    <t>Q1_Summer_CMP-00386</t>
  </si>
  <si>
    <t>CMP-00387</t>
  </si>
  <si>
    <t>Q3_Winter_CMP-00387</t>
  </si>
  <si>
    <t>CMP-00388</t>
  </si>
  <si>
    <t>Q1_Summer_CMP-00388</t>
  </si>
  <si>
    <t>CMP-00389</t>
  </si>
  <si>
    <t>Q3_Winter_CMP-00389</t>
  </si>
  <si>
    <t>CMP-00390</t>
  </si>
  <si>
    <t>Q4_Launch_CMP-00390</t>
  </si>
  <si>
    <t>CMP-00391</t>
  </si>
  <si>
    <t>Q4_Summer_CMP-00391</t>
  </si>
  <si>
    <t>CMP-00392</t>
  </si>
  <si>
    <t>Q2_BlackFriday_CMP-00392</t>
  </si>
  <si>
    <t>CMP-00393</t>
  </si>
  <si>
    <t>Q4_Winter_CMP-00393</t>
  </si>
  <si>
    <t>CMP-00394</t>
  </si>
  <si>
    <t>Q2_Winter_CMP-00394</t>
  </si>
  <si>
    <t>CMP-00395</t>
  </si>
  <si>
    <t>Q3_BlackFriday_CMP-00395</t>
  </si>
  <si>
    <t>CMP-00396</t>
  </si>
  <si>
    <t>Q3_Summer_CMP-00396</t>
  </si>
  <si>
    <t>CMP-00397</t>
  </si>
  <si>
    <t>Q1_Winter_CMP-00397</t>
  </si>
  <si>
    <t>16/05/2023</t>
  </si>
  <si>
    <t>CMP-00398</t>
  </si>
  <si>
    <t>Q4_BlackFriday_CMP-00398</t>
  </si>
  <si>
    <t>CMP-00399</t>
  </si>
  <si>
    <t>Q2_Winter_CMP-00399</t>
  </si>
  <si>
    <t>CMP-00400</t>
  </si>
  <si>
    <t>Q3_Summer_CMP-00400</t>
  </si>
  <si>
    <t>CMP-00401</t>
  </si>
  <si>
    <t>Q2_Winter_CMP-00401</t>
  </si>
  <si>
    <t>CMP-00402</t>
  </si>
  <si>
    <t>Q3_Launch_CMP-00402</t>
  </si>
  <si>
    <t>CMP-00403</t>
  </si>
  <si>
    <t>Q2_Summer_CMP-00403</t>
  </si>
  <si>
    <t>16/01/2023</t>
  </si>
  <si>
    <t>CMP-00404</t>
  </si>
  <si>
    <t>Q4_Launch_CMP-00404</t>
  </si>
  <si>
    <t>CMP-00405</t>
  </si>
  <si>
    <t>Q3_Summer_CMP-00405</t>
  </si>
  <si>
    <t>CMP-00406</t>
  </si>
  <si>
    <t>Q2_BlackFriday_CMP-00406</t>
  </si>
  <si>
    <t>CMP-00407</t>
  </si>
  <si>
    <t>Q1_Winter_CMP-00407</t>
  </si>
  <si>
    <t>17/03/2023</t>
  </si>
  <si>
    <t>CMP-00408</t>
  </si>
  <si>
    <t>Q1_BlackFriday_CMP-00408</t>
  </si>
  <si>
    <t>CMP-00409</t>
  </si>
  <si>
    <t>Q4_Summer_CMP-00409</t>
  </si>
  <si>
    <t>CMP-00410</t>
  </si>
  <si>
    <t>Q4_Winter_CMP-00410</t>
  </si>
  <si>
    <t>CMP-00411</t>
  </si>
  <si>
    <t>Q4_Summer_CMP-00411</t>
  </si>
  <si>
    <t>CMP-00412</t>
  </si>
  <si>
    <t>Q1_Summer_CMP-00412</t>
  </si>
  <si>
    <t>CMP-00413</t>
  </si>
  <si>
    <t>Q3_Winter_CMP-00413</t>
  </si>
  <si>
    <t>CMP-00414</t>
  </si>
  <si>
    <t>Q2_Winter_CMP-00414</t>
  </si>
  <si>
    <t>CMP-00415</t>
  </si>
  <si>
    <t>Q1_Summer_CMP-00415</t>
  </si>
  <si>
    <t>CMP-00416</t>
  </si>
  <si>
    <t>Q3_BlackFriday_CMP-00416</t>
  </si>
  <si>
    <t>CMP-00417</t>
  </si>
  <si>
    <t>Q4_Launch_CMP-00417</t>
  </si>
  <si>
    <t>CMP-00418</t>
  </si>
  <si>
    <t>Q3_BlackFriday_CMP-00418</t>
  </si>
  <si>
    <t>31/08/2023</t>
  </si>
  <si>
    <t>CMP-00419</t>
  </si>
  <si>
    <t>Q4_BlackFriday_CMP-00419</t>
  </si>
  <si>
    <t>13/02/2023</t>
  </si>
  <si>
    <t>CMP-00420</t>
  </si>
  <si>
    <t>Q3_Launch_CMP-00420</t>
  </si>
  <si>
    <t>CMP-00421</t>
  </si>
  <si>
    <t>Q1_BlackFriday_CMP-00421</t>
  </si>
  <si>
    <t>CMP-00422</t>
  </si>
  <si>
    <t>Q3_BlackFriday_CMP-00422</t>
  </si>
  <si>
    <t>CMP-00423</t>
  </si>
  <si>
    <t>Q4_Summer_CMP-00423</t>
  </si>
  <si>
    <t>CMP-00424</t>
  </si>
  <si>
    <t>Q3_Summer_CMP-00424</t>
  </si>
  <si>
    <t>CMP-00425</t>
  </si>
  <si>
    <t>Q2_Launch_CMP-00425</t>
  </si>
  <si>
    <t>CMP-00426</t>
  </si>
  <si>
    <t>Q2_Winter_CMP-00426</t>
  </si>
  <si>
    <t>CMP-00427</t>
  </si>
  <si>
    <t>Q3_Launch_CMP-00427</t>
  </si>
  <si>
    <t>CMP-00428</t>
  </si>
  <si>
    <t>Q1_Winter_CMP-00428</t>
  </si>
  <si>
    <t>CMP-00429</t>
  </si>
  <si>
    <t>Q4_BlackFriday_CMP-00429</t>
  </si>
  <si>
    <t>CMP-00430</t>
  </si>
  <si>
    <t>Q2_Summer_CMP-00430</t>
  </si>
  <si>
    <t>CMP-00431</t>
  </si>
  <si>
    <t>Q2_Launch_CMP-00431</t>
  </si>
  <si>
    <t>CMP-00432</t>
  </si>
  <si>
    <t>Q1_BlackFriday_CMP-00432</t>
  </si>
  <si>
    <t>CMP-00433</t>
  </si>
  <si>
    <t>Q4_Winter_CMP-00433</t>
  </si>
  <si>
    <t>17/05/2023</t>
  </si>
  <si>
    <t>CMP-00434</t>
  </si>
  <si>
    <t>Q3_BlackFriday_CMP-00434</t>
  </si>
  <si>
    <t>CMP-00435</t>
  </si>
  <si>
    <t>Q3_Launch_CMP-00435</t>
  </si>
  <si>
    <t>CMP-00436</t>
  </si>
  <si>
    <t>Q4_BlackFriday_CMP-00436</t>
  </si>
  <si>
    <t>CMP-00437</t>
  </si>
  <si>
    <t>Q3_Winter_CMP-00437</t>
  </si>
  <si>
    <t>CMP-00438</t>
  </si>
  <si>
    <t>Q1_BlackFriday_CMP-00438</t>
  </si>
  <si>
    <t>CMP-00439</t>
  </si>
  <si>
    <t>Q1_Launch_CMP-00439</t>
  </si>
  <si>
    <t>CMP-00440</t>
  </si>
  <si>
    <t>Q4_BlackFriday_CMP-00440</t>
  </si>
  <si>
    <t>CMP-00441</t>
  </si>
  <si>
    <t>Q3_Summer_CMP-00441</t>
  </si>
  <si>
    <t>CMP-00442</t>
  </si>
  <si>
    <t>Q1_Launch_CMP-00442</t>
  </si>
  <si>
    <t>CMP-00443</t>
  </si>
  <si>
    <t>Q2_Launch_CMP-00443</t>
  </si>
  <si>
    <t>CMP-00444</t>
  </si>
  <si>
    <t>Q2_BlackFriday_CMP-00444</t>
  </si>
  <si>
    <t>CMP-00445</t>
  </si>
  <si>
    <t>Q2_BlackFriday_CMP-00445</t>
  </si>
  <si>
    <t>CMP-00446</t>
  </si>
  <si>
    <t>Q4_BlackFriday_CMP-00446</t>
  </si>
  <si>
    <t>CMP-00447</t>
  </si>
  <si>
    <t>Q1_BlackFriday_CMP-00447</t>
  </si>
  <si>
    <t>CMP-00448</t>
  </si>
  <si>
    <t>Q1_Launch_CMP-00448</t>
  </si>
  <si>
    <t>CMP-00449</t>
  </si>
  <si>
    <t>Q1_Winter_CMP-00449</t>
  </si>
  <si>
    <t>CMP-00450</t>
  </si>
  <si>
    <t>Q3_Summer_CMP-00450</t>
  </si>
  <si>
    <t>CMP-00451</t>
  </si>
  <si>
    <t>Q1_Launch_CMP-00451</t>
  </si>
  <si>
    <t>CMP-00452</t>
  </si>
  <si>
    <t>Q3_Summer_CMP-00452</t>
  </si>
  <si>
    <t>CMP-00453</t>
  </si>
  <si>
    <t>Q4_BlackFriday_CMP-00453</t>
  </si>
  <si>
    <t>CMP-00454</t>
  </si>
  <si>
    <t>Q1_Summer_CMP-00454</t>
  </si>
  <si>
    <t>CMP-00455</t>
  </si>
  <si>
    <t>Q3_Winter_CMP-00455</t>
  </si>
  <si>
    <t>CMP-00456</t>
  </si>
  <si>
    <t>Q3_BlackFriday_CMP-00456</t>
  </si>
  <si>
    <t>CMP-00457</t>
  </si>
  <si>
    <t>Q2_Summer_CMP-00457</t>
  </si>
  <si>
    <t>CMP-00458</t>
  </si>
  <si>
    <t>Q3_Winter_CMP-00458</t>
  </si>
  <si>
    <t>CMP-00459</t>
  </si>
  <si>
    <t>Q2_Launch_CMP-00459</t>
  </si>
  <si>
    <t>CMP-00460</t>
  </si>
  <si>
    <t>Q1_BlackFriday_CMP-00460</t>
  </si>
  <si>
    <t>CMP-00461</t>
  </si>
  <si>
    <t>Q2_Summer_CMP-00461</t>
  </si>
  <si>
    <t>CMP-00462</t>
  </si>
  <si>
    <t>Q4_BlackFriday_CMP-00462</t>
  </si>
  <si>
    <t>CMP-00463</t>
  </si>
  <si>
    <t>Q2_Launch_CMP-00463</t>
  </si>
  <si>
    <t>CMP-00464</t>
  </si>
  <si>
    <t>Q4_Launch_CMP-00464</t>
  </si>
  <si>
    <t>CMP-00465</t>
  </si>
  <si>
    <t>Q1_BlackFriday_CMP-00465</t>
  </si>
  <si>
    <t>CMP-00466</t>
  </si>
  <si>
    <t>Q3_BlackFriday_CMP-00466</t>
  </si>
  <si>
    <t>CMP-00467</t>
  </si>
  <si>
    <t>Q2_Launch_CMP-00467</t>
  </si>
  <si>
    <t>CMP-00468</t>
  </si>
  <si>
    <t>Q3_Winter_CMP-00468</t>
  </si>
  <si>
    <t>CMP-00469</t>
  </si>
  <si>
    <t>Q2_BlackFriday_CMP-00469</t>
  </si>
  <si>
    <t>CMP-00470</t>
  </si>
  <si>
    <t>Q2_Launch_CMP-00470</t>
  </si>
  <si>
    <t>CMP-00471</t>
  </si>
  <si>
    <t>Q2_BlackFriday_CMP-00471</t>
  </si>
  <si>
    <t>CMP-00472</t>
  </si>
  <si>
    <t>Q3_Summer_CMP-00472</t>
  </si>
  <si>
    <t>CMP-00473</t>
  </si>
  <si>
    <t>Q3_Launch_CMP-00473</t>
  </si>
  <si>
    <t>CMP-00474</t>
  </si>
  <si>
    <t>Q2_Launch_CMP-00474</t>
  </si>
  <si>
    <t>CMP-00475</t>
  </si>
  <si>
    <t>Q4_Summer_CMP-00475</t>
  </si>
  <si>
    <t>CMP-00476</t>
  </si>
  <si>
    <t>Q2_Launch_CMP-00476</t>
  </si>
  <si>
    <t>CMP-00477</t>
  </si>
  <si>
    <t>Q3_BlackFriday_CMP-00477</t>
  </si>
  <si>
    <t>CMP-00478</t>
  </si>
  <si>
    <t>Q4_BlackFriday_CMP-00478</t>
  </si>
  <si>
    <t>CMP-00479</t>
  </si>
  <si>
    <t>Q4_Launch_CMP-00479</t>
  </si>
  <si>
    <t>CMP-00480</t>
  </si>
  <si>
    <t>Q4_Launch_CMP-00480</t>
  </si>
  <si>
    <t>CMP-00481</t>
  </si>
  <si>
    <t>Q4_Summer_CMP-00481</t>
  </si>
  <si>
    <t>CMP-00482</t>
  </si>
  <si>
    <t>Q1_Launch_CMP-00482</t>
  </si>
  <si>
    <t>CMP-00483</t>
  </si>
  <si>
    <t>Q1_Winter_CMP-00483</t>
  </si>
  <si>
    <t>CMP-00484</t>
  </si>
  <si>
    <t>Q3_Winter_CMP-00484</t>
  </si>
  <si>
    <t>CMP-00485</t>
  </si>
  <si>
    <t>Q3_Winter_CMP-00485</t>
  </si>
  <si>
    <t>CMP-00486</t>
  </si>
  <si>
    <t>Q3_Summer_CMP-00486</t>
  </si>
  <si>
    <t>CMP-00487</t>
  </si>
  <si>
    <t>Q4_Winter_CMP-00487</t>
  </si>
  <si>
    <t>CMP-00488</t>
  </si>
  <si>
    <t>Q4_Summer_CMP-00488</t>
  </si>
  <si>
    <t>CMP-00489</t>
  </si>
  <si>
    <t>Q4_Launch_CMP-00489</t>
  </si>
  <si>
    <t>CMP-00490</t>
  </si>
  <si>
    <t>Q1_Summer_CMP-00490</t>
  </si>
  <si>
    <t>CMP-00491</t>
  </si>
  <si>
    <t>Q1_BlackFriday_CMP-00491</t>
  </si>
  <si>
    <t>CMP-00492</t>
  </si>
  <si>
    <t>Q1_BlackFriday_CMP-00492</t>
  </si>
  <si>
    <t>CMP-00493</t>
  </si>
  <si>
    <t>Q1_BlackFriday_CMP-00493</t>
  </si>
  <si>
    <t>CMP-00494</t>
  </si>
  <si>
    <t>Q4_BlackFriday_CMP-00494</t>
  </si>
  <si>
    <t>CMP-00495</t>
  </si>
  <si>
    <t>Q1_Summer_CMP-00495</t>
  </si>
  <si>
    <t>CMP-00496</t>
  </si>
  <si>
    <t>Q1_Winter_CMP-00496</t>
  </si>
  <si>
    <t>CMP-00497</t>
  </si>
  <si>
    <t>Q2_Launch_CMP-00497</t>
  </si>
  <si>
    <t>CMP-00498</t>
  </si>
  <si>
    <t>Q2_Winter_CMP-00498</t>
  </si>
  <si>
    <t>CMP-00499</t>
  </si>
  <si>
    <t>Q2_BlackFriday_CMP-00499</t>
  </si>
  <si>
    <t>CMP-00500</t>
  </si>
  <si>
    <t>Q3_Summer_CMP-00500</t>
  </si>
  <si>
    <t>CMP-00501</t>
  </si>
  <si>
    <t>Q4_Winter_CMP-00501</t>
  </si>
  <si>
    <t>CMP-00502</t>
  </si>
  <si>
    <t>Q1_Summer_CMP-00502</t>
  </si>
  <si>
    <t>CMP-00503</t>
  </si>
  <si>
    <t>Q1_Winter_CMP-00503</t>
  </si>
  <si>
    <t>CMP-00504</t>
  </si>
  <si>
    <t>Q1_Summer_CMP-00504</t>
  </si>
  <si>
    <t>CMP-00505</t>
  </si>
  <si>
    <t>Q2_Winter_CMP-00505</t>
  </si>
  <si>
    <t>CMP-00506</t>
  </si>
  <si>
    <t>Q1_Launch_CMP-00506</t>
  </si>
  <si>
    <t>CMP-00507</t>
  </si>
  <si>
    <t>Q1_Launch_CMP-00507</t>
  </si>
  <si>
    <t>CMP-00508</t>
  </si>
  <si>
    <t>Q4_Summer_CMP-00508</t>
  </si>
  <si>
    <t>CMP-00509</t>
  </si>
  <si>
    <t>Q1_BlackFriday_CMP-00509</t>
  </si>
  <si>
    <t>CMP-00510</t>
  </si>
  <si>
    <t>Q4_Launch_CMP-00510</t>
  </si>
  <si>
    <t>CMP-00511</t>
  </si>
  <si>
    <t>Q2_Winter_CMP-00511</t>
  </si>
  <si>
    <t>CMP-00512</t>
  </si>
  <si>
    <t>Q3_Launch_CMP-00512</t>
  </si>
  <si>
    <t>CMP-00513</t>
  </si>
  <si>
    <t>Q1_Launch_CMP-00513</t>
  </si>
  <si>
    <t>13/08/2023</t>
  </si>
  <si>
    <t>CMP-00514</t>
  </si>
  <si>
    <t>Q2_Summer_CMP-00514</t>
  </si>
  <si>
    <t>CMP-00515</t>
  </si>
  <si>
    <t>Q2_Winter_CMP-00515</t>
  </si>
  <si>
    <t>CMP-00516</t>
  </si>
  <si>
    <t>Q2_Winter_CMP-00516</t>
  </si>
  <si>
    <t>CMP-00517</t>
  </si>
  <si>
    <t>Q2_Launch_CMP-00517</t>
  </si>
  <si>
    <t>CMP-00518</t>
  </si>
  <si>
    <t>Q4_BlackFriday_CMP-00518</t>
  </si>
  <si>
    <t>CMP-00519</t>
  </si>
  <si>
    <t>Q3_Summer_CMP-00519</t>
  </si>
  <si>
    <t>CMP-00520</t>
  </si>
  <si>
    <t>Q4_BlackFriday_CMP-00520</t>
  </si>
  <si>
    <t>CMP-00521</t>
  </si>
  <si>
    <t>Q3_Launch_CMP-00521</t>
  </si>
  <si>
    <t>CMP-00522</t>
  </si>
  <si>
    <t>Q4_Summer_CMP-00522</t>
  </si>
  <si>
    <t>CMP-00523</t>
  </si>
  <si>
    <t>Q4_Launch_CMP-00523</t>
  </si>
  <si>
    <t>CMP-00524</t>
  </si>
  <si>
    <t>Q4_Winter_CMP-00524</t>
  </si>
  <si>
    <t>CMP-00525</t>
  </si>
  <si>
    <t>Q1_BlackFriday_CMP-00525</t>
  </si>
  <si>
    <t>CMP-00526</t>
  </si>
  <si>
    <t>Q4_Summer_CMP-00526</t>
  </si>
  <si>
    <t>CMP-00527</t>
  </si>
  <si>
    <t>Q4_Summer_CMP-00527</t>
  </si>
  <si>
    <t>CMP-00528</t>
  </si>
  <si>
    <t>Q3_Summer_CMP-00528</t>
  </si>
  <si>
    <t>CMP-00529</t>
  </si>
  <si>
    <t>Q4_Summer_CMP-00529</t>
  </si>
  <si>
    <t>CMP-00530</t>
  </si>
  <si>
    <t>Q3_Winter_CMP-00530</t>
  </si>
  <si>
    <t>CMP-00531</t>
  </si>
  <si>
    <t>Q4_Launch_CMP-00531</t>
  </si>
  <si>
    <t>CMP-00532</t>
  </si>
  <si>
    <t>Q3_Summer_CMP-00532</t>
  </si>
  <si>
    <t>CMP-00533</t>
  </si>
  <si>
    <t>Q2_BlackFriday_CMP-00533</t>
  </si>
  <si>
    <t>CMP-00534</t>
  </si>
  <si>
    <t>Q2_BlackFriday_CMP-00534</t>
  </si>
  <si>
    <t>CMP-00535</t>
  </si>
  <si>
    <t>Q4_Summer_CMP-00535</t>
  </si>
  <si>
    <t>CMP-00536</t>
  </si>
  <si>
    <t>Q2_Winter_CMP-00536</t>
  </si>
  <si>
    <t>CMP-00537</t>
  </si>
  <si>
    <t>Q3_BlackFriday_CMP-00537</t>
  </si>
  <si>
    <t>CMP-00538</t>
  </si>
  <si>
    <t>Q4_Winter_CMP-00538</t>
  </si>
  <si>
    <t>CMP-00539</t>
  </si>
  <si>
    <t>Q3_BlackFriday_CMP-00539</t>
  </si>
  <si>
    <t>CMP-00540</t>
  </si>
  <si>
    <t>Q4_Summer_CMP-00540</t>
  </si>
  <si>
    <t>CMP-00541</t>
  </si>
  <si>
    <t>Q4_Launch_CMP-00541</t>
  </si>
  <si>
    <t>23/08/2023</t>
  </si>
  <si>
    <t>CMP-00542</t>
  </si>
  <si>
    <t>Q4_Winter_CMP-00542</t>
  </si>
  <si>
    <t>CMP-00543</t>
  </si>
  <si>
    <t>Q3_Winter_CMP-00543</t>
  </si>
  <si>
    <t>CMP-00544</t>
  </si>
  <si>
    <t>Q3_BlackFriday_CMP-00544</t>
  </si>
  <si>
    <t>CMP-00545</t>
  </si>
  <si>
    <t>Q4_Summer_CMP-00545</t>
  </si>
  <si>
    <t>CMP-00546</t>
  </si>
  <si>
    <t>Q1_Summer_CMP-00546</t>
  </si>
  <si>
    <t>CMP-00547</t>
  </si>
  <si>
    <t>Q2_Winter_CMP-00547</t>
  </si>
  <si>
    <t>CMP-00548</t>
  </si>
  <si>
    <t>Q1_Summer_CMP-00548</t>
  </si>
  <si>
    <t>CMP-00549</t>
  </si>
  <si>
    <t>Q4_Launch_CMP-00549</t>
  </si>
  <si>
    <t>CMP-00550</t>
  </si>
  <si>
    <t>Q3_Winter_CMP-00550</t>
  </si>
  <si>
    <t>29/08/2023</t>
  </si>
  <si>
    <t>CMP-00551</t>
  </si>
  <si>
    <t>Q2_Summer_CMP-00551</t>
  </si>
  <si>
    <t>CMP-00552</t>
  </si>
  <si>
    <t>Q2_Launch_CMP-00552</t>
  </si>
  <si>
    <t>CMP-00553</t>
  </si>
  <si>
    <t>Q4_Summer_CMP-00553</t>
  </si>
  <si>
    <t>CMP-00554</t>
  </si>
  <si>
    <t>Q1_BlackFriday_CMP-00554</t>
  </si>
  <si>
    <t>CMP-00555</t>
  </si>
  <si>
    <t>Q1_Summer_CMP-00555</t>
  </si>
  <si>
    <t>CMP-00556</t>
  </si>
  <si>
    <t>Q1_Launch_CMP-00556</t>
  </si>
  <si>
    <t>CMP-00557</t>
  </si>
  <si>
    <t>Q3_Summer_CMP-00557</t>
  </si>
  <si>
    <t>CMP-00558</t>
  </si>
  <si>
    <t>Q2_BlackFriday_CMP-00558</t>
  </si>
  <si>
    <t>CMP-00559</t>
  </si>
  <si>
    <t>Q1_Launch_CMP-00559</t>
  </si>
  <si>
    <t>CMP-00560</t>
  </si>
  <si>
    <t>Q4_Winter_CMP-00560</t>
  </si>
  <si>
    <t>14/04/2023</t>
  </si>
  <si>
    <t>CMP-00561</t>
  </si>
  <si>
    <t>Q2_Winter_CMP-00561</t>
  </si>
  <si>
    <t>CMP-00562</t>
  </si>
  <si>
    <t>Q3_Launch_CMP-00562</t>
  </si>
  <si>
    <t>CMP-00563</t>
  </si>
  <si>
    <t>Q4_BlackFriday_CMP-00563</t>
  </si>
  <si>
    <t>CMP-00564</t>
  </si>
  <si>
    <t>Q2_Winter_CMP-00564</t>
  </si>
  <si>
    <t>CMP-00565</t>
  </si>
  <si>
    <t>Q2_Launch_CMP-00565</t>
  </si>
  <si>
    <t>CMP-00566</t>
  </si>
  <si>
    <t>Q2_Summer_CMP-00566</t>
  </si>
  <si>
    <t>CMP-00567</t>
  </si>
  <si>
    <t>Q1_Summer_CMP-00567</t>
  </si>
  <si>
    <t>CMP-00568</t>
  </si>
  <si>
    <t>Q2_Summer_CMP-00568</t>
  </si>
  <si>
    <t>CMP-00569</t>
  </si>
  <si>
    <t>Q2_Summer_CMP-00569</t>
  </si>
  <si>
    <t>CMP-00570</t>
  </si>
  <si>
    <t>Q3_Launch_CMP-00570</t>
  </si>
  <si>
    <t>CMP-00571</t>
  </si>
  <si>
    <t>Q1_BlackFriday_CMP-00571</t>
  </si>
  <si>
    <t>CMP-00572</t>
  </si>
  <si>
    <t>Q2_Launch_CMP-00572</t>
  </si>
  <si>
    <t>CMP-00573</t>
  </si>
  <si>
    <t>Q2_Winter_CMP-00573</t>
  </si>
  <si>
    <t>CMP-00574</t>
  </si>
  <si>
    <t>Q4_BlackFriday_CMP-00574</t>
  </si>
  <si>
    <t>CMP-00575</t>
  </si>
  <si>
    <t>Q3_Winter_CMP-00575</t>
  </si>
  <si>
    <t>CMP-00576</t>
  </si>
  <si>
    <t>Q1_Launch_CMP-00576</t>
  </si>
  <si>
    <t>17/08/2023</t>
  </si>
  <si>
    <t>CMP-00577</t>
  </si>
  <si>
    <t>Q4_Launch_CMP-00577</t>
  </si>
  <si>
    <t>CMP-00578</t>
  </si>
  <si>
    <t>Q1_Summer_CMP-00578</t>
  </si>
  <si>
    <t>CMP-00579</t>
  </si>
  <si>
    <t>Q2_BlackFriday_CMP-00579</t>
  </si>
  <si>
    <t>CMP-00580</t>
  </si>
  <si>
    <t>Q1_Summer_CMP-00580</t>
  </si>
  <si>
    <t>CMP-00581</t>
  </si>
  <si>
    <t>Q4_Winter_CMP-00581</t>
  </si>
  <si>
    <t>CMP-00582</t>
  </si>
  <si>
    <t>Q1_BlackFriday_CMP-00582</t>
  </si>
  <si>
    <t>CMP-00583</t>
  </si>
  <si>
    <t>Q1_Winter_CMP-00583</t>
  </si>
  <si>
    <t>CMP-00584</t>
  </si>
  <si>
    <t>Q3_BlackFriday_CMP-00584</t>
  </si>
  <si>
    <t>CMP-00585</t>
  </si>
  <si>
    <t>Q4_BlackFriday_CMP-00585</t>
  </si>
  <si>
    <t>CMP-00586</t>
  </si>
  <si>
    <t>Q1_Winter_CMP-00586</t>
  </si>
  <si>
    <t>CMP-00587</t>
  </si>
  <si>
    <t>Q3_Summer_CMP-00587</t>
  </si>
  <si>
    <t>CMP-00588</t>
  </si>
  <si>
    <t>Q2_BlackFriday_CMP-00588</t>
  </si>
  <si>
    <t>CMP-00589</t>
  </si>
  <si>
    <t>Q4_Summer_CMP-00589</t>
  </si>
  <si>
    <t>28/02/2023</t>
  </si>
  <si>
    <t>CMP-00590</t>
  </si>
  <si>
    <t>Q1_Launch_CMP-00590</t>
  </si>
  <si>
    <t>CMP-00591</t>
  </si>
  <si>
    <t>Q3_Summer_CMP-00591</t>
  </si>
  <si>
    <t>CMP-00592</t>
  </si>
  <si>
    <t>Q1_BlackFriday_CMP-00592</t>
  </si>
  <si>
    <t>CMP-00593</t>
  </si>
  <si>
    <t>Q4_BlackFriday_CMP-00593</t>
  </si>
  <si>
    <t>CMP-00594</t>
  </si>
  <si>
    <t>Q2_BlackFriday_CMP-00594</t>
  </si>
  <si>
    <t>CMP-00595</t>
  </si>
  <si>
    <t>Q1_Winter_CMP-00595</t>
  </si>
  <si>
    <t>CMP-00596</t>
  </si>
  <si>
    <t>Q2_BlackFriday_CMP-00596</t>
  </si>
  <si>
    <t>CMP-00597</t>
  </si>
  <si>
    <t>Q1_Winter_CMP-00597</t>
  </si>
  <si>
    <t>CMP-00598</t>
  </si>
  <si>
    <t>Q4_Summer_CMP-00598</t>
  </si>
  <si>
    <t>CMP-00599</t>
  </si>
  <si>
    <t>Q1_BlackFriday_CMP-00599</t>
  </si>
  <si>
    <t>CMP-00600</t>
  </si>
  <si>
    <t>Q1_Launch_CMP-00600</t>
  </si>
  <si>
    <t>CMP-00601</t>
  </si>
  <si>
    <t>Q1_Launch_CMP-00601</t>
  </si>
  <si>
    <t>CMP-00602</t>
  </si>
  <si>
    <t>Q2_BlackFriday_CMP-00602</t>
  </si>
  <si>
    <t>CMP-00603</t>
  </si>
  <si>
    <t>Q1_Summer_CMP-00603</t>
  </si>
  <si>
    <t>CMP-00604</t>
  </si>
  <si>
    <t>Q1_Launch_CMP-00604</t>
  </si>
  <si>
    <t>CMP-00605</t>
  </si>
  <si>
    <t>Q2_BlackFriday_CMP-00605</t>
  </si>
  <si>
    <t>CMP-00606</t>
  </si>
  <si>
    <t>Q4_Launch_CMP-00606</t>
  </si>
  <si>
    <t>CMP-00607</t>
  </si>
  <si>
    <t>Q3_Winter_CMP-00607</t>
  </si>
  <si>
    <t>22/10/2023</t>
  </si>
  <si>
    <t>CMP-00608</t>
  </si>
  <si>
    <t>Q1_Summer_CMP-00608</t>
  </si>
  <si>
    <t>CMP-00609</t>
  </si>
  <si>
    <t>Q1_Winter_CMP-00609</t>
  </si>
  <si>
    <t>CMP-00610</t>
  </si>
  <si>
    <t>Q4_Summer_CMP-00610</t>
  </si>
  <si>
    <t>CMP-00611</t>
  </si>
  <si>
    <t>Q4_Summer_CMP-00611</t>
  </si>
  <si>
    <t>CMP-00612</t>
  </si>
  <si>
    <t>Q4_Launch_CMP-00612</t>
  </si>
  <si>
    <t>CMP-00613</t>
  </si>
  <si>
    <t>Q2_Launch_CMP-00613</t>
  </si>
  <si>
    <t>CMP-00614</t>
  </si>
  <si>
    <t>Q4_Winter_CMP-00614</t>
  </si>
  <si>
    <t>CMP-00615</t>
  </si>
  <si>
    <t>Q1_Launch_CMP-00615</t>
  </si>
  <si>
    <t>CMP-00616</t>
  </si>
  <si>
    <t>Q1_BlackFriday_CMP-00616</t>
  </si>
  <si>
    <t>CMP-00617</t>
  </si>
  <si>
    <t>Q3_Winter_CMP-00617</t>
  </si>
  <si>
    <t>CMP-00618</t>
  </si>
  <si>
    <t>Q3_Launch_CMP-00618</t>
  </si>
  <si>
    <t>CMP-00619</t>
  </si>
  <si>
    <t>Q1_Winter_CMP-00619</t>
  </si>
  <si>
    <t>CMP-00620</t>
  </si>
  <si>
    <t>Q2_Summer_CMP-00620</t>
  </si>
  <si>
    <t>CMP-00621</t>
  </si>
  <si>
    <t>Q1_Winter_CMP-00621</t>
  </si>
  <si>
    <t>CMP-00622</t>
  </si>
  <si>
    <t>Q4_Summer_CMP-00622</t>
  </si>
  <si>
    <t>CMP-00623</t>
  </si>
  <si>
    <t>Q1_Winter_CMP-00623</t>
  </si>
  <si>
    <t>CMP-00624</t>
  </si>
  <si>
    <t>Q1_Summer_CMP-00624</t>
  </si>
  <si>
    <t>CMP-00625</t>
  </si>
  <si>
    <t>Q1_Winter_CMP-00625</t>
  </si>
  <si>
    <t>CMP-00626</t>
  </si>
  <si>
    <t>Q4_Winter_CMP-00626</t>
  </si>
  <si>
    <t>CMP-00627</t>
  </si>
  <si>
    <t>Q3_Summer_CMP-00627</t>
  </si>
  <si>
    <t>CMP-00628</t>
  </si>
  <si>
    <t>Q3_BlackFriday_CMP-00628</t>
  </si>
  <si>
    <t>CMP-00629</t>
  </si>
  <si>
    <t>Q2_BlackFriday_CMP-00629</t>
  </si>
  <si>
    <t>19/12/2023</t>
  </si>
  <si>
    <t>CMP-00630</t>
  </si>
  <si>
    <t>Q2_Launch_CMP-00630</t>
  </si>
  <si>
    <t>CMP-00631</t>
  </si>
  <si>
    <t>Q4_Summer_CMP-00631</t>
  </si>
  <si>
    <t>CMP-00632</t>
  </si>
  <si>
    <t>Q1_Summer_CMP-00632</t>
  </si>
  <si>
    <t>CMP-00633</t>
  </si>
  <si>
    <t>Q3_Winter_CMP-00633</t>
  </si>
  <si>
    <t>CMP-00634</t>
  </si>
  <si>
    <t>Q4_BlackFriday_CMP-00634</t>
  </si>
  <si>
    <t>CMP-00635</t>
  </si>
  <si>
    <t>Q2_Launch_CMP-00635</t>
  </si>
  <si>
    <t>CMP-00636</t>
  </si>
  <si>
    <t>Q3_BlackFriday_CMP-00636</t>
  </si>
  <si>
    <t>19/02/2023</t>
  </si>
  <si>
    <t>CMP-00637</t>
  </si>
  <si>
    <t>Q3_Winter_CMP-00637</t>
  </si>
  <si>
    <t>CMP-00638</t>
  </si>
  <si>
    <t>Q3_BlackFriday_CMP-00638</t>
  </si>
  <si>
    <t>CMP-00639</t>
  </si>
  <si>
    <t>Q1_Summer_CMP-00639</t>
  </si>
  <si>
    <t>CMP-00640</t>
  </si>
  <si>
    <t>Q3_Launch_CMP-00640</t>
  </si>
  <si>
    <t>CMP-00641</t>
  </si>
  <si>
    <t>Q4_BlackFriday_CMP-00641</t>
  </si>
  <si>
    <t>CMP-00642</t>
  </si>
  <si>
    <t>Q1_Winter_CMP-00642</t>
  </si>
  <si>
    <t>CMP-00643</t>
  </si>
  <si>
    <t>Q2_Winter_CMP-00643</t>
  </si>
  <si>
    <t>CMP-00644</t>
  </si>
  <si>
    <t>Q3_Winter_CMP-00644</t>
  </si>
  <si>
    <t>CMP-00645</t>
  </si>
  <si>
    <t>Q1_BlackFriday_CMP-00645</t>
  </si>
  <si>
    <t>CMP-00646</t>
  </si>
  <si>
    <t>Q2_Summer_CMP-00646</t>
  </si>
  <si>
    <t>CMP-00647</t>
  </si>
  <si>
    <t>Q2_Launch_CMP-00647</t>
  </si>
  <si>
    <t>CMP-00648</t>
  </si>
  <si>
    <t>Q4_Summer_CMP-00648</t>
  </si>
  <si>
    <t>CMP-00649</t>
  </si>
  <si>
    <t>Q1_Launch_CMP-00649</t>
  </si>
  <si>
    <t>CMP-00650</t>
  </si>
  <si>
    <t>Q1_BlackFriday_CMP-00650</t>
  </si>
  <si>
    <t>CMP-00651</t>
  </si>
  <si>
    <t>Q3_Launch_CMP-00651</t>
  </si>
  <si>
    <t>CMP-00652</t>
  </si>
  <si>
    <t>Q3_Summer_CMP-00652</t>
  </si>
  <si>
    <t>CMP-00653</t>
  </si>
  <si>
    <t>Q1_BlackFriday_CMP-00653</t>
  </si>
  <si>
    <t>CMP-00654</t>
  </si>
  <si>
    <t>Q4_Launch_CMP-00654</t>
  </si>
  <si>
    <t>CMP-00655</t>
  </si>
  <si>
    <t>Q1_Launch_CMP-00655</t>
  </si>
  <si>
    <t>CMP-00656</t>
  </si>
  <si>
    <t>Q4_Launch_CMP-00656</t>
  </si>
  <si>
    <t>14/09/2023</t>
  </si>
  <si>
    <t>CMP-00657</t>
  </si>
  <si>
    <t>Q1_Winter_CMP-00657</t>
  </si>
  <si>
    <t>CMP-00658</t>
  </si>
  <si>
    <t>Q2_Launch_CMP-00658</t>
  </si>
  <si>
    <t>CMP-00659</t>
  </si>
  <si>
    <t>Q2_Launch_CMP-00659</t>
  </si>
  <si>
    <t>CMP-00660</t>
  </si>
  <si>
    <t>Q1_BlackFriday_CMP-00660</t>
  </si>
  <si>
    <t>CMP-00661</t>
  </si>
  <si>
    <t>Q1_BlackFriday_CMP-00661</t>
  </si>
  <si>
    <t>CMP-00662</t>
  </si>
  <si>
    <t>Q1_BlackFriday_CMP-00662</t>
  </si>
  <si>
    <t>CMP-00663</t>
  </si>
  <si>
    <t>Q3_Winter_CMP-00663</t>
  </si>
  <si>
    <t>CMP-00664</t>
  </si>
  <si>
    <t>Q1_BlackFriday_CMP-00664</t>
  </si>
  <si>
    <t>CMP-00665</t>
  </si>
  <si>
    <t>Q4_Launch_CMP-00665</t>
  </si>
  <si>
    <t>CMP-00666</t>
  </si>
  <si>
    <t>Q1_Summer_CMP-00666</t>
  </si>
  <si>
    <t>CMP-00667</t>
  </si>
  <si>
    <t>Q4_BlackFriday_CMP-00667</t>
  </si>
  <si>
    <t>CMP-00668</t>
  </si>
  <si>
    <t>Q4_Launch_CMP-00668</t>
  </si>
  <si>
    <t>CMP-00669</t>
  </si>
  <si>
    <t>Q3_Winter_CMP-00669</t>
  </si>
  <si>
    <t>CMP-00670</t>
  </si>
  <si>
    <t>Q4_Launch_CMP-00670</t>
  </si>
  <si>
    <t>CMP-00671</t>
  </si>
  <si>
    <t>Q2_Winter_CMP-00671</t>
  </si>
  <si>
    <t>CMP-00672</t>
  </si>
  <si>
    <t>Q1_BlackFriday_CMP-00672</t>
  </si>
  <si>
    <t>CMP-00673</t>
  </si>
  <si>
    <t>Q3_Summer_CMP-00673</t>
  </si>
  <si>
    <t>CMP-00674</t>
  </si>
  <si>
    <t>Q2_BlackFriday_CMP-00674</t>
  </si>
  <si>
    <t>CMP-00675</t>
  </si>
  <si>
    <t>Q3_Launch_CMP-00675</t>
  </si>
  <si>
    <t>CMP-00676</t>
  </si>
  <si>
    <t>Q1_BlackFriday_CMP-00676</t>
  </si>
  <si>
    <t>CMP-00677</t>
  </si>
  <si>
    <t>Q3_BlackFriday_CMP-00677</t>
  </si>
  <si>
    <t>CMP-00678</t>
  </si>
  <si>
    <t>Q3_Summer_CMP-00678</t>
  </si>
  <si>
    <t>CMP-00679</t>
  </si>
  <si>
    <t>Q1_BlackFriday_CMP-00679</t>
  </si>
  <si>
    <t>CMP-00680</t>
  </si>
  <si>
    <t>Q3_BlackFriday_CMP-00680</t>
  </si>
  <si>
    <t>CMP-00681</t>
  </si>
  <si>
    <t>Q2_Launch_CMP-00681</t>
  </si>
  <si>
    <t>CMP-00682</t>
  </si>
  <si>
    <t>Q4_Summer_CMP-00682</t>
  </si>
  <si>
    <t>CMP-00683</t>
  </si>
  <si>
    <t>Q4_Summer_CMP-00683</t>
  </si>
  <si>
    <t>CMP-00684</t>
  </si>
  <si>
    <t>Q4_Summer_CMP-00684</t>
  </si>
  <si>
    <t>CMP-00685</t>
  </si>
  <si>
    <t>Q3_Launch_CMP-00685</t>
  </si>
  <si>
    <t>CMP-00686</t>
  </si>
  <si>
    <t>Q2_Launch_CMP-00686</t>
  </si>
  <si>
    <t>CMP-00687</t>
  </si>
  <si>
    <t>Q1_Summer_CMP-00687</t>
  </si>
  <si>
    <t>CMP-00688</t>
  </si>
  <si>
    <t>Q3_BlackFriday_CMP-00688</t>
  </si>
  <si>
    <t>CMP-00689</t>
  </si>
  <si>
    <t>Q1_Launch_CMP-00689</t>
  </si>
  <si>
    <t>CMP-00690</t>
  </si>
  <si>
    <t>Q2_BlackFriday_CMP-00690</t>
  </si>
  <si>
    <t>29/05/2023</t>
  </si>
  <si>
    <t>CMP-00691</t>
  </si>
  <si>
    <t>Q3_BlackFriday_CMP-00691</t>
  </si>
  <si>
    <t>CMP-00692</t>
  </si>
  <si>
    <t>Q4_Winter_CMP-00692</t>
  </si>
  <si>
    <t>CMP-00693</t>
  </si>
  <si>
    <t>Q2_Winter_CMP-00693</t>
  </si>
  <si>
    <t>CMP-00694</t>
  </si>
  <si>
    <t>Q2_Summer_CMP-00694</t>
  </si>
  <si>
    <t>CMP-00695</t>
  </si>
  <si>
    <t>Q2_Summer_CMP-00695</t>
  </si>
  <si>
    <t>CMP-00696</t>
  </si>
  <si>
    <t>Q1_Winter_CMP-00696</t>
  </si>
  <si>
    <t>CMP-00697</t>
  </si>
  <si>
    <t>Q4_BlackFriday_CMP-00697</t>
  </si>
  <si>
    <t>CMP-00698</t>
  </si>
  <si>
    <t>Q1_Winter_CMP-00698</t>
  </si>
  <si>
    <t>CMP-00699</t>
  </si>
  <si>
    <t>Q1_BlackFriday_CMP-00699</t>
  </si>
  <si>
    <t>CMP-00700</t>
  </si>
  <si>
    <t>Q3_Summer_CMP-00700</t>
  </si>
  <si>
    <t>CMP-00701</t>
  </si>
  <si>
    <t>Q3_Summer_CMP-00701</t>
  </si>
  <si>
    <t>CMP-00702</t>
  </si>
  <si>
    <t>Q2_BlackFriday_CMP-00702</t>
  </si>
  <si>
    <t>CMP-00703</t>
  </si>
  <si>
    <t>Q1_Summer_CMP-00703</t>
  </si>
  <si>
    <t>CMP-00704</t>
  </si>
  <si>
    <t>Q4_Summer_CMP-00704</t>
  </si>
  <si>
    <t>CMP-00705</t>
  </si>
  <si>
    <t>Q1_Winter_CMP-00705</t>
  </si>
  <si>
    <t>CMP-00706</t>
  </si>
  <si>
    <t>Q2_BlackFriday_CMP-00706</t>
  </si>
  <si>
    <t>CMP-00707</t>
  </si>
  <si>
    <t>Q3_Launch_CMP-00707</t>
  </si>
  <si>
    <t>CMP-00708</t>
  </si>
  <si>
    <t>Q1_Launch_CMP-00708</t>
  </si>
  <si>
    <t>CMP-00709</t>
  </si>
  <si>
    <t>Q3_Winter_CMP-00709</t>
  </si>
  <si>
    <t>CMP-00710</t>
  </si>
  <si>
    <t>Q1_BlackFriday_CMP-00710</t>
  </si>
  <si>
    <t>CMP-00711</t>
  </si>
  <si>
    <t>Q3_BlackFriday_CMP-00711</t>
  </si>
  <si>
    <t>CMP-00712</t>
  </si>
  <si>
    <t>Q4_BlackFriday_CMP-00712</t>
  </si>
  <si>
    <t>CMP-00713</t>
  </si>
  <si>
    <t>Q4_BlackFriday_CMP-00713</t>
  </si>
  <si>
    <t>CMP-00714</t>
  </si>
  <si>
    <t>Q1_Winter_CMP-00714</t>
  </si>
  <si>
    <t>CMP-00715</t>
  </si>
  <si>
    <t>Q3_Summer_CMP-00715</t>
  </si>
  <si>
    <t>CMP-00716</t>
  </si>
  <si>
    <t>Q3_Winter_CMP-00716</t>
  </si>
  <si>
    <t>CMP-00717</t>
  </si>
  <si>
    <t>Q1_Summer_CMP-00717</t>
  </si>
  <si>
    <t>CMP-00718</t>
  </si>
  <si>
    <t>Q2_BlackFriday_CMP-00718</t>
  </si>
  <si>
    <t>CMP-00719</t>
  </si>
  <si>
    <t>Q3_Winter_CMP-00719</t>
  </si>
  <si>
    <t>CMP-00720</t>
  </si>
  <si>
    <t>Q4_Summer_CMP-00720</t>
  </si>
  <si>
    <t>CMP-00721</t>
  </si>
  <si>
    <t>Q2_Launch_CMP-00721</t>
  </si>
  <si>
    <t>CMP-00722</t>
  </si>
  <si>
    <t>Q1_Summer_CMP-00722</t>
  </si>
  <si>
    <t>CMP-00723</t>
  </si>
  <si>
    <t>Q2_Launch_CMP-00723</t>
  </si>
  <si>
    <t>21/10/2023</t>
  </si>
  <si>
    <t>CMP-00724</t>
  </si>
  <si>
    <t>Q1_Summer_CMP-00724</t>
  </si>
  <si>
    <t>CMP-00725</t>
  </si>
  <si>
    <t>Q4_Launch_CMP-00725</t>
  </si>
  <si>
    <t>CMP-00726</t>
  </si>
  <si>
    <t>Q3_BlackFriday_CMP-00726</t>
  </si>
  <si>
    <t>CMP-00727</t>
  </si>
  <si>
    <t>Q2_BlackFriday_CMP-00727</t>
  </si>
  <si>
    <t>CMP-00728</t>
  </si>
  <si>
    <t>Q2_BlackFriday_CMP-00728</t>
  </si>
  <si>
    <t>CMP-00729</t>
  </si>
  <si>
    <t>Q2_BlackFriday_CMP-00729</t>
  </si>
  <si>
    <t>CMP-00730</t>
  </si>
  <si>
    <t>Q2_Launch_CMP-00730</t>
  </si>
  <si>
    <t>CMP-00731</t>
  </si>
  <si>
    <t>Q3_Summer_CMP-00731</t>
  </si>
  <si>
    <t>CMP-00732</t>
  </si>
  <si>
    <t>Q2_Launch_CMP-00732</t>
  </si>
  <si>
    <t>CMP-00733</t>
  </si>
  <si>
    <t>Q4_BlackFriday_CMP-00733</t>
  </si>
  <si>
    <t>CMP-00734</t>
  </si>
  <si>
    <t>Q1_BlackFriday_CMP-00734</t>
  </si>
  <si>
    <t>CMP-00735</t>
  </si>
  <si>
    <t>Q1_BlackFriday_CMP-00735</t>
  </si>
  <si>
    <t>CMP-00736</t>
  </si>
  <si>
    <t>Q4_Winter_CMP-00736</t>
  </si>
  <si>
    <t>CMP-00737</t>
  </si>
  <si>
    <t>Q4_Launch_CMP-00737</t>
  </si>
  <si>
    <t>CMP-00738</t>
  </si>
  <si>
    <t>Q2_Winter_CMP-00738</t>
  </si>
  <si>
    <t>CMP-00739</t>
  </si>
  <si>
    <t>Q2_Launch_CMP-00739</t>
  </si>
  <si>
    <t>CMP-00740</t>
  </si>
  <si>
    <t>Q2_BlackFriday_CMP-00740</t>
  </si>
  <si>
    <t>CMP-00741</t>
  </si>
  <si>
    <t>Q3_BlackFriday_CMP-00741</t>
  </si>
  <si>
    <t>CMP-00742</t>
  </si>
  <si>
    <t>Q3_Summer_CMP-00742</t>
  </si>
  <si>
    <t>CMP-00743</t>
  </si>
  <si>
    <t>Q1_Launch_CMP-00743</t>
  </si>
  <si>
    <t>CMP-00744</t>
  </si>
  <si>
    <t>Q4_Winter_CMP-00744</t>
  </si>
  <si>
    <t>CMP-00745</t>
  </si>
  <si>
    <t>Q4_Winter_CMP-00745</t>
  </si>
  <si>
    <t>CMP-00746</t>
  </si>
  <si>
    <t>Q2_Launch_CMP-00746</t>
  </si>
  <si>
    <t>CMP-00747</t>
  </si>
  <si>
    <t>Q1_Winter_CMP-00747</t>
  </si>
  <si>
    <t>CMP-00748</t>
  </si>
  <si>
    <t>Q1_Launch_CMP-00748</t>
  </si>
  <si>
    <t>CMP-00749</t>
  </si>
  <si>
    <t>Q3_Launch_CMP-00749</t>
  </si>
  <si>
    <t>CMP-00750</t>
  </si>
  <si>
    <t>Q1_Winter_CMP-00750</t>
  </si>
  <si>
    <t>CMP-00751</t>
  </si>
  <si>
    <t>Q1_Launch_CMP-00751</t>
  </si>
  <si>
    <t>CMP-00752</t>
  </si>
  <si>
    <t>Q1_Winter_CMP-00752</t>
  </si>
  <si>
    <t>CMP-00753</t>
  </si>
  <si>
    <t>Q1_Winter_CMP-00753</t>
  </si>
  <si>
    <t>CMP-00754</t>
  </si>
  <si>
    <t>Q4_Launch_CMP-00754</t>
  </si>
  <si>
    <t>CMP-00755</t>
  </si>
  <si>
    <t>Q3_Winter_CMP-00755</t>
  </si>
  <si>
    <t>CMP-00756</t>
  </si>
  <si>
    <t>Q4_Winter_CMP-00756</t>
  </si>
  <si>
    <t>CMP-00757</t>
  </si>
  <si>
    <t>Q3_Summer_CMP-00757</t>
  </si>
  <si>
    <t>CMP-00758</t>
  </si>
  <si>
    <t>Q3_BlackFriday_CMP-00758</t>
  </si>
  <si>
    <t>CMP-00759</t>
  </si>
  <si>
    <t>Q1_Summer_CMP-00759</t>
  </si>
  <si>
    <t>CMP-00760</t>
  </si>
  <si>
    <t>Q1_BlackFriday_CMP-00760</t>
  </si>
  <si>
    <t>CMP-00761</t>
  </si>
  <si>
    <t>Q4_Launch_CMP-00761</t>
  </si>
  <si>
    <t>CMP-00762</t>
  </si>
  <si>
    <t>Q4_Launch_CMP-00762</t>
  </si>
  <si>
    <t>27/02/2023</t>
  </si>
  <si>
    <t>CMP-00763</t>
  </si>
  <si>
    <t>Q3_Launch_CMP-00763</t>
  </si>
  <si>
    <t>CMP-00764</t>
  </si>
  <si>
    <t>Q2_Winter_CMP-00764</t>
  </si>
  <si>
    <t>CMP-00765</t>
  </si>
  <si>
    <t>Q1_Winter_CMP-00765</t>
  </si>
  <si>
    <t>CMP-00766</t>
  </si>
  <si>
    <t>Q1_BlackFriday_CMP-00766</t>
  </si>
  <si>
    <t>CMP-00767</t>
  </si>
  <si>
    <t>Q4_Launch_CMP-00767</t>
  </si>
  <si>
    <t>CMP-00768</t>
  </si>
  <si>
    <t>Q3_Launch_CMP-00768</t>
  </si>
  <si>
    <t>CMP-00769</t>
  </si>
  <si>
    <t>Q2_BlackFriday_CMP-00769</t>
  </si>
  <si>
    <t>CMP-00770</t>
  </si>
  <si>
    <t>Q1_Winter_CMP-00770</t>
  </si>
  <si>
    <t>CMP-00771</t>
  </si>
  <si>
    <t>Q3_Launch_CMP-00771</t>
  </si>
  <si>
    <t>CMP-00772</t>
  </si>
  <si>
    <t>Q3_Summer_CMP-00772</t>
  </si>
  <si>
    <t>CMP-00773</t>
  </si>
  <si>
    <t>Q4_BlackFriday_CMP-00773</t>
  </si>
  <si>
    <t>CMP-00774</t>
  </si>
  <si>
    <t>Q3_Launch_CMP-00774</t>
  </si>
  <si>
    <t>21/05/2023</t>
  </si>
  <si>
    <t>CMP-00775</t>
  </si>
  <si>
    <t>Q3_Winter_CMP-00775</t>
  </si>
  <si>
    <t>CMP-00776</t>
  </si>
  <si>
    <t>Q2_Summer_CMP-00776</t>
  </si>
  <si>
    <t>CMP-00777</t>
  </si>
  <si>
    <t>Q2_Launch_CMP-00777</t>
  </si>
  <si>
    <t>CMP-00778</t>
  </si>
  <si>
    <t>Q3_BlackFriday_CMP-00778</t>
  </si>
  <si>
    <t>CMP-00779</t>
  </si>
  <si>
    <t>Q1_BlackFriday_CMP-00779</t>
  </si>
  <si>
    <t>CMP-00780</t>
  </si>
  <si>
    <t>Q3_Winter_CMP-00780</t>
  </si>
  <si>
    <t>CMP-00781</t>
  </si>
  <si>
    <t>Q1_BlackFriday_CMP-00781</t>
  </si>
  <si>
    <t>CMP-00782</t>
  </si>
  <si>
    <t>Q3_Launch_CMP-00782</t>
  </si>
  <si>
    <t>CMP-00783</t>
  </si>
  <si>
    <t>Q4_Winter_CMP-00783</t>
  </si>
  <si>
    <t>CMP-00784</t>
  </si>
  <si>
    <t>Q2_BlackFriday_CMP-00784</t>
  </si>
  <si>
    <t>CMP-00785</t>
  </si>
  <si>
    <t>Q3_Summer_CMP-00785</t>
  </si>
  <si>
    <t>CMP-00786</t>
  </si>
  <si>
    <t>Q2_BlackFriday_CMP-00786</t>
  </si>
  <si>
    <t>CMP-00787</t>
  </si>
  <si>
    <t>Q2_Summer_CMP-00787</t>
  </si>
  <si>
    <t>CMP-00788</t>
  </si>
  <si>
    <t>Q2_Winter_CMP-00788</t>
  </si>
  <si>
    <t>CMP-00789</t>
  </si>
  <si>
    <t>Q1_Summer_CMP-00789</t>
  </si>
  <si>
    <t>CMP-00790</t>
  </si>
  <si>
    <t>Q2_Summer_CMP-00790</t>
  </si>
  <si>
    <t>CMP-00791</t>
  </si>
  <si>
    <t>Q4_Summer_CMP-00791</t>
  </si>
  <si>
    <t>CMP-00792</t>
  </si>
  <si>
    <t>Q3_Winter_CMP-00792</t>
  </si>
  <si>
    <t>CMP-00793</t>
  </si>
  <si>
    <t>Q3_Launch_CMP-00793</t>
  </si>
  <si>
    <t>CMP-00794</t>
  </si>
  <si>
    <t>Q4_Winter_CMP-00794</t>
  </si>
  <si>
    <t>CMP-00795</t>
  </si>
  <si>
    <t>Q4_BlackFriday_CMP-00795</t>
  </si>
  <si>
    <t>CMP-00796</t>
  </si>
  <si>
    <t>Q1_Summer_CMP-00796</t>
  </si>
  <si>
    <t>CMP-00797</t>
  </si>
  <si>
    <t>Q4_Launch_CMP-00797</t>
  </si>
  <si>
    <t>CMP-00798</t>
  </si>
  <si>
    <t>Q4_BlackFriday_CMP-00798</t>
  </si>
  <si>
    <t>CMP-00799</t>
  </si>
  <si>
    <t>Q1_Winter_CMP-00799</t>
  </si>
  <si>
    <t>CMP-00800</t>
  </si>
  <si>
    <t>Q3_Summer_CMP-00800</t>
  </si>
  <si>
    <t>CMP-00801</t>
  </si>
  <si>
    <t>Q3_Summer_CMP-00801</t>
  </si>
  <si>
    <t>CMP-00802</t>
  </si>
  <si>
    <t>Q2_Summer_CMP-00802</t>
  </si>
  <si>
    <t>CMP-00803</t>
  </si>
  <si>
    <t>Q3_Winter_CMP-00803</t>
  </si>
  <si>
    <t>CMP-00804</t>
  </si>
  <si>
    <t>Q3_BlackFriday_CMP-00804</t>
  </si>
  <si>
    <t>CMP-00805</t>
  </si>
  <si>
    <t>Q4_Summer_CMP-00805</t>
  </si>
  <si>
    <t>CMP-00806</t>
  </si>
  <si>
    <t>Q3_Summer_CMP-00806</t>
  </si>
  <si>
    <t>CMP-00807</t>
  </si>
  <si>
    <t>Q4_Summer_CMP-00807</t>
  </si>
  <si>
    <t>CMP-00808</t>
  </si>
  <si>
    <t>Q3_Winter_CMP-00808</t>
  </si>
  <si>
    <t>CMP-00809</t>
  </si>
  <si>
    <t>Q1_Summer_CMP-00809</t>
  </si>
  <si>
    <t>CMP-00810</t>
  </si>
  <si>
    <t>Q2_Winter_CMP-00810</t>
  </si>
  <si>
    <t>CMP-00811</t>
  </si>
  <si>
    <t>Q4_Winter_CMP-00811</t>
  </si>
  <si>
    <t>CMP-00812</t>
  </si>
  <si>
    <t>Q2_BlackFriday_CMP-00812</t>
  </si>
  <si>
    <t>CMP-00813</t>
  </si>
  <si>
    <t>Q4_Winter_CMP-00813</t>
  </si>
  <si>
    <t>CMP-00814</t>
  </si>
  <si>
    <t>Q4_Winter_CMP-00814</t>
  </si>
  <si>
    <t>29/04/2023</t>
  </si>
  <si>
    <t>CMP-00815</t>
  </si>
  <si>
    <t>Q4_BlackFriday_CMP-00815</t>
  </si>
  <si>
    <t>19/03/2023</t>
  </si>
  <si>
    <t>CMP-00816</t>
  </si>
  <si>
    <t>Q2_Winter_CMP-00816</t>
  </si>
  <si>
    <t>CMP-00817</t>
  </si>
  <si>
    <t>Q1_Winter_CMP-00817</t>
  </si>
  <si>
    <t>CMP-00818</t>
  </si>
  <si>
    <t>Q1_Launch_CMP-00818</t>
  </si>
  <si>
    <t>CMP-00819</t>
  </si>
  <si>
    <t>Q1_Launch_CMP-00819</t>
  </si>
  <si>
    <t>CMP-00820</t>
  </si>
  <si>
    <t>Q2_Winter_CMP-00820</t>
  </si>
  <si>
    <t>CMP-00821</t>
  </si>
  <si>
    <t>Q1_Launch_CMP-00821</t>
  </si>
  <si>
    <t>27/05/2023</t>
  </si>
  <si>
    <t>CMP-00822</t>
  </si>
  <si>
    <t>Q3_Launch_CMP-00822</t>
  </si>
  <si>
    <t>CMP-00823</t>
  </si>
  <si>
    <t>Q2_BlackFriday_CMP-00823</t>
  </si>
  <si>
    <t>CMP-00824</t>
  </si>
  <si>
    <t>Q4_Winter_CMP-00824</t>
  </si>
  <si>
    <t>CMP-00825</t>
  </si>
  <si>
    <t>Q3_Winter_CMP-00825</t>
  </si>
  <si>
    <t>CMP-00826</t>
  </si>
  <si>
    <t>Q3_Launch_CMP-00826</t>
  </si>
  <si>
    <t>23/07/2023</t>
  </si>
  <si>
    <t>CMP-00827</t>
  </si>
  <si>
    <t>Q4_Launch_CMP-00827</t>
  </si>
  <si>
    <t>CMP-00828</t>
  </si>
  <si>
    <t>Q3_Launch_CMP-00828</t>
  </si>
  <si>
    <t>CMP-00829</t>
  </si>
  <si>
    <t>Q3_Summer_CMP-00829</t>
  </si>
  <si>
    <t>CMP-00830</t>
  </si>
  <si>
    <t>Q2_Summer_CMP-00830</t>
  </si>
  <si>
    <t>17/01/2023</t>
  </si>
  <si>
    <t>CMP-00831</t>
  </si>
  <si>
    <t>Q3_Launch_CMP-00831</t>
  </si>
  <si>
    <t>CMP-00832</t>
  </si>
  <si>
    <t>Q4_BlackFriday_CMP-00832</t>
  </si>
  <si>
    <t>23/11/2023</t>
  </si>
  <si>
    <t>CMP-00833</t>
  </si>
  <si>
    <t>Q2_Launch_CMP-00833</t>
  </si>
  <si>
    <t>29/03/2023</t>
  </si>
  <si>
    <t>CMP-00834</t>
  </si>
  <si>
    <t>Q1_Winter_CMP-00834</t>
  </si>
  <si>
    <t>CMP-00835</t>
  </si>
  <si>
    <t>Q4_BlackFriday_CMP-00835</t>
  </si>
  <si>
    <t>CMP-00836</t>
  </si>
  <si>
    <t>Q1_BlackFriday_CMP-00836</t>
  </si>
  <si>
    <t>CMP-00837</t>
  </si>
  <si>
    <t>Q4_Winter_CMP-00837</t>
  </si>
  <si>
    <t>CMP-00838</t>
  </si>
  <si>
    <t>Q4_Launch_CMP-00838</t>
  </si>
  <si>
    <t>CMP-00839</t>
  </si>
  <si>
    <t>Q4_Winter_CMP-00839</t>
  </si>
  <si>
    <t>CMP-00840</t>
  </si>
  <si>
    <t>Q1_BlackFriday_CMP-00840</t>
  </si>
  <si>
    <t>CMP-00841</t>
  </si>
  <si>
    <t>Q3_Winter_CMP-00841</t>
  </si>
  <si>
    <t>CMP-00842</t>
  </si>
  <si>
    <t>Q4_Summer_CMP-00842</t>
  </si>
  <si>
    <t>CMP-00843</t>
  </si>
  <si>
    <t>Q3_BlackFriday_CMP-00843</t>
  </si>
  <si>
    <t>CMP-00844</t>
  </si>
  <si>
    <t>Q3_Launch_CMP-00844</t>
  </si>
  <si>
    <t>CMP-00845</t>
  </si>
  <si>
    <t>Q4_Launch_CMP-00845</t>
  </si>
  <si>
    <t>CMP-00846</t>
  </si>
  <si>
    <t>Q4_Launch_CMP-00846</t>
  </si>
  <si>
    <t>CMP-00847</t>
  </si>
  <si>
    <t>Q3_Summer_CMP-00847</t>
  </si>
  <si>
    <t>27/06/2023</t>
  </si>
  <si>
    <t>CMP-00848</t>
  </si>
  <si>
    <t>Q3_Launch_CMP-00848</t>
  </si>
  <si>
    <t>CMP-00849</t>
  </si>
  <si>
    <t>Q2_BlackFriday_CMP-00849</t>
  </si>
  <si>
    <t>CMP-00850</t>
  </si>
  <si>
    <t>Q1_BlackFriday_CMP-00850</t>
  </si>
  <si>
    <t>CMP-00851</t>
  </si>
  <si>
    <t>Q4_Launch_CMP-00851</t>
  </si>
  <si>
    <t>CMP-00852</t>
  </si>
  <si>
    <t>Q2_Winter_CMP-00852</t>
  </si>
  <si>
    <t>CMP-00853</t>
  </si>
  <si>
    <t>Q2_Summer_CMP-00853</t>
  </si>
  <si>
    <t>CMP-00854</t>
  </si>
  <si>
    <t>Q3_Winter_CMP-00854</t>
  </si>
  <si>
    <t>CMP-00855</t>
  </si>
  <si>
    <t>Q1_Summer_CMP-00855</t>
  </si>
  <si>
    <t>CMP-00856</t>
  </si>
  <si>
    <t>Q4_Summer_CMP-00856</t>
  </si>
  <si>
    <t>CMP-00857</t>
  </si>
  <si>
    <t>Q3_BlackFriday_CMP-00857</t>
  </si>
  <si>
    <t>CMP-00858</t>
  </si>
  <si>
    <t>Q1_Summer_CMP-00858</t>
  </si>
  <si>
    <t>CMP-00859</t>
  </si>
  <si>
    <t>Q2_BlackFriday_CMP-00859</t>
  </si>
  <si>
    <t>CMP-00860</t>
  </si>
  <si>
    <t>Q2_Winter_CMP-00860</t>
  </si>
  <si>
    <t>CMP-00861</t>
  </si>
  <si>
    <t>Q4_Winter_CMP-00861</t>
  </si>
  <si>
    <t>CMP-00862</t>
  </si>
  <si>
    <t>Q3_Winter_CMP-00862</t>
  </si>
  <si>
    <t>CMP-00863</t>
  </si>
  <si>
    <t>Q3_BlackFriday_CMP-00863</t>
  </si>
  <si>
    <t>CMP-00864</t>
  </si>
  <si>
    <t>Q4_Winter_CMP-00864</t>
  </si>
  <si>
    <t>CMP-00865</t>
  </si>
  <si>
    <t>Q2_Summer_CMP-00865</t>
  </si>
  <si>
    <t>CMP-00866</t>
  </si>
  <si>
    <t>Q1_Summer_CMP-00866</t>
  </si>
  <si>
    <t>CMP-00867</t>
  </si>
  <si>
    <t>Q1_Launch_CMP-00867</t>
  </si>
  <si>
    <t>CMP-00868</t>
  </si>
  <si>
    <t>Q4_Summer_CMP-00868</t>
  </si>
  <si>
    <t>CMP-00869</t>
  </si>
  <si>
    <t>Q2_BlackFriday_CMP-00869</t>
  </si>
  <si>
    <t>CMP-00870</t>
  </si>
  <si>
    <t>Q3_Summer_CMP-00870</t>
  </si>
  <si>
    <t>CMP-00871</t>
  </si>
  <si>
    <t>Q2_Winter_CMP-00871</t>
  </si>
  <si>
    <t>CMP-00872</t>
  </si>
  <si>
    <t>Q1_BlackFriday_CMP-00872</t>
  </si>
  <si>
    <t>CMP-00873</t>
  </si>
  <si>
    <t>Q1_Launch_CMP-00873</t>
  </si>
  <si>
    <t>CMP-00874</t>
  </si>
  <si>
    <t>Q4_Winter_CMP-00874</t>
  </si>
  <si>
    <t>CMP-00875</t>
  </si>
  <si>
    <t>Q3_Summer_CMP-00875</t>
  </si>
  <si>
    <t>CMP-00876</t>
  </si>
  <si>
    <t>Q1_Summer_CMP-00876</t>
  </si>
  <si>
    <t>CMP-00877</t>
  </si>
  <si>
    <t>Q4_Summer_CMP-00877</t>
  </si>
  <si>
    <t>CMP-00878</t>
  </si>
  <si>
    <t>Q1_Winter_CMP-00878</t>
  </si>
  <si>
    <t>CMP-00879</t>
  </si>
  <si>
    <t>Q1_Launch_CMP-00879</t>
  </si>
  <si>
    <t>CMP-00880</t>
  </si>
  <si>
    <t>Q2_BlackFriday_CMP-00880</t>
  </si>
  <si>
    <t>CMP-00881</t>
  </si>
  <si>
    <t>Q3_Launch_CMP-00881</t>
  </si>
  <si>
    <t>CMP-00882</t>
  </si>
  <si>
    <t>Q1_BlackFriday_CMP-00882</t>
  </si>
  <si>
    <t>CMP-00883</t>
  </si>
  <si>
    <t>Q3_Launch_CMP-00883</t>
  </si>
  <si>
    <t>CMP-00884</t>
  </si>
  <si>
    <t>Q2_Summer_CMP-00884</t>
  </si>
  <si>
    <t>CMP-00885</t>
  </si>
  <si>
    <t>Q3_Launch_CMP-00885</t>
  </si>
  <si>
    <t>CMP-00886</t>
  </si>
  <si>
    <t>Q4_BlackFriday_CMP-00886</t>
  </si>
  <si>
    <t>CMP-00887</t>
  </si>
  <si>
    <t>Q4_Summer_CMP-00887</t>
  </si>
  <si>
    <t>CMP-00888</t>
  </si>
  <si>
    <t>Q2_Launch_CMP-00888</t>
  </si>
  <si>
    <t>CMP-00889</t>
  </si>
  <si>
    <t>Q3_Launch_CMP-00889</t>
  </si>
  <si>
    <t>CMP-00890</t>
  </si>
  <si>
    <t>Q3_Winter_CMP-00890</t>
  </si>
  <si>
    <t>CMP-00891</t>
  </si>
  <si>
    <t>Q4_Summer_CMP-00891</t>
  </si>
  <si>
    <t>CMP-00892</t>
  </si>
  <si>
    <t>Q4_Launch_CMP-00892</t>
  </si>
  <si>
    <t>CMP-00893</t>
  </si>
  <si>
    <t>Q3_Summer_CMP-00893</t>
  </si>
  <si>
    <t>CMP-00894</t>
  </si>
  <si>
    <t>Q4_Winter_CMP-00894</t>
  </si>
  <si>
    <t>CMP-00895</t>
  </si>
  <si>
    <t>Q1_Launch_CMP-00895</t>
  </si>
  <si>
    <t>CMP-00896</t>
  </si>
  <si>
    <t>Q2_Launch_CMP-00896</t>
  </si>
  <si>
    <t>CMP-00897</t>
  </si>
  <si>
    <t>Q3_Launch_CMP-00897</t>
  </si>
  <si>
    <t>CMP-00898</t>
  </si>
  <si>
    <t>Q1_BlackFriday_CMP-00898</t>
  </si>
  <si>
    <t>CMP-00899</t>
  </si>
  <si>
    <t>Q3_Winter_CMP-00899</t>
  </si>
  <si>
    <t>CMP-00900</t>
  </si>
  <si>
    <t>Q1_Summer_CMP-00900</t>
  </si>
  <si>
    <t>CMP-00901</t>
  </si>
  <si>
    <t>Q2_Winter_CMP-00901</t>
  </si>
  <si>
    <t>CMP-00902</t>
  </si>
  <si>
    <t>Q4_Winter_CMP-00902</t>
  </si>
  <si>
    <t>CMP-00903</t>
  </si>
  <si>
    <t>Q1_Winter_CMP-00903</t>
  </si>
  <si>
    <t>CMP-00904</t>
  </si>
  <si>
    <t>Q4_Launch_CMP-00904</t>
  </si>
  <si>
    <t>CMP-00905</t>
  </si>
  <si>
    <t>Q2_Summer_CMP-00905</t>
  </si>
  <si>
    <t>CMP-00906</t>
  </si>
  <si>
    <t>Q4_BlackFriday_CMP-00906</t>
  </si>
  <si>
    <t>CMP-00907</t>
  </si>
  <si>
    <t>Q4_BlackFriday_CMP-00907</t>
  </si>
  <si>
    <t>CMP-00908</t>
  </si>
  <si>
    <t>Q3_Winter_CMP-00908</t>
  </si>
  <si>
    <t>CMP-00909</t>
  </si>
  <si>
    <t>Q1_BlackFriday_CMP-00909</t>
  </si>
  <si>
    <t>13/06/2023</t>
  </si>
  <si>
    <t>CMP-00910</t>
  </si>
  <si>
    <t>Q4_Summer_CMP-00910</t>
  </si>
  <si>
    <t>CMP-00911</t>
  </si>
  <si>
    <t>Q3_Winter_CMP-00911</t>
  </si>
  <si>
    <t>CMP-00912</t>
  </si>
  <si>
    <t>Q4_Launch_CMP-00912</t>
  </si>
  <si>
    <t>CMP-00913</t>
  </si>
  <si>
    <t>Q3_Winter_CMP-00913</t>
  </si>
  <si>
    <t>CMP-00914</t>
  </si>
  <si>
    <t>Q3_Launch_CMP-00914</t>
  </si>
  <si>
    <t>CMP-00915</t>
  </si>
  <si>
    <t>Q4_Summer_CMP-00915</t>
  </si>
  <si>
    <t>CMP-00916</t>
  </si>
  <si>
    <t>Q1_Launch_CMP-00916</t>
  </si>
  <si>
    <t>CMP-00917</t>
  </si>
  <si>
    <t>Q1_Launch_CMP-00917</t>
  </si>
  <si>
    <t>CMP-00918</t>
  </si>
  <si>
    <t>Q2_Summer_CMP-00918</t>
  </si>
  <si>
    <t>CMP-00919</t>
  </si>
  <si>
    <t>Q2_Summer_CMP-00919</t>
  </si>
  <si>
    <t>CMP-00920</t>
  </si>
  <si>
    <t>Q2_Winter_CMP-00920</t>
  </si>
  <si>
    <t>CMP-00921</t>
  </si>
  <si>
    <t>Q4_Summer_CMP-00921</t>
  </si>
  <si>
    <t>CMP-00922</t>
  </si>
  <si>
    <t>Q1_Launch_CMP-00922</t>
  </si>
  <si>
    <t>CMP-00923</t>
  </si>
  <si>
    <t>Q4_Winter_CMP-00923</t>
  </si>
  <si>
    <t>CMP-00924</t>
  </si>
  <si>
    <t>Q4_Winter_CMP-00924</t>
  </si>
  <si>
    <t>CMP-00925</t>
  </si>
  <si>
    <t>Q4_Launch_CMP-00925</t>
  </si>
  <si>
    <t>CMP-00926</t>
  </si>
  <si>
    <t>Q1_BlackFriday_CMP-00926</t>
  </si>
  <si>
    <t>CMP-00927</t>
  </si>
  <si>
    <t>Q1_Launch_CMP-00927</t>
  </si>
  <si>
    <t>CMP-00928</t>
  </si>
  <si>
    <t>Q3_BlackFriday_CMP-00928</t>
  </si>
  <si>
    <t>CMP-00929</t>
  </si>
  <si>
    <t>Q3_BlackFriday_CMP-00929</t>
  </si>
  <si>
    <t>CMP-00930</t>
  </si>
  <si>
    <t>Q2_Winter_CMP-00930</t>
  </si>
  <si>
    <t>CMP-00931</t>
  </si>
  <si>
    <t>Q3_Winter_CMP-00931</t>
  </si>
  <si>
    <t>CMP-00932</t>
  </si>
  <si>
    <t>Q3_BlackFriday_CMP-00932</t>
  </si>
  <si>
    <t>CMP-00933</t>
  </si>
  <si>
    <t>Q4_Launch_CMP-00933</t>
  </si>
  <si>
    <t>CMP-00934</t>
  </si>
  <si>
    <t>Q2_BlackFriday_CMP-00934</t>
  </si>
  <si>
    <t>CMP-00935</t>
  </si>
  <si>
    <t>Q2_Winter_CMP-00935</t>
  </si>
  <si>
    <t>CMP-00936</t>
  </si>
  <si>
    <t>Q4_Summer_CMP-00936</t>
  </si>
  <si>
    <t>CMP-00937</t>
  </si>
  <si>
    <t>Q3_Launch_CMP-00937</t>
  </si>
  <si>
    <t>CMP-00938</t>
  </si>
  <si>
    <t>Q2_Winter_CMP-00938</t>
  </si>
  <si>
    <t>CMP-00939</t>
  </si>
  <si>
    <t>Q4_Summer_CMP-00939</t>
  </si>
  <si>
    <t>CMP-00940</t>
  </si>
  <si>
    <t>Q1_BlackFriday_CMP-00940</t>
  </si>
  <si>
    <t>CMP-00941</t>
  </si>
  <si>
    <t>Q2_Winter_CMP-00941</t>
  </si>
  <si>
    <t>CMP-00942</t>
  </si>
  <si>
    <t>Q1_Launch_CMP-00942</t>
  </si>
  <si>
    <t>CMP-00943</t>
  </si>
  <si>
    <t>Q3_Summer_CMP-00943</t>
  </si>
  <si>
    <t>CMP-00944</t>
  </si>
  <si>
    <t>Q1_Launch_CMP-00944</t>
  </si>
  <si>
    <t>CMP-00945</t>
  </si>
  <si>
    <t>Q2_Summer_CMP-00945</t>
  </si>
  <si>
    <t>CMP-00946</t>
  </si>
  <si>
    <t>Q3_Winter_CMP-00946</t>
  </si>
  <si>
    <t>CMP-00947</t>
  </si>
  <si>
    <t>Q3_Summer_CMP-00947</t>
  </si>
  <si>
    <t>CMP-00948</t>
  </si>
  <si>
    <t>Q2_BlackFriday_CMP-00948</t>
  </si>
  <si>
    <t>CMP-00949</t>
  </si>
  <si>
    <t>Q3_Launch_CMP-00949</t>
  </si>
  <si>
    <t>CMP-00950</t>
  </si>
  <si>
    <t>Q3_BlackFriday_CMP-00950</t>
  </si>
  <si>
    <t>CMP-00951</t>
  </si>
  <si>
    <t>Q4_BlackFriday_CMP-00951</t>
  </si>
  <si>
    <t>CMP-00952</t>
  </si>
  <si>
    <t>Q2_Summer_CMP-00952</t>
  </si>
  <si>
    <t>CMP-00953</t>
  </si>
  <si>
    <t>Q2_Summer_CMP-00953</t>
  </si>
  <si>
    <t>CMP-00954</t>
  </si>
  <si>
    <t>Q2_BlackFriday_CMP-00954</t>
  </si>
  <si>
    <t>CMP-00955</t>
  </si>
  <si>
    <t>Q2_BlackFriday_CMP-00955</t>
  </si>
  <si>
    <t>CMP-00956</t>
  </si>
  <si>
    <t>Q1_Winter_CMP-00956</t>
  </si>
  <si>
    <t>CMP-00957</t>
  </si>
  <si>
    <t>Q4_BlackFriday_CMP-00957</t>
  </si>
  <si>
    <t>CMP-00958</t>
  </si>
  <si>
    <t>Q3_Launch_CMP-00958</t>
  </si>
  <si>
    <t>CMP-00959</t>
  </si>
  <si>
    <t>Q2_Winter_CMP-00959</t>
  </si>
  <si>
    <t>CMP-00960</t>
  </si>
  <si>
    <t>Q1_Winter_CMP-00960</t>
  </si>
  <si>
    <t>CMP-00961</t>
  </si>
  <si>
    <t>Q2_Summer_CMP-00961</t>
  </si>
  <si>
    <t>CMP-00962</t>
  </si>
  <si>
    <t>Q2_Winter_CMP-00962</t>
  </si>
  <si>
    <t>CMP-00963</t>
  </si>
  <si>
    <t>Q2_Launch_CMP-00963</t>
  </si>
  <si>
    <t>CMP-00964</t>
  </si>
  <si>
    <t>Q1_BlackFriday_CMP-00964</t>
  </si>
  <si>
    <t>CMP-00965</t>
  </si>
  <si>
    <t>Q1_Summer_CMP-00965</t>
  </si>
  <si>
    <t>CMP-00966</t>
  </si>
  <si>
    <t>Q2_Launch_CMP-00966</t>
  </si>
  <si>
    <t>CMP-00967</t>
  </si>
  <si>
    <t>Q4_Launch_CMP-00967</t>
  </si>
  <si>
    <t>CMP-00968</t>
  </si>
  <si>
    <t>Q3_BlackFriday_CMP-00968</t>
  </si>
  <si>
    <t>CMP-00969</t>
  </si>
  <si>
    <t>Q1_Winter_CMP-00969</t>
  </si>
  <si>
    <t>CMP-00970</t>
  </si>
  <si>
    <t>Q4_Launch_CMP-00970</t>
  </si>
  <si>
    <t>25/10/2023</t>
  </si>
  <si>
    <t>CMP-00971</t>
  </si>
  <si>
    <t>Q4_Launch_CMP-00971</t>
  </si>
  <si>
    <t>CMP-00972</t>
  </si>
  <si>
    <t>Q3_BlackFriday_CMP-00972</t>
  </si>
  <si>
    <t>CMP-00973</t>
  </si>
  <si>
    <t>Q3_Summer_CMP-00973</t>
  </si>
  <si>
    <t>CMP-00974</t>
  </si>
  <si>
    <t>Q2_Winter_CMP-00974</t>
  </si>
  <si>
    <t>CMP-00975</t>
  </si>
  <si>
    <t>Q3_Winter_CMP-00975</t>
  </si>
  <si>
    <t>CMP-00976</t>
  </si>
  <si>
    <t>Q4_Launch_CMP-00976</t>
  </si>
  <si>
    <t>CMP-00977</t>
  </si>
  <si>
    <t>Q4_BlackFriday_CMP-00977</t>
  </si>
  <si>
    <t>CMP-00978</t>
  </si>
  <si>
    <t>Q1_Launch_CMP-00978</t>
  </si>
  <si>
    <t>CMP-00979</t>
  </si>
  <si>
    <t>Q3_Winter_CMP-00979</t>
  </si>
  <si>
    <t>CMP-00980</t>
  </si>
  <si>
    <t>Q1_BlackFriday_CMP-00980</t>
  </si>
  <si>
    <t>CMP-00981</t>
  </si>
  <si>
    <t>Q4_BlackFriday_CMP-00981</t>
  </si>
  <si>
    <t>CMP-00982</t>
  </si>
  <si>
    <t>Q4_Winter_CMP-00982</t>
  </si>
  <si>
    <t>CMP-00983</t>
  </si>
  <si>
    <t>Q2_Launch_CMP-00983</t>
  </si>
  <si>
    <t>CMP-00984</t>
  </si>
  <si>
    <t>Q3_Winter_CMP-00984</t>
  </si>
  <si>
    <t>CMP-00985</t>
  </si>
  <si>
    <t>Q1_Winter_CMP-00985</t>
  </si>
  <si>
    <t>CMP-00986</t>
  </si>
  <si>
    <t>Q4_BlackFriday_CMP-00986</t>
  </si>
  <si>
    <t>CMP-00987</t>
  </si>
  <si>
    <t>Q2_Summer_CMP-00987</t>
  </si>
  <si>
    <t>CMP-00988</t>
  </si>
  <si>
    <t>Q3_BlackFriday_CMP-00988</t>
  </si>
  <si>
    <t>CMP-00989</t>
  </si>
  <si>
    <t>Q1_BlackFriday_CMP-00989</t>
  </si>
  <si>
    <t>CMP-00990</t>
  </si>
  <si>
    <t>Q3_Summer_CMP-00990</t>
  </si>
  <si>
    <t>CMP-00991</t>
  </si>
  <si>
    <t>Q3_Summer_CMP-00991</t>
  </si>
  <si>
    <t>CMP-00992</t>
  </si>
  <si>
    <t>Q3_Launch_CMP-00992</t>
  </si>
  <si>
    <t>CMP-00993</t>
  </si>
  <si>
    <t>Q4_Summer_CMP-00993</t>
  </si>
  <si>
    <t>CMP-00994</t>
  </si>
  <si>
    <t>Q3_BlackFriday_CMP-00994</t>
  </si>
  <si>
    <t>CMP-00995</t>
  </si>
  <si>
    <t>Q1_Summer_CMP-00995</t>
  </si>
  <si>
    <t>CMP-00996</t>
  </si>
  <si>
    <t>Q4_Launch_CMP-00996</t>
  </si>
  <si>
    <t>CMP-00997</t>
  </si>
  <si>
    <t>Q4_Winter_CMP-00997</t>
  </si>
  <si>
    <t>CMP-00998</t>
  </si>
  <si>
    <t>Q4_Summer_CMP-00998</t>
  </si>
  <si>
    <t>CMP-00999</t>
  </si>
  <si>
    <t>Q1_BlackFriday_CMP-00999</t>
  </si>
  <si>
    <t>CMP-01000</t>
  </si>
  <si>
    <t>Q1_Winter_CMP-01000</t>
  </si>
  <si>
    <t>CMP-01001</t>
  </si>
  <si>
    <t>Q2_Winter_CMP-01001</t>
  </si>
  <si>
    <t>22/04/2023</t>
  </si>
  <si>
    <t>CMP-01002</t>
  </si>
  <si>
    <t>Q1_Launch_CMP-01002</t>
  </si>
  <si>
    <t>CMP-01003</t>
  </si>
  <si>
    <t>Q1_Summer_CMP-01003</t>
  </si>
  <si>
    <t>CMP-01004</t>
  </si>
  <si>
    <t>Q4_Summer_CMP-01004</t>
  </si>
  <si>
    <t>CMP-01005</t>
  </si>
  <si>
    <t>Q3_Summer_CMP-01005</t>
  </si>
  <si>
    <t>CMP-01006</t>
  </si>
  <si>
    <t>Q3_Winter_CMP-01006</t>
  </si>
  <si>
    <t>CMP-01007</t>
  </si>
  <si>
    <t>Q1_BlackFriday_CMP-01007</t>
  </si>
  <si>
    <t>CMP-01008</t>
  </si>
  <si>
    <t>Q3_Winter_CMP-01008</t>
  </si>
  <si>
    <t>CMP-01009</t>
  </si>
  <si>
    <t>Q3_Summer_CMP-01009</t>
  </si>
  <si>
    <t>CMP-01010</t>
  </si>
  <si>
    <t>Q4_Launch_CMP-01010</t>
  </si>
  <si>
    <t>CMP-01011</t>
  </si>
  <si>
    <t>Q1_Summer_CMP-01011</t>
  </si>
  <si>
    <t>CMP-01012</t>
  </si>
  <si>
    <t>Q2_Winter_CMP-01012</t>
  </si>
  <si>
    <t>CMP-01013</t>
  </si>
  <si>
    <t>Q3_Summer_CMP-01013</t>
  </si>
  <si>
    <t>CMP-01014</t>
  </si>
  <si>
    <t>Q2_Launch_CMP-01014</t>
  </si>
  <si>
    <t>CMP-01015</t>
  </si>
  <si>
    <t>Q1_BlackFriday_CMP-01015</t>
  </si>
  <si>
    <t>CMP-01016</t>
  </si>
  <si>
    <t>Q2_Launch_CMP-01016</t>
  </si>
  <si>
    <t>CMP-01017</t>
  </si>
  <si>
    <t>Q2_Summer_CMP-01017</t>
  </si>
  <si>
    <t>CMP-01018</t>
  </si>
  <si>
    <t>Q3_BlackFriday_CMP-01018</t>
  </si>
  <si>
    <t>21/04/2023</t>
  </si>
  <si>
    <t>CMP-01019</t>
  </si>
  <si>
    <t>Q3_Summer_CMP-01019</t>
  </si>
  <si>
    <t>CMP-01020</t>
  </si>
  <si>
    <t>Q3_Launch_CMP-01020</t>
  </si>
  <si>
    <t>CMP-01021</t>
  </si>
  <si>
    <t>Q1_Launch_CMP-01021</t>
  </si>
  <si>
    <t>CMP-01022</t>
  </si>
  <si>
    <t>Q1_Summer_CMP-01022</t>
  </si>
  <si>
    <t>CMP-01023</t>
  </si>
  <si>
    <t>Q1_Winter_CMP-01023</t>
  </si>
  <si>
    <t>23/05/2023</t>
  </si>
  <si>
    <t>CMP-01024</t>
  </si>
  <si>
    <t>Q1_Winter_CMP-01024</t>
  </si>
  <si>
    <t>CMP-01025</t>
  </si>
  <si>
    <t>Q3_Summer_CMP-01025</t>
  </si>
  <si>
    <t>CMP-01026</t>
  </si>
  <si>
    <t>Q2_Summer_CMP-01026</t>
  </si>
  <si>
    <t>CMP-01027</t>
  </si>
  <si>
    <t>Q2_BlackFriday_CMP-01027</t>
  </si>
  <si>
    <t>26/11/2023</t>
  </si>
  <si>
    <t>CMP-01028</t>
  </si>
  <si>
    <t>Q4_Summer_CMP-01028</t>
  </si>
  <si>
    <t>CMP-01029</t>
  </si>
  <si>
    <t>Q2_BlackFriday_CMP-01029</t>
  </si>
  <si>
    <t>CMP-01030</t>
  </si>
  <si>
    <t>Q2_Winter_CMP-01030</t>
  </si>
  <si>
    <t>CMP-01031</t>
  </si>
  <si>
    <t>Q3_Summer_CMP-01031</t>
  </si>
  <si>
    <t>CMP-01032</t>
  </si>
  <si>
    <t>Q4_BlackFriday_CMP-01032</t>
  </si>
  <si>
    <t>CMP-01033</t>
  </si>
  <si>
    <t>Q2_BlackFriday_CMP-01033</t>
  </si>
  <si>
    <t>CMP-01034</t>
  </si>
  <si>
    <t>Q2_BlackFriday_CMP-01034</t>
  </si>
  <si>
    <t>CMP-01035</t>
  </si>
  <si>
    <t>Q4_Winter_CMP-01035</t>
  </si>
  <si>
    <t>CMP-01036</t>
  </si>
  <si>
    <t>Q2_BlackFriday_CMP-01036</t>
  </si>
  <si>
    <t>CMP-01037</t>
  </si>
  <si>
    <t>Q2_Winter_CMP-01037</t>
  </si>
  <si>
    <t>CMP-01038</t>
  </si>
  <si>
    <t>Q3_BlackFriday_CMP-01038</t>
  </si>
  <si>
    <t>26/09/2023</t>
  </si>
  <si>
    <t>CMP-01039</t>
  </si>
  <si>
    <t>Q4_BlackFriday_CMP-01039</t>
  </si>
  <si>
    <t>CMP-01040</t>
  </si>
  <si>
    <t>Q1_Launch_CMP-01040</t>
  </si>
  <si>
    <t>CMP-01041</t>
  </si>
  <si>
    <t>Q3_BlackFriday_CMP-01041</t>
  </si>
  <si>
    <t>CMP-01042</t>
  </si>
  <si>
    <t>Q3_Launch_CMP-01042</t>
  </si>
  <si>
    <t>CMP-01043</t>
  </si>
  <si>
    <t>Q2_Summer_CMP-01043</t>
  </si>
  <si>
    <t>CMP-01044</t>
  </si>
  <si>
    <t>Q4_Winter_CMP-01044</t>
  </si>
  <si>
    <t>18/09/2023</t>
  </si>
  <si>
    <t>CMP-01045</t>
  </si>
  <si>
    <t>Q2_Launch_CMP-01045</t>
  </si>
  <si>
    <t>CMP-01046</t>
  </si>
  <si>
    <t>Q3_BlackFriday_CMP-01046</t>
  </si>
  <si>
    <t>CMP-01047</t>
  </si>
  <si>
    <t>Q2_BlackFriday_CMP-01047</t>
  </si>
  <si>
    <t>CMP-01048</t>
  </si>
  <si>
    <t>Q3_Summer_CMP-01048</t>
  </si>
  <si>
    <t>CMP-01049</t>
  </si>
  <si>
    <t>Q2_BlackFriday_CMP-01049</t>
  </si>
  <si>
    <t>CMP-01050</t>
  </si>
  <si>
    <t>Q2_Launch_CMP-01050</t>
  </si>
  <si>
    <t>CMP-01051</t>
  </si>
  <si>
    <t>Q3_Summer_CMP-01051</t>
  </si>
  <si>
    <t>CMP-01052</t>
  </si>
  <si>
    <t>Q1_Winter_CMP-01052</t>
  </si>
  <si>
    <t>CMP-01053</t>
  </si>
  <si>
    <t>Q4_Winter_CMP-01053</t>
  </si>
  <si>
    <t>CMP-01054</t>
  </si>
  <si>
    <t>Q4_BlackFriday_CMP-01054</t>
  </si>
  <si>
    <t>CMP-01055</t>
  </si>
  <si>
    <t>Q3_Launch_CMP-01055</t>
  </si>
  <si>
    <t>CMP-01056</t>
  </si>
  <si>
    <t>Q1_BlackFriday_CMP-01056</t>
  </si>
  <si>
    <t>CMP-01057</t>
  </si>
  <si>
    <t>Q1_BlackFriday_CMP-01057</t>
  </si>
  <si>
    <t>CMP-01058</t>
  </si>
  <si>
    <t>Q1_Winter_CMP-01058</t>
  </si>
  <si>
    <t>CMP-01059</t>
  </si>
  <si>
    <t>Q4_Launch_CMP-01059</t>
  </si>
  <si>
    <t>CMP-01060</t>
  </si>
  <si>
    <t>Q3_BlackFriday_CMP-01060</t>
  </si>
  <si>
    <t>CMP-01061</t>
  </si>
  <si>
    <t>Q1_Winter_CMP-01061</t>
  </si>
  <si>
    <t>CMP-01062</t>
  </si>
  <si>
    <t>Q3_BlackFriday_CMP-01062</t>
  </si>
  <si>
    <t>CMP-01063</t>
  </si>
  <si>
    <t>Q2_Launch_CMP-01063</t>
  </si>
  <si>
    <t>CMP-01064</t>
  </si>
  <si>
    <t>Q2_Summer_CMP-01064</t>
  </si>
  <si>
    <t>CMP-01065</t>
  </si>
  <si>
    <t>Q4_Launch_CMP-01065</t>
  </si>
  <si>
    <t>CMP-01066</t>
  </si>
  <si>
    <t>Q4_Launch_CMP-01066</t>
  </si>
  <si>
    <t>CMP-01067</t>
  </si>
  <si>
    <t>Q4_Winter_CMP-01067</t>
  </si>
  <si>
    <t>CMP-01068</t>
  </si>
  <si>
    <t>Q3_BlackFriday_CMP-01068</t>
  </si>
  <si>
    <t>CMP-01069</t>
  </si>
  <si>
    <t>Q3_Launch_CMP-01069</t>
  </si>
  <si>
    <t>CMP-01070</t>
  </si>
  <si>
    <t>Q4_BlackFriday_CMP-01070</t>
  </si>
  <si>
    <t>18/10/2023</t>
  </si>
  <si>
    <t>CMP-01071</t>
  </si>
  <si>
    <t>Q1_Winter_CMP-01071</t>
  </si>
  <si>
    <t>CMP-01072</t>
  </si>
  <si>
    <t>Q1_Launch_CMP-01072</t>
  </si>
  <si>
    <t>CMP-01073</t>
  </si>
  <si>
    <t>Q4_BlackFriday_CMP-01073</t>
  </si>
  <si>
    <t>CMP-01074</t>
  </si>
  <si>
    <t>Q4_Summer_CMP-01074</t>
  </si>
  <si>
    <t>CMP-01075</t>
  </si>
  <si>
    <t>Q2_Winter_CMP-01075</t>
  </si>
  <si>
    <t>CMP-01076</t>
  </si>
  <si>
    <t>Q3_Winter_CMP-01076</t>
  </si>
  <si>
    <t>CMP-01077</t>
  </si>
  <si>
    <t>Q2_Winter_CMP-01077</t>
  </si>
  <si>
    <t>CMP-01078</t>
  </si>
  <si>
    <t>Q3_Summer_CMP-01078</t>
  </si>
  <si>
    <t>CMP-01079</t>
  </si>
  <si>
    <t>Q1_BlackFriday_CMP-01079</t>
  </si>
  <si>
    <t>CMP-01080</t>
  </si>
  <si>
    <t>Q2_BlackFriday_CMP-01080</t>
  </si>
  <si>
    <t>CMP-01081</t>
  </si>
  <si>
    <t>Q4_Launch_CMP-01081</t>
  </si>
  <si>
    <t>CMP-01082</t>
  </si>
  <si>
    <t>Q2_Launch_CMP-01082</t>
  </si>
  <si>
    <t>CMP-01083</t>
  </si>
  <si>
    <t>Q1_Winter_CMP-01083</t>
  </si>
  <si>
    <t>CMP-01084</t>
  </si>
  <si>
    <t>Q2_Winter_CMP-01084</t>
  </si>
  <si>
    <t>CMP-01085</t>
  </si>
  <si>
    <t>Q3_BlackFriday_CMP-01085</t>
  </si>
  <si>
    <t>CMP-01086</t>
  </si>
  <si>
    <t>Q1_Winter_CMP-01086</t>
  </si>
  <si>
    <t>CMP-01087</t>
  </si>
  <si>
    <t>Q2_Winter_CMP-01087</t>
  </si>
  <si>
    <t>CMP-01088</t>
  </si>
  <si>
    <t>Q4_Summer_CMP-01088</t>
  </si>
  <si>
    <t>CMP-01089</t>
  </si>
  <si>
    <t>Q2_Winter_CMP-01089</t>
  </si>
  <si>
    <t>CMP-01090</t>
  </si>
  <si>
    <t>Q3_Summer_CMP-01090</t>
  </si>
  <si>
    <t>CMP-01091</t>
  </si>
  <si>
    <t>Q4_Winter_CMP-01091</t>
  </si>
  <si>
    <t>CMP-01092</t>
  </si>
  <si>
    <t>Q3_Summer_CMP-01092</t>
  </si>
  <si>
    <t>CMP-01093</t>
  </si>
  <si>
    <t>Q4_Launch_CMP-01093</t>
  </si>
  <si>
    <t>CMP-01094</t>
  </si>
  <si>
    <t>Q2_Launch_CMP-01094</t>
  </si>
  <si>
    <t>CMP-01095</t>
  </si>
  <si>
    <t>Q4_Launch_CMP-01095</t>
  </si>
  <si>
    <t>CMP-01096</t>
  </si>
  <si>
    <t>Q2_Summer_CMP-01096</t>
  </si>
  <si>
    <t>CMP-01097</t>
  </si>
  <si>
    <t>Q4_Winter_CMP-01097</t>
  </si>
  <si>
    <t>CMP-01098</t>
  </si>
  <si>
    <t>Q3_Winter_CMP-01098</t>
  </si>
  <si>
    <t>CMP-01099</t>
  </si>
  <si>
    <t>Q4_BlackFriday_CMP-01099</t>
  </si>
  <si>
    <t>CMP-01100</t>
  </si>
  <si>
    <t>Q3_Launch_CMP-01100</t>
  </si>
  <si>
    <t>18/03/2023</t>
  </si>
  <si>
    <t>CMP-01101</t>
  </si>
  <si>
    <t>Q4_Summer_CMP-01101</t>
  </si>
  <si>
    <t>CMP-01102</t>
  </si>
  <si>
    <t>Q3_Launch_CMP-01102</t>
  </si>
  <si>
    <t>CMP-01103</t>
  </si>
  <si>
    <t>Q1_Winter_CMP-01103</t>
  </si>
  <si>
    <t>CMP-01104</t>
  </si>
  <si>
    <t>Q2_Winter_CMP-01104</t>
  </si>
  <si>
    <t>CMP-01105</t>
  </si>
  <si>
    <t>Q3_BlackFriday_CMP-01105</t>
  </si>
  <si>
    <t>CMP-01106</t>
  </si>
  <si>
    <t>Q3_Summer_CMP-01106</t>
  </si>
  <si>
    <t>CMP-01107</t>
  </si>
  <si>
    <t>Q4_Summer_CMP-01107</t>
  </si>
  <si>
    <t>CMP-01108</t>
  </si>
  <si>
    <t>Q2_Winter_CMP-01108</t>
  </si>
  <si>
    <t>CMP-01109</t>
  </si>
  <si>
    <t>Q4_Winter_CMP-01109</t>
  </si>
  <si>
    <t>CMP-01110</t>
  </si>
  <si>
    <t>Q1_Winter_CMP-01110</t>
  </si>
  <si>
    <t>CMP-01111</t>
  </si>
  <si>
    <t>Q3_Launch_CMP-01111</t>
  </si>
  <si>
    <t>CMP-01112</t>
  </si>
  <si>
    <t>Q1_BlackFriday_CMP-01112</t>
  </si>
  <si>
    <t>CMP-01113</t>
  </si>
  <si>
    <t>Q4_Winter_CMP-01113</t>
  </si>
  <si>
    <t>CMP-01114</t>
  </si>
  <si>
    <t>Q4_Winter_CMP-01114</t>
  </si>
  <si>
    <t>CMP-01115</t>
  </si>
  <si>
    <t>Q3_BlackFriday_CMP-01115</t>
  </si>
  <si>
    <t>CMP-01116</t>
  </si>
  <si>
    <t>Q4_Launch_CMP-01116</t>
  </si>
  <si>
    <t>CMP-01117</t>
  </si>
  <si>
    <t>Q1_BlackFriday_CMP-01117</t>
  </si>
  <si>
    <t>CMP-01118</t>
  </si>
  <si>
    <t>Q4_Winter_CMP-01118</t>
  </si>
  <si>
    <t>CMP-01119</t>
  </si>
  <si>
    <t>Q2_Launch_CMP-01119</t>
  </si>
  <si>
    <t>CMP-01120</t>
  </si>
  <si>
    <t>Q1_Launch_CMP-01120</t>
  </si>
  <si>
    <t>CMP-01121</t>
  </si>
  <si>
    <t>Q1_BlackFriday_CMP-01121</t>
  </si>
  <si>
    <t>CMP-01122</t>
  </si>
  <si>
    <t>Q1_Launch_CMP-01122</t>
  </si>
  <si>
    <t>CMP-01123</t>
  </si>
  <si>
    <t>Q1_Winter_CMP-01123</t>
  </si>
  <si>
    <t>20/01/2023</t>
  </si>
  <si>
    <t>CMP-01124</t>
  </si>
  <si>
    <t>Q3_Winter_CMP-01124</t>
  </si>
  <si>
    <t>CMP-01125</t>
  </si>
  <si>
    <t>Q4_Launch_CMP-01125</t>
  </si>
  <si>
    <t>CMP-01126</t>
  </si>
  <si>
    <t>Q1_Launch_CMP-01126</t>
  </si>
  <si>
    <t>CMP-01127</t>
  </si>
  <si>
    <t>Q4_Launch_CMP-01127</t>
  </si>
  <si>
    <t>CMP-01128</t>
  </si>
  <si>
    <t>Q1_BlackFriday_CMP-01128</t>
  </si>
  <si>
    <t>15/06/2023</t>
  </si>
  <si>
    <t>CMP-01129</t>
  </si>
  <si>
    <t>Q4_BlackFriday_CMP-01129</t>
  </si>
  <si>
    <t>CMP-01130</t>
  </si>
  <si>
    <t>Q1_Launch_CMP-01130</t>
  </si>
  <si>
    <t>CMP-01131</t>
  </si>
  <si>
    <t>Q3_Launch_CMP-01131</t>
  </si>
  <si>
    <t>CMP-01132</t>
  </si>
  <si>
    <t>Q3_BlackFriday_CMP-01132</t>
  </si>
  <si>
    <t>CMP-01133</t>
  </si>
  <si>
    <t>Q1_Winter_CMP-01133</t>
  </si>
  <si>
    <t>CMP-01134</t>
  </si>
  <si>
    <t>Q4_Launch_CMP-01134</t>
  </si>
  <si>
    <t>CMP-01135</t>
  </si>
  <si>
    <t>Q1_Winter_CMP-01135</t>
  </si>
  <si>
    <t>CMP-01136</t>
  </si>
  <si>
    <t>Q1_BlackFriday_CMP-01136</t>
  </si>
  <si>
    <t>CMP-01137</t>
  </si>
  <si>
    <t>Q3_Winter_CMP-01137</t>
  </si>
  <si>
    <t>CMP-01138</t>
  </si>
  <si>
    <t>Q4_Launch_CMP-01138</t>
  </si>
  <si>
    <t>CMP-01139</t>
  </si>
  <si>
    <t>Q1_Launch_CMP-01139</t>
  </si>
  <si>
    <t>CMP-01140</t>
  </si>
  <si>
    <t>Q3_Summer_CMP-01140</t>
  </si>
  <si>
    <t>CMP-01141</t>
  </si>
  <si>
    <t>Q1_Launch_CMP-01141</t>
  </si>
  <si>
    <t>CMP-01142</t>
  </si>
  <si>
    <t>Q4_BlackFriday_CMP-01142</t>
  </si>
  <si>
    <t>CMP-01143</t>
  </si>
  <si>
    <t>Q1_BlackFriday_CMP-01143</t>
  </si>
  <si>
    <t>CMP-01144</t>
  </si>
  <si>
    <t>Q3_Launch_CMP-01144</t>
  </si>
  <si>
    <t>CMP-01145</t>
  </si>
  <si>
    <t>Q3_BlackFriday_CMP-01145</t>
  </si>
  <si>
    <t>CMP-01146</t>
  </si>
  <si>
    <t>Q1_BlackFriday_CMP-01146</t>
  </si>
  <si>
    <t>CMP-01147</t>
  </si>
  <si>
    <t>Q2_BlackFriday_CMP-01147</t>
  </si>
  <si>
    <t>CMP-01148</t>
  </si>
  <si>
    <t>Q3_Launch_CMP-01148</t>
  </si>
  <si>
    <t>CMP-01149</t>
  </si>
  <si>
    <t>Q1_Launch_CMP-01149</t>
  </si>
  <si>
    <t>CMP-01150</t>
  </si>
  <si>
    <t>Q3_BlackFriday_CMP-01150</t>
  </si>
  <si>
    <t>CMP-01151</t>
  </si>
  <si>
    <t>Q1_Summer_CMP-01151</t>
  </si>
  <si>
    <t>CMP-01152</t>
  </si>
  <si>
    <t>Q3_Summer_CMP-01152</t>
  </si>
  <si>
    <t>CMP-01153</t>
  </si>
  <si>
    <t>Q4_Winter_CMP-01153</t>
  </si>
  <si>
    <t>CMP-01154</t>
  </si>
  <si>
    <t>Q2_Summer_CMP-01154</t>
  </si>
  <si>
    <t>CMP-01155</t>
  </si>
  <si>
    <t>Q1_Winter_CMP-01155</t>
  </si>
  <si>
    <t>CMP-01156</t>
  </si>
  <si>
    <t>Q2_Launch_CMP-01156</t>
  </si>
  <si>
    <t>CMP-01157</t>
  </si>
  <si>
    <t>Q4_BlackFriday_CMP-01157</t>
  </si>
  <si>
    <t>23/02/2023</t>
  </si>
  <si>
    <t>CMP-01158</t>
  </si>
  <si>
    <t>Q3_Launch_CMP-01158</t>
  </si>
  <si>
    <t>CMP-01159</t>
  </si>
  <si>
    <t>Q2_Launch_CMP-01159</t>
  </si>
  <si>
    <t>CMP-01160</t>
  </si>
  <si>
    <t>Q1_Summer_CMP-01160</t>
  </si>
  <si>
    <t>CMP-01161</t>
  </si>
  <si>
    <t>Q3_BlackFriday_CMP-01161</t>
  </si>
  <si>
    <t>CMP-01162</t>
  </si>
  <si>
    <t>Q1_Winter_CMP-01162</t>
  </si>
  <si>
    <t>CMP-01163</t>
  </si>
  <si>
    <t>Q1_Launch_CMP-01163</t>
  </si>
  <si>
    <t>CMP-01164</t>
  </si>
  <si>
    <t>Q1_BlackFriday_CMP-01164</t>
  </si>
  <si>
    <t>CMP-01165</t>
  </si>
  <si>
    <t>Q3_Launch_CMP-01165</t>
  </si>
  <si>
    <t>CMP-01166</t>
  </si>
  <si>
    <t>Q4_Summer_CMP-01166</t>
  </si>
  <si>
    <t>CMP-01167</t>
  </si>
  <si>
    <t>Q2_BlackFriday_CMP-01167</t>
  </si>
  <si>
    <t>CMP-01168</t>
  </si>
  <si>
    <t>Q1_Launch_CMP-01168</t>
  </si>
  <si>
    <t>CMP-01169</t>
  </si>
  <si>
    <t>Q1_Winter_CMP-01169</t>
  </si>
  <si>
    <t>20/03/2023</t>
  </si>
  <si>
    <t>CMP-01170</t>
  </si>
  <si>
    <t>Q3_BlackFriday_CMP-01170</t>
  </si>
  <si>
    <t>CMP-01171</t>
  </si>
  <si>
    <t>Q2_Summer_CMP-01171</t>
  </si>
  <si>
    <t>CMP-01172</t>
  </si>
  <si>
    <t>Q3_Launch_CMP-01172</t>
  </si>
  <si>
    <t>CMP-01173</t>
  </si>
  <si>
    <t>Q2_Launch_CMP-01173</t>
  </si>
  <si>
    <t>CMP-01174</t>
  </si>
  <si>
    <t>Q3_Winter_CMP-01174</t>
  </si>
  <si>
    <t>CMP-01175</t>
  </si>
  <si>
    <t>Q3_Summer_CMP-01175</t>
  </si>
  <si>
    <t>CMP-01176</t>
  </si>
  <si>
    <t>Q4_Winter_CMP-01176</t>
  </si>
  <si>
    <t>CMP-01177</t>
  </si>
  <si>
    <t>Q3_BlackFriday_CMP-01177</t>
  </si>
  <si>
    <t>CMP-01178</t>
  </si>
  <si>
    <t>Q1_Launch_CMP-01178</t>
  </si>
  <si>
    <t>CMP-01179</t>
  </si>
  <si>
    <t>Q2_Summer_CMP-01179</t>
  </si>
  <si>
    <t>CMP-01180</t>
  </si>
  <si>
    <t>Q4_Winter_CMP-01180</t>
  </si>
  <si>
    <t>CMP-01181</t>
  </si>
  <si>
    <t>Q3_BlackFriday_CMP-01181</t>
  </si>
  <si>
    <t>CMP-01182</t>
  </si>
  <si>
    <t>Q4_BlackFriday_CMP-01182</t>
  </si>
  <si>
    <t>CMP-01183</t>
  </si>
  <si>
    <t>Q1_Winter_CMP-01183</t>
  </si>
  <si>
    <t>CMP-01184</t>
  </si>
  <si>
    <t>Q2_Summer_CMP-01184</t>
  </si>
  <si>
    <t>CMP-01185</t>
  </si>
  <si>
    <t>Q3_Winter_CMP-01185</t>
  </si>
  <si>
    <t>CMP-01186</t>
  </si>
  <si>
    <t>Q1_BlackFriday_CMP-01186</t>
  </si>
  <si>
    <t>CMP-01187</t>
  </si>
  <si>
    <t>Q4_Launch_CMP-01187</t>
  </si>
  <si>
    <t>CMP-01188</t>
  </si>
  <si>
    <t>Q3_Launch_CMP-01188</t>
  </si>
  <si>
    <t>CMP-01189</t>
  </si>
  <si>
    <t>Q4_Summer_CMP-01189</t>
  </si>
  <si>
    <t>CMP-01190</t>
  </si>
  <si>
    <t>Q3_BlackFriday_CMP-01190</t>
  </si>
  <si>
    <t>CMP-01191</t>
  </si>
  <si>
    <t>Q3_BlackFriday_CMP-01191</t>
  </si>
  <si>
    <t>CMP-01192</t>
  </si>
  <si>
    <t>Q4_Winter_CMP-01192</t>
  </si>
  <si>
    <t>CMP-01193</t>
  </si>
  <si>
    <t>Q4_Launch_CMP-01193</t>
  </si>
  <si>
    <t>CMP-01194</t>
  </si>
  <si>
    <t>Q2_Winter_CMP-01194</t>
  </si>
  <si>
    <t>CMP-01195</t>
  </si>
  <si>
    <t>Q4_BlackFriday_CMP-01195</t>
  </si>
  <si>
    <t>CMP-01196</t>
  </si>
  <si>
    <t>Q4_Summer_CMP-01196</t>
  </si>
  <si>
    <t>CMP-01197</t>
  </si>
  <si>
    <t>Q1_Launch_CMP-01197</t>
  </si>
  <si>
    <t>CMP-01198</t>
  </si>
  <si>
    <t>Q3_Summer_CMP-01198</t>
  </si>
  <si>
    <t>CMP-01199</t>
  </si>
  <si>
    <t>Q2_BlackFriday_CMP-01199</t>
  </si>
  <si>
    <t>CMP-01200</t>
  </si>
  <si>
    <t>Q3_BlackFriday_CMP-01200</t>
  </si>
  <si>
    <t>CMP-01201</t>
  </si>
  <si>
    <t>Q3_Launch_CMP-01201</t>
  </si>
  <si>
    <t>CMP-01202</t>
  </si>
  <si>
    <t>Q4_Summer_CMP-01202</t>
  </si>
  <si>
    <t>CMP-01203</t>
  </si>
  <si>
    <t>Q2_Winter_CMP-01203</t>
  </si>
  <si>
    <t>CMP-01204</t>
  </si>
  <si>
    <t>Q3_Launch_CMP-01204</t>
  </si>
  <si>
    <t>CMP-01205</t>
  </si>
  <si>
    <t>Q4_Summer_CMP-01205</t>
  </si>
  <si>
    <t>CMP-01206</t>
  </si>
  <si>
    <t>Q3_Launch_CMP-01206</t>
  </si>
  <si>
    <t>CMP-01207</t>
  </si>
  <si>
    <t>Q2_Launch_CMP-01207</t>
  </si>
  <si>
    <t>CMP-01208</t>
  </si>
  <si>
    <t>Q2_Launch_CMP-01208</t>
  </si>
  <si>
    <t>CMP-01209</t>
  </si>
  <si>
    <t>Q1_Summer_CMP-01209</t>
  </si>
  <si>
    <t>CMP-01210</t>
  </si>
  <si>
    <t>Q4_Winter_CMP-01210</t>
  </si>
  <si>
    <t>CMP-01211</t>
  </si>
  <si>
    <t>Q2_Summer_CMP-01211</t>
  </si>
  <si>
    <t>CMP-01212</t>
  </si>
  <si>
    <t>Q3_Winter_CMP-01212</t>
  </si>
  <si>
    <t>CMP-01213</t>
  </si>
  <si>
    <t>Q2_Launch_CMP-01213</t>
  </si>
  <si>
    <t>CMP-01214</t>
  </si>
  <si>
    <t>Q4_BlackFriday_CMP-01214</t>
  </si>
  <si>
    <t>CMP-01215</t>
  </si>
  <si>
    <t>Q2_Launch_CMP-01215</t>
  </si>
  <si>
    <t>CMP-01216</t>
  </si>
  <si>
    <t>Q3_BlackFriday_CMP-01216</t>
  </si>
  <si>
    <t>CMP-01217</t>
  </si>
  <si>
    <t>Q3_Summer_CMP-01217</t>
  </si>
  <si>
    <t>CMP-01218</t>
  </si>
  <si>
    <t>Q3_Launch_CMP-01218</t>
  </si>
  <si>
    <t>CMP-01219</t>
  </si>
  <si>
    <t>Q2_Launch_CMP-01219</t>
  </si>
  <si>
    <t>CMP-01220</t>
  </si>
  <si>
    <t>Q4_Launch_CMP-01220</t>
  </si>
  <si>
    <t>CMP-01221</t>
  </si>
  <si>
    <t>Q3_Launch_CMP-01221</t>
  </si>
  <si>
    <t>CMP-01222</t>
  </si>
  <si>
    <t>Q2_Winter_CMP-01222</t>
  </si>
  <si>
    <t>CMP-01223</t>
  </si>
  <si>
    <t>Q4_BlackFriday_CMP-01223</t>
  </si>
  <si>
    <t>CMP-01224</t>
  </si>
  <si>
    <t>Q1_BlackFriday_CMP-01224</t>
  </si>
  <si>
    <t>CMP-01225</t>
  </si>
  <si>
    <t>Q4_Winter_CMP-01225</t>
  </si>
  <si>
    <t>CMP-01226</t>
  </si>
  <si>
    <t>Q1_Launch_CMP-01226</t>
  </si>
  <si>
    <t>CMP-01227</t>
  </si>
  <si>
    <t>Q4_Launch_CMP-01227</t>
  </si>
  <si>
    <t>CMP-01228</t>
  </si>
  <si>
    <t>Q4_Winter_CMP-01228</t>
  </si>
  <si>
    <t>CMP-01229</t>
  </si>
  <si>
    <t>Q1_Winter_CMP-01229</t>
  </si>
  <si>
    <t>CMP-01230</t>
  </si>
  <si>
    <t>Q2_Summer_CMP-01230</t>
  </si>
  <si>
    <t>CMP-01231</t>
  </si>
  <si>
    <t>Q4_Summer_CMP-01231</t>
  </si>
  <si>
    <t>CMP-01232</t>
  </si>
  <si>
    <t>Q3_Winter_CMP-01232</t>
  </si>
  <si>
    <t>CMP-01233</t>
  </si>
  <si>
    <t>Q2_Launch_CMP-01233</t>
  </si>
  <si>
    <t>CMP-01234</t>
  </si>
  <si>
    <t>Q1_BlackFriday_CMP-01234</t>
  </si>
  <si>
    <t>16/12/2023</t>
  </si>
  <si>
    <t>CMP-01235</t>
  </si>
  <si>
    <t>Q1_Launch_CMP-01235</t>
  </si>
  <si>
    <t>CMP-01236</t>
  </si>
  <si>
    <t>Q2_Winter_CMP-01236</t>
  </si>
  <si>
    <t>CMP-01237</t>
  </si>
  <si>
    <t>Q4_BlackFriday_CMP-01237</t>
  </si>
  <si>
    <t>CMP-01238</t>
  </si>
  <si>
    <t>Q2_Winter_CMP-01238</t>
  </si>
  <si>
    <t>CMP-01239</t>
  </si>
  <si>
    <t>Q4_Winter_CMP-01239</t>
  </si>
  <si>
    <t>CMP-01240</t>
  </si>
  <si>
    <t>Q3_Winter_CMP-01240</t>
  </si>
  <si>
    <t>CMP-01241</t>
  </si>
  <si>
    <t>Q3_Summer_CMP-01241</t>
  </si>
  <si>
    <t>CMP-01242</t>
  </si>
  <si>
    <t>Q1_Winter_CMP-01242</t>
  </si>
  <si>
    <t>CMP-01243</t>
  </si>
  <si>
    <t>Q4_Launch_CMP-01243</t>
  </si>
  <si>
    <t>CMP-01244</t>
  </si>
  <si>
    <t>Q2_Launch_CMP-01244</t>
  </si>
  <si>
    <t>CMP-01245</t>
  </si>
  <si>
    <t>Q2_Winter_CMP-01245</t>
  </si>
  <si>
    <t>CMP-01246</t>
  </si>
  <si>
    <t>Q4_Summer_CMP-01246</t>
  </si>
  <si>
    <t>CMP-01247</t>
  </si>
  <si>
    <t>Q3_Winter_CMP-01247</t>
  </si>
  <si>
    <t>CMP-01248</t>
  </si>
  <si>
    <t>Q2_Launch_CMP-01248</t>
  </si>
  <si>
    <t>CMP-01249</t>
  </si>
  <si>
    <t>Q1_Summer_CMP-01249</t>
  </si>
  <si>
    <t>CMP-01250</t>
  </si>
  <si>
    <t>Q1_Launch_CMP-01250</t>
  </si>
  <si>
    <t>CMP-01251</t>
  </si>
  <si>
    <t>Q4_Launch_CMP-01251</t>
  </si>
  <si>
    <t>CMP-01252</t>
  </si>
  <si>
    <t>Q1_Launch_CMP-01252</t>
  </si>
  <si>
    <t>CMP-01253</t>
  </si>
  <si>
    <t>Q3_Summer_CMP-01253</t>
  </si>
  <si>
    <t>CMP-01254</t>
  </si>
  <si>
    <t>Q1_Launch_CMP-01254</t>
  </si>
  <si>
    <t>CMP-01255</t>
  </si>
  <si>
    <t>Q4_Summer_CMP-01255</t>
  </si>
  <si>
    <t>CMP-01256</t>
  </si>
  <si>
    <t>Q3_Launch_CMP-01256</t>
  </si>
  <si>
    <t>CMP-01257</t>
  </si>
  <si>
    <t>Q1_BlackFriday_CMP-01257</t>
  </si>
  <si>
    <t>CMP-01258</t>
  </si>
  <si>
    <t>Q4_Launch_CMP-01258</t>
  </si>
  <si>
    <t>CMP-01259</t>
  </si>
  <si>
    <t>Q4_Summer_CMP-01259</t>
  </si>
  <si>
    <t>CMP-01260</t>
  </si>
  <si>
    <t>Q1_Winter_CMP-01260</t>
  </si>
  <si>
    <t>CMP-01261</t>
  </si>
  <si>
    <t>Q3_Summer_CMP-01261</t>
  </si>
  <si>
    <t>CMP-01262</t>
  </si>
  <si>
    <t>Q2_BlackFriday_CMP-01262</t>
  </si>
  <si>
    <t>CMP-01263</t>
  </si>
  <si>
    <t>Q4_BlackFriday_CMP-01263</t>
  </si>
  <si>
    <t>CMP-01264</t>
  </si>
  <si>
    <t>Q2_Winter_CMP-01264</t>
  </si>
  <si>
    <t>CMP-01265</t>
  </si>
  <si>
    <t>Q4_Winter_CMP-01265</t>
  </si>
  <si>
    <t>CMP-01266</t>
  </si>
  <si>
    <t>Q3_Summer_CMP-01266</t>
  </si>
  <si>
    <t>CMP-01267</t>
  </si>
  <si>
    <t>Q3_Summer_CMP-01267</t>
  </si>
  <si>
    <t>CMP-01268</t>
  </si>
  <si>
    <t>Q4_Launch_CMP-01268</t>
  </si>
  <si>
    <t>CMP-01269</t>
  </si>
  <si>
    <t>Q2_BlackFriday_CMP-01269</t>
  </si>
  <si>
    <t>CMP-01270</t>
  </si>
  <si>
    <t>Q3_BlackFriday_CMP-01270</t>
  </si>
  <si>
    <t>CMP-01271</t>
  </si>
  <si>
    <t>Q4_BlackFriday_CMP-01271</t>
  </si>
  <si>
    <t>CMP-01272</t>
  </si>
  <si>
    <t>Q4_BlackFriday_CMP-01272</t>
  </si>
  <si>
    <t>CMP-01273</t>
  </si>
  <si>
    <t>Q3_Summer_CMP-01273</t>
  </si>
  <si>
    <t>30/01/2023</t>
  </si>
  <si>
    <t>CMP-01274</t>
  </si>
  <si>
    <t>Q2_Winter_CMP-01274</t>
  </si>
  <si>
    <t>CMP-01275</t>
  </si>
  <si>
    <t>Q3_Summer_CMP-01275</t>
  </si>
  <si>
    <t>CMP-01276</t>
  </si>
  <si>
    <t>Q2_BlackFriday_CMP-01276</t>
  </si>
  <si>
    <t>CMP-01277</t>
  </si>
  <si>
    <t>Q3_BlackFriday_CMP-01277</t>
  </si>
  <si>
    <t>CMP-01278</t>
  </si>
  <si>
    <t>Q3_Winter_CMP-01278</t>
  </si>
  <si>
    <t>16/07/2023</t>
  </si>
  <si>
    <t>CMP-01279</t>
  </si>
  <si>
    <t>Q3_Launch_CMP-01279</t>
  </si>
  <si>
    <t>CMP-01280</t>
  </si>
  <si>
    <t>Q4_BlackFriday_CMP-01280</t>
  </si>
  <si>
    <t>CMP-01281</t>
  </si>
  <si>
    <t>Q2_Winter_CMP-01281</t>
  </si>
  <si>
    <t>CMP-01282</t>
  </si>
  <si>
    <t>Q2_BlackFriday_CMP-01282</t>
  </si>
  <si>
    <t>CMP-01283</t>
  </si>
  <si>
    <t>Q4_BlackFriday_CMP-01283</t>
  </si>
  <si>
    <t>CMP-01284</t>
  </si>
  <si>
    <t>Q2_Summer_CMP-01284</t>
  </si>
  <si>
    <t>CMP-01285</t>
  </si>
  <si>
    <t>Q2_BlackFriday_CMP-01285</t>
  </si>
  <si>
    <t>CMP-01286</t>
  </si>
  <si>
    <t>Q2_Summer_CMP-01286</t>
  </si>
  <si>
    <t>CMP-01287</t>
  </si>
  <si>
    <t>Q3_BlackFriday_CMP-01287</t>
  </si>
  <si>
    <t>CMP-01288</t>
  </si>
  <si>
    <t>Q4_Launch_CMP-01288</t>
  </si>
  <si>
    <t>CMP-01289</t>
  </si>
  <si>
    <t>Q2_BlackFriday_CMP-01289</t>
  </si>
  <si>
    <t>26/07/2023</t>
  </si>
  <si>
    <t>CMP-01290</t>
  </si>
  <si>
    <t>Q2_BlackFriday_CMP-01290</t>
  </si>
  <si>
    <t>CMP-01291</t>
  </si>
  <si>
    <t>Q3_Launch_CMP-01291</t>
  </si>
  <si>
    <t>CMP-01292</t>
  </si>
  <si>
    <t>Q4_Winter_CMP-01292</t>
  </si>
  <si>
    <t>CMP-01293</t>
  </si>
  <si>
    <t>Q4_Winter_CMP-01293</t>
  </si>
  <si>
    <t>CMP-01294</t>
  </si>
  <si>
    <t>Q4_Launch_CMP-01294</t>
  </si>
  <si>
    <t>CMP-01295</t>
  </si>
  <si>
    <t>Q1_Summer_CMP-01295</t>
  </si>
  <si>
    <t>CMP-01296</t>
  </si>
  <si>
    <t>Q3_Winter_CMP-01296</t>
  </si>
  <si>
    <t>CMP-01297</t>
  </si>
  <si>
    <t>Q3_Winter_CMP-01297</t>
  </si>
  <si>
    <t>CMP-01298</t>
  </si>
  <si>
    <t>Q2_Winter_CMP-01298</t>
  </si>
  <si>
    <t>CMP-01299</t>
  </si>
  <si>
    <t>Q3_Summer_CMP-01299</t>
  </si>
  <si>
    <t>CMP-01300</t>
  </si>
  <si>
    <t>Q2_BlackFriday_CMP-01300</t>
  </si>
  <si>
    <t>CMP-01301</t>
  </si>
  <si>
    <t>Q4_Launch_CMP-01301</t>
  </si>
  <si>
    <t>CMP-01302</t>
  </si>
  <si>
    <t>Q1_Winter_CMP-01302</t>
  </si>
  <si>
    <t>CMP-01303</t>
  </si>
  <si>
    <t>Q2_BlackFriday_CMP-01303</t>
  </si>
  <si>
    <t>CMP-01304</t>
  </si>
  <si>
    <t>Q1_Launch_CMP-01304</t>
  </si>
  <si>
    <t>CMP-01305</t>
  </si>
  <si>
    <t>Q1_BlackFriday_CMP-01305</t>
  </si>
  <si>
    <t>CMP-01306</t>
  </si>
  <si>
    <t>Q1_BlackFriday_CMP-01306</t>
  </si>
  <si>
    <t>CMP-01307</t>
  </si>
  <si>
    <t>Q1_Summer_CMP-01307</t>
  </si>
  <si>
    <t>CMP-01308</t>
  </si>
  <si>
    <t>Q4_Winter_CMP-01308</t>
  </si>
  <si>
    <t>CMP-01309</t>
  </si>
  <si>
    <t>Q2_BlackFriday_CMP-01309</t>
  </si>
  <si>
    <t>CMP-01310</t>
  </si>
  <si>
    <t>Q2_Winter_CMP-01310</t>
  </si>
  <si>
    <t>CMP-01311</t>
  </si>
  <si>
    <t>Q2_Launch_CMP-01311</t>
  </si>
  <si>
    <t>CMP-01312</t>
  </si>
  <si>
    <t>Q2_Summer_CMP-01312</t>
  </si>
  <si>
    <t>CMP-01313</t>
  </si>
  <si>
    <t>Q3_BlackFriday_CMP-01313</t>
  </si>
  <si>
    <t>CMP-01314</t>
  </si>
  <si>
    <t>Q1_Winter_CMP-01314</t>
  </si>
  <si>
    <t>CMP-01315</t>
  </si>
  <si>
    <t>Q1_Winter_CMP-01315</t>
  </si>
  <si>
    <t>CMP-01316</t>
  </si>
  <si>
    <t>Q3_Summer_CMP-01316</t>
  </si>
  <si>
    <t>CMP-01317</t>
  </si>
  <si>
    <t>Q2_Winter_CMP-01317</t>
  </si>
  <si>
    <t>CMP-01318</t>
  </si>
  <si>
    <t>Q2_Launch_CMP-01318</t>
  </si>
  <si>
    <t>CMP-01319</t>
  </si>
  <si>
    <t>Q4_Summer_CMP-01319</t>
  </si>
  <si>
    <t>24/01/2023</t>
  </si>
  <si>
    <t>CMP-01320</t>
  </si>
  <si>
    <t>Q1_BlackFriday_CMP-01320</t>
  </si>
  <si>
    <t>CMP-01321</t>
  </si>
  <si>
    <t>Q1_Winter_CMP-01321</t>
  </si>
  <si>
    <t>CMP-01322</t>
  </si>
  <si>
    <t>Q4_Summer_CMP-01322</t>
  </si>
  <si>
    <t>CMP-01323</t>
  </si>
  <si>
    <t>Q4_Summer_CMP-01323</t>
  </si>
  <si>
    <t>CMP-01324</t>
  </si>
  <si>
    <t>Q4_Winter_CMP-01324</t>
  </si>
  <si>
    <t>CMP-01325</t>
  </si>
  <si>
    <t>Q1_Winter_CMP-01325</t>
  </si>
  <si>
    <t>CMP-01326</t>
  </si>
  <si>
    <t>Q4_BlackFriday_CMP-01326</t>
  </si>
  <si>
    <t>CMP-01327</t>
  </si>
  <si>
    <t>Q1_Launch_CMP-01327</t>
  </si>
  <si>
    <t>CMP-01328</t>
  </si>
  <si>
    <t>Q1_Launch_CMP-01328</t>
  </si>
  <si>
    <t>CMP-01329</t>
  </si>
  <si>
    <t>Q2_Launch_CMP-01329</t>
  </si>
  <si>
    <t>CMP-01330</t>
  </si>
  <si>
    <t>Q1_BlackFriday_CMP-01330</t>
  </si>
  <si>
    <t>CMP-01331</t>
  </si>
  <si>
    <t>Q4_BlackFriday_CMP-01331</t>
  </si>
  <si>
    <t>CMP-01332</t>
  </si>
  <si>
    <t>Q4_Winter_CMP-01332</t>
  </si>
  <si>
    <t>CMP-01333</t>
  </si>
  <si>
    <t>Q3_Launch_CMP-01333</t>
  </si>
  <si>
    <t>CMP-01334</t>
  </si>
  <si>
    <t>Q3_BlackFriday_CMP-01334</t>
  </si>
  <si>
    <t>CMP-01335</t>
  </si>
  <si>
    <t>Q3_Winter_CMP-01335</t>
  </si>
  <si>
    <t>CMP-01336</t>
  </si>
  <si>
    <t>Q3_BlackFriday_CMP-01336</t>
  </si>
  <si>
    <t>CMP-01337</t>
  </si>
  <si>
    <t>Q3_Launch_CMP-01337</t>
  </si>
  <si>
    <t>CMP-01338</t>
  </si>
  <si>
    <t>Q1_Winter_CMP-01338</t>
  </si>
  <si>
    <t>13/11/2023</t>
  </si>
  <si>
    <t>CMP-01339</t>
  </si>
  <si>
    <t>Q4_Summer_CMP-01339</t>
  </si>
  <si>
    <t>CMP-01340</t>
  </si>
  <si>
    <t>Q3_Launch_CMP-01340</t>
  </si>
  <si>
    <t>CMP-01341</t>
  </si>
  <si>
    <t>Q4_Winter_CMP-01341</t>
  </si>
  <si>
    <t>CMP-01342</t>
  </si>
  <si>
    <t>Q2_Summer_CMP-01342</t>
  </si>
  <si>
    <t>CMP-01343</t>
  </si>
  <si>
    <t>Q4_BlackFriday_CMP-01343</t>
  </si>
  <si>
    <t>CMP-01344</t>
  </si>
  <si>
    <t>Q1_Launch_CMP-01344</t>
  </si>
  <si>
    <t>CMP-01345</t>
  </si>
  <si>
    <t>Q3_Winter_CMP-01345</t>
  </si>
  <si>
    <t>CMP-01346</t>
  </si>
  <si>
    <t>Q2_Summer_CMP-01346</t>
  </si>
  <si>
    <t>CMP-01347</t>
  </si>
  <si>
    <t>Q2_Winter_CMP-01347</t>
  </si>
  <si>
    <t>CMP-01348</t>
  </si>
  <si>
    <t>Q3_BlackFriday_CMP-01348</t>
  </si>
  <si>
    <t>CMP-01349</t>
  </si>
  <si>
    <t>Q3_Launch_CMP-01349</t>
  </si>
  <si>
    <t>CMP-01350</t>
  </si>
  <si>
    <t>Q1_BlackFriday_CMP-01350</t>
  </si>
  <si>
    <t>CMP-01351</t>
  </si>
  <si>
    <t>Q2_Winter_CMP-01351</t>
  </si>
  <si>
    <t>CMP-01352</t>
  </si>
  <si>
    <t>Q3_Winter_CMP-01352</t>
  </si>
  <si>
    <t>CMP-01353</t>
  </si>
  <si>
    <t>Q2_Launch_CMP-01353</t>
  </si>
  <si>
    <t>CMP-01354</t>
  </si>
  <si>
    <t>Q2_Winter_CMP-01354</t>
  </si>
  <si>
    <t>CMP-01355</t>
  </si>
  <si>
    <t>Q2_BlackFriday_CMP-01355</t>
  </si>
  <si>
    <t>CMP-01356</t>
  </si>
  <si>
    <t>Q4_Launch_CMP-01356</t>
  </si>
  <si>
    <t>CMP-01357</t>
  </si>
  <si>
    <t>Q3_Winter_CMP-01357</t>
  </si>
  <si>
    <t>CMP-01358</t>
  </si>
  <si>
    <t>Q3_Launch_CMP-01358</t>
  </si>
  <si>
    <t>CMP-01359</t>
  </si>
  <si>
    <t>Q3_BlackFriday_CMP-01359</t>
  </si>
  <si>
    <t>CMP-01360</t>
  </si>
  <si>
    <t>Q2_BlackFriday_CMP-01360</t>
  </si>
  <si>
    <t>CMP-01361</t>
  </si>
  <si>
    <t>Q3_BlackFriday_CMP-01361</t>
  </si>
  <si>
    <t>CMP-01362</t>
  </si>
  <si>
    <t>Q3_Launch_CMP-01362</t>
  </si>
  <si>
    <t>CMP-01363</t>
  </si>
  <si>
    <t>Q3_Launch_CMP-01363</t>
  </si>
  <si>
    <t>CMP-01364</t>
  </si>
  <si>
    <t>Q4_Launch_CMP-01364</t>
  </si>
  <si>
    <t>CMP-01365</t>
  </si>
  <si>
    <t>Q1_Launch_CMP-01365</t>
  </si>
  <si>
    <t>CMP-01366</t>
  </si>
  <si>
    <t>Q1_Launch_CMP-01366</t>
  </si>
  <si>
    <t>CMP-01367</t>
  </si>
  <si>
    <t>Q3_Winter_CMP-01367</t>
  </si>
  <si>
    <t>CMP-01368</t>
  </si>
  <si>
    <t>Q4_BlackFriday_CMP-01368</t>
  </si>
  <si>
    <t>CMP-01369</t>
  </si>
  <si>
    <t>Q1_Winter_CMP-01369</t>
  </si>
  <si>
    <t>CMP-01370</t>
  </si>
  <si>
    <t>Q2_BlackFriday_CMP-01370</t>
  </si>
  <si>
    <t>CMP-01371</t>
  </si>
  <si>
    <t>Q3_BlackFriday_CMP-01371</t>
  </si>
  <si>
    <t>CMP-01372</t>
  </si>
  <si>
    <t>Q1_BlackFriday_CMP-01372</t>
  </si>
  <si>
    <t>CMP-01373</t>
  </si>
  <si>
    <t>Q4_Launch_CMP-01373</t>
  </si>
  <si>
    <t>CMP-01374</t>
  </si>
  <si>
    <t>Q3_Winter_CMP-01374</t>
  </si>
  <si>
    <t>CMP-01375</t>
  </si>
  <si>
    <t>Q2_Launch_CMP-01375</t>
  </si>
  <si>
    <t>CMP-01376</t>
  </si>
  <si>
    <t>Q3_Summer_CMP-01376</t>
  </si>
  <si>
    <t>CMP-01377</t>
  </si>
  <si>
    <t>Q1_Winter_CMP-01377</t>
  </si>
  <si>
    <t>CMP-01378</t>
  </si>
  <si>
    <t>Q2_BlackFriday_CMP-01378</t>
  </si>
  <si>
    <t>CMP-01379</t>
  </si>
  <si>
    <t>Q4_Launch_CMP-01379</t>
  </si>
  <si>
    <t>CMP-01380</t>
  </si>
  <si>
    <t>Q1_Launch_CMP-01380</t>
  </si>
  <si>
    <t>CMP-01381</t>
  </si>
  <si>
    <t>Q4_Winter_CMP-01381</t>
  </si>
  <si>
    <t>CMP-01382</t>
  </si>
  <si>
    <t>Q3_Launch_CMP-01382</t>
  </si>
  <si>
    <t>CMP-01383</t>
  </si>
  <si>
    <t>Q1_Summer_CMP-01383</t>
  </si>
  <si>
    <t>CMP-01384</t>
  </si>
  <si>
    <t>Q1_BlackFriday_CMP-01384</t>
  </si>
  <si>
    <t>CMP-01385</t>
  </si>
  <si>
    <t>Q3_BlackFriday_CMP-01385</t>
  </si>
  <si>
    <t>CMP-01386</t>
  </si>
  <si>
    <t>Q4_BlackFriday_CMP-01386</t>
  </si>
  <si>
    <t>CMP-01387</t>
  </si>
  <si>
    <t>Q1_Launch_CMP-01387</t>
  </si>
  <si>
    <t>CMP-01388</t>
  </si>
  <si>
    <t>Q2_Summer_CMP-01388</t>
  </si>
  <si>
    <t>CMP-01389</t>
  </si>
  <si>
    <t>Q3_Launch_CMP-01389</t>
  </si>
  <si>
    <t>CMP-01390</t>
  </si>
  <si>
    <t>Q2_Winter_CMP-01390</t>
  </si>
  <si>
    <t>CMP-01391</t>
  </si>
  <si>
    <t>Q3_Winter_CMP-01391</t>
  </si>
  <si>
    <t>16/03/2023</t>
  </si>
  <si>
    <t>CMP-01392</t>
  </si>
  <si>
    <t>Q1_Launch_CMP-01392</t>
  </si>
  <si>
    <t>CMP-01393</t>
  </si>
  <si>
    <t>Q2_BlackFriday_CMP-01393</t>
  </si>
  <si>
    <t>CMP-01394</t>
  </si>
  <si>
    <t>Q3_BlackFriday_CMP-01394</t>
  </si>
  <si>
    <t>CMP-01395</t>
  </si>
  <si>
    <t>Q1_Winter_CMP-01395</t>
  </si>
  <si>
    <t>CMP-01396</t>
  </si>
  <si>
    <t>Q1_BlackFriday_CMP-01396</t>
  </si>
  <si>
    <t>CMP-01397</t>
  </si>
  <si>
    <t>Q3_Launch_CMP-01397</t>
  </si>
  <si>
    <t>CMP-01398</t>
  </si>
  <si>
    <t>Q2_Winter_CMP-01398</t>
  </si>
  <si>
    <t>CMP-01399</t>
  </si>
  <si>
    <t>Q3_Launch_CMP-01399</t>
  </si>
  <si>
    <t>CMP-01400</t>
  </si>
  <si>
    <t>Q2_Launch_CMP-01400</t>
  </si>
  <si>
    <t>CMP-01401</t>
  </si>
  <si>
    <t>Q3_BlackFriday_CMP-01401</t>
  </si>
  <si>
    <t>CMP-01402</t>
  </si>
  <si>
    <t>Q2_BlackFriday_CMP-01402</t>
  </si>
  <si>
    <t>CMP-01403</t>
  </si>
  <si>
    <t>Q3_Summer_CMP-01403</t>
  </si>
  <si>
    <t>CMP-01404</t>
  </si>
  <si>
    <t>Q2_Summer_CMP-01404</t>
  </si>
  <si>
    <t>CMP-01405</t>
  </si>
  <si>
    <t>Q4_Launch_CMP-01405</t>
  </si>
  <si>
    <t>CMP-01406</t>
  </si>
  <si>
    <t>Q4_Launch_CMP-01406</t>
  </si>
  <si>
    <t>CMP-01407</t>
  </si>
  <si>
    <t>Q1_Summer_CMP-01407</t>
  </si>
  <si>
    <t>CMP-01408</t>
  </si>
  <si>
    <t>Q3_Summer_CMP-01408</t>
  </si>
  <si>
    <t>CMP-01409</t>
  </si>
  <si>
    <t>Q4_Summer_CMP-01409</t>
  </si>
  <si>
    <t>CMP-01410</t>
  </si>
  <si>
    <t>Q3_Launch_CMP-01410</t>
  </si>
  <si>
    <t>CMP-01411</t>
  </si>
  <si>
    <t>Q3_BlackFriday_CMP-01411</t>
  </si>
  <si>
    <t>CMP-01412</t>
  </si>
  <si>
    <t>Q1_Summer_CMP-01412</t>
  </si>
  <si>
    <t>CMP-01413</t>
  </si>
  <si>
    <t>Q1_Summer_CMP-01413</t>
  </si>
  <si>
    <t>CMP-01414</t>
  </si>
  <si>
    <t>Q2_Summer_CMP-01414</t>
  </si>
  <si>
    <t>CMP-01415</t>
  </si>
  <si>
    <t>Q4_Winter_CMP-01415</t>
  </si>
  <si>
    <t>CMP-01416</t>
  </si>
  <si>
    <t>Q1_Launch_CMP-01416</t>
  </si>
  <si>
    <t>CMP-01417</t>
  </si>
  <si>
    <t>Q3_Launch_CMP-01417</t>
  </si>
  <si>
    <t>CMP-01418</t>
  </si>
  <si>
    <t>Q4_Winter_CMP-01418</t>
  </si>
  <si>
    <t>CMP-01419</t>
  </si>
  <si>
    <t>Q3_Summer_CMP-01419</t>
  </si>
  <si>
    <t>CMP-01420</t>
  </si>
  <si>
    <t>Q2_BlackFriday_CMP-01420</t>
  </si>
  <si>
    <t>CMP-01421</t>
  </si>
  <si>
    <t>Q4_Launch_CMP-01421</t>
  </si>
  <si>
    <t>CMP-01422</t>
  </si>
  <si>
    <t>Q1_Launch_CMP-01422</t>
  </si>
  <si>
    <t>CMP-01423</t>
  </si>
  <si>
    <t>Q3_Summer_CMP-01423</t>
  </si>
  <si>
    <t>CMP-01424</t>
  </si>
  <si>
    <t>Q4_Summer_CMP-01424</t>
  </si>
  <si>
    <t>CMP-01425</t>
  </si>
  <si>
    <t>Q1_Winter_CMP-01425</t>
  </si>
  <si>
    <t>CMP-01426</t>
  </si>
  <si>
    <t>Q3_Launch_CMP-01426</t>
  </si>
  <si>
    <t>CMP-01427</t>
  </si>
  <si>
    <t>Q2_BlackFriday_CMP-01427</t>
  </si>
  <si>
    <t>CMP-01428</t>
  </si>
  <si>
    <t>Q2_BlackFriday_CMP-01428</t>
  </si>
  <si>
    <t>25/05/2023</t>
  </si>
  <si>
    <t>CMP-01429</t>
  </si>
  <si>
    <t>Q4_Winter_CMP-01429</t>
  </si>
  <si>
    <t>CMP-01430</t>
  </si>
  <si>
    <t>Q3_Winter_CMP-01430</t>
  </si>
  <si>
    <t>CMP-01431</t>
  </si>
  <si>
    <t>Q2_Winter_CMP-01431</t>
  </si>
  <si>
    <t>CMP-01432</t>
  </si>
  <si>
    <t>Q2_BlackFriday_CMP-01432</t>
  </si>
  <si>
    <t>CMP-01433</t>
  </si>
  <si>
    <t>Q2_Summer_CMP-01433</t>
  </si>
  <si>
    <t>CMP-01434</t>
  </si>
  <si>
    <t>Q1_Summer_CMP-01434</t>
  </si>
  <si>
    <t>CMP-01435</t>
  </si>
  <si>
    <t>Q2_BlackFriday_CMP-01435</t>
  </si>
  <si>
    <t>CMP-01436</t>
  </si>
  <si>
    <t>Q1_BlackFriday_CMP-01436</t>
  </si>
  <si>
    <t>CMP-01437</t>
  </si>
  <si>
    <t>Q3_Winter_CMP-01437</t>
  </si>
  <si>
    <t>CMP-01438</t>
  </si>
  <si>
    <t>Q2_Winter_CMP-01438</t>
  </si>
  <si>
    <t>CMP-01439</t>
  </si>
  <si>
    <t>Q3_Winter_CMP-01439</t>
  </si>
  <si>
    <t>19/06/2023</t>
  </si>
  <si>
    <t>CMP-01440</t>
  </si>
  <si>
    <t>Q4_BlackFriday_CMP-01440</t>
  </si>
  <si>
    <t>CMP-01441</t>
  </si>
  <si>
    <t>Q2_Winter_CMP-01441</t>
  </si>
  <si>
    <t>CMP-01442</t>
  </si>
  <si>
    <t>Q3_Summer_CMP-01442</t>
  </si>
  <si>
    <t>CMP-01443</t>
  </si>
  <si>
    <t>Q2_Launch_CMP-01443</t>
  </si>
  <si>
    <t>CMP-01444</t>
  </si>
  <si>
    <t>Q1_Launch_CMP-01444</t>
  </si>
  <si>
    <t>CMP-01445</t>
  </si>
  <si>
    <t>Q1_Launch_CMP-01445</t>
  </si>
  <si>
    <t>CMP-01446</t>
  </si>
  <si>
    <t>Q2_Launch_CMP-01446</t>
  </si>
  <si>
    <t>27/10/2023</t>
  </si>
  <si>
    <t>CMP-01447</t>
  </si>
  <si>
    <t>Q1_Launch_CMP-01447</t>
  </si>
  <si>
    <t>CMP-01448</t>
  </si>
  <si>
    <t>Q4_Launch_CMP-01448</t>
  </si>
  <si>
    <t>CMP-01449</t>
  </si>
  <si>
    <t>Q2_Winter_CMP-01449</t>
  </si>
  <si>
    <t>CMP-01450</t>
  </si>
  <si>
    <t>Q4_Summer_CMP-01450</t>
  </si>
  <si>
    <t>CMP-01451</t>
  </si>
  <si>
    <t>Q1_Winter_CMP-01451</t>
  </si>
  <si>
    <t>CMP-01452</t>
  </si>
  <si>
    <t>Q1_Winter_CMP-01452</t>
  </si>
  <si>
    <t>CMP-01453</t>
  </si>
  <si>
    <t>Q2_Summer_CMP-01453</t>
  </si>
  <si>
    <t>CMP-01454</t>
  </si>
  <si>
    <t>Q4_BlackFriday_CMP-01454</t>
  </si>
  <si>
    <t>CMP-01455</t>
  </si>
  <si>
    <t>Q3_Launch_CMP-01455</t>
  </si>
  <si>
    <t>CMP-01456</t>
  </si>
  <si>
    <t>Q2_Winter_CMP-01456</t>
  </si>
  <si>
    <t>CMP-01457</t>
  </si>
  <si>
    <t>Q1_BlackFriday_CMP-01457</t>
  </si>
  <si>
    <t>22/01/2023</t>
  </si>
  <si>
    <t>CMP-01458</t>
  </si>
  <si>
    <t>Q4_BlackFriday_CMP-01458</t>
  </si>
  <si>
    <t>CMP-01459</t>
  </si>
  <si>
    <t>Q1_Launch_CMP-01459</t>
  </si>
  <si>
    <t>CMP-01460</t>
  </si>
  <si>
    <t>Q1_Summer_CMP-01460</t>
  </si>
  <si>
    <t>CMP-01461</t>
  </si>
  <si>
    <t>Q4_Launch_CMP-01461</t>
  </si>
  <si>
    <t>CMP-01462</t>
  </si>
  <si>
    <t>Q4_Summer_CMP-01462</t>
  </si>
  <si>
    <t>CMP-01463</t>
  </si>
  <si>
    <t>Q3_BlackFriday_CMP-01463</t>
  </si>
  <si>
    <t>CMP-01464</t>
  </si>
  <si>
    <t>Q3_Summer_CMP-01464</t>
  </si>
  <si>
    <t>CMP-01465</t>
  </si>
  <si>
    <t>Q4_BlackFriday_CMP-01465</t>
  </si>
  <si>
    <t>CMP-01466</t>
  </si>
  <si>
    <t>Q2_Summer_CMP-01466</t>
  </si>
  <si>
    <t>CMP-01467</t>
  </si>
  <si>
    <t>Q4_Launch_CMP-01467</t>
  </si>
  <si>
    <t>CMP-01468</t>
  </si>
  <si>
    <t>Q1_BlackFriday_CMP-01468</t>
  </si>
  <si>
    <t>CMP-01469</t>
  </si>
  <si>
    <t>Q3_Summer_CMP-01469</t>
  </si>
  <si>
    <t>CMP-01470</t>
  </si>
  <si>
    <t>Q2_Winter_CMP-01470</t>
  </si>
  <si>
    <t>CMP-01471</t>
  </si>
  <si>
    <t>Q2_Summer_CMP-01471</t>
  </si>
  <si>
    <t>CMP-01472</t>
  </si>
  <si>
    <t>Q2_Winter_CMP-01472</t>
  </si>
  <si>
    <t>CMP-01473</t>
  </si>
  <si>
    <t>Q2_Launch_CMP-01473</t>
  </si>
  <si>
    <t>CMP-01474</t>
  </si>
  <si>
    <t>Q1_Summer_CMP-01474</t>
  </si>
  <si>
    <t>CMP-01475</t>
  </si>
  <si>
    <t>Q2_BlackFriday_CMP-01475</t>
  </si>
  <si>
    <t>CMP-01476</t>
  </si>
  <si>
    <t>Q3_Launch_CMP-01476</t>
  </si>
  <si>
    <t>CMP-01477</t>
  </si>
  <si>
    <t>Q2_Launch_CMP-01477</t>
  </si>
  <si>
    <t>CMP-01478</t>
  </si>
  <si>
    <t>Q2_Winter_CMP-01478</t>
  </si>
  <si>
    <t>CMP-01479</t>
  </si>
  <si>
    <t>Q2_Winter_CMP-01479</t>
  </si>
  <si>
    <t>CMP-01480</t>
  </si>
  <si>
    <t>Q3_Summer_CMP-01480</t>
  </si>
  <si>
    <t>CMP-01481</t>
  </si>
  <si>
    <t>Q2_Summer_CMP-01481</t>
  </si>
  <si>
    <t>17/11/2023</t>
  </si>
  <si>
    <t>CMP-01482</t>
  </si>
  <si>
    <t>Q4_Winter_CMP-01482</t>
  </si>
  <si>
    <t>CMP-01483</t>
  </si>
  <si>
    <t>Q3_Launch_CMP-01483</t>
  </si>
  <si>
    <t>20/11/2023</t>
  </si>
  <si>
    <t>CMP-01484</t>
  </si>
  <si>
    <t>Q3_BlackFriday_CMP-01484</t>
  </si>
  <si>
    <t>CMP-01485</t>
  </si>
  <si>
    <t>Q3_Summer_CMP-01485</t>
  </si>
  <si>
    <t>CMP-01486</t>
  </si>
  <si>
    <t>Q1_BlackFriday_CMP-01486</t>
  </si>
  <si>
    <t>CMP-01487</t>
  </si>
  <si>
    <t>Q1_Launch_CMP-01487</t>
  </si>
  <si>
    <t>CMP-01488</t>
  </si>
  <si>
    <t>Q1_Winter_CMP-01488</t>
  </si>
  <si>
    <t>CMP-01489</t>
  </si>
  <si>
    <t>Q4_Summer_CMP-01489</t>
  </si>
  <si>
    <t>CMP-01490</t>
  </si>
  <si>
    <t>Q4_Winter_CMP-01490</t>
  </si>
  <si>
    <t>CMP-01491</t>
  </si>
  <si>
    <t>Q2_Summer_CMP-01491</t>
  </si>
  <si>
    <t>CMP-01492</t>
  </si>
  <si>
    <t>Q1_BlackFriday_CMP-01492</t>
  </si>
  <si>
    <t>CMP-01493</t>
  </si>
  <si>
    <t>Q2_Summer_CMP-01493</t>
  </si>
  <si>
    <t>CMP-01494</t>
  </si>
  <si>
    <t>Q4_Summer_CMP-01494</t>
  </si>
  <si>
    <t>CMP-01495</t>
  </si>
  <si>
    <t>Q1_Launch_CMP-01495</t>
  </si>
  <si>
    <t>CMP-01496</t>
  </si>
  <si>
    <t>Q4_Launch_CMP-01496</t>
  </si>
  <si>
    <t>CMP-01497</t>
  </si>
  <si>
    <t>Q4_Winter_CMP-01497</t>
  </si>
  <si>
    <t>30/04/2023</t>
  </si>
  <si>
    <t>CMP-01498</t>
  </si>
  <si>
    <t>Q1_BlackFriday_CMP-01498</t>
  </si>
  <si>
    <t>CMP-01499</t>
  </si>
  <si>
    <t>Q4_Launch_CMP-01499</t>
  </si>
  <si>
    <t>CMP-01500</t>
  </si>
  <si>
    <t>Q3_Winter_CMP-01500</t>
  </si>
  <si>
    <t>CMP-01501</t>
  </si>
  <si>
    <t>Q3_BlackFriday_CMP-01501</t>
  </si>
  <si>
    <t>CMP-01502</t>
  </si>
  <si>
    <t>Q1_Launch_CMP-01502</t>
  </si>
  <si>
    <t>CMP-01503</t>
  </si>
  <si>
    <t>Q4_Winter_CMP-01503</t>
  </si>
  <si>
    <t>CMP-01504</t>
  </si>
  <si>
    <t>Q2_Winter_CMP-01504</t>
  </si>
  <si>
    <t>CMP-01505</t>
  </si>
  <si>
    <t>Q2_Winter_CMP-01505</t>
  </si>
  <si>
    <t>CMP-01506</t>
  </si>
  <si>
    <t>Q2_Summer_CMP-01506</t>
  </si>
  <si>
    <t>CMP-01507</t>
  </si>
  <si>
    <t>Q1_Launch_CMP-01507</t>
  </si>
  <si>
    <t>CMP-01508</t>
  </si>
  <si>
    <t>Q3_Summer_CMP-01508</t>
  </si>
  <si>
    <t>CMP-01509</t>
  </si>
  <si>
    <t>Q2_Winter_CMP-01509</t>
  </si>
  <si>
    <t>CMP-01510</t>
  </si>
  <si>
    <t>Q3_Winter_CMP-01510</t>
  </si>
  <si>
    <t>CMP-01511</t>
  </si>
  <si>
    <t>Q3_BlackFriday_CMP-01511</t>
  </si>
  <si>
    <t>CMP-01512</t>
  </si>
  <si>
    <t>Q4_BlackFriday_CMP-01512</t>
  </si>
  <si>
    <t>CMP-01513</t>
  </si>
  <si>
    <t>Q2_BlackFriday_CMP-01513</t>
  </si>
  <si>
    <t>CMP-01514</t>
  </si>
  <si>
    <t>Q4_BlackFriday_CMP-01514</t>
  </si>
  <si>
    <t>CMP-01515</t>
  </si>
  <si>
    <t>Q2_Summer_CMP-01515</t>
  </si>
  <si>
    <t>CMP-01516</t>
  </si>
  <si>
    <t>Q4_Summer_CMP-01516</t>
  </si>
  <si>
    <t>CMP-01517</t>
  </si>
  <si>
    <t>Q2_Winter_CMP-01517</t>
  </si>
  <si>
    <t>CMP-01518</t>
  </si>
  <si>
    <t>Q1_Winter_CMP-01518</t>
  </si>
  <si>
    <t>CMP-01519</t>
  </si>
  <si>
    <t>Q1_Winter_CMP-01519</t>
  </si>
  <si>
    <t>CMP-01520</t>
  </si>
  <si>
    <t>Q2_Launch_CMP-01520</t>
  </si>
  <si>
    <t>CMP-01521</t>
  </si>
  <si>
    <t>Q3_Summer_CMP-01521</t>
  </si>
  <si>
    <t>CMP-01522</t>
  </si>
  <si>
    <t>Q4_Launch_CMP-01522</t>
  </si>
  <si>
    <t>CMP-01523</t>
  </si>
  <si>
    <t>Q3_Winter_CMP-01523</t>
  </si>
  <si>
    <t>CMP-01524</t>
  </si>
  <si>
    <t>Q4_Launch_CMP-01524</t>
  </si>
  <si>
    <t>CMP-01525</t>
  </si>
  <si>
    <t>Q2_Launch_CMP-01525</t>
  </si>
  <si>
    <t>CMP-01526</t>
  </si>
  <si>
    <t>Q3_Launch_CMP-01526</t>
  </si>
  <si>
    <t>CMP-01527</t>
  </si>
  <si>
    <t>Q1_BlackFriday_CMP-01527</t>
  </si>
  <si>
    <t>CMP-01528</t>
  </si>
  <si>
    <t>Q3_BlackFriday_CMP-01528</t>
  </si>
  <si>
    <t>CMP-01529</t>
  </si>
  <si>
    <t>Q2_BlackFriday_CMP-01529</t>
  </si>
  <si>
    <t>CMP-01530</t>
  </si>
  <si>
    <t>Q3_Launch_CMP-01530</t>
  </si>
  <si>
    <t>CMP-01531</t>
  </si>
  <si>
    <t>Q4_Summer_CMP-01531</t>
  </si>
  <si>
    <t>CMP-01532</t>
  </si>
  <si>
    <t>Q3_BlackFriday_CMP-01532</t>
  </si>
  <si>
    <t>CMP-01533</t>
  </si>
  <si>
    <t>Q1_BlackFriday_CMP-01533</t>
  </si>
  <si>
    <t>CMP-01534</t>
  </si>
  <si>
    <t>Q4_Summer_CMP-01534</t>
  </si>
  <si>
    <t>CMP-01535</t>
  </si>
  <si>
    <t>Q2_Summer_CMP-01535</t>
  </si>
  <si>
    <t>CMP-01536</t>
  </si>
  <si>
    <t>Q2_Launch_CMP-01536</t>
  </si>
  <si>
    <t>CMP-01537</t>
  </si>
  <si>
    <t>Q1_Summer_CMP-01537</t>
  </si>
  <si>
    <t>CMP-01538</t>
  </si>
  <si>
    <t>Q3_Winter_CMP-01538</t>
  </si>
  <si>
    <t>CMP-01539</t>
  </si>
  <si>
    <t>Q3_BlackFriday_CMP-01539</t>
  </si>
  <si>
    <t>CMP-01540</t>
  </si>
  <si>
    <t>Q4_Launch_CMP-01540</t>
  </si>
  <si>
    <t>CMP-01541</t>
  </si>
  <si>
    <t>Q1_Winter_CMP-01541</t>
  </si>
  <si>
    <t>CMP-01542</t>
  </si>
  <si>
    <t>Q4_Winter_CMP-01542</t>
  </si>
  <si>
    <t>CMP-01543</t>
  </si>
  <si>
    <t>Q2_Winter_CMP-01543</t>
  </si>
  <si>
    <t>CMP-01544</t>
  </si>
  <si>
    <t>Q1_Winter_CMP-01544</t>
  </si>
  <si>
    <t>CMP-01545</t>
  </si>
  <si>
    <t>Q3_Winter_CMP-01545</t>
  </si>
  <si>
    <t>CMP-01546</t>
  </si>
  <si>
    <t>Q1_BlackFriday_CMP-01546</t>
  </si>
  <si>
    <t>CMP-01547</t>
  </si>
  <si>
    <t>Q2_Winter_CMP-01547</t>
  </si>
  <si>
    <t>CMP-01548</t>
  </si>
  <si>
    <t>Q3_Winter_CMP-01548</t>
  </si>
  <si>
    <t>CMP-01549</t>
  </si>
  <si>
    <t>Q1_Winter_CMP-01549</t>
  </si>
  <si>
    <t>CMP-01550</t>
  </si>
  <si>
    <t>Q2_Winter_CMP-01550</t>
  </si>
  <si>
    <t>CMP-01551</t>
  </si>
  <si>
    <t>Q4_Winter_CMP-01551</t>
  </si>
  <si>
    <t>CMP-01552</t>
  </si>
  <si>
    <t>Q3_Summer_CMP-01552</t>
  </si>
  <si>
    <t>CMP-01553</t>
  </si>
  <si>
    <t>Q4_BlackFriday_CMP-01553</t>
  </si>
  <si>
    <t>CMP-01554</t>
  </si>
  <si>
    <t>Q4_Launch_CMP-01554</t>
  </si>
  <si>
    <t>CMP-01555</t>
  </si>
  <si>
    <t>Q4_Launch_CMP-01555</t>
  </si>
  <si>
    <t>CMP-01556</t>
  </si>
  <si>
    <t>Q3_Winter_CMP-01556</t>
  </si>
  <si>
    <t>CMP-01557</t>
  </si>
  <si>
    <t>Q3_Summer_CMP-01557</t>
  </si>
  <si>
    <t>CMP-01558</t>
  </si>
  <si>
    <t>Q1_BlackFriday_CMP-01558</t>
  </si>
  <si>
    <t>CMP-01559</t>
  </si>
  <si>
    <t>Q3_Winter_CMP-01559</t>
  </si>
  <si>
    <t>CMP-01560</t>
  </si>
  <si>
    <t>Q1_Summer_CMP-01560</t>
  </si>
  <si>
    <t>22/11/2023</t>
  </si>
  <si>
    <t>CMP-01561</t>
  </si>
  <si>
    <t>Q4_Winter_CMP-01561</t>
  </si>
  <si>
    <t>CMP-01562</t>
  </si>
  <si>
    <t>Q2_Launch_CMP-01562</t>
  </si>
  <si>
    <t>CMP-01563</t>
  </si>
  <si>
    <t>Q2_Winter_CMP-01563</t>
  </si>
  <si>
    <t>CMP-01564</t>
  </si>
  <si>
    <t>Q4_Winter_CMP-01564</t>
  </si>
  <si>
    <t>CMP-01565</t>
  </si>
  <si>
    <t>Q4_Launch_CMP-01565</t>
  </si>
  <si>
    <t>CMP-01566</t>
  </si>
  <si>
    <t>Q2_Winter_CMP-01566</t>
  </si>
  <si>
    <t>CMP-01567</t>
  </si>
  <si>
    <t>Q3_Summer_CMP-01567</t>
  </si>
  <si>
    <t>CMP-01568</t>
  </si>
  <si>
    <t>Q2_BlackFriday_CMP-01568</t>
  </si>
  <si>
    <t>CMP-01569</t>
  </si>
  <si>
    <t>Q2_Launch_CMP-01569</t>
  </si>
  <si>
    <t>CMP-01570</t>
  </si>
  <si>
    <t>Q1_Winter_CMP-01570</t>
  </si>
  <si>
    <t>CMP-01571</t>
  </si>
  <si>
    <t>Q2_Launch_CMP-01571</t>
  </si>
  <si>
    <t>CMP-01572</t>
  </si>
  <si>
    <t>Q2_BlackFriday_CMP-01572</t>
  </si>
  <si>
    <t>CMP-01573</t>
  </si>
  <si>
    <t>Q3_Summer_CMP-01573</t>
  </si>
  <si>
    <t>CMP-01574</t>
  </si>
  <si>
    <t>Q1_BlackFriday_CMP-01574</t>
  </si>
  <si>
    <t>CMP-01575</t>
  </si>
  <si>
    <t>Q1_Launch_CMP-01575</t>
  </si>
  <si>
    <t>CMP-01576</t>
  </si>
  <si>
    <t>Q2_Launch_CMP-01576</t>
  </si>
  <si>
    <t>CMP-01577</t>
  </si>
  <si>
    <t>Q3_Summer_CMP-01577</t>
  </si>
  <si>
    <t>CMP-01578</t>
  </si>
  <si>
    <t>Q4_Winter_CMP-01578</t>
  </si>
  <si>
    <t>CMP-01579</t>
  </si>
  <si>
    <t>Q1_BlackFriday_CMP-01579</t>
  </si>
  <si>
    <t>CMP-01580</t>
  </si>
  <si>
    <t>Q3_Summer_CMP-01580</t>
  </si>
  <si>
    <t>CMP-01581</t>
  </si>
  <si>
    <t>Q4_BlackFriday_CMP-01581</t>
  </si>
  <si>
    <t>14/10/2023</t>
  </si>
  <si>
    <t>CMP-01582</t>
  </si>
  <si>
    <t>Q1_Launch_CMP-01582</t>
  </si>
  <si>
    <t>CMP-01583</t>
  </si>
  <si>
    <t>Q4_Winter_CMP-01583</t>
  </si>
  <si>
    <t>CMP-01584</t>
  </si>
  <si>
    <t>Q4_BlackFriday_CMP-01584</t>
  </si>
  <si>
    <t>CMP-01585</t>
  </si>
  <si>
    <t>Q2_Summer_CMP-01585</t>
  </si>
  <si>
    <t>CMP-01586</t>
  </si>
  <si>
    <t>Q1_BlackFriday_CMP-01586</t>
  </si>
  <si>
    <t>CMP-01587</t>
  </si>
  <si>
    <t>Q2_Launch_CMP-01587</t>
  </si>
  <si>
    <t>CMP-01588</t>
  </si>
  <si>
    <t>Q4_Launch_CMP-01588</t>
  </si>
  <si>
    <t>CMP-01589</t>
  </si>
  <si>
    <t>Q1_Summer_CMP-01589</t>
  </si>
  <si>
    <t>CMP-01590</t>
  </si>
  <si>
    <t>Q3_BlackFriday_CMP-01590</t>
  </si>
  <si>
    <t>CMP-01591</t>
  </si>
  <si>
    <t>Q3_BlackFriday_CMP-01591</t>
  </si>
  <si>
    <t>CMP-01592</t>
  </si>
  <si>
    <t>Q4_BlackFriday_CMP-01592</t>
  </si>
  <si>
    <t>CMP-01593</t>
  </si>
  <si>
    <t>Q3_Summer_CMP-01593</t>
  </si>
  <si>
    <t>CMP-01594</t>
  </si>
  <si>
    <t>Q1_Summer_CMP-01594</t>
  </si>
  <si>
    <t>CMP-01595</t>
  </si>
  <si>
    <t>Q4_Winter_CMP-01595</t>
  </si>
  <si>
    <t>CMP-01596</t>
  </si>
  <si>
    <t>Q4_Winter_CMP-01596</t>
  </si>
  <si>
    <t>CMP-01597</t>
  </si>
  <si>
    <t>Q4_BlackFriday_CMP-01597</t>
  </si>
  <si>
    <t>CMP-01598</t>
  </si>
  <si>
    <t>Q1_Launch_CMP-01598</t>
  </si>
  <si>
    <t>CMP-01599</t>
  </si>
  <si>
    <t>Q4_Launch_CMP-01599</t>
  </si>
  <si>
    <t>CMP-01600</t>
  </si>
  <si>
    <t>Q1_Summer_CMP-01600</t>
  </si>
  <si>
    <t>CMP-01601</t>
  </si>
  <si>
    <t>Q1_Summer_CMP-01601</t>
  </si>
  <si>
    <t>CMP-01602</t>
  </si>
  <si>
    <t>Q1_Winter_CMP-01602</t>
  </si>
  <si>
    <t>CMP-01603</t>
  </si>
  <si>
    <t>Q3_Launch_CMP-01603</t>
  </si>
  <si>
    <t>CMP-01604</t>
  </si>
  <si>
    <t>Q4_Summer_CMP-01604</t>
  </si>
  <si>
    <t>CMP-01605</t>
  </si>
  <si>
    <t>Q3_Launch_CMP-01605</t>
  </si>
  <si>
    <t>CMP-01606</t>
  </si>
  <si>
    <t>Q4_Summer_CMP-01606</t>
  </si>
  <si>
    <t>CMP-01607</t>
  </si>
  <si>
    <t>Q4_Launch_CMP-01607</t>
  </si>
  <si>
    <t>CMP-01608</t>
  </si>
  <si>
    <t>Q1_Winter_CMP-01608</t>
  </si>
  <si>
    <t>CMP-01609</t>
  </si>
  <si>
    <t>Q2_Summer_CMP-01609</t>
  </si>
  <si>
    <t>CMP-01610</t>
  </si>
  <si>
    <t>Q3_Summer_CMP-01610</t>
  </si>
  <si>
    <t>CMP-01611</t>
  </si>
  <si>
    <t>Q3_Launch_CMP-01611</t>
  </si>
  <si>
    <t>CMP-01612</t>
  </si>
  <si>
    <t>Q1_Launch_CMP-01612</t>
  </si>
  <si>
    <t>CMP-01613</t>
  </si>
  <si>
    <t>Q3_BlackFriday_CMP-01613</t>
  </si>
  <si>
    <t>CMP-01614</t>
  </si>
  <si>
    <t>Q3_BlackFriday_CMP-01614</t>
  </si>
  <si>
    <t>CMP-01615</t>
  </si>
  <si>
    <t>Q2_BlackFriday_CMP-01615</t>
  </si>
  <si>
    <t>CMP-01616</t>
  </si>
  <si>
    <t>Q4_Summer_CMP-01616</t>
  </si>
  <si>
    <t>CMP-01617</t>
  </si>
  <si>
    <t>Q3_Launch_CMP-01617</t>
  </si>
  <si>
    <t>CMP-01618</t>
  </si>
  <si>
    <t>Q3_Winter_CMP-01618</t>
  </si>
  <si>
    <t>CMP-01619</t>
  </si>
  <si>
    <t>Q2_BlackFriday_CMP-01619</t>
  </si>
  <si>
    <t>CMP-01620</t>
  </si>
  <si>
    <t>Q4_BlackFriday_CMP-01620</t>
  </si>
  <si>
    <t>CMP-01621</t>
  </si>
  <si>
    <t>Q2_Launch_CMP-01621</t>
  </si>
  <si>
    <t>CMP-01622</t>
  </si>
  <si>
    <t>Q1_BlackFriday_CMP-01622</t>
  </si>
  <si>
    <t>CMP-01623</t>
  </si>
  <si>
    <t>Q3_Winter_CMP-01623</t>
  </si>
  <si>
    <t>CMP-01624</t>
  </si>
  <si>
    <t>Q3_BlackFriday_CMP-01624</t>
  </si>
  <si>
    <t>CMP-01625</t>
  </si>
  <si>
    <t>Q1_Summer_CMP-01625</t>
  </si>
  <si>
    <t>CMP-01626</t>
  </si>
  <si>
    <t>Q4_BlackFriday_CMP-01626</t>
  </si>
  <si>
    <t>CMP-01627</t>
  </si>
  <si>
    <t>Q4_Winter_CMP-01627</t>
  </si>
  <si>
    <t>CMP-01628</t>
  </si>
  <si>
    <t>Q4_Winter_CMP-01628</t>
  </si>
  <si>
    <t>CMP-01629</t>
  </si>
  <si>
    <t>Q3_Launch_CMP-01629</t>
  </si>
  <si>
    <t>CMP-01630</t>
  </si>
  <si>
    <t>Q3_BlackFriday_CMP-01630</t>
  </si>
  <si>
    <t>CMP-01631</t>
  </si>
  <si>
    <t>Q4_BlackFriday_CMP-01631</t>
  </si>
  <si>
    <t>CMP-01632</t>
  </si>
  <si>
    <t>Q2_Winter_CMP-01632</t>
  </si>
  <si>
    <t>CMP-01633</t>
  </si>
  <si>
    <t>Q3_Summer_CMP-01633</t>
  </si>
  <si>
    <t>CMP-01634</t>
  </si>
  <si>
    <t>Q1_Winter_CMP-01634</t>
  </si>
  <si>
    <t>CMP-01635</t>
  </si>
  <si>
    <t>Q3_BlackFriday_CMP-01635</t>
  </si>
  <si>
    <t>CMP-01636</t>
  </si>
  <si>
    <t>Q2_Launch_CMP-01636</t>
  </si>
  <si>
    <t>CMP-01637</t>
  </si>
  <si>
    <t>Q1_Winter_CMP-01637</t>
  </si>
  <si>
    <t>CMP-01638</t>
  </si>
  <si>
    <t>Q1_Summer_CMP-01638</t>
  </si>
  <si>
    <t>CMP-01639</t>
  </si>
  <si>
    <t>Q4_BlackFriday_CMP-01639</t>
  </si>
  <si>
    <t>CMP-01640</t>
  </si>
  <si>
    <t>Q2_BlackFriday_CMP-01640</t>
  </si>
  <si>
    <t>CMP-01641</t>
  </si>
  <si>
    <t>Q3_Launch_CMP-01641</t>
  </si>
  <si>
    <t>CMP-01642</t>
  </si>
  <si>
    <t>Q2_Launch_CMP-01642</t>
  </si>
  <si>
    <t>CMP-01643</t>
  </si>
  <si>
    <t>Q1_BlackFriday_CMP-01643</t>
  </si>
  <si>
    <t>CMP-01644</t>
  </si>
  <si>
    <t>Q1_BlackFriday_CMP-01644</t>
  </si>
  <si>
    <t>CMP-01645</t>
  </si>
  <si>
    <t>Q2_Launch_CMP-01645</t>
  </si>
  <si>
    <t>CMP-01646</t>
  </si>
  <si>
    <t>Q1_Winter_CMP-01646</t>
  </si>
  <si>
    <t>CMP-01647</t>
  </si>
  <si>
    <t>Q2_BlackFriday_CMP-01647</t>
  </si>
  <si>
    <t>CMP-01648</t>
  </si>
  <si>
    <t>Q1_Launch_CMP-01648</t>
  </si>
  <si>
    <t>CMP-01649</t>
  </si>
  <si>
    <t>Q2_Winter_CMP-01649</t>
  </si>
  <si>
    <t>CMP-01650</t>
  </si>
  <si>
    <t>Q2_Winter_CMP-01650</t>
  </si>
  <si>
    <t>18/02/2023</t>
  </si>
  <si>
    <t>CMP-01651</t>
  </si>
  <si>
    <t>Q4_Winter_CMP-01651</t>
  </si>
  <si>
    <t>CMP-01652</t>
  </si>
  <si>
    <t>Q2_Summer_CMP-01652</t>
  </si>
  <si>
    <t>CMP-01653</t>
  </si>
  <si>
    <t>Q3_Winter_CMP-01653</t>
  </si>
  <si>
    <t>CMP-01654</t>
  </si>
  <si>
    <t>Q1_Launch_CMP-01654</t>
  </si>
  <si>
    <t>CMP-01655</t>
  </si>
  <si>
    <t>Q4_Launch_CMP-01655</t>
  </si>
  <si>
    <t>CMP-01656</t>
  </si>
  <si>
    <t>Q2_Launch_CMP-01656</t>
  </si>
  <si>
    <t>CMP-01657</t>
  </si>
  <si>
    <t>Q2_Launch_CMP-01657</t>
  </si>
  <si>
    <t>CMP-01658</t>
  </si>
  <si>
    <t>Q4_BlackFriday_CMP-01658</t>
  </si>
  <si>
    <t>CMP-01659</t>
  </si>
  <si>
    <t>Q3_BlackFriday_CMP-01659</t>
  </si>
  <si>
    <t>CMP-01660</t>
  </si>
  <si>
    <t>Q4_BlackFriday_CMP-01660</t>
  </si>
  <si>
    <t>CMP-01661</t>
  </si>
  <si>
    <t>Q3_Winter_CMP-01661</t>
  </si>
  <si>
    <t>CMP-01662</t>
  </si>
  <si>
    <t>Q3_BlackFriday_CMP-01662</t>
  </si>
  <si>
    <t>CMP-01663</t>
  </si>
  <si>
    <t>Q1_Winter_CMP-01663</t>
  </si>
  <si>
    <t>CMP-01664</t>
  </si>
  <si>
    <t>Q3_Winter_CMP-01664</t>
  </si>
  <si>
    <t>CMP-01665</t>
  </si>
  <si>
    <t>Q2_Summer_CMP-01665</t>
  </si>
  <si>
    <t>CMP-01666</t>
  </si>
  <si>
    <t>Q4_BlackFriday_CMP-01666</t>
  </si>
  <si>
    <t>CMP-01667</t>
  </si>
  <si>
    <t>Q1_Winter_CMP-01667</t>
  </si>
  <si>
    <t>CMP-01668</t>
  </si>
  <si>
    <t>Q3_Winter_CMP-01668</t>
  </si>
  <si>
    <t>CMP-01669</t>
  </si>
  <si>
    <t>Q4_BlackFriday_CMP-01669</t>
  </si>
  <si>
    <t>CMP-01670</t>
  </si>
  <si>
    <t>Q1_Launch_CMP-01670</t>
  </si>
  <si>
    <t>CMP-01671</t>
  </si>
  <si>
    <t>Q4_Launch_CMP-01671</t>
  </si>
  <si>
    <t>CMP-01672</t>
  </si>
  <si>
    <t>Q4_Summer_CMP-01672</t>
  </si>
  <si>
    <t>CMP-01673</t>
  </si>
  <si>
    <t>Q2_Summer_CMP-01673</t>
  </si>
  <si>
    <t>CMP-01674</t>
  </si>
  <si>
    <t>Q4_Summer_CMP-01674</t>
  </si>
  <si>
    <t>CMP-01675</t>
  </si>
  <si>
    <t>Q3_Launch_CMP-01675</t>
  </si>
  <si>
    <t>CMP-01676</t>
  </si>
  <si>
    <t>Q2_Summer_CMP-01676</t>
  </si>
  <si>
    <t>15/05/2023</t>
  </si>
  <si>
    <t>CMP-01677</t>
  </si>
  <si>
    <t>Q3_Summer_CMP-01677</t>
  </si>
  <si>
    <t>CMP-01678</t>
  </si>
  <si>
    <t>Q3_BlackFriday_CMP-01678</t>
  </si>
  <si>
    <t>CMP-01679</t>
  </si>
  <si>
    <t>Q1_Launch_CMP-01679</t>
  </si>
  <si>
    <t>CMP-01680</t>
  </si>
  <si>
    <t>Q4_Winter_CMP-01680</t>
  </si>
  <si>
    <t>CMP-01681</t>
  </si>
  <si>
    <t>Q4_Winter_CMP-01681</t>
  </si>
  <si>
    <t>CMP-01682</t>
  </si>
  <si>
    <t>Q4_BlackFriday_CMP-01682</t>
  </si>
  <si>
    <t>CMP-01683</t>
  </si>
  <si>
    <t>Q3_BlackFriday_CMP-01683</t>
  </si>
  <si>
    <t>CMP-01684</t>
  </si>
  <si>
    <t>Q2_Launch_CMP-01684</t>
  </si>
  <si>
    <t>CMP-01685</t>
  </si>
  <si>
    <t>Q2_BlackFriday_CMP-01685</t>
  </si>
  <si>
    <t>CMP-01686</t>
  </si>
  <si>
    <t>Q1_Summer_CMP-01686</t>
  </si>
  <si>
    <t>CMP-01687</t>
  </si>
  <si>
    <t>Q3_Summer_CMP-01687</t>
  </si>
  <si>
    <t>CMP-01688</t>
  </si>
  <si>
    <t>Q1_Summer_CMP-01688</t>
  </si>
  <si>
    <t>CMP-01689</t>
  </si>
  <si>
    <t>Q4_Winter_CMP-01689</t>
  </si>
  <si>
    <t>CMP-01690</t>
  </si>
  <si>
    <t>Q2_Winter_CMP-01690</t>
  </si>
  <si>
    <t>CMP-01691</t>
  </si>
  <si>
    <t>Q2_Winter_CMP-01691</t>
  </si>
  <si>
    <t>CMP-01692</t>
  </si>
  <si>
    <t>Q1_Launch_CMP-01692</t>
  </si>
  <si>
    <t>CMP-01693</t>
  </si>
  <si>
    <t>Q1_BlackFriday_CMP-01693</t>
  </si>
  <si>
    <t>20/07/2023</t>
  </si>
  <si>
    <t>CMP-01694</t>
  </si>
  <si>
    <t>Q1_Summer_CMP-01694</t>
  </si>
  <si>
    <t>CMP-01695</t>
  </si>
  <si>
    <t>Q4_Launch_CMP-01695</t>
  </si>
  <si>
    <t>CMP-01696</t>
  </si>
  <si>
    <t>Q4_Launch_CMP-01696</t>
  </si>
  <si>
    <t>CMP-01697</t>
  </si>
  <si>
    <t>Q4_Winter_CMP-01697</t>
  </si>
  <si>
    <t>CMP-01698</t>
  </si>
  <si>
    <t>Q3_Winter_CMP-01698</t>
  </si>
  <si>
    <t>CMP-01699</t>
  </si>
  <si>
    <t>Q1_BlackFriday_CMP-01699</t>
  </si>
  <si>
    <t>CMP-01700</t>
  </si>
  <si>
    <t>Q3_Winter_CMP-01700</t>
  </si>
  <si>
    <t>CMP-01701</t>
  </si>
  <si>
    <t>Q4_BlackFriday_CMP-01701</t>
  </si>
  <si>
    <t>CMP-01702</t>
  </si>
  <si>
    <t>Q4_Summer_CMP-01702</t>
  </si>
  <si>
    <t>CMP-01703</t>
  </si>
  <si>
    <t>Q2_BlackFriday_CMP-01703</t>
  </si>
  <si>
    <t>CMP-01704</t>
  </si>
  <si>
    <t>Q4_Winter_CMP-01704</t>
  </si>
  <si>
    <t>CMP-01705</t>
  </si>
  <si>
    <t>Q2_BlackFriday_CMP-01705</t>
  </si>
  <si>
    <t>CMP-01706</t>
  </si>
  <si>
    <t>Q1_BlackFriday_CMP-01706</t>
  </si>
  <si>
    <t>CMP-01707</t>
  </si>
  <si>
    <t>Q4_Summer_CMP-01707</t>
  </si>
  <si>
    <t>CMP-01708</t>
  </si>
  <si>
    <t>Q3_Summer_CMP-01708</t>
  </si>
  <si>
    <t>CMP-01709</t>
  </si>
  <si>
    <t>Q1_Summer_CMP-01709</t>
  </si>
  <si>
    <t>CMP-01710</t>
  </si>
  <si>
    <t>Q3_Summer_CMP-01710</t>
  </si>
  <si>
    <t>CMP-01711</t>
  </si>
  <si>
    <t>Q2_Summer_CMP-01711</t>
  </si>
  <si>
    <t>CMP-01712</t>
  </si>
  <si>
    <t>Q1_Summer_CMP-01712</t>
  </si>
  <si>
    <t>CMP-01713</t>
  </si>
  <si>
    <t>Q3_Launch_CMP-01713</t>
  </si>
  <si>
    <t>CMP-01714</t>
  </si>
  <si>
    <t>Q3_Summer_CMP-01714</t>
  </si>
  <si>
    <t>CMP-01715</t>
  </si>
  <si>
    <t>Q3_Summer_CMP-01715</t>
  </si>
  <si>
    <t>CMP-01716</t>
  </si>
  <si>
    <t>Q2_Winter_CMP-01716</t>
  </si>
  <si>
    <t>CMP-01717</t>
  </si>
  <si>
    <t>Q4_Winter_CMP-01717</t>
  </si>
  <si>
    <t>CMP-01718</t>
  </si>
  <si>
    <t>Q2_BlackFriday_CMP-01718</t>
  </si>
  <si>
    <t>CMP-01719</t>
  </si>
  <si>
    <t>Q1_Winter_CMP-01719</t>
  </si>
  <si>
    <t>CMP-01720</t>
  </si>
  <si>
    <t>Q3_Winter_CMP-01720</t>
  </si>
  <si>
    <t>CMP-01721</t>
  </si>
  <si>
    <t>Q4_Winter_CMP-01721</t>
  </si>
  <si>
    <t>CMP-01722</t>
  </si>
  <si>
    <t>Q2_Launch_CMP-01722</t>
  </si>
  <si>
    <t>CMP-01723</t>
  </si>
  <si>
    <t>Q1_Summer_CMP-01723</t>
  </si>
  <si>
    <t>CMP-01724</t>
  </si>
  <si>
    <t>Q1_BlackFriday_CMP-01724</t>
  </si>
  <si>
    <t>CMP-01725</t>
  </si>
  <si>
    <t>Q3_Summer_CMP-01725</t>
  </si>
  <si>
    <t>CMP-01726</t>
  </si>
  <si>
    <t>Q3_Winter_CMP-01726</t>
  </si>
  <si>
    <t>CMP-01727</t>
  </si>
  <si>
    <t>Q2_Summer_CMP-01727</t>
  </si>
  <si>
    <t>CMP-01728</t>
  </si>
  <si>
    <t>Q4_Winter_CMP-01728</t>
  </si>
  <si>
    <t>CMP-01729</t>
  </si>
  <si>
    <t>Q2_BlackFriday_CMP-01729</t>
  </si>
  <si>
    <t>CMP-01730</t>
  </si>
  <si>
    <t>Q4_Launch_CMP-01730</t>
  </si>
  <si>
    <t>CMP-01731</t>
  </si>
  <si>
    <t>Q4_Summer_CMP-01731</t>
  </si>
  <si>
    <t>CMP-01732</t>
  </si>
  <si>
    <t>Q1_BlackFriday_CMP-01732</t>
  </si>
  <si>
    <t>CMP-01733</t>
  </si>
  <si>
    <t>Q2_BlackFriday_CMP-01733</t>
  </si>
  <si>
    <t>CMP-01734</t>
  </si>
  <si>
    <t>Q2_Winter_CMP-01734</t>
  </si>
  <si>
    <t>CMP-01735</t>
  </si>
  <si>
    <t>Q4_Winter_CMP-01735</t>
  </si>
  <si>
    <t>CMP-01736</t>
  </si>
  <si>
    <t>Q4_Summer_CMP-01736</t>
  </si>
  <si>
    <t>CMP-01737</t>
  </si>
  <si>
    <t>Q3_Summer_CMP-01737</t>
  </si>
  <si>
    <t>CMP-01738</t>
  </si>
  <si>
    <t>Q4_Summer_CMP-01738</t>
  </si>
  <si>
    <t>CMP-01739</t>
  </si>
  <si>
    <t>Q1_BlackFriday_CMP-01739</t>
  </si>
  <si>
    <t>CMP-01740</t>
  </si>
  <si>
    <t>Q4_Winter_CMP-01740</t>
  </si>
  <si>
    <t>CMP-01741</t>
  </si>
  <si>
    <t>Q3_BlackFriday_CMP-01741</t>
  </si>
  <si>
    <t>CMP-01742</t>
  </si>
  <si>
    <t>Q2_Launch_CMP-01742</t>
  </si>
  <si>
    <t>CMP-01743</t>
  </si>
  <si>
    <t>Q2_BlackFriday_CMP-01743</t>
  </si>
  <si>
    <t>CMP-01744</t>
  </si>
  <si>
    <t>Q4_Launch_CMP-01744</t>
  </si>
  <si>
    <t>CMP-01745</t>
  </si>
  <si>
    <t>Q4_Launch_CMP-01745</t>
  </si>
  <si>
    <t>CMP-01746</t>
  </si>
  <si>
    <t>Q1_Launch_CMP-01746</t>
  </si>
  <si>
    <t>CMP-01747</t>
  </si>
  <si>
    <t>Q1_Launch_CMP-01747</t>
  </si>
  <si>
    <t>CMP-01748</t>
  </si>
  <si>
    <t>Q1_BlackFriday_CMP-01748</t>
  </si>
  <si>
    <t>CMP-01749</t>
  </si>
  <si>
    <t>Q4_Launch_CMP-01749</t>
  </si>
  <si>
    <t>CMP-01750</t>
  </si>
  <si>
    <t>Q3_Launch_CMP-01750</t>
  </si>
  <si>
    <t>CMP-01751</t>
  </si>
  <si>
    <t>Q3_Summer_CMP-01751</t>
  </si>
  <si>
    <t>CMP-01752</t>
  </si>
  <si>
    <t>Q1_Winter_CMP-01752</t>
  </si>
  <si>
    <t>CMP-01753</t>
  </si>
  <si>
    <t>Q1_BlackFriday_CMP-01753</t>
  </si>
  <si>
    <t>CMP-01754</t>
  </si>
  <si>
    <t>Q2_BlackFriday_CMP-01754</t>
  </si>
  <si>
    <t>CMP-01755</t>
  </si>
  <si>
    <t>Q1_Summer_CMP-01755</t>
  </si>
  <si>
    <t>CMP-01756</t>
  </si>
  <si>
    <t>Q1_BlackFriday_CMP-01756</t>
  </si>
  <si>
    <t>CMP-01757</t>
  </si>
  <si>
    <t>Q4_Winter_CMP-01757</t>
  </si>
  <si>
    <t>CMP-01758</t>
  </si>
  <si>
    <t>Q3_Summer_CMP-01758</t>
  </si>
  <si>
    <t>CMP-01759</t>
  </si>
  <si>
    <t>Q4_Winter_CMP-01759</t>
  </si>
  <si>
    <t>CMP-01760</t>
  </si>
  <si>
    <t>Q3_Summer_CMP-01760</t>
  </si>
  <si>
    <t>CMP-01761</t>
  </si>
  <si>
    <t>Q2_Summer_CMP-01761</t>
  </si>
  <si>
    <t>CMP-01762</t>
  </si>
  <si>
    <t>Q4_Winter_CMP-01762</t>
  </si>
  <si>
    <t>CMP-01763</t>
  </si>
  <si>
    <t>Q2_BlackFriday_CMP-01763</t>
  </si>
  <si>
    <t>CMP-01764</t>
  </si>
  <si>
    <t>Q1_Winter_CMP-01764</t>
  </si>
  <si>
    <t>CMP-01765</t>
  </si>
  <si>
    <t>Q4_Winter_CMP-01765</t>
  </si>
  <si>
    <t>CMP-01766</t>
  </si>
  <si>
    <t>Q1_Summer_CMP-01766</t>
  </si>
  <si>
    <t>CMP-01767</t>
  </si>
  <si>
    <t>Q4_Winter_CMP-01767</t>
  </si>
  <si>
    <t>CMP-01768</t>
  </si>
  <si>
    <t>Q1_BlackFriday_CMP-01768</t>
  </si>
  <si>
    <t>CMP-01769</t>
  </si>
  <si>
    <t>Q1_Winter_CMP-01769</t>
  </si>
  <si>
    <t>CMP-01770</t>
  </si>
  <si>
    <t>Q3_Winter_CMP-01770</t>
  </si>
  <si>
    <t>CMP-01771</t>
  </si>
  <si>
    <t>Q4_Winter_CMP-01771</t>
  </si>
  <si>
    <t>CMP-01772</t>
  </si>
  <si>
    <t>Q3_Launch_CMP-01772</t>
  </si>
  <si>
    <t>CMP-01773</t>
  </si>
  <si>
    <t>Q1_Winter_CMP-01773</t>
  </si>
  <si>
    <t>CMP-01774</t>
  </si>
  <si>
    <t>Q2_Winter_CMP-01774</t>
  </si>
  <si>
    <t>CMP-01775</t>
  </si>
  <si>
    <t>Q3_Launch_CMP-01775</t>
  </si>
  <si>
    <t>CMP-01776</t>
  </si>
  <si>
    <t>Q3_Winter_CMP-01776</t>
  </si>
  <si>
    <t>CMP-01777</t>
  </si>
  <si>
    <t>Q3_Launch_CMP-01777</t>
  </si>
  <si>
    <t>CMP-01778</t>
  </si>
  <si>
    <t>Q1_Launch_CMP-01778</t>
  </si>
  <si>
    <t>CMP-01779</t>
  </si>
  <si>
    <t>Q4_Launch_CMP-01779</t>
  </si>
  <si>
    <t>CMP-01780</t>
  </si>
  <si>
    <t>Q3_Winter_CMP-01780</t>
  </si>
  <si>
    <t>CMP-01781</t>
  </si>
  <si>
    <t>Q4_BlackFriday_CMP-01781</t>
  </si>
  <si>
    <t>CMP-01782</t>
  </si>
  <si>
    <t>Q1_Launch_CMP-01782</t>
  </si>
  <si>
    <t>CMP-01783</t>
  </si>
  <si>
    <t>Q1_Launch_CMP-01783</t>
  </si>
  <si>
    <t>CMP-01784</t>
  </si>
  <si>
    <t>Q2_Winter_CMP-01784</t>
  </si>
  <si>
    <t>CMP-01785</t>
  </si>
  <si>
    <t>Q1_Summer_CMP-01785</t>
  </si>
  <si>
    <t>CMP-01786</t>
  </si>
  <si>
    <t>Q1_Winter_CMP-01786</t>
  </si>
  <si>
    <t>CMP-01787</t>
  </si>
  <si>
    <t>Q4_Summer_CMP-01787</t>
  </si>
  <si>
    <t>CMP-01788</t>
  </si>
  <si>
    <t>Q2_BlackFriday_CMP-01788</t>
  </si>
  <si>
    <t>CMP-01789</t>
  </si>
  <si>
    <t>Q2_BlackFriday_CMP-01789</t>
  </si>
  <si>
    <t>CMP-01790</t>
  </si>
  <si>
    <t>Q4_BlackFriday_CMP-01790</t>
  </si>
  <si>
    <t>CMP-01791</t>
  </si>
  <si>
    <t>Q3_BlackFriday_CMP-01791</t>
  </si>
  <si>
    <t>CMP-01792</t>
  </si>
  <si>
    <t>Q3_Summer_CMP-01792</t>
  </si>
  <si>
    <t>CMP-01793</t>
  </si>
  <si>
    <t>Q1_Launch_CMP-01793</t>
  </si>
  <si>
    <t>CMP-01794</t>
  </si>
  <si>
    <t>Q2_Summer_CMP-01794</t>
  </si>
  <si>
    <t>CMP-01795</t>
  </si>
  <si>
    <t>Q4_Winter_CMP-01795</t>
  </si>
  <si>
    <t>CMP-01796</t>
  </si>
  <si>
    <t>Q2_Summer_CMP-01796</t>
  </si>
  <si>
    <t>CMP-01797</t>
  </si>
  <si>
    <t>Q4_Launch_CMP-01797</t>
  </si>
  <si>
    <t>CMP-01798</t>
  </si>
  <si>
    <t>Q1_Summer_CMP-01798</t>
  </si>
  <si>
    <t>CMP-01799</t>
  </si>
  <si>
    <t>Q2_Summer_CMP-01799</t>
  </si>
  <si>
    <t>CMP-01800</t>
  </si>
  <si>
    <t>Q4_Winter_CMP-01800</t>
  </si>
  <si>
    <t>CMP-01801</t>
  </si>
  <si>
    <t>Q1_Summer_CMP-01801</t>
  </si>
  <si>
    <t>CMP-01802</t>
  </si>
  <si>
    <t>Q2_Launch_CMP-01802</t>
  </si>
  <si>
    <t>CMP-01803</t>
  </si>
  <si>
    <t>Q3_Launch_CMP-01803</t>
  </si>
  <si>
    <t>CMP-01804</t>
  </si>
  <si>
    <t>Q2_Launch_CMP-01804</t>
  </si>
  <si>
    <t>CMP-01805</t>
  </si>
  <si>
    <t>Q1_Winter_CMP-01805</t>
  </si>
  <si>
    <t>28/05/2023</t>
  </si>
  <si>
    <t>CMP-01806</t>
  </si>
  <si>
    <t>Q2_BlackFriday_CMP-01806</t>
  </si>
  <si>
    <t>CMP-01807</t>
  </si>
  <si>
    <t>Q1_Summer_CMP-01807</t>
  </si>
  <si>
    <t>30/08/2023</t>
  </si>
  <si>
    <t>CMP-01808</t>
  </si>
  <si>
    <t>Q2_BlackFriday_CMP-01808</t>
  </si>
  <si>
    <t>CMP-01809</t>
  </si>
  <si>
    <t>Q3_Winter_CMP-01809</t>
  </si>
  <si>
    <t>CMP-01810</t>
  </si>
  <si>
    <t>Q3_Launch_CMP-01810</t>
  </si>
  <si>
    <t>CMP-01811</t>
  </si>
  <si>
    <t>Q2_Summer_CMP-01811</t>
  </si>
  <si>
    <t>CMP-01812</t>
  </si>
  <si>
    <t>Q4_Launch_CMP-01812</t>
  </si>
  <si>
    <t>CMP-01813</t>
  </si>
  <si>
    <t>Q2_BlackFriday_CMP-01813</t>
  </si>
  <si>
    <t>CMP-01814</t>
  </si>
  <si>
    <t>Q1_Winter_CMP-01814</t>
  </si>
  <si>
    <t>CMP-01815</t>
  </si>
  <si>
    <t>Q2_Winter_CMP-01815</t>
  </si>
  <si>
    <t>CMP-01816</t>
  </si>
  <si>
    <t>Q3_Launch_CMP-01816</t>
  </si>
  <si>
    <t>CMP-01817</t>
  </si>
  <si>
    <t>Q1_Launch_CMP-01817</t>
  </si>
  <si>
    <t>CMP-01818</t>
  </si>
  <si>
    <t>Q1_Winter_CMP-01818</t>
  </si>
  <si>
    <t>CMP-01819</t>
  </si>
  <si>
    <t>Q3_Winter_CMP-01819</t>
  </si>
  <si>
    <t>CMP-01820</t>
  </si>
  <si>
    <t>Q2_BlackFriday_CMP-01820</t>
  </si>
  <si>
    <t>30/12/2023</t>
  </si>
  <si>
    <t>CMP-01821</t>
  </si>
  <si>
    <t>Q1_Summer_CMP-01821</t>
  </si>
  <si>
    <t>CMP-01822</t>
  </si>
  <si>
    <t>Q1_Launch_CMP-01822</t>
  </si>
  <si>
    <t>CMP-01823</t>
  </si>
  <si>
    <t>Q1_Winter_CMP-01823</t>
  </si>
  <si>
    <t>CMP-01824</t>
  </si>
  <si>
    <t>Q3_BlackFriday_CMP-01824</t>
  </si>
  <si>
    <t>CMP-01825</t>
  </si>
  <si>
    <t>Q1_Winter_CMP-01825</t>
  </si>
  <si>
    <t>CMP-01826</t>
  </si>
  <si>
    <t>Q1_Winter_CMP-01826</t>
  </si>
  <si>
    <t>CMP-01827</t>
  </si>
  <si>
    <t>Q1_Launch_CMP-01827</t>
  </si>
  <si>
    <t>CMP-01828</t>
  </si>
  <si>
    <t>Q1_Summer_CMP-01828</t>
  </si>
  <si>
    <t>CMP-01829</t>
  </si>
  <si>
    <t>Q4_Summer_CMP-01829</t>
  </si>
  <si>
    <t>CMP-01830</t>
  </si>
  <si>
    <t>Q2_Summer_CMP-01830</t>
  </si>
  <si>
    <t>CMP-01831</t>
  </si>
  <si>
    <t>Q1_Summer_CMP-01831</t>
  </si>
  <si>
    <t>CMP-01832</t>
  </si>
  <si>
    <t>Q4_Launch_CMP-01832</t>
  </si>
  <si>
    <t>CMP-01833</t>
  </si>
  <si>
    <t>Q3_Launch_CMP-01833</t>
  </si>
  <si>
    <t>CMP-01834</t>
  </si>
  <si>
    <t>Q4_Winter_CMP-01834</t>
  </si>
  <si>
    <t>CMP-01835</t>
  </si>
  <si>
    <t>Q4_BlackFriday_CMP-01835</t>
  </si>
  <si>
    <t>CMP-01836</t>
  </si>
  <si>
    <t>Q3_Launch_CMP-01836</t>
  </si>
  <si>
    <t>CMP-01837</t>
  </si>
  <si>
    <t>Q4_Winter_CMP-01837</t>
  </si>
  <si>
    <t>CMP-01838</t>
  </si>
  <si>
    <t>Q4_BlackFriday_CMP-01838</t>
  </si>
  <si>
    <t>CMP-01839</t>
  </si>
  <si>
    <t>Q2_Winter_CMP-01839</t>
  </si>
  <si>
    <t>CMP-01840</t>
  </si>
  <si>
    <t>Q3_Winter_CMP-01840</t>
  </si>
  <si>
    <t>CMP-01841</t>
  </si>
  <si>
    <t>Q4_BlackFriday_CMP-01841</t>
  </si>
  <si>
    <t>CMP-01842</t>
  </si>
  <si>
    <t>Q2_BlackFriday_CMP-01842</t>
  </si>
  <si>
    <t>CMP-01843</t>
  </si>
  <si>
    <t>Q1_Launch_CMP-01843</t>
  </si>
  <si>
    <t>CMP-01844</t>
  </si>
  <si>
    <t>Q3_Winter_CMP-01844</t>
  </si>
  <si>
    <t>CMP-01845</t>
  </si>
  <si>
    <t>Q1_Launch_CMP-01845</t>
  </si>
  <si>
    <t>CMP-01846</t>
  </si>
  <si>
    <t>Q4_Winter_CMP-01846</t>
  </si>
  <si>
    <t>CMP-01847</t>
  </si>
  <si>
    <t>Q4_Winter_CMP-01847</t>
  </si>
  <si>
    <t>CMP-01848</t>
  </si>
  <si>
    <t>Q3_Winter_CMP-01848</t>
  </si>
  <si>
    <t>CMP-01849</t>
  </si>
  <si>
    <t>Q4_Launch_CMP-01849</t>
  </si>
  <si>
    <t>CMP-01850</t>
  </si>
  <si>
    <t>Q4_Launch_CMP-01850</t>
  </si>
  <si>
    <t>18/12/2023</t>
  </si>
  <si>
    <t>CMP-01851</t>
  </si>
  <si>
    <t>Q4_Launch_CMP-01851</t>
  </si>
  <si>
    <t>CMP-01852</t>
  </si>
  <si>
    <t>Q4_Launch_CMP-01852</t>
  </si>
  <si>
    <t>CMP-01853</t>
  </si>
  <si>
    <t>Q3_BlackFriday_CMP-01853</t>
  </si>
  <si>
    <t>CMP-01854</t>
  </si>
  <si>
    <t>Q3_Launch_CMP-01854</t>
  </si>
  <si>
    <t>CMP-01855</t>
  </si>
  <si>
    <t>Q2_Winter_CMP-01855</t>
  </si>
  <si>
    <t>26/04/2023</t>
  </si>
  <si>
    <t>CMP-01856</t>
  </si>
  <si>
    <t>Q2_Winter_CMP-01856</t>
  </si>
  <si>
    <t>CMP-01857</t>
  </si>
  <si>
    <t>Q2_Winter_CMP-01857</t>
  </si>
  <si>
    <t>CMP-01858</t>
  </si>
  <si>
    <t>Q3_Launch_CMP-01858</t>
  </si>
  <si>
    <t>15/04/2023</t>
  </si>
  <si>
    <t>CMP-01859</t>
  </si>
  <si>
    <t>Q4_BlackFriday_CMP-01859</t>
  </si>
  <si>
    <t>CMP-01860</t>
  </si>
  <si>
    <t>Q3_Winter_CMP-01860</t>
  </si>
  <si>
    <t>CMP-01861</t>
  </si>
  <si>
    <t>Q4_Winter_CMP-01861</t>
  </si>
  <si>
    <t>CMP-01862</t>
  </si>
  <si>
    <t>Q4_Summer_CMP-01862</t>
  </si>
  <si>
    <t>CMP-01863</t>
  </si>
  <si>
    <t>Q4_BlackFriday_CMP-01863</t>
  </si>
  <si>
    <t>CMP-01864</t>
  </si>
  <si>
    <t>Q4_Summer_CMP-01864</t>
  </si>
  <si>
    <t>CMP-01865</t>
  </si>
  <si>
    <t>Q2_Winter_CMP-01865</t>
  </si>
  <si>
    <t>CMP-01866</t>
  </si>
  <si>
    <t>Q3_Winter_CMP-01866</t>
  </si>
  <si>
    <t>CMP-01867</t>
  </si>
  <si>
    <t>Q4_Launch_CMP-01867</t>
  </si>
  <si>
    <t>CMP-01868</t>
  </si>
  <si>
    <t>Q2_Launch_CMP-01868</t>
  </si>
  <si>
    <t>CMP-01869</t>
  </si>
  <si>
    <t>Q1_Winter_CMP-01869</t>
  </si>
  <si>
    <t>CMP-01870</t>
  </si>
  <si>
    <t>Q4_Winter_CMP-01870</t>
  </si>
  <si>
    <t>CMP-01871</t>
  </si>
  <si>
    <t>Q3_Winter_CMP-01871</t>
  </si>
  <si>
    <t>CMP-01872</t>
  </si>
  <si>
    <t>Q4_Winter_CMP-01872</t>
  </si>
  <si>
    <t>CMP-01873</t>
  </si>
  <si>
    <t>Q2_Launch_CMP-01873</t>
  </si>
  <si>
    <t>CMP-01874</t>
  </si>
  <si>
    <t>Q3_Launch_CMP-01874</t>
  </si>
  <si>
    <t>CMP-01875</t>
  </si>
  <si>
    <t>Q2_Winter_CMP-01875</t>
  </si>
  <si>
    <t>CMP-01876</t>
  </si>
  <si>
    <t>Q4_BlackFriday_CMP-01876</t>
  </si>
  <si>
    <t>CMP-01877</t>
  </si>
  <si>
    <t>Q1_Summer_CMP-01877</t>
  </si>
  <si>
    <t>CMP-01878</t>
  </si>
  <si>
    <t>Q1_Summer_CMP-01878</t>
  </si>
  <si>
    <t>CMP-01879</t>
  </si>
  <si>
    <t>Q1_Summer_CMP-01879</t>
  </si>
  <si>
    <t>CMP-01880</t>
  </si>
  <si>
    <t>Q1_BlackFriday_CMP-01880</t>
  </si>
  <si>
    <t>CMP-01881</t>
  </si>
  <si>
    <t>Q1_BlackFriday_CMP-01881</t>
  </si>
  <si>
    <t>CMP-01882</t>
  </si>
  <si>
    <t>Q3_Winter_CMP-01882</t>
  </si>
  <si>
    <t>CMP-01883</t>
  </si>
  <si>
    <t>Q2_Winter_CMP-01883</t>
  </si>
  <si>
    <t>CMP-01884</t>
  </si>
  <si>
    <t>Q3_Summer_CMP-01884</t>
  </si>
  <si>
    <t>CMP-01885</t>
  </si>
  <si>
    <t>Q3_BlackFriday_CMP-01885</t>
  </si>
  <si>
    <t>CMP-01886</t>
  </si>
  <si>
    <t>Q4_Launch_CMP-01886</t>
  </si>
  <si>
    <t>CMP-01887</t>
  </si>
  <si>
    <t>Q3_Winter_CMP-01887</t>
  </si>
  <si>
    <t>31/12/2023</t>
  </si>
  <si>
    <t>CMP-01888</t>
  </si>
  <si>
    <t>Q3_BlackFriday_CMP-01888</t>
  </si>
  <si>
    <t>CMP-01889</t>
  </si>
  <si>
    <t>Q1_Winter_CMP-01889</t>
  </si>
  <si>
    <t>CMP-01890</t>
  </si>
  <si>
    <t>Q2_Winter_CMP-01890</t>
  </si>
  <si>
    <t>CMP-01891</t>
  </si>
  <si>
    <t>Q4_Summer_CMP-01891</t>
  </si>
  <si>
    <t>CMP-01892</t>
  </si>
  <si>
    <t>Q4_Winter_CMP-01892</t>
  </si>
  <si>
    <t>CMP-01893</t>
  </si>
  <si>
    <t>Q4_BlackFriday_CMP-01893</t>
  </si>
  <si>
    <t>CMP-01894</t>
  </si>
  <si>
    <t>Q2_Summer_CMP-01894</t>
  </si>
  <si>
    <t>CMP-01895</t>
  </si>
  <si>
    <t>Q2_Launch_CMP-01895</t>
  </si>
  <si>
    <t>CMP-01896</t>
  </si>
  <si>
    <t>Q1_Summer_CMP-01896</t>
  </si>
  <si>
    <t>CMP-01897</t>
  </si>
  <si>
    <t>Q2_Launch_CMP-01897</t>
  </si>
  <si>
    <t>CMP-01898</t>
  </si>
  <si>
    <t>Q4_Launch_CMP-01898</t>
  </si>
  <si>
    <t>17/04/2023</t>
  </si>
  <si>
    <t>CMP-01899</t>
  </si>
  <si>
    <t>Q4_Winter_CMP-01899</t>
  </si>
  <si>
    <t>CMP-01900</t>
  </si>
  <si>
    <t>Q1_BlackFriday_CMP-01900</t>
  </si>
  <si>
    <t>28/06/2023</t>
  </si>
  <si>
    <t>CMP-01901</t>
  </si>
  <si>
    <t>Q4_Winter_CMP-01901</t>
  </si>
  <si>
    <t>CMP-01902</t>
  </si>
  <si>
    <t>Q4_Summer_CMP-01902</t>
  </si>
  <si>
    <t>CMP-01903</t>
  </si>
  <si>
    <t>Q4_BlackFriday_CMP-01903</t>
  </si>
  <si>
    <t>CMP-01904</t>
  </si>
  <si>
    <t>Q3_Summer_CMP-01904</t>
  </si>
  <si>
    <t>CMP-01905</t>
  </si>
  <si>
    <t>Q3_Summer_CMP-01905</t>
  </si>
  <si>
    <t>CMP-01906</t>
  </si>
  <si>
    <t>Q2_Winter_CMP-01906</t>
  </si>
  <si>
    <t>CMP-01907</t>
  </si>
  <si>
    <t>Q3_Launch_CMP-01907</t>
  </si>
  <si>
    <t>CMP-01908</t>
  </si>
  <si>
    <t>Q2_Summer_CMP-01908</t>
  </si>
  <si>
    <t>CMP-01909</t>
  </si>
  <si>
    <t>Q2_BlackFriday_CMP-01909</t>
  </si>
  <si>
    <t>CMP-01910</t>
  </si>
  <si>
    <t>Q3_Summer_CMP-01910</t>
  </si>
  <si>
    <t>CMP-01911</t>
  </si>
  <si>
    <t>Q3_Launch_CMP-01911</t>
  </si>
  <si>
    <t>CMP-01912</t>
  </si>
  <si>
    <t>Q1_Launch_CMP-01912</t>
  </si>
  <si>
    <t>CMP-01913</t>
  </si>
  <si>
    <t>Q2_BlackFriday_CMP-01913</t>
  </si>
  <si>
    <t>CMP-01914</t>
  </si>
  <si>
    <t>Q3_Winter_CMP-01914</t>
  </si>
  <si>
    <t>CMP-01915</t>
  </si>
  <si>
    <t>Q3_Summer_CMP-01915</t>
  </si>
  <si>
    <t>CMP-01916</t>
  </si>
  <si>
    <t>Q4_BlackFriday_CMP-01916</t>
  </si>
  <si>
    <t>CMP-01917</t>
  </si>
  <si>
    <t>Q2_Summer_CMP-01917</t>
  </si>
  <si>
    <t>CMP-01918</t>
  </si>
  <si>
    <t>Q2_BlackFriday_CMP-01918</t>
  </si>
  <si>
    <t>CMP-01919</t>
  </si>
  <si>
    <t>Q3_Launch_CMP-01919</t>
  </si>
  <si>
    <t>CMP-01920</t>
  </si>
  <si>
    <t>Q4_BlackFriday_CMP-01920</t>
  </si>
  <si>
    <t>CMP-01921</t>
  </si>
  <si>
    <t>Q1_BlackFriday_CMP-01921</t>
  </si>
  <si>
    <t>CMP-01922</t>
  </si>
  <si>
    <t>Q4_Summer_CMP-01922</t>
  </si>
  <si>
    <t>CMP-01923</t>
  </si>
  <si>
    <t>Q3_Summer_CMP-01923</t>
  </si>
  <si>
    <t>CMP-01924</t>
  </si>
  <si>
    <t>Q2_Summer_CMP-01924</t>
  </si>
  <si>
    <t>CMP-01925</t>
  </si>
  <si>
    <t>Q1_BlackFriday_CMP-01925</t>
  </si>
  <si>
    <t>CMP-01926</t>
  </si>
  <si>
    <t>Q4_Winter_CMP-01926</t>
  </si>
  <si>
    <t>CMP-01927</t>
  </si>
  <si>
    <t>Q4_Launch_CMP-01927</t>
  </si>
  <si>
    <t>CMP-01928</t>
  </si>
  <si>
    <t>Q4_Summer_CMP-01928</t>
  </si>
  <si>
    <t>CMP-01929</t>
  </si>
  <si>
    <t>Q3_Launch_CMP-01929</t>
  </si>
  <si>
    <t>CMP-01930</t>
  </si>
  <si>
    <t>Q3_BlackFriday_CMP-01930</t>
  </si>
  <si>
    <t>CMP-01931</t>
  </si>
  <si>
    <t>Q4_Launch_CMP-01931</t>
  </si>
  <si>
    <t>CMP-01932</t>
  </si>
  <si>
    <t>Q3_Winter_CMP-01932</t>
  </si>
  <si>
    <t>CMP-01933</t>
  </si>
  <si>
    <t>Q3_BlackFriday_CMP-01933</t>
  </si>
  <si>
    <t>CMP-01934</t>
  </si>
  <si>
    <t>Q2_Launch_CMP-01934</t>
  </si>
  <si>
    <t>CMP-01935</t>
  </si>
  <si>
    <t>Q3_BlackFriday_CMP-01935</t>
  </si>
  <si>
    <t>CMP-01936</t>
  </si>
  <si>
    <t>Q1_Launch_CMP-01936</t>
  </si>
  <si>
    <t>CMP-01937</t>
  </si>
  <si>
    <t>Q1_BlackFriday_CMP-01937</t>
  </si>
  <si>
    <t>CMP-01938</t>
  </si>
  <si>
    <t>Q1_Summer_CMP-01938</t>
  </si>
  <si>
    <t>CMP-01939</t>
  </si>
  <si>
    <t>Q2_Summer_CMP-01939</t>
  </si>
  <si>
    <t>CMP-01940</t>
  </si>
  <si>
    <t>Q2_Summer_CMP-01940</t>
  </si>
  <si>
    <t>CMP-01941</t>
  </si>
  <si>
    <t>Q2_BlackFriday_CMP-01941</t>
  </si>
  <si>
    <t>CMP-01942</t>
  </si>
  <si>
    <t>Q1_Winter_CMP-01942</t>
  </si>
  <si>
    <t>CMP-01943</t>
  </si>
  <si>
    <t>Q2_Summer_CMP-01943</t>
  </si>
  <si>
    <t>CMP-01944</t>
  </si>
  <si>
    <t>Q1_Summer_CMP-01944</t>
  </si>
  <si>
    <t>CMP-01945</t>
  </si>
  <si>
    <t>Q1_BlackFriday_CMP-01945</t>
  </si>
  <si>
    <t>CMP-01946</t>
  </si>
  <si>
    <t>Q1_Winter_CMP-01946</t>
  </si>
  <si>
    <t>CMP-01947</t>
  </si>
  <si>
    <t>Q4_BlackFriday_CMP-01947</t>
  </si>
  <si>
    <t>CMP-01948</t>
  </si>
  <si>
    <t>Q1_Summer_CMP-01948</t>
  </si>
  <si>
    <t>CMP-01949</t>
  </si>
  <si>
    <t>Q1_Winter_CMP-01949</t>
  </si>
  <si>
    <t>CMP-01950</t>
  </si>
  <si>
    <t>Q2_Summer_CMP-01950</t>
  </si>
  <si>
    <t>CMP-01951</t>
  </si>
  <si>
    <t>Q2_Summer_CMP-01951</t>
  </si>
  <si>
    <t>CMP-01952</t>
  </si>
  <si>
    <t>Q1_Summer_CMP-01952</t>
  </si>
  <si>
    <t>CMP-01953</t>
  </si>
  <si>
    <t>Q4_Winter_CMP-01953</t>
  </si>
  <si>
    <t>CMP-01954</t>
  </si>
  <si>
    <t>Q2_Summer_CMP-01954</t>
  </si>
  <si>
    <t>CMP-01955</t>
  </si>
  <si>
    <t>Q1_Launch_CMP-01955</t>
  </si>
  <si>
    <t>CMP-01956</t>
  </si>
  <si>
    <t>Q3_Winter_CMP-01956</t>
  </si>
  <si>
    <t>CMP-01957</t>
  </si>
  <si>
    <t>Q4_Winter_CMP-01957</t>
  </si>
  <si>
    <t>CMP-01958</t>
  </si>
  <si>
    <t>Q4_Winter_CMP-01958</t>
  </si>
  <si>
    <t>CMP-01959</t>
  </si>
  <si>
    <t>Q4_BlackFriday_CMP-01959</t>
  </si>
  <si>
    <t>CMP-01960</t>
  </si>
  <si>
    <t>Q1_Launch_CMP-01960</t>
  </si>
  <si>
    <t>CMP-01961</t>
  </si>
  <si>
    <t>Q2_Summer_CMP-01961</t>
  </si>
  <si>
    <t>CMP-01962</t>
  </si>
  <si>
    <t>Q1_Winter_CMP-01962</t>
  </si>
  <si>
    <t>CMP-01963</t>
  </si>
  <si>
    <t>Q2_BlackFriday_CMP-01963</t>
  </si>
  <si>
    <t>CMP-01964</t>
  </si>
  <si>
    <t>Q2_Winter_CMP-01964</t>
  </si>
  <si>
    <t>CMP-01965</t>
  </si>
  <si>
    <t>Q1_Summer_CMP-01965</t>
  </si>
  <si>
    <t>CMP-01966</t>
  </si>
  <si>
    <t>Q2_Winter_CMP-01966</t>
  </si>
  <si>
    <t>CMP-01967</t>
  </si>
  <si>
    <t>Q3_Winter_CMP-01967</t>
  </si>
  <si>
    <t>CMP-01968</t>
  </si>
  <si>
    <t>Q2_Launch_CMP-01968</t>
  </si>
  <si>
    <t>CMP-01969</t>
  </si>
  <si>
    <t>Q3_Launch_CMP-01969</t>
  </si>
  <si>
    <t>CMP-01970</t>
  </si>
  <si>
    <t>Q3_Winter_CMP-01970</t>
  </si>
  <si>
    <t>CMP-01971</t>
  </si>
  <si>
    <t>Q4_BlackFriday_CMP-01971</t>
  </si>
  <si>
    <t>16/08/2023</t>
  </si>
  <si>
    <t>CMP-01972</t>
  </si>
  <si>
    <t>Q3_Winter_CMP-01972</t>
  </si>
  <si>
    <t>CMP-01973</t>
  </si>
  <si>
    <t>Q1_BlackFriday_CMP-01973</t>
  </si>
  <si>
    <t>CMP-01974</t>
  </si>
  <si>
    <t>Q3_Winter_CMP-01974</t>
  </si>
  <si>
    <t>CMP-01975</t>
  </si>
  <si>
    <t>Q1_Summer_CMP-01975</t>
  </si>
  <si>
    <t>CMP-01976</t>
  </si>
  <si>
    <t>Q1_Launch_CMP-01976</t>
  </si>
  <si>
    <t>CMP-01977</t>
  </si>
  <si>
    <t>Q3_Summer_CMP-01977</t>
  </si>
  <si>
    <t>CMP-01978</t>
  </si>
  <si>
    <t>Q4_Summer_CMP-01978</t>
  </si>
  <si>
    <t>CMP-01979</t>
  </si>
  <si>
    <t>Q4_Summer_CMP-01979</t>
  </si>
  <si>
    <t>CMP-01980</t>
  </si>
  <si>
    <t>Q1_BlackFriday_CMP-01980</t>
  </si>
  <si>
    <t>CMP-01981</t>
  </si>
  <si>
    <t>Q3_Summer_CMP-01981</t>
  </si>
  <si>
    <t>CMP-01982</t>
  </si>
  <si>
    <t>Q3_BlackFriday_CMP-01982</t>
  </si>
  <si>
    <t>CMP-01983</t>
  </si>
  <si>
    <t>Q4_BlackFriday_CMP-01983</t>
  </si>
  <si>
    <t>CMP-01984</t>
  </si>
  <si>
    <t>Q4_BlackFriday_CMP-01984</t>
  </si>
  <si>
    <t>CMP-01985</t>
  </si>
  <si>
    <t>Q4_BlackFriday_CMP-01985</t>
  </si>
  <si>
    <t>CMP-01986</t>
  </si>
  <si>
    <t>Q4_BlackFriday_CMP-01986</t>
  </si>
  <si>
    <t>CMP-01987</t>
  </si>
  <si>
    <t>Q2_Winter_CMP-01987</t>
  </si>
  <si>
    <t>CMP-01988</t>
  </si>
  <si>
    <t>Q2_Summer_CMP-01988</t>
  </si>
  <si>
    <t>CMP-01989</t>
  </si>
  <si>
    <t>Q3_Launch_CMP-01989</t>
  </si>
  <si>
    <t>CMP-01990</t>
  </si>
  <si>
    <t>Q4_Launch_CMP-01990</t>
  </si>
  <si>
    <t>CMP-01991</t>
  </si>
  <si>
    <t>Q3_Launch_CMP-01991</t>
  </si>
  <si>
    <t>CMP-01992</t>
  </si>
  <si>
    <t>Q4_Launch_CMP-01992</t>
  </si>
  <si>
    <t>CMP-01993</t>
  </si>
  <si>
    <t>Q4_Winter_CMP-01993</t>
  </si>
  <si>
    <t>CMP-01994</t>
  </si>
  <si>
    <t>Q2_Launch_CMP-01994</t>
  </si>
  <si>
    <t>CMP-01995</t>
  </si>
  <si>
    <t>Q4_Summer_CMP-01995</t>
  </si>
  <si>
    <t>CMP-01996</t>
  </si>
  <si>
    <t>Q2_BlackFriday_CMP-01996</t>
  </si>
  <si>
    <t>CMP-01997</t>
  </si>
  <si>
    <t>Q4_Winter_CMP-01997</t>
  </si>
  <si>
    <t>CMP-01998</t>
  </si>
  <si>
    <t>Q4_BlackFriday_CMP-01998</t>
  </si>
  <si>
    <t>CMP-01999</t>
  </si>
  <si>
    <t>Q1_Launch_CMP-01999</t>
  </si>
  <si>
    <t>CMP-02000</t>
  </si>
  <si>
    <t>Q2_Winter_CMP-02000</t>
  </si>
  <si>
    <t>Campaign_Type</t>
  </si>
  <si>
    <t>Month ( Start_Date )</t>
  </si>
  <si>
    <t>Day (Start_Date )</t>
  </si>
  <si>
    <t>Year ( Start_Date )</t>
  </si>
  <si>
    <t xml:space="preserve">Correct Start Date </t>
  </si>
  <si>
    <t xml:space="preserve">Duration </t>
  </si>
  <si>
    <t xml:space="preserve">New Spend </t>
  </si>
  <si>
    <t>Summer</t>
  </si>
  <si>
    <t>Launch</t>
  </si>
  <si>
    <t>Winter</t>
  </si>
  <si>
    <t>Q1</t>
  </si>
  <si>
    <t>BlackFriday</t>
  </si>
  <si>
    <t>Q3</t>
  </si>
  <si>
    <t>MEDIAN</t>
  </si>
  <si>
    <t>LOWER</t>
  </si>
  <si>
    <t>UPPER</t>
  </si>
  <si>
    <t xml:space="preserve">Assignment one </t>
  </si>
  <si>
    <t>Duration ( Days )</t>
  </si>
  <si>
    <t xml:space="preserve">Correct_Spend </t>
  </si>
  <si>
    <t xml:space="preserve">Campaign_Type </t>
  </si>
  <si>
    <t xml:space="preserve">Max_Conversion </t>
  </si>
  <si>
    <t>Money_Spent</t>
  </si>
  <si>
    <t xml:space="preserve">Conversion </t>
  </si>
  <si>
    <t xml:space="preserve">Min_Conversion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</si>
</sst>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3" borderId="3" xfId="0" applyNumberFormat="1" applyFont="1" applyFill="1" applyBorder="1" applyAlignment="1" applyProtection="1">
      <alignment vertical="center"/>
    </xf>
    <xf numFmtId="0" fontId="0" fillId="3" borderId="4" xfId="0" applyNumberFormat="1" applyFont="1" applyFill="1" applyBorder="1" applyAlignment="1" applyProtection="1">
      <alignment vertical="center"/>
    </xf>
    <xf numFmtId="178" fontId="0" fillId="3" borderId="4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178" fontId="0" fillId="0" borderId="4" xfId="0" applyNumberFormat="1" applyFont="1" applyFill="1" applyBorder="1" applyAlignment="1" applyProtection="1">
      <alignment vertical="center"/>
    </xf>
    <xf numFmtId="58" fontId="0" fillId="3" borderId="4" xfId="0" applyNumberFormat="1" applyFont="1" applyFill="1" applyBorder="1" applyAlignment="1" applyProtection="1">
      <alignment vertical="center"/>
    </xf>
    <xf numFmtId="8" fontId="0" fillId="3" borderId="4" xfId="0" applyNumberFormat="1" applyFont="1" applyFill="1" applyBorder="1" applyAlignment="1" applyProtection="1">
      <alignment vertical="center"/>
    </xf>
    <xf numFmtId="58" fontId="0" fillId="0" borderId="4" xfId="0" applyNumberFormat="1" applyFont="1" applyFill="1" applyBorder="1" applyAlignment="1" applyProtection="1">
      <alignment vertical="center"/>
    </xf>
    <xf numFmtId="8" fontId="0" fillId="0" borderId="4" xfId="0" applyNumberFormat="1" applyFont="1" applyFill="1" applyBorder="1" applyAlignment="1" applyProtection="1">
      <alignment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0" fillId="3" borderId="6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0" fillId="0" borderId="7" xfId="0" applyNumberFormat="1" applyFont="1" applyFill="1" applyBorder="1" applyAlignment="1" applyProtection="1">
      <alignment vertical="center"/>
    </xf>
    <xf numFmtId="0" fontId="0" fillId="0" borderId="8" xfId="0" applyNumberFormat="1" applyFont="1" applyFill="1" applyBorder="1" applyAlignment="1" applyProtection="1">
      <alignment vertical="center"/>
    </xf>
    <xf numFmtId="0" fontId="0" fillId="0" borderId="9" xfId="0" applyNumberFormat="1" applyFont="1" applyFill="1" applyBorder="1" applyAlignment="1" applyProtection="1">
      <alignment vertical="center"/>
    </xf>
    <xf numFmtId="178" fontId="0" fillId="0" borderId="8" xfId="0" applyNumberFormat="1" applyFont="1" applyFill="1" applyBorder="1" applyAlignment="1" applyProtection="1">
      <alignment vertical="center"/>
    </xf>
    <xf numFmtId="58" fontId="0" fillId="0" borderId="8" xfId="0" applyNumberFormat="1" applyFont="1" applyFill="1" applyBorder="1" applyAlignment="1" applyProtection="1">
      <alignment vertical="center"/>
    </xf>
    <xf numFmtId="8" fontId="0" fillId="0" borderId="8" xfId="0" applyNumberFormat="1" applyFont="1" applyFill="1" applyBorder="1" applyAlignment="1" applyProtection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8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21"/>
  <sheetViews>
    <sheetView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27">
        <v>45254</v>
      </c>
      <c r="D2" s="25">
        <v>45273</v>
      </c>
      <c r="E2" t="s">
        <v>14</v>
      </c>
      <c r="F2">
        <v>16795</v>
      </c>
      <c r="G2">
        <v>197</v>
      </c>
      <c r="H2" s="26">
        <v>102.82</v>
      </c>
      <c r="I2">
        <v>20</v>
      </c>
      <c r="J2" t="s">
        <v>15</v>
      </c>
      <c r="L2" t="s">
        <v>16</v>
      </c>
    </row>
    <row r="3" spans="1:12">
      <c r="A3" t="s">
        <v>17</v>
      </c>
      <c r="B3" t="s">
        <v>18</v>
      </c>
      <c r="C3" s="27">
        <v>45052</v>
      </c>
      <c r="D3" s="25">
        <v>45058</v>
      </c>
      <c r="E3" t="s">
        <v>19</v>
      </c>
      <c r="F3">
        <v>1860</v>
      </c>
      <c r="G3">
        <v>30</v>
      </c>
      <c r="H3">
        <v>24.33</v>
      </c>
      <c r="I3">
        <v>1</v>
      </c>
      <c r="J3">
        <v>0</v>
      </c>
      <c r="L3" t="s">
        <v>20</v>
      </c>
    </row>
    <row r="4" spans="1:12">
      <c r="A4" t="s">
        <v>21</v>
      </c>
      <c r="B4" t="s">
        <v>22</v>
      </c>
      <c r="C4" s="27">
        <v>45273</v>
      </c>
      <c r="D4" s="25">
        <v>45280</v>
      </c>
      <c r="E4" t="s">
        <v>23</v>
      </c>
      <c r="F4">
        <v>77820</v>
      </c>
      <c r="G4">
        <v>843</v>
      </c>
      <c r="H4">
        <v>1323.39</v>
      </c>
      <c r="I4">
        <v>51</v>
      </c>
      <c r="J4" t="s">
        <v>24</v>
      </c>
      <c r="L4" t="s">
        <v>25</v>
      </c>
    </row>
    <row r="5" spans="1:12">
      <c r="A5" t="s">
        <v>26</v>
      </c>
      <c r="B5" t="s">
        <v>27</v>
      </c>
      <c r="C5" s="25">
        <v>45229</v>
      </c>
      <c r="D5" s="25">
        <v>45233</v>
      </c>
      <c r="E5" t="s">
        <v>14</v>
      </c>
      <c r="F5">
        <v>55886</v>
      </c>
      <c r="G5">
        <v>2019</v>
      </c>
      <c r="H5">
        <v>2180.38</v>
      </c>
      <c r="I5">
        <v>135</v>
      </c>
      <c r="J5" t="b">
        <v>1</v>
      </c>
      <c r="L5" t="s">
        <v>16</v>
      </c>
    </row>
    <row r="6" spans="1:12">
      <c r="A6" t="s">
        <v>28</v>
      </c>
      <c r="B6" t="s">
        <v>29</v>
      </c>
      <c r="C6" s="27">
        <v>45038</v>
      </c>
      <c r="D6" s="25">
        <v>45039</v>
      </c>
      <c r="E6" t="s">
        <v>19</v>
      </c>
      <c r="F6">
        <v>7265</v>
      </c>
      <c r="G6">
        <v>169</v>
      </c>
      <c r="H6">
        <v>252.44</v>
      </c>
      <c r="I6">
        <v>30</v>
      </c>
      <c r="J6" t="s">
        <v>30</v>
      </c>
      <c r="L6" t="s">
        <v>20</v>
      </c>
    </row>
    <row r="7" spans="1:12">
      <c r="A7" t="s">
        <v>31</v>
      </c>
      <c r="B7" t="s">
        <v>32</v>
      </c>
      <c r="C7" s="27">
        <v>45214</v>
      </c>
      <c r="D7" s="25">
        <v>45227</v>
      </c>
      <c r="E7" t="s">
        <v>33</v>
      </c>
      <c r="F7">
        <v>83386</v>
      </c>
      <c r="G7">
        <v>2643</v>
      </c>
      <c r="H7">
        <v>2697.03</v>
      </c>
      <c r="J7">
        <v>1</v>
      </c>
      <c r="L7" t="s">
        <v>34</v>
      </c>
    </row>
    <row r="8" spans="1:12">
      <c r="A8" t="s">
        <v>35</v>
      </c>
      <c r="B8" t="s">
        <v>36</v>
      </c>
      <c r="C8" s="27">
        <v>45206</v>
      </c>
      <c r="D8" s="25">
        <v>45222</v>
      </c>
      <c r="E8" t="s">
        <v>19</v>
      </c>
      <c r="F8">
        <v>38194</v>
      </c>
      <c r="G8">
        <v>1135</v>
      </c>
      <c r="H8">
        <v>1232.76</v>
      </c>
      <c r="I8">
        <v>178</v>
      </c>
      <c r="J8" t="s">
        <v>30</v>
      </c>
      <c r="L8" t="s">
        <v>20</v>
      </c>
    </row>
    <row r="9" spans="1:12">
      <c r="A9" t="s">
        <v>37</v>
      </c>
      <c r="B9" t="s">
        <v>38</v>
      </c>
      <c r="C9" s="25">
        <v>45069</v>
      </c>
      <c r="D9" s="25">
        <v>45074</v>
      </c>
      <c r="E9" t="s">
        <v>33</v>
      </c>
      <c r="F9">
        <v>88498</v>
      </c>
      <c r="G9">
        <v>1173</v>
      </c>
      <c r="H9">
        <v>865.7</v>
      </c>
      <c r="I9">
        <v>127</v>
      </c>
      <c r="J9">
        <v>1</v>
      </c>
      <c r="L9" t="s">
        <v>34</v>
      </c>
    </row>
    <row r="10" spans="1:12">
      <c r="A10" t="s">
        <v>39</v>
      </c>
      <c r="B10" t="s">
        <v>40</v>
      </c>
      <c r="C10" s="27">
        <v>45008</v>
      </c>
      <c r="D10" s="25">
        <v>45017</v>
      </c>
      <c r="E10" t="s">
        <v>41</v>
      </c>
      <c r="F10">
        <v>45131</v>
      </c>
      <c r="G10">
        <v>1179</v>
      </c>
      <c r="H10">
        <v>1046.18</v>
      </c>
      <c r="I10">
        <v>104</v>
      </c>
      <c r="J10">
        <v>1</v>
      </c>
      <c r="L10" t="s">
        <v>42</v>
      </c>
    </row>
    <row r="11" spans="1:12">
      <c r="A11" t="s">
        <v>43</v>
      </c>
      <c r="B11" t="s">
        <v>44</v>
      </c>
      <c r="C11" s="27">
        <v>45006</v>
      </c>
      <c r="D11" s="25">
        <v>45017</v>
      </c>
      <c r="E11" t="s">
        <v>23</v>
      </c>
      <c r="F11">
        <v>61263</v>
      </c>
      <c r="G11">
        <v>1153</v>
      </c>
      <c r="H11">
        <v>1623.56</v>
      </c>
      <c r="J11">
        <v>0</v>
      </c>
      <c r="L11" t="s">
        <v>25</v>
      </c>
    </row>
    <row r="12" spans="1:12">
      <c r="A12" t="s">
        <v>45</v>
      </c>
      <c r="B12" t="s">
        <v>46</v>
      </c>
      <c r="C12" t="s">
        <v>47</v>
      </c>
      <c r="D12" s="25">
        <v>44986</v>
      </c>
      <c r="E12" t="s">
        <v>33</v>
      </c>
      <c r="F12">
        <v>17023</v>
      </c>
      <c r="G12">
        <v>455</v>
      </c>
      <c r="H12">
        <v>523.13</v>
      </c>
      <c r="I12">
        <v>76</v>
      </c>
      <c r="J12">
        <v>1</v>
      </c>
      <c r="L12" t="s">
        <v>34</v>
      </c>
    </row>
    <row r="13" spans="1:12">
      <c r="A13" t="s">
        <v>48</v>
      </c>
      <c r="B13" t="s">
        <v>49</v>
      </c>
      <c r="C13" s="27">
        <v>44976</v>
      </c>
      <c r="D13" s="25">
        <v>44977</v>
      </c>
      <c r="E13" t="s">
        <v>41</v>
      </c>
      <c r="F13">
        <v>42090</v>
      </c>
      <c r="G13">
        <v>763</v>
      </c>
      <c r="H13">
        <v>1267.69</v>
      </c>
      <c r="I13">
        <v>109</v>
      </c>
      <c r="J13" t="b">
        <v>0</v>
      </c>
      <c r="L13" t="s">
        <v>42</v>
      </c>
    </row>
    <row r="14" spans="1:12">
      <c r="A14" t="s">
        <v>50</v>
      </c>
      <c r="B14" t="s">
        <v>51</v>
      </c>
      <c r="C14" s="27">
        <v>45062</v>
      </c>
      <c r="D14" s="25">
        <v>45078</v>
      </c>
      <c r="E14" t="s">
        <v>41</v>
      </c>
      <c r="F14">
        <v>68221</v>
      </c>
      <c r="G14">
        <v>2975</v>
      </c>
      <c r="H14">
        <v>5292.16</v>
      </c>
      <c r="I14">
        <v>567</v>
      </c>
      <c r="J14" t="s">
        <v>24</v>
      </c>
      <c r="L14" t="s">
        <v>42</v>
      </c>
    </row>
    <row r="15" spans="1:12">
      <c r="A15" t="s">
        <v>52</v>
      </c>
      <c r="B15" t="s">
        <v>53</v>
      </c>
      <c r="C15" s="27">
        <v>45201</v>
      </c>
      <c r="D15" s="25">
        <v>45214</v>
      </c>
      <c r="E15" t="s">
        <v>14</v>
      </c>
      <c r="F15">
        <v>65820</v>
      </c>
      <c r="G15">
        <v>1116</v>
      </c>
      <c r="H15">
        <v>1464.72</v>
      </c>
      <c r="I15">
        <v>169</v>
      </c>
      <c r="J15" t="s">
        <v>15</v>
      </c>
      <c r="L15" t="s">
        <v>16</v>
      </c>
    </row>
    <row r="16" spans="1:12">
      <c r="A16" t="s">
        <v>54</v>
      </c>
      <c r="B16" t="s">
        <v>55</v>
      </c>
      <c r="C16" s="27">
        <v>44967</v>
      </c>
      <c r="D16" s="25">
        <v>44973</v>
      </c>
      <c r="E16" t="s">
        <v>41</v>
      </c>
      <c r="F16">
        <v>1769</v>
      </c>
      <c r="G16">
        <v>85</v>
      </c>
      <c r="H16">
        <v>139.18</v>
      </c>
      <c r="I16">
        <v>11</v>
      </c>
      <c r="J16" t="s">
        <v>30</v>
      </c>
      <c r="L16" t="s">
        <v>42</v>
      </c>
    </row>
    <row r="17" spans="1:12">
      <c r="A17" t="s">
        <v>56</v>
      </c>
      <c r="B17" t="s">
        <v>57</v>
      </c>
      <c r="C17" s="27">
        <v>45243</v>
      </c>
      <c r="D17" s="25">
        <v>45253</v>
      </c>
      <c r="E17" t="s">
        <v>58</v>
      </c>
      <c r="F17">
        <v>60735</v>
      </c>
      <c r="G17">
        <v>1617</v>
      </c>
      <c r="H17">
        <v>1552.9</v>
      </c>
      <c r="I17">
        <v>228</v>
      </c>
      <c r="J17" t="s">
        <v>15</v>
      </c>
      <c r="L17" t="s">
        <v>59</v>
      </c>
    </row>
    <row r="18" spans="1:12">
      <c r="A18" t="s">
        <v>60</v>
      </c>
      <c r="B18" t="s">
        <v>61</v>
      </c>
      <c r="C18" s="25">
        <v>45025</v>
      </c>
      <c r="D18" s="25">
        <v>45200</v>
      </c>
      <c r="E18" t="s">
        <v>23</v>
      </c>
      <c r="F18">
        <v>63955</v>
      </c>
      <c r="G18">
        <v>2804</v>
      </c>
      <c r="H18">
        <v>3147.37</v>
      </c>
      <c r="I18">
        <v>536</v>
      </c>
      <c r="J18" t="s">
        <v>24</v>
      </c>
      <c r="L18" t="s">
        <v>25</v>
      </c>
    </row>
    <row r="19" spans="1:12">
      <c r="A19" t="s">
        <v>62</v>
      </c>
      <c r="B19" t="s">
        <v>63</v>
      </c>
      <c r="C19" s="27">
        <v>45043</v>
      </c>
      <c r="D19" s="25">
        <v>45071</v>
      </c>
      <c r="E19" t="s">
        <v>33</v>
      </c>
      <c r="F19">
        <v>65925</v>
      </c>
      <c r="G19">
        <v>2317</v>
      </c>
      <c r="H19">
        <v>3635.76</v>
      </c>
      <c r="I19">
        <v>389</v>
      </c>
      <c r="J19" t="b">
        <v>1</v>
      </c>
      <c r="L19" t="s">
        <v>34</v>
      </c>
    </row>
    <row r="20" spans="1:12">
      <c r="A20" t="s">
        <v>64</v>
      </c>
      <c r="B20" t="s">
        <v>65</v>
      </c>
      <c r="C20" s="27">
        <v>45046</v>
      </c>
      <c r="D20" s="25">
        <v>45064</v>
      </c>
      <c r="E20" t="s">
        <v>19</v>
      </c>
      <c r="F20">
        <v>68969</v>
      </c>
      <c r="G20">
        <v>2718</v>
      </c>
      <c r="H20">
        <v>2933.59</v>
      </c>
      <c r="I20">
        <v>145</v>
      </c>
      <c r="J20" t="s">
        <v>24</v>
      </c>
      <c r="L20" t="s">
        <v>20</v>
      </c>
    </row>
    <row r="21" spans="1:12">
      <c r="A21" t="s">
        <v>66</v>
      </c>
      <c r="B21" t="s">
        <v>67</v>
      </c>
      <c r="C21" s="27">
        <v>45159</v>
      </c>
      <c r="D21" s="25">
        <v>45168</v>
      </c>
      <c r="E21" t="s">
        <v>23</v>
      </c>
      <c r="F21">
        <v>6311</v>
      </c>
      <c r="G21">
        <v>256</v>
      </c>
      <c r="H21">
        <v>353.99</v>
      </c>
      <c r="J21" t="s">
        <v>30</v>
      </c>
      <c r="L21" t="s">
        <v>68</v>
      </c>
    </row>
    <row r="22" spans="1:12">
      <c r="A22" t="s">
        <v>69</v>
      </c>
      <c r="B22" t="s">
        <v>70</v>
      </c>
      <c r="C22" s="27">
        <v>45116</v>
      </c>
      <c r="D22" s="25">
        <v>45124</v>
      </c>
      <c r="E22" t="s">
        <v>19</v>
      </c>
      <c r="F22">
        <v>84104</v>
      </c>
      <c r="G22">
        <v>2539</v>
      </c>
      <c r="H22">
        <v>1975.49</v>
      </c>
      <c r="J22" t="s">
        <v>15</v>
      </c>
      <c r="L22" t="s">
        <v>20</v>
      </c>
    </row>
    <row r="23" spans="1:12">
      <c r="A23" t="s">
        <v>71</v>
      </c>
      <c r="B23" t="s">
        <v>72</v>
      </c>
      <c r="C23" s="27">
        <v>45286</v>
      </c>
      <c r="D23" s="25">
        <v>45293</v>
      </c>
      <c r="E23" t="s">
        <v>41</v>
      </c>
      <c r="F23">
        <v>54707</v>
      </c>
      <c r="G23">
        <v>1735</v>
      </c>
      <c r="H23" s="26">
        <v>2428.4</v>
      </c>
      <c r="J23" t="s">
        <v>15</v>
      </c>
      <c r="L23" t="s">
        <v>42</v>
      </c>
    </row>
    <row r="24" spans="1:12">
      <c r="A24" t="s">
        <v>73</v>
      </c>
      <c r="B24" t="s">
        <v>74</v>
      </c>
      <c r="C24" s="27">
        <v>45238</v>
      </c>
      <c r="D24" s="25">
        <v>45254</v>
      </c>
      <c r="E24" t="s">
        <v>41</v>
      </c>
      <c r="F24">
        <v>86305</v>
      </c>
      <c r="G24">
        <v>2637</v>
      </c>
      <c r="H24" s="26">
        <v>4726.22</v>
      </c>
      <c r="I24">
        <v>216</v>
      </c>
      <c r="J24">
        <v>0</v>
      </c>
      <c r="K24">
        <v>86385</v>
      </c>
      <c r="L24" t="s">
        <v>42</v>
      </c>
    </row>
    <row r="25" spans="1:12">
      <c r="A25" t="s">
        <v>75</v>
      </c>
      <c r="B25" t="s">
        <v>76</v>
      </c>
      <c r="C25" s="27">
        <v>45052</v>
      </c>
      <c r="D25" s="25">
        <v>45047</v>
      </c>
      <c r="E25" t="s">
        <v>33</v>
      </c>
      <c r="F25">
        <v>29693</v>
      </c>
      <c r="G25">
        <v>995</v>
      </c>
      <c r="H25">
        <v>1793.94</v>
      </c>
      <c r="I25">
        <v>179</v>
      </c>
      <c r="J25">
        <v>0</v>
      </c>
      <c r="L25" t="s">
        <v>34</v>
      </c>
    </row>
    <row r="26" spans="1:12">
      <c r="A26" t="s">
        <v>77</v>
      </c>
      <c r="B26" t="s">
        <v>78</v>
      </c>
      <c r="C26" s="27">
        <v>45254</v>
      </c>
      <c r="D26" s="25">
        <v>45278</v>
      </c>
      <c r="E26" t="s">
        <v>23</v>
      </c>
      <c r="F26">
        <v>72932</v>
      </c>
      <c r="G26">
        <v>815</v>
      </c>
      <c r="H26">
        <v>1293.01</v>
      </c>
      <c r="I26">
        <v>157</v>
      </c>
      <c r="J26" t="s">
        <v>24</v>
      </c>
      <c r="L26" t="s">
        <v>25</v>
      </c>
    </row>
    <row r="27" spans="1:12">
      <c r="A27" t="s">
        <v>79</v>
      </c>
      <c r="B27" t="s">
        <v>80</v>
      </c>
      <c r="C27" s="27">
        <v>45093</v>
      </c>
      <c r="D27" s="25">
        <v>45109</v>
      </c>
      <c r="E27" t="s">
        <v>41</v>
      </c>
      <c r="F27">
        <v>94016</v>
      </c>
      <c r="G27">
        <v>2427</v>
      </c>
      <c r="H27">
        <v>3928.42</v>
      </c>
      <c r="I27">
        <v>207</v>
      </c>
      <c r="J27" t="s">
        <v>24</v>
      </c>
      <c r="L27" t="s">
        <v>42</v>
      </c>
    </row>
    <row r="28" spans="1:12">
      <c r="A28" t="s">
        <v>81</v>
      </c>
      <c r="B28" t="s">
        <v>82</v>
      </c>
      <c r="C28" s="27">
        <v>45044</v>
      </c>
      <c r="D28" s="25">
        <v>45058</v>
      </c>
      <c r="E28" t="s">
        <v>14</v>
      </c>
      <c r="F28">
        <v>26658</v>
      </c>
      <c r="G28">
        <v>912</v>
      </c>
      <c r="H28">
        <v>1219.24</v>
      </c>
      <c r="I28">
        <v>166</v>
      </c>
      <c r="J28" t="b">
        <v>1</v>
      </c>
      <c r="L28" t="s">
        <v>16</v>
      </c>
    </row>
    <row r="29" spans="1:12">
      <c r="A29" t="s">
        <v>83</v>
      </c>
      <c r="B29" t="s">
        <v>84</v>
      </c>
      <c r="C29" s="27">
        <v>45132</v>
      </c>
      <c r="D29" s="25">
        <v>45146</v>
      </c>
      <c r="E29" t="s">
        <v>23</v>
      </c>
      <c r="F29">
        <v>85478</v>
      </c>
      <c r="G29">
        <v>2898</v>
      </c>
      <c r="H29">
        <v>3990.55</v>
      </c>
      <c r="I29">
        <v>187</v>
      </c>
      <c r="J29">
        <v>1</v>
      </c>
      <c r="L29" t="s">
        <v>25</v>
      </c>
    </row>
    <row r="30" spans="1:12">
      <c r="A30" t="s">
        <v>85</v>
      </c>
      <c r="B30" t="s">
        <v>86</v>
      </c>
      <c r="C30" s="27">
        <v>45217</v>
      </c>
      <c r="D30" s="25">
        <v>45245</v>
      </c>
      <c r="E30" t="s">
        <v>33</v>
      </c>
      <c r="F30">
        <v>19431</v>
      </c>
      <c r="G30">
        <v>810</v>
      </c>
      <c r="H30">
        <v>567.39</v>
      </c>
      <c r="I30">
        <v>47</v>
      </c>
      <c r="J30" t="s">
        <v>30</v>
      </c>
      <c r="L30" t="s">
        <v>34</v>
      </c>
    </row>
    <row r="31" spans="1:12">
      <c r="A31" t="s">
        <v>87</v>
      </c>
      <c r="B31" t="s">
        <v>88</v>
      </c>
      <c r="C31" s="27">
        <v>45262</v>
      </c>
      <c r="D31" s="25">
        <v>45268</v>
      </c>
      <c r="E31" t="s">
        <v>33</v>
      </c>
      <c r="F31">
        <v>3747</v>
      </c>
      <c r="G31">
        <v>135</v>
      </c>
      <c r="H31">
        <v>157.38</v>
      </c>
      <c r="I31">
        <v>9</v>
      </c>
      <c r="J31">
        <v>0</v>
      </c>
      <c r="L31" t="s">
        <v>34</v>
      </c>
    </row>
    <row r="32" spans="1:12">
      <c r="A32" t="s">
        <v>89</v>
      </c>
      <c r="B32" t="s">
        <v>90</v>
      </c>
      <c r="C32" s="27">
        <v>45256</v>
      </c>
      <c r="D32" s="25">
        <v>45272</v>
      </c>
      <c r="E32" t="s">
        <v>41</v>
      </c>
      <c r="F32">
        <v>60150</v>
      </c>
      <c r="G32">
        <v>2988</v>
      </c>
      <c r="H32">
        <v>3514.38</v>
      </c>
      <c r="I32">
        <v>175</v>
      </c>
      <c r="J32" t="s">
        <v>30</v>
      </c>
      <c r="L32" t="s">
        <v>42</v>
      </c>
    </row>
    <row r="33" spans="1:12">
      <c r="A33" t="s">
        <v>91</v>
      </c>
      <c r="B33" t="s">
        <v>92</v>
      </c>
      <c r="C33" s="27">
        <v>45053</v>
      </c>
      <c r="D33" s="25">
        <v>45075</v>
      </c>
      <c r="E33" t="s">
        <v>33</v>
      </c>
      <c r="F33">
        <v>66725</v>
      </c>
      <c r="G33">
        <v>1424</v>
      </c>
      <c r="H33" s="26">
        <v>2759.35</v>
      </c>
      <c r="I33">
        <v>251</v>
      </c>
      <c r="J33" t="b">
        <v>1</v>
      </c>
      <c r="L33" t="s">
        <v>34</v>
      </c>
    </row>
    <row r="34" spans="1:12">
      <c r="A34" t="s">
        <v>93</v>
      </c>
      <c r="B34" t="s">
        <v>94</v>
      </c>
      <c r="C34" s="27">
        <v>45226</v>
      </c>
      <c r="D34" s="25">
        <v>45228</v>
      </c>
      <c r="E34" t="s">
        <v>33</v>
      </c>
      <c r="F34">
        <v>85654</v>
      </c>
      <c r="G34">
        <v>2087</v>
      </c>
      <c r="H34" s="26">
        <v>2393.02</v>
      </c>
      <c r="I34">
        <v>122</v>
      </c>
      <c r="J34">
        <v>0</v>
      </c>
      <c r="L34" t="s">
        <v>34</v>
      </c>
    </row>
    <row r="35" spans="1:12">
      <c r="A35" t="s">
        <v>95</v>
      </c>
      <c r="B35" t="s">
        <v>96</v>
      </c>
      <c r="C35" s="27">
        <v>45112</v>
      </c>
      <c r="D35" s="25">
        <v>45124</v>
      </c>
      <c r="E35" t="s">
        <v>19</v>
      </c>
      <c r="F35">
        <v>36773</v>
      </c>
      <c r="G35">
        <v>932</v>
      </c>
      <c r="H35">
        <v>1233.98</v>
      </c>
      <c r="I35">
        <v>84</v>
      </c>
      <c r="J35">
        <v>0</v>
      </c>
      <c r="L35" t="s">
        <v>20</v>
      </c>
    </row>
    <row r="36" spans="1:12">
      <c r="A36" t="s">
        <v>97</v>
      </c>
      <c r="B36" t="s">
        <v>98</v>
      </c>
      <c r="C36" s="27">
        <v>45187</v>
      </c>
      <c r="D36" s="25">
        <v>45191</v>
      </c>
      <c r="E36" t="s">
        <v>33</v>
      </c>
      <c r="F36">
        <v>68435</v>
      </c>
      <c r="G36">
        <v>1959</v>
      </c>
      <c r="H36">
        <v>2546.46</v>
      </c>
      <c r="I36">
        <v>128</v>
      </c>
      <c r="J36">
        <v>1</v>
      </c>
      <c r="L36" t="s">
        <v>34</v>
      </c>
    </row>
    <row r="37" spans="1:12">
      <c r="A37" t="s">
        <v>99</v>
      </c>
      <c r="B37" t="s">
        <v>100</v>
      </c>
      <c r="C37" s="27">
        <v>44983</v>
      </c>
      <c r="D37" s="25">
        <v>44986</v>
      </c>
      <c r="E37" t="s">
        <v>14</v>
      </c>
      <c r="F37">
        <v>57886</v>
      </c>
      <c r="G37">
        <v>2514</v>
      </c>
      <c r="H37">
        <v>3658.23</v>
      </c>
      <c r="I37">
        <v>237</v>
      </c>
      <c r="J37" t="s">
        <v>30</v>
      </c>
      <c r="L37" t="s">
        <v>16</v>
      </c>
    </row>
    <row r="38" spans="1:12">
      <c r="A38" t="s">
        <v>101</v>
      </c>
      <c r="B38" t="s">
        <v>102</v>
      </c>
      <c r="C38" s="25">
        <v>45275</v>
      </c>
      <c r="D38" s="25">
        <v>45286</v>
      </c>
      <c r="E38" t="s">
        <v>33</v>
      </c>
      <c r="F38">
        <v>67803</v>
      </c>
      <c r="G38">
        <v>1317</v>
      </c>
      <c r="H38" s="26">
        <v>2136.63</v>
      </c>
      <c r="I38">
        <v>83</v>
      </c>
      <c r="J38" t="s">
        <v>30</v>
      </c>
      <c r="L38" t="s">
        <v>34</v>
      </c>
    </row>
    <row r="39" spans="1:12">
      <c r="A39" t="s">
        <v>103</v>
      </c>
      <c r="B39" t="s">
        <v>104</v>
      </c>
      <c r="C39" s="27">
        <v>45122</v>
      </c>
      <c r="D39" s="25">
        <v>45145</v>
      </c>
      <c r="E39" t="s">
        <v>14</v>
      </c>
      <c r="F39">
        <v>32551</v>
      </c>
      <c r="G39">
        <v>1335</v>
      </c>
      <c r="H39" s="26">
        <v>1118.15</v>
      </c>
      <c r="I39">
        <v>200</v>
      </c>
      <c r="J39" t="s">
        <v>30</v>
      </c>
      <c r="L39" t="s">
        <v>16</v>
      </c>
    </row>
    <row r="40" spans="1:12">
      <c r="A40" t="s">
        <v>105</v>
      </c>
      <c r="B40" t="s">
        <v>106</v>
      </c>
      <c r="C40" s="27">
        <v>45055</v>
      </c>
      <c r="D40" s="25">
        <v>45071</v>
      </c>
      <c r="E40" t="s">
        <v>23</v>
      </c>
      <c r="F40">
        <v>12394</v>
      </c>
      <c r="G40">
        <v>324</v>
      </c>
      <c r="H40">
        <v>418.96</v>
      </c>
      <c r="I40">
        <v>22</v>
      </c>
      <c r="J40">
        <v>1</v>
      </c>
      <c r="L40" t="s">
        <v>25</v>
      </c>
    </row>
    <row r="41" spans="1:12">
      <c r="A41" t="s">
        <v>107</v>
      </c>
      <c r="B41" t="s">
        <v>108</v>
      </c>
      <c r="C41" s="27">
        <v>44932</v>
      </c>
      <c r="D41" s="25">
        <v>44952</v>
      </c>
      <c r="E41" t="s">
        <v>23</v>
      </c>
      <c r="F41">
        <v>70092</v>
      </c>
      <c r="G41">
        <v>2388</v>
      </c>
      <c r="H41">
        <v>4152.44</v>
      </c>
      <c r="I41">
        <v>424</v>
      </c>
      <c r="J41">
        <v>0</v>
      </c>
      <c r="L41" t="s">
        <v>25</v>
      </c>
    </row>
    <row r="42" spans="1:12">
      <c r="A42" t="s">
        <v>109</v>
      </c>
      <c r="B42" t="s">
        <v>110</v>
      </c>
      <c r="C42" s="27">
        <v>45201</v>
      </c>
      <c r="D42" s="25">
        <v>45211</v>
      </c>
      <c r="E42" t="s">
        <v>23</v>
      </c>
      <c r="F42">
        <v>4890</v>
      </c>
      <c r="G42">
        <v>172</v>
      </c>
      <c r="H42" s="26">
        <v>205.48</v>
      </c>
      <c r="I42">
        <v>29</v>
      </c>
      <c r="J42" t="b">
        <v>1</v>
      </c>
      <c r="L42" t="s">
        <v>25</v>
      </c>
    </row>
    <row r="43" spans="1:12">
      <c r="A43" t="s">
        <v>111</v>
      </c>
      <c r="B43" t="s">
        <v>112</v>
      </c>
      <c r="C43" s="27">
        <v>45101</v>
      </c>
      <c r="D43" s="25">
        <v>45106</v>
      </c>
      <c r="E43" t="s">
        <v>14</v>
      </c>
      <c r="F43">
        <v>42606</v>
      </c>
      <c r="G43">
        <v>1061</v>
      </c>
      <c r="H43">
        <v>973.67</v>
      </c>
      <c r="I43">
        <v>55</v>
      </c>
      <c r="J43" t="s">
        <v>30</v>
      </c>
      <c r="L43" t="s">
        <v>16</v>
      </c>
    </row>
    <row r="44" spans="1:12">
      <c r="A44" t="s">
        <v>113</v>
      </c>
      <c r="B44" t="s">
        <v>114</v>
      </c>
      <c r="C44" t="s">
        <v>115</v>
      </c>
      <c r="D44" s="25">
        <v>45167</v>
      </c>
      <c r="E44" t="s">
        <v>33</v>
      </c>
      <c r="F44">
        <v>97276</v>
      </c>
      <c r="G44">
        <v>2967</v>
      </c>
      <c r="H44">
        <v>4397.28</v>
      </c>
      <c r="I44">
        <v>546</v>
      </c>
      <c r="J44" t="s">
        <v>15</v>
      </c>
      <c r="L44" t="s">
        <v>34</v>
      </c>
    </row>
    <row r="45" spans="1:12">
      <c r="A45" t="s">
        <v>116</v>
      </c>
      <c r="B45" t="s">
        <v>117</v>
      </c>
      <c r="C45" s="27">
        <v>45061</v>
      </c>
      <c r="D45" s="25">
        <v>45078</v>
      </c>
      <c r="E45" t="s">
        <v>58</v>
      </c>
      <c r="F45">
        <v>81038</v>
      </c>
      <c r="G45">
        <v>2149</v>
      </c>
      <c r="H45">
        <v>3729.91</v>
      </c>
      <c r="I45">
        <v>116</v>
      </c>
      <c r="J45">
        <v>1</v>
      </c>
      <c r="K45">
        <v>81075</v>
      </c>
      <c r="L45" t="s">
        <v>59</v>
      </c>
    </row>
    <row r="46" spans="1:12">
      <c r="A46" t="s">
        <v>118</v>
      </c>
      <c r="B46" t="s">
        <v>119</v>
      </c>
      <c r="C46" s="27">
        <v>45186</v>
      </c>
      <c r="D46" s="25">
        <v>45202</v>
      </c>
      <c r="E46" t="s">
        <v>14</v>
      </c>
      <c r="F46">
        <v>88313</v>
      </c>
      <c r="G46">
        <v>1127</v>
      </c>
      <c r="H46">
        <v>670.24</v>
      </c>
      <c r="I46">
        <v>96</v>
      </c>
      <c r="J46" t="b">
        <v>0</v>
      </c>
      <c r="L46" t="s">
        <v>16</v>
      </c>
    </row>
    <row r="47" spans="1:12">
      <c r="A47" t="s">
        <v>120</v>
      </c>
      <c r="B47" t="s">
        <v>121</v>
      </c>
      <c r="C47" s="27">
        <v>45079</v>
      </c>
      <c r="D47" s="25">
        <v>45105</v>
      </c>
      <c r="E47" t="s">
        <v>33</v>
      </c>
      <c r="F47">
        <v>11627</v>
      </c>
      <c r="G47">
        <v>319</v>
      </c>
      <c r="H47">
        <v>531.19</v>
      </c>
      <c r="I47">
        <v>17</v>
      </c>
      <c r="J47" t="b">
        <v>1</v>
      </c>
      <c r="L47" t="s">
        <v>34</v>
      </c>
    </row>
    <row r="48" spans="1:12">
      <c r="A48" t="s">
        <v>122</v>
      </c>
      <c r="B48" t="s">
        <v>123</v>
      </c>
      <c r="C48" s="27">
        <v>45028</v>
      </c>
      <c r="D48" s="25">
        <v>45035</v>
      </c>
      <c r="E48" t="s">
        <v>41</v>
      </c>
      <c r="F48">
        <v>9792</v>
      </c>
      <c r="G48">
        <v>136</v>
      </c>
      <c r="H48">
        <v>235.62</v>
      </c>
      <c r="I48">
        <v>13</v>
      </c>
      <c r="J48" t="s">
        <v>15</v>
      </c>
      <c r="L48" t="s">
        <v>42</v>
      </c>
    </row>
    <row r="49" spans="1:12">
      <c r="A49" t="s">
        <v>124</v>
      </c>
      <c r="B49" t="s">
        <v>125</v>
      </c>
      <c r="C49" s="27">
        <v>45203</v>
      </c>
      <c r="D49" s="25">
        <v>45217</v>
      </c>
      <c r="E49" t="s">
        <v>23</v>
      </c>
      <c r="F49">
        <v>74969</v>
      </c>
      <c r="G49">
        <v>1964</v>
      </c>
      <c r="H49">
        <v>2341.65</v>
      </c>
      <c r="I49">
        <v>249</v>
      </c>
      <c r="J49" t="s">
        <v>30</v>
      </c>
      <c r="L49" t="s">
        <v>25</v>
      </c>
    </row>
    <row r="50" spans="1:12">
      <c r="A50" t="s">
        <v>126</v>
      </c>
      <c r="B50" t="s">
        <v>127</v>
      </c>
      <c r="C50" s="27">
        <v>44927</v>
      </c>
      <c r="D50" s="25">
        <v>44943</v>
      </c>
      <c r="E50" t="s">
        <v>19</v>
      </c>
      <c r="F50">
        <v>44001</v>
      </c>
      <c r="G50">
        <v>1483</v>
      </c>
      <c r="H50">
        <v>2928.86</v>
      </c>
      <c r="J50" t="b">
        <v>0</v>
      </c>
      <c r="L50" t="s">
        <v>20</v>
      </c>
    </row>
    <row r="51" spans="1:12">
      <c r="A51" t="s">
        <v>128</v>
      </c>
      <c r="B51" t="s">
        <v>129</v>
      </c>
      <c r="C51" s="27">
        <v>44984</v>
      </c>
      <c r="D51" s="25">
        <v>44985</v>
      </c>
      <c r="E51" t="s">
        <v>23</v>
      </c>
      <c r="F51">
        <v>77552</v>
      </c>
      <c r="G51">
        <v>2572</v>
      </c>
      <c r="H51">
        <v>4321.12</v>
      </c>
      <c r="I51">
        <v>258</v>
      </c>
      <c r="J51" t="b">
        <v>1</v>
      </c>
      <c r="L51" t="s">
        <v>68</v>
      </c>
    </row>
    <row r="52" spans="1:12">
      <c r="A52" t="s">
        <v>130</v>
      </c>
      <c r="B52" t="s">
        <v>131</v>
      </c>
      <c r="C52" s="27">
        <v>45084</v>
      </c>
      <c r="D52" s="25">
        <v>45094</v>
      </c>
      <c r="E52" t="s">
        <v>41</v>
      </c>
      <c r="F52">
        <v>24897</v>
      </c>
      <c r="G52">
        <v>908</v>
      </c>
      <c r="H52">
        <v>1507.73</v>
      </c>
      <c r="I52">
        <v>141</v>
      </c>
      <c r="J52">
        <v>1</v>
      </c>
      <c r="L52" t="s">
        <v>42</v>
      </c>
    </row>
    <row r="53" spans="1:12">
      <c r="A53" t="s">
        <v>132</v>
      </c>
      <c r="B53" t="s">
        <v>133</v>
      </c>
      <c r="C53" s="25">
        <v>45217</v>
      </c>
      <c r="D53" s="25">
        <v>45238</v>
      </c>
      <c r="E53" t="s">
        <v>14</v>
      </c>
      <c r="F53">
        <v>69148</v>
      </c>
      <c r="G53">
        <v>954</v>
      </c>
      <c r="H53">
        <v>1547.16</v>
      </c>
      <c r="I53">
        <v>74</v>
      </c>
      <c r="J53" t="b">
        <v>0</v>
      </c>
      <c r="L53" t="s">
        <v>16</v>
      </c>
    </row>
    <row r="54" spans="1:12">
      <c r="A54" t="s">
        <v>134</v>
      </c>
      <c r="B54" t="s">
        <v>135</v>
      </c>
      <c r="C54" s="27">
        <v>45175</v>
      </c>
      <c r="D54" s="25">
        <v>45181</v>
      </c>
      <c r="E54" t="s">
        <v>19</v>
      </c>
      <c r="F54">
        <v>24483</v>
      </c>
      <c r="G54">
        <v>883</v>
      </c>
      <c r="H54">
        <v>640.98</v>
      </c>
      <c r="J54">
        <v>0</v>
      </c>
      <c r="L54" t="s">
        <v>20</v>
      </c>
    </row>
    <row r="55" spans="1:12">
      <c r="A55" t="s">
        <v>136</v>
      </c>
      <c r="B55" t="s">
        <v>137</v>
      </c>
      <c r="C55" s="27">
        <v>45199</v>
      </c>
      <c r="D55" s="25">
        <v>45210</v>
      </c>
      <c r="E55" t="s">
        <v>138</v>
      </c>
      <c r="F55">
        <v>49555</v>
      </c>
      <c r="G55">
        <v>1114</v>
      </c>
      <c r="H55" s="26">
        <v>919.99</v>
      </c>
      <c r="I55">
        <v>95</v>
      </c>
      <c r="J55" t="s">
        <v>24</v>
      </c>
      <c r="L55" t="s">
        <v>139</v>
      </c>
    </row>
    <row r="56" spans="1:12">
      <c r="A56" t="s">
        <v>140</v>
      </c>
      <c r="B56" t="s">
        <v>141</v>
      </c>
      <c r="C56" s="27">
        <v>45170</v>
      </c>
      <c r="D56" s="25">
        <v>45165</v>
      </c>
      <c r="E56" t="s">
        <v>41</v>
      </c>
      <c r="F56">
        <v>18159</v>
      </c>
      <c r="G56">
        <v>471</v>
      </c>
      <c r="H56">
        <v>563.31</v>
      </c>
      <c r="I56">
        <v>33</v>
      </c>
      <c r="J56" t="b">
        <v>0</v>
      </c>
      <c r="L56" t="s">
        <v>42</v>
      </c>
    </row>
    <row r="57" spans="1:12">
      <c r="A57" t="s">
        <v>142</v>
      </c>
      <c r="B57" t="s">
        <v>143</v>
      </c>
      <c r="C57" s="27">
        <v>45197</v>
      </c>
      <c r="D57" s="25">
        <v>45207</v>
      </c>
      <c r="E57" t="s">
        <v>19</v>
      </c>
      <c r="F57">
        <v>81077</v>
      </c>
      <c r="G57">
        <v>3593</v>
      </c>
      <c r="H57" s="26">
        <v>3219.35</v>
      </c>
      <c r="I57">
        <v>279</v>
      </c>
      <c r="J57" t="s">
        <v>24</v>
      </c>
      <c r="L57" t="s">
        <v>20</v>
      </c>
    </row>
    <row r="58" spans="1:12">
      <c r="A58" t="s">
        <v>144</v>
      </c>
      <c r="B58" t="s">
        <v>145</v>
      </c>
      <c r="C58" s="27">
        <v>45035</v>
      </c>
      <c r="D58" s="25">
        <v>45057</v>
      </c>
      <c r="E58" t="s">
        <v>23</v>
      </c>
      <c r="F58">
        <v>36920</v>
      </c>
      <c r="G58">
        <v>382</v>
      </c>
      <c r="H58">
        <v>428.93</v>
      </c>
      <c r="I58">
        <v>29</v>
      </c>
      <c r="J58" t="s">
        <v>15</v>
      </c>
      <c r="L58" t="s">
        <v>25</v>
      </c>
    </row>
    <row r="59" spans="1:12">
      <c r="A59" t="s">
        <v>146</v>
      </c>
      <c r="B59" t="s">
        <v>147</v>
      </c>
      <c r="C59" s="27">
        <v>45280</v>
      </c>
      <c r="D59" s="25">
        <v>45300</v>
      </c>
      <c r="E59" t="s">
        <v>14</v>
      </c>
      <c r="F59">
        <v>93067</v>
      </c>
      <c r="G59">
        <v>3121</v>
      </c>
      <c r="H59">
        <v>5719.84</v>
      </c>
      <c r="I59">
        <v>396</v>
      </c>
      <c r="J59" t="b">
        <v>1</v>
      </c>
      <c r="L59" t="s">
        <v>16</v>
      </c>
    </row>
    <row r="60" spans="1:12">
      <c r="A60" t="s">
        <v>148</v>
      </c>
      <c r="B60" t="s">
        <v>149</v>
      </c>
      <c r="C60" s="27">
        <v>45270</v>
      </c>
      <c r="D60" s="25">
        <v>45284</v>
      </c>
      <c r="E60" t="s">
        <v>19</v>
      </c>
      <c r="F60">
        <v>68121</v>
      </c>
      <c r="G60">
        <v>2312</v>
      </c>
      <c r="H60" s="26">
        <v>4014.77</v>
      </c>
      <c r="I60">
        <v>408</v>
      </c>
      <c r="J60" t="s">
        <v>15</v>
      </c>
      <c r="L60" t="s">
        <v>20</v>
      </c>
    </row>
    <row r="61" spans="1:12">
      <c r="A61" t="s">
        <v>150</v>
      </c>
      <c r="B61" t="s">
        <v>151</v>
      </c>
      <c r="C61" s="27">
        <v>45191</v>
      </c>
      <c r="D61" s="25">
        <v>45211</v>
      </c>
      <c r="E61" t="s">
        <v>23</v>
      </c>
      <c r="F61">
        <v>70479</v>
      </c>
      <c r="G61">
        <v>1823</v>
      </c>
      <c r="H61">
        <v>2634.34</v>
      </c>
      <c r="I61">
        <v>112</v>
      </c>
      <c r="J61" t="s">
        <v>15</v>
      </c>
      <c r="L61" t="s">
        <v>25</v>
      </c>
    </row>
    <row r="62" spans="1:12">
      <c r="A62" t="s">
        <v>152</v>
      </c>
      <c r="B62" t="s">
        <v>153</v>
      </c>
      <c r="C62" s="27">
        <v>44959</v>
      </c>
      <c r="D62" s="25">
        <v>44963</v>
      </c>
      <c r="E62" t="s">
        <v>41</v>
      </c>
      <c r="F62">
        <v>90475</v>
      </c>
      <c r="G62">
        <v>1762</v>
      </c>
      <c r="H62">
        <v>3149.01</v>
      </c>
      <c r="I62">
        <v>274</v>
      </c>
      <c r="J62" t="s">
        <v>30</v>
      </c>
      <c r="L62" t="s">
        <v>42</v>
      </c>
    </row>
    <row r="63" spans="1:12">
      <c r="A63" t="s">
        <v>154</v>
      </c>
      <c r="B63" t="s">
        <v>155</v>
      </c>
      <c r="C63" s="25">
        <v>45044</v>
      </c>
      <c r="D63" s="25">
        <v>45064</v>
      </c>
      <c r="E63" t="s">
        <v>41</v>
      </c>
      <c r="F63">
        <v>20457</v>
      </c>
      <c r="G63">
        <v>396</v>
      </c>
      <c r="H63">
        <v>663.56</v>
      </c>
      <c r="I63">
        <v>58</v>
      </c>
      <c r="J63">
        <v>1</v>
      </c>
      <c r="L63" t="s">
        <v>42</v>
      </c>
    </row>
    <row r="64" spans="1:12">
      <c r="A64" t="s">
        <v>156</v>
      </c>
      <c r="B64" t="s">
        <v>157</v>
      </c>
      <c r="C64" s="27">
        <v>45289</v>
      </c>
      <c r="D64" s="25">
        <v>45294</v>
      </c>
      <c r="E64" t="s">
        <v>19</v>
      </c>
      <c r="F64">
        <v>67557</v>
      </c>
      <c r="G64">
        <v>3063</v>
      </c>
      <c r="H64">
        <v>3502.47</v>
      </c>
      <c r="I64">
        <v>554</v>
      </c>
      <c r="J64" t="b">
        <v>0</v>
      </c>
      <c r="L64" t="s">
        <v>20</v>
      </c>
    </row>
    <row r="65" spans="1:12">
      <c r="A65" t="s">
        <v>158</v>
      </c>
      <c r="B65" t="s">
        <v>159</v>
      </c>
      <c r="C65" s="25">
        <v>44943</v>
      </c>
      <c r="D65" s="25">
        <v>44960</v>
      </c>
      <c r="E65" t="s">
        <v>23</v>
      </c>
      <c r="F65">
        <v>78189</v>
      </c>
      <c r="G65">
        <v>2164</v>
      </c>
      <c r="H65">
        <v>1734.66</v>
      </c>
      <c r="I65">
        <v>187</v>
      </c>
      <c r="J65" t="b">
        <v>1</v>
      </c>
      <c r="K65">
        <v>78213</v>
      </c>
      <c r="L65" t="s">
        <v>25</v>
      </c>
    </row>
    <row r="66" spans="1:12">
      <c r="A66" t="s">
        <v>160</v>
      </c>
      <c r="B66" t="s">
        <v>161</v>
      </c>
      <c r="C66" s="27">
        <v>45048</v>
      </c>
      <c r="D66" s="25">
        <v>45058</v>
      </c>
      <c r="E66" t="s">
        <v>23</v>
      </c>
      <c r="F66">
        <v>79953</v>
      </c>
      <c r="G66">
        <v>1857</v>
      </c>
      <c r="H66">
        <v>2360.81</v>
      </c>
      <c r="I66">
        <v>218</v>
      </c>
      <c r="J66">
        <v>0</v>
      </c>
      <c r="L66" t="s">
        <v>25</v>
      </c>
    </row>
    <row r="67" spans="1:12">
      <c r="A67" t="s">
        <v>162</v>
      </c>
      <c r="B67" t="s">
        <v>163</v>
      </c>
      <c r="C67" s="27">
        <v>45203</v>
      </c>
      <c r="D67" s="25">
        <v>45214</v>
      </c>
      <c r="E67" t="s">
        <v>14</v>
      </c>
      <c r="F67">
        <v>53995</v>
      </c>
      <c r="G67">
        <v>1509</v>
      </c>
      <c r="H67">
        <v>2420.95</v>
      </c>
      <c r="I67">
        <v>285</v>
      </c>
      <c r="J67">
        <v>1</v>
      </c>
      <c r="L67" t="s">
        <v>16</v>
      </c>
    </row>
    <row r="68" spans="1:12">
      <c r="A68" t="s">
        <v>164</v>
      </c>
      <c r="B68" t="s">
        <v>165</v>
      </c>
      <c r="C68" s="27">
        <v>45219</v>
      </c>
      <c r="D68" s="25">
        <v>45243</v>
      </c>
      <c r="E68" t="s">
        <v>41</v>
      </c>
      <c r="F68">
        <v>41757</v>
      </c>
      <c r="G68">
        <v>1535</v>
      </c>
      <c r="H68">
        <v>1772.36</v>
      </c>
      <c r="J68">
        <v>1</v>
      </c>
      <c r="L68" t="s">
        <v>42</v>
      </c>
    </row>
    <row r="69" spans="1:12">
      <c r="A69" t="s">
        <v>166</v>
      </c>
      <c r="B69" t="s">
        <v>167</v>
      </c>
      <c r="C69" s="27">
        <v>45169</v>
      </c>
      <c r="D69" s="25">
        <v>45181</v>
      </c>
      <c r="E69" t="s">
        <v>19</v>
      </c>
      <c r="F69">
        <v>10692</v>
      </c>
      <c r="G69">
        <v>169</v>
      </c>
      <c r="H69">
        <v>253.53</v>
      </c>
      <c r="I69">
        <v>18</v>
      </c>
      <c r="J69" t="b">
        <v>1</v>
      </c>
      <c r="L69" t="s">
        <v>20</v>
      </c>
    </row>
    <row r="70" spans="1:12">
      <c r="A70" t="s">
        <v>168</v>
      </c>
      <c r="B70" t="s">
        <v>169</v>
      </c>
      <c r="C70" s="27">
        <v>44976</v>
      </c>
      <c r="D70" s="25">
        <v>45002</v>
      </c>
      <c r="E70" t="s">
        <v>23</v>
      </c>
      <c r="F70">
        <v>46758</v>
      </c>
      <c r="G70">
        <v>1308</v>
      </c>
      <c r="H70">
        <v>839.07</v>
      </c>
      <c r="I70">
        <v>91</v>
      </c>
      <c r="J70">
        <v>1</v>
      </c>
      <c r="L70" t="s">
        <v>25</v>
      </c>
    </row>
    <row r="71" spans="1:12">
      <c r="A71" t="s">
        <v>170</v>
      </c>
      <c r="B71" t="s">
        <v>171</v>
      </c>
      <c r="C71" s="27">
        <v>45137</v>
      </c>
      <c r="D71" s="25">
        <v>45160</v>
      </c>
      <c r="E71" t="s">
        <v>23</v>
      </c>
      <c r="F71">
        <v>73409</v>
      </c>
      <c r="G71">
        <v>2460</v>
      </c>
      <c r="H71">
        <v>3990.14</v>
      </c>
      <c r="I71">
        <v>219</v>
      </c>
      <c r="J71" t="s">
        <v>30</v>
      </c>
      <c r="L71" t="s">
        <v>25</v>
      </c>
    </row>
    <row r="72" spans="1:12">
      <c r="A72" t="s">
        <v>172</v>
      </c>
      <c r="B72" t="s">
        <v>173</v>
      </c>
      <c r="C72" s="27">
        <v>45271</v>
      </c>
      <c r="D72" s="25">
        <v>45299</v>
      </c>
      <c r="E72" t="s">
        <v>14</v>
      </c>
      <c r="F72">
        <v>72211</v>
      </c>
      <c r="G72">
        <v>3462</v>
      </c>
      <c r="H72">
        <v>5951.42</v>
      </c>
      <c r="I72">
        <v>474</v>
      </c>
      <c r="J72">
        <v>1</v>
      </c>
      <c r="L72" t="s">
        <v>16</v>
      </c>
    </row>
    <row r="73" spans="1:12">
      <c r="A73" t="s">
        <v>174</v>
      </c>
      <c r="B73" t="s">
        <v>175</v>
      </c>
      <c r="C73" s="27">
        <v>44958</v>
      </c>
      <c r="D73" s="25">
        <v>44953</v>
      </c>
      <c r="E73" t="s">
        <v>23</v>
      </c>
      <c r="F73">
        <v>66697</v>
      </c>
      <c r="G73">
        <v>1340</v>
      </c>
      <c r="H73" s="26">
        <v>2090.74</v>
      </c>
      <c r="J73" t="s">
        <v>30</v>
      </c>
      <c r="L73" t="s">
        <v>25</v>
      </c>
    </row>
    <row r="74" spans="1:12">
      <c r="A74" t="s">
        <v>176</v>
      </c>
      <c r="B74" t="s">
        <v>177</v>
      </c>
      <c r="C74" s="27">
        <v>44982</v>
      </c>
      <c r="D74" s="25">
        <v>44994</v>
      </c>
      <c r="E74" t="s">
        <v>41</v>
      </c>
      <c r="F74">
        <v>38065</v>
      </c>
      <c r="G74">
        <v>927</v>
      </c>
      <c r="H74" s="26">
        <v>1808.48</v>
      </c>
      <c r="J74" t="b">
        <v>0</v>
      </c>
      <c r="L74" t="s">
        <v>42</v>
      </c>
    </row>
    <row r="75" spans="1:12">
      <c r="A75" t="s">
        <v>178</v>
      </c>
      <c r="B75" t="s">
        <v>179</v>
      </c>
      <c r="C75" s="27">
        <v>45156</v>
      </c>
      <c r="D75" s="25">
        <v>45175</v>
      </c>
      <c r="E75" t="s">
        <v>58</v>
      </c>
      <c r="F75">
        <v>93093</v>
      </c>
      <c r="G75">
        <v>2343</v>
      </c>
      <c r="H75">
        <v>4076.77</v>
      </c>
      <c r="I75">
        <v>327</v>
      </c>
      <c r="J75" t="b">
        <v>0</v>
      </c>
      <c r="L75" t="s">
        <v>59</v>
      </c>
    </row>
    <row r="76" spans="1:12">
      <c r="A76" t="s">
        <v>180</v>
      </c>
      <c r="B76" t="s">
        <v>181</v>
      </c>
      <c r="C76" s="27">
        <v>45163</v>
      </c>
      <c r="D76" s="25">
        <v>45179</v>
      </c>
      <c r="E76" t="s">
        <v>14</v>
      </c>
      <c r="F76">
        <v>33606</v>
      </c>
      <c r="G76">
        <v>1150</v>
      </c>
      <c r="H76">
        <v>2132.84</v>
      </c>
      <c r="I76">
        <v>152</v>
      </c>
      <c r="J76" t="s">
        <v>15</v>
      </c>
      <c r="L76" t="s">
        <v>16</v>
      </c>
    </row>
    <row r="77" spans="1:12">
      <c r="A77" t="s">
        <v>182</v>
      </c>
      <c r="B77" t="s">
        <v>183</v>
      </c>
      <c r="C77" s="27">
        <v>45153</v>
      </c>
      <c r="D77" s="25">
        <v>45156</v>
      </c>
      <c r="E77" t="s">
        <v>23</v>
      </c>
      <c r="F77">
        <v>12534</v>
      </c>
      <c r="G77">
        <v>304</v>
      </c>
      <c r="H77">
        <v>577.71</v>
      </c>
      <c r="I77">
        <v>38</v>
      </c>
      <c r="J77" t="s">
        <v>30</v>
      </c>
      <c r="L77" t="s">
        <v>25</v>
      </c>
    </row>
    <row r="78" spans="1:12">
      <c r="A78" t="s">
        <v>184</v>
      </c>
      <c r="B78" t="s">
        <v>185</v>
      </c>
      <c r="C78" t="s">
        <v>186</v>
      </c>
      <c r="D78" s="25">
        <v>44978</v>
      </c>
      <c r="E78" t="s">
        <v>41</v>
      </c>
      <c r="F78">
        <v>95663</v>
      </c>
      <c r="G78">
        <v>2998</v>
      </c>
      <c r="H78">
        <v>5102.66</v>
      </c>
      <c r="I78">
        <v>460</v>
      </c>
      <c r="J78">
        <v>0</v>
      </c>
      <c r="L78" t="s">
        <v>42</v>
      </c>
    </row>
    <row r="79" spans="1:12">
      <c r="A79" t="s">
        <v>187</v>
      </c>
      <c r="B79" t="s">
        <v>188</v>
      </c>
      <c r="C79" s="27">
        <v>45203</v>
      </c>
      <c r="D79" s="25">
        <v>45218</v>
      </c>
      <c r="E79" t="s">
        <v>23</v>
      </c>
      <c r="F79">
        <v>41397</v>
      </c>
      <c r="G79">
        <v>1708</v>
      </c>
      <c r="H79">
        <v>2581.45</v>
      </c>
      <c r="I79">
        <v>299</v>
      </c>
      <c r="J79" t="b">
        <v>0</v>
      </c>
      <c r="L79" t="s">
        <v>25</v>
      </c>
    </row>
    <row r="80" spans="1:12">
      <c r="A80" t="s">
        <v>189</v>
      </c>
      <c r="B80" t="s">
        <v>190</v>
      </c>
      <c r="C80" s="27">
        <v>45048</v>
      </c>
      <c r="D80" s="25">
        <v>45060</v>
      </c>
      <c r="E80" t="s">
        <v>191</v>
      </c>
      <c r="F80">
        <v>92387</v>
      </c>
      <c r="G80">
        <v>3530</v>
      </c>
      <c r="H80">
        <v>1795.28</v>
      </c>
      <c r="I80">
        <v>347</v>
      </c>
      <c r="J80">
        <v>1</v>
      </c>
      <c r="L80" t="s">
        <v>42</v>
      </c>
    </row>
    <row r="81" spans="1:12">
      <c r="A81" t="s">
        <v>192</v>
      </c>
      <c r="B81" t="s">
        <v>193</v>
      </c>
      <c r="C81" s="27">
        <v>45036</v>
      </c>
      <c r="D81" s="25">
        <v>45050</v>
      </c>
      <c r="E81" t="s">
        <v>19</v>
      </c>
      <c r="F81">
        <v>2016</v>
      </c>
      <c r="G81">
        <v>56</v>
      </c>
      <c r="H81" s="26">
        <v>67.13</v>
      </c>
      <c r="I81">
        <v>10</v>
      </c>
      <c r="J81" t="b">
        <v>1</v>
      </c>
      <c r="L81" t="s">
        <v>20</v>
      </c>
    </row>
    <row r="82" spans="1:12">
      <c r="A82" t="s">
        <v>194</v>
      </c>
      <c r="B82" t="s">
        <v>195</v>
      </c>
      <c r="C82" s="27">
        <v>45011</v>
      </c>
      <c r="D82" s="25">
        <v>45019</v>
      </c>
      <c r="E82" t="s">
        <v>23</v>
      </c>
      <c r="F82">
        <v>90789</v>
      </c>
      <c r="G82">
        <v>4046</v>
      </c>
      <c r="H82">
        <v>5489.38</v>
      </c>
      <c r="I82">
        <v>299</v>
      </c>
      <c r="J82" t="b">
        <v>1</v>
      </c>
      <c r="L82" t="s">
        <v>25</v>
      </c>
    </row>
    <row r="83" spans="1:12">
      <c r="A83" t="s">
        <v>196</v>
      </c>
      <c r="B83" t="s">
        <v>197</v>
      </c>
      <c r="C83" s="27">
        <v>45062</v>
      </c>
      <c r="D83" s="25">
        <v>45069</v>
      </c>
      <c r="E83" t="s">
        <v>14</v>
      </c>
      <c r="F83">
        <v>56591</v>
      </c>
      <c r="G83">
        <v>1829</v>
      </c>
      <c r="H83">
        <v>1748.61</v>
      </c>
      <c r="I83">
        <v>138</v>
      </c>
      <c r="J83" t="s">
        <v>24</v>
      </c>
      <c r="L83" t="s">
        <v>16</v>
      </c>
    </row>
    <row r="84" spans="1:12">
      <c r="A84" t="s">
        <v>198</v>
      </c>
      <c r="B84" t="s">
        <v>199</v>
      </c>
      <c r="C84" s="27">
        <v>45073</v>
      </c>
      <c r="D84" s="25">
        <v>45084</v>
      </c>
      <c r="E84" t="s">
        <v>33</v>
      </c>
      <c r="F84">
        <v>90812</v>
      </c>
      <c r="G84">
        <v>2869</v>
      </c>
      <c r="H84" s="26">
        <v>2803.46</v>
      </c>
      <c r="I84">
        <v>258</v>
      </c>
      <c r="J84" t="s">
        <v>30</v>
      </c>
      <c r="L84" t="s">
        <v>34</v>
      </c>
    </row>
    <row r="85" spans="1:12">
      <c r="A85" t="s">
        <v>200</v>
      </c>
      <c r="B85" t="s">
        <v>201</v>
      </c>
      <c r="C85" s="27">
        <v>45211</v>
      </c>
      <c r="D85" s="25">
        <v>45234</v>
      </c>
      <c r="E85" t="s">
        <v>33</v>
      </c>
      <c r="F85">
        <v>24247</v>
      </c>
      <c r="G85">
        <v>275</v>
      </c>
      <c r="H85">
        <v>533.98</v>
      </c>
      <c r="I85">
        <v>18</v>
      </c>
      <c r="J85">
        <v>0</v>
      </c>
      <c r="L85" t="s">
        <v>34</v>
      </c>
    </row>
    <row r="86" spans="1:12">
      <c r="A86" t="s">
        <v>202</v>
      </c>
      <c r="B86" t="s">
        <v>203</v>
      </c>
      <c r="C86" s="27">
        <v>45024</v>
      </c>
      <c r="D86" s="25">
        <v>45032</v>
      </c>
      <c r="E86" t="s">
        <v>23</v>
      </c>
      <c r="F86">
        <v>25300</v>
      </c>
      <c r="G86">
        <v>1251</v>
      </c>
      <c r="H86">
        <v>2298.8</v>
      </c>
      <c r="I86">
        <v>105</v>
      </c>
      <c r="J86" t="s">
        <v>15</v>
      </c>
      <c r="L86" t="s">
        <v>25</v>
      </c>
    </row>
    <row r="87" spans="1:12">
      <c r="A87" t="s">
        <v>204</v>
      </c>
      <c r="B87" t="s">
        <v>205</v>
      </c>
      <c r="C87" s="25">
        <v>45223</v>
      </c>
      <c r="D87" s="25">
        <v>45253</v>
      </c>
      <c r="E87" t="s">
        <v>41</v>
      </c>
      <c r="F87">
        <v>75065</v>
      </c>
      <c r="G87">
        <v>1119</v>
      </c>
      <c r="H87">
        <v>1984.85</v>
      </c>
      <c r="I87">
        <v>73</v>
      </c>
      <c r="J87">
        <v>1</v>
      </c>
      <c r="L87" t="s">
        <v>68</v>
      </c>
    </row>
    <row r="88" spans="1:12">
      <c r="A88" t="s">
        <v>206</v>
      </c>
      <c r="B88" t="s">
        <v>207</v>
      </c>
      <c r="C88" s="25">
        <v>45205</v>
      </c>
      <c r="D88" s="25">
        <v>45115</v>
      </c>
      <c r="E88" t="s">
        <v>33</v>
      </c>
      <c r="F88">
        <v>83798</v>
      </c>
      <c r="G88">
        <v>1612</v>
      </c>
      <c r="H88">
        <v>1787.74</v>
      </c>
      <c r="I88">
        <v>279</v>
      </c>
      <c r="J88" t="s">
        <v>30</v>
      </c>
      <c r="L88" t="s">
        <v>34</v>
      </c>
    </row>
    <row r="89" spans="1:12">
      <c r="A89" t="s">
        <v>208</v>
      </c>
      <c r="B89" t="s">
        <v>209</v>
      </c>
      <c r="C89" s="27">
        <v>45226</v>
      </c>
      <c r="D89" s="25">
        <v>45255</v>
      </c>
      <c r="E89" t="s">
        <v>33</v>
      </c>
      <c r="F89">
        <v>10268</v>
      </c>
      <c r="G89">
        <v>123</v>
      </c>
      <c r="H89">
        <v>64.03</v>
      </c>
      <c r="I89">
        <v>8</v>
      </c>
      <c r="J89" t="s">
        <v>24</v>
      </c>
      <c r="L89" t="s">
        <v>34</v>
      </c>
    </row>
    <row r="90" spans="1:12">
      <c r="A90" t="s">
        <v>210</v>
      </c>
      <c r="B90" t="s">
        <v>211</v>
      </c>
      <c r="C90" s="27">
        <v>45198</v>
      </c>
      <c r="D90" s="25">
        <v>45209</v>
      </c>
      <c r="E90" t="s">
        <v>138</v>
      </c>
      <c r="F90">
        <v>87807</v>
      </c>
      <c r="G90">
        <v>3125</v>
      </c>
      <c r="H90">
        <v>1938.54</v>
      </c>
      <c r="I90">
        <v>506</v>
      </c>
      <c r="J90" t="b">
        <v>1</v>
      </c>
      <c r="K90">
        <v>87884</v>
      </c>
      <c r="L90" t="s">
        <v>139</v>
      </c>
    </row>
    <row r="91" spans="1:12">
      <c r="A91" t="s">
        <v>212</v>
      </c>
      <c r="B91" t="s">
        <v>213</v>
      </c>
      <c r="C91" s="25">
        <v>44968</v>
      </c>
      <c r="D91" s="25">
        <v>45253</v>
      </c>
      <c r="E91" t="s">
        <v>33</v>
      </c>
      <c r="F91">
        <v>13185</v>
      </c>
      <c r="G91">
        <v>250</v>
      </c>
      <c r="H91">
        <v>242.07</v>
      </c>
      <c r="I91">
        <v>14</v>
      </c>
      <c r="J91" t="s">
        <v>30</v>
      </c>
      <c r="L91" t="s">
        <v>34</v>
      </c>
    </row>
    <row r="92" spans="1:12">
      <c r="A92" t="s">
        <v>214</v>
      </c>
      <c r="B92" t="s">
        <v>215</v>
      </c>
      <c r="C92" s="27">
        <v>44961</v>
      </c>
      <c r="D92" s="25">
        <v>44991</v>
      </c>
      <c r="E92" t="s">
        <v>33</v>
      </c>
      <c r="F92">
        <v>64704</v>
      </c>
      <c r="G92">
        <v>1112</v>
      </c>
      <c r="H92">
        <v>582.26</v>
      </c>
      <c r="I92">
        <v>213</v>
      </c>
      <c r="J92">
        <v>1</v>
      </c>
      <c r="L92" t="s">
        <v>34</v>
      </c>
    </row>
    <row r="93" spans="1:12">
      <c r="A93" t="s">
        <v>216</v>
      </c>
      <c r="B93" t="s">
        <v>217</v>
      </c>
      <c r="C93" s="27">
        <v>44988</v>
      </c>
      <c r="D93" s="25">
        <v>45017</v>
      </c>
      <c r="E93" t="s">
        <v>41</v>
      </c>
      <c r="F93">
        <v>87779</v>
      </c>
      <c r="G93">
        <v>1188</v>
      </c>
      <c r="H93" s="26">
        <v>624.56</v>
      </c>
      <c r="I93">
        <v>186</v>
      </c>
      <c r="J93">
        <v>0</v>
      </c>
      <c r="L93" t="s">
        <v>42</v>
      </c>
    </row>
    <row r="94" spans="1:12">
      <c r="A94" t="s">
        <v>218</v>
      </c>
      <c r="B94" t="s">
        <v>219</v>
      </c>
      <c r="C94" s="27">
        <v>45223</v>
      </c>
      <c r="D94" s="25">
        <v>45239</v>
      </c>
      <c r="E94" t="s">
        <v>41</v>
      </c>
      <c r="F94">
        <v>40099</v>
      </c>
      <c r="G94">
        <v>566</v>
      </c>
      <c r="H94">
        <v>1061.2</v>
      </c>
      <c r="I94">
        <v>28</v>
      </c>
      <c r="J94">
        <v>0</v>
      </c>
      <c r="L94" t="s">
        <v>42</v>
      </c>
    </row>
    <row r="95" spans="1:12">
      <c r="A95" t="s">
        <v>220</v>
      </c>
      <c r="B95" t="s">
        <v>221</v>
      </c>
      <c r="C95" s="27">
        <v>45141</v>
      </c>
      <c r="D95" s="25">
        <v>45167</v>
      </c>
      <c r="E95" t="s">
        <v>138</v>
      </c>
      <c r="F95">
        <v>9571</v>
      </c>
      <c r="G95">
        <v>319</v>
      </c>
      <c r="H95">
        <v>497.4</v>
      </c>
      <c r="I95">
        <v>52</v>
      </c>
      <c r="J95" t="b">
        <v>0</v>
      </c>
      <c r="L95" t="s">
        <v>139</v>
      </c>
    </row>
    <row r="96" spans="1:12">
      <c r="A96" t="s">
        <v>222</v>
      </c>
      <c r="B96" t="s">
        <v>223</v>
      </c>
      <c r="C96" s="27">
        <v>45088</v>
      </c>
      <c r="D96" s="25">
        <v>45097</v>
      </c>
      <c r="E96" t="s">
        <v>14</v>
      </c>
      <c r="F96">
        <v>39044</v>
      </c>
      <c r="G96">
        <v>1465</v>
      </c>
      <c r="H96">
        <v>1411.43</v>
      </c>
      <c r="I96">
        <v>186</v>
      </c>
      <c r="J96">
        <v>1</v>
      </c>
      <c r="L96" t="s">
        <v>16</v>
      </c>
    </row>
    <row r="97" spans="1:12">
      <c r="A97" t="s">
        <v>224</v>
      </c>
      <c r="B97" t="s">
        <v>225</v>
      </c>
      <c r="C97" s="27">
        <v>45087</v>
      </c>
      <c r="D97" s="25">
        <v>45105</v>
      </c>
      <c r="E97" t="s">
        <v>41</v>
      </c>
      <c r="F97">
        <v>52214</v>
      </c>
      <c r="G97">
        <v>1352</v>
      </c>
      <c r="H97">
        <v>945</v>
      </c>
      <c r="I97">
        <v>225</v>
      </c>
      <c r="J97" t="s">
        <v>24</v>
      </c>
      <c r="L97" t="s">
        <v>42</v>
      </c>
    </row>
    <row r="98" spans="1:12">
      <c r="A98" t="s">
        <v>226</v>
      </c>
      <c r="B98" t="s">
        <v>227</v>
      </c>
      <c r="C98" s="27">
        <v>45270</v>
      </c>
      <c r="D98" s="25">
        <v>45281</v>
      </c>
      <c r="E98" t="s">
        <v>23</v>
      </c>
      <c r="F98">
        <v>62228</v>
      </c>
      <c r="G98">
        <v>1816</v>
      </c>
      <c r="H98">
        <v>2301.7</v>
      </c>
      <c r="I98">
        <v>233</v>
      </c>
      <c r="J98" t="b">
        <v>0</v>
      </c>
      <c r="L98" t="s">
        <v>25</v>
      </c>
    </row>
    <row r="99" spans="1:12">
      <c r="A99" t="s">
        <v>228</v>
      </c>
      <c r="B99" t="s">
        <v>229</v>
      </c>
      <c r="C99" s="25">
        <v>45109</v>
      </c>
      <c r="D99" s="25">
        <v>44983</v>
      </c>
      <c r="E99" t="s">
        <v>138</v>
      </c>
      <c r="F99">
        <v>49984</v>
      </c>
      <c r="G99">
        <v>1871</v>
      </c>
      <c r="H99">
        <v>950.5</v>
      </c>
      <c r="I99">
        <v>273</v>
      </c>
      <c r="J99" t="b">
        <v>0</v>
      </c>
      <c r="L99" t="s">
        <v>139</v>
      </c>
    </row>
    <row r="100" spans="1:12">
      <c r="A100" t="s">
        <v>230</v>
      </c>
      <c r="B100" t="s">
        <v>231</v>
      </c>
      <c r="C100" s="27">
        <v>45245</v>
      </c>
      <c r="D100" s="25">
        <v>45271</v>
      </c>
      <c r="E100" t="s">
        <v>33</v>
      </c>
      <c r="F100">
        <v>41774</v>
      </c>
      <c r="G100">
        <v>446</v>
      </c>
      <c r="H100">
        <v>850.8</v>
      </c>
      <c r="I100">
        <v>74</v>
      </c>
      <c r="J100" t="b">
        <v>0</v>
      </c>
      <c r="L100" t="s">
        <v>34</v>
      </c>
    </row>
    <row r="101" spans="1:12">
      <c r="A101" t="s">
        <v>232</v>
      </c>
      <c r="B101" t="s">
        <v>233</v>
      </c>
      <c r="C101" s="27">
        <v>44964</v>
      </c>
      <c r="D101" s="25">
        <v>44975</v>
      </c>
      <c r="E101" t="s">
        <v>234</v>
      </c>
      <c r="F101">
        <v>3568</v>
      </c>
      <c r="G101">
        <v>81</v>
      </c>
      <c r="H101" s="26">
        <v>90.9</v>
      </c>
      <c r="I101">
        <v>8</v>
      </c>
      <c r="J101" t="s">
        <v>30</v>
      </c>
      <c r="L101" t="s">
        <v>16</v>
      </c>
    </row>
    <row r="102" spans="1:12">
      <c r="A102" t="s">
        <v>235</v>
      </c>
      <c r="B102" t="s">
        <v>236</v>
      </c>
      <c r="C102" s="27">
        <v>44994</v>
      </c>
      <c r="D102" s="25">
        <v>45017</v>
      </c>
      <c r="E102" t="s">
        <v>14</v>
      </c>
      <c r="F102">
        <v>63592</v>
      </c>
      <c r="G102">
        <v>3111</v>
      </c>
      <c r="H102">
        <v>3433</v>
      </c>
      <c r="I102">
        <v>156</v>
      </c>
      <c r="J102" t="s">
        <v>24</v>
      </c>
      <c r="L102" t="s">
        <v>16</v>
      </c>
    </row>
    <row r="103" spans="1:12">
      <c r="A103" t="s">
        <v>237</v>
      </c>
      <c r="B103" t="s">
        <v>238</v>
      </c>
      <c r="C103" s="27">
        <v>45052</v>
      </c>
      <c r="D103" s="25">
        <v>45059</v>
      </c>
      <c r="E103" t="s">
        <v>41</v>
      </c>
      <c r="F103">
        <v>68563</v>
      </c>
      <c r="G103">
        <v>2276</v>
      </c>
      <c r="H103">
        <v>2471.49</v>
      </c>
      <c r="I103">
        <v>403</v>
      </c>
      <c r="J103" t="b">
        <v>1</v>
      </c>
      <c r="L103" t="s">
        <v>42</v>
      </c>
    </row>
    <row r="104" spans="1:12">
      <c r="A104" t="s">
        <v>239</v>
      </c>
      <c r="B104" t="s">
        <v>240</v>
      </c>
      <c r="C104" s="27">
        <v>45205</v>
      </c>
      <c r="D104" s="25">
        <v>45234</v>
      </c>
      <c r="E104" t="s">
        <v>138</v>
      </c>
      <c r="F104">
        <v>3695</v>
      </c>
      <c r="G104">
        <v>74</v>
      </c>
      <c r="H104" s="26">
        <v>44.7</v>
      </c>
      <c r="I104">
        <v>7</v>
      </c>
      <c r="J104">
        <v>0</v>
      </c>
      <c r="L104" t="s">
        <v>139</v>
      </c>
    </row>
    <row r="105" spans="1:12">
      <c r="A105" t="s">
        <v>241</v>
      </c>
      <c r="B105" t="s">
        <v>242</v>
      </c>
      <c r="C105" s="27">
        <v>45261</v>
      </c>
      <c r="D105" s="25">
        <v>45266</v>
      </c>
      <c r="E105" t="s">
        <v>23</v>
      </c>
      <c r="F105">
        <v>49190</v>
      </c>
      <c r="G105">
        <v>1518</v>
      </c>
      <c r="H105">
        <v>2212.46</v>
      </c>
      <c r="I105">
        <v>188</v>
      </c>
      <c r="J105" t="s">
        <v>30</v>
      </c>
      <c r="L105" t="s">
        <v>25</v>
      </c>
    </row>
    <row r="106" spans="1:12">
      <c r="A106" t="s">
        <v>243</v>
      </c>
      <c r="B106" t="s">
        <v>244</v>
      </c>
      <c r="C106" s="27">
        <v>45210</v>
      </c>
      <c r="D106" s="25">
        <v>45221</v>
      </c>
      <c r="E106" t="s">
        <v>14</v>
      </c>
      <c r="F106">
        <v>6258</v>
      </c>
      <c r="G106">
        <v>148</v>
      </c>
      <c r="H106">
        <v>236.73</v>
      </c>
      <c r="I106">
        <v>7</v>
      </c>
      <c r="J106" t="b">
        <v>1</v>
      </c>
      <c r="L106" t="s">
        <v>16</v>
      </c>
    </row>
    <row r="107" spans="1:12">
      <c r="A107" t="s">
        <v>245</v>
      </c>
      <c r="B107" t="s">
        <v>246</v>
      </c>
      <c r="C107" s="27">
        <v>44995</v>
      </c>
      <c r="D107" s="25">
        <v>45021</v>
      </c>
      <c r="E107" t="s">
        <v>41</v>
      </c>
      <c r="F107">
        <v>88538</v>
      </c>
      <c r="G107">
        <v>2770</v>
      </c>
      <c r="H107">
        <v>4194.3</v>
      </c>
      <c r="I107">
        <v>342</v>
      </c>
      <c r="J107">
        <v>0</v>
      </c>
      <c r="L107" t="s">
        <v>42</v>
      </c>
    </row>
    <row r="108" spans="1:12">
      <c r="A108" t="s">
        <v>247</v>
      </c>
      <c r="B108" t="s">
        <v>248</v>
      </c>
      <c r="C108" s="27">
        <v>45210</v>
      </c>
      <c r="D108" s="25">
        <v>45231</v>
      </c>
      <c r="E108" t="s">
        <v>41</v>
      </c>
      <c r="F108">
        <v>40504</v>
      </c>
      <c r="G108">
        <v>608</v>
      </c>
      <c r="H108">
        <v>430.25</v>
      </c>
      <c r="I108">
        <v>120</v>
      </c>
      <c r="J108" t="s">
        <v>24</v>
      </c>
      <c r="L108" t="s">
        <v>42</v>
      </c>
    </row>
    <row r="109" spans="1:12">
      <c r="A109" t="s">
        <v>249</v>
      </c>
      <c r="B109" t="s">
        <v>250</v>
      </c>
      <c r="C109" s="27">
        <v>45034</v>
      </c>
      <c r="D109" s="25">
        <v>45053</v>
      </c>
      <c r="E109" t="s">
        <v>41</v>
      </c>
      <c r="F109">
        <v>34159</v>
      </c>
      <c r="G109">
        <v>522</v>
      </c>
      <c r="H109">
        <v>714.23</v>
      </c>
      <c r="I109">
        <v>47</v>
      </c>
      <c r="J109" t="s">
        <v>24</v>
      </c>
      <c r="L109" t="s">
        <v>42</v>
      </c>
    </row>
    <row r="110" spans="1:12">
      <c r="A110" t="s">
        <v>251</v>
      </c>
      <c r="B110" t="s">
        <v>252</v>
      </c>
      <c r="C110" s="27">
        <v>45251</v>
      </c>
      <c r="D110" s="25">
        <v>45281</v>
      </c>
      <c r="E110" t="s">
        <v>14</v>
      </c>
      <c r="F110">
        <v>14986</v>
      </c>
      <c r="G110">
        <v>235</v>
      </c>
      <c r="H110">
        <v>318.24</v>
      </c>
      <c r="I110">
        <v>25</v>
      </c>
      <c r="J110">
        <v>1</v>
      </c>
      <c r="L110" t="s">
        <v>16</v>
      </c>
    </row>
    <row r="111" spans="1:12">
      <c r="A111" t="s">
        <v>253</v>
      </c>
      <c r="B111" t="s">
        <v>254</v>
      </c>
      <c r="C111" s="27">
        <v>45055</v>
      </c>
      <c r="D111" s="25">
        <v>45063</v>
      </c>
      <c r="E111" t="s">
        <v>33</v>
      </c>
      <c r="F111">
        <v>62858</v>
      </c>
      <c r="G111">
        <v>2991</v>
      </c>
      <c r="H111">
        <v>5391.63</v>
      </c>
      <c r="I111">
        <v>457</v>
      </c>
      <c r="J111">
        <v>0</v>
      </c>
      <c r="L111" t="s">
        <v>34</v>
      </c>
    </row>
    <row r="112" spans="1:12">
      <c r="A112" t="s">
        <v>255</v>
      </c>
      <c r="B112" t="s">
        <v>256</v>
      </c>
      <c r="C112" s="27">
        <v>44974</v>
      </c>
      <c r="D112" s="25">
        <v>44997</v>
      </c>
      <c r="E112" t="s">
        <v>23</v>
      </c>
      <c r="F112">
        <v>13666</v>
      </c>
      <c r="G112">
        <v>537</v>
      </c>
      <c r="H112">
        <v>573.89</v>
      </c>
      <c r="I112">
        <v>92</v>
      </c>
      <c r="J112">
        <v>0</v>
      </c>
      <c r="L112" t="s">
        <v>25</v>
      </c>
    </row>
    <row r="113" spans="1:12">
      <c r="A113" t="s">
        <v>257</v>
      </c>
      <c r="B113" t="s">
        <v>258</v>
      </c>
      <c r="C113" t="s">
        <v>259</v>
      </c>
      <c r="D113" s="25">
        <v>44968</v>
      </c>
      <c r="E113" t="s">
        <v>23</v>
      </c>
      <c r="F113">
        <v>39660</v>
      </c>
      <c r="G113">
        <v>654</v>
      </c>
      <c r="H113">
        <v>691.43</v>
      </c>
      <c r="I113">
        <v>73</v>
      </c>
      <c r="J113" t="s">
        <v>24</v>
      </c>
      <c r="L113" t="s">
        <v>25</v>
      </c>
    </row>
    <row r="114" spans="1:12">
      <c r="A114" t="s">
        <v>260</v>
      </c>
      <c r="B114" t="s">
        <v>261</v>
      </c>
      <c r="C114" s="27">
        <v>44993</v>
      </c>
      <c r="D114" s="25">
        <v>45013</v>
      </c>
      <c r="E114" t="s">
        <v>33</v>
      </c>
      <c r="F114">
        <v>4561</v>
      </c>
      <c r="G114">
        <v>79</v>
      </c>
      <c r="H114">
        <v>112.8</v>
      </c>
      <c r="I114">
        <v>7</v>
      </c>
      <c r="J114">
        <v>0</v>
      </c>
      <c r="L114" t="s">
        <v>34</v>
      </c>
    </row>
    <row r="115" spans="1:12">
      <c r="A115" t="s">
        <v>262</v>
      </c>
      <c r="B115" t="s">
        <v>263</v>
      </c>
      <c r="C115" s="27">
        <v>45153</v>
      </c>
      <c r="D115" s="25">
        <v>45161</v>
      </c>
      <c r="E115" t="s">
        <v>19</v>
      </c>
      <c r="F115">
        <v>27854</v>
      </c>
      <c r="G115">
        <v>1092</v>
      </c>
      <c r="H115">
        <v>1582.97</v>
      </c>
      <c r="I115">
        <v>208</v>
      </c>
      <c r="J115" t="s">
        <v>15</v>
      </c>
      <c r="L115" t="s">
        <v>20</v>
      </c>
    </row>
    <row r="116" spans="1:12">
      <c r="A116" t="s">
        <v>264</v>
      </c>
      <c r="B116" t="s">
        <v>265</v>
      </c>
      <c r="C116" s="27">
        <v>44931</v>
      </c>
      <c r="D116" s="25">
        <v>44958</v>
      </c>
      <c r="E116" t="s">
        <v>266</v>
      </c>
      <c r="F116">
        <v>65505</v>
      </c>
      <c r="G116">
        <v>1064</v>
      </c>
      <c r="H116">
        <v>1280.98</v>
      </c>
      <c r="I116">
        <v>161</v>
      </c>
      <c r="J116">
        <v>1</v>
      </c>
      <c r="L116" t="s">
        <v>20</v>
      </c>
    </row>
    <row r="117" spans="1:12">
      <c r="A117" t="s">
        <v>267</v>
      </c>
      <c r="B117" t="s">
        <v>268</v>
      </c>
      <c r="C117" s="27">
        <v>45280</v>
      </c>
      <c r="D117" s="25">
        <v>45307</v>
      </c>
      <c r="E117" t="s">
        <v>19</v>
      </c>
      <c r="F117">
        <v>53251</v>
      </c>
      <c r="G117">
        <v>1032</v>
      </c>
      <c r="H117">
        <v>1201.86</v>
      </c>
      <c r="I117">
        <v>70</v>
      </c>
      <c r="J117" t="s">
        <v>30</v>
      </c>
      <c r="L117" t="s">
        <v>20</v>
      </c>
    </row>
    <row r="118" spans="1:12">
      <c r="A118" t="s">
        <v>269</v>
      </c>
      <c r="B118" t="s">
        <v>270</v>
      </c>
      <c r="C118" s="27">
        <v>45116</v>
      </c>
      <c r="D118" s="25">
        <v>45124</v>
      </c>
      <c r="E118" t="s">
        <v>14</v>
      </c>
      <c r="F118">
        <v>23662</v>
      </c>
      <c r="G118">
        <v>1148</v>
      </c>
      <c r="H118">
        <v>1424.92</v>
      </c>
      <c r="J118" t="s">
        <v>30</v>
      </c>
      <c r="L118" t="s">
        <v>16</v>
      </c>
    </row>
    <row r="119" spans="1:12">
      <c r="A119" t="s">
        <v>271</v>
      </c>
      <c r="B119" t="s">
        <v>272</v>
      </c>
      <c r="C119" s="25">
        <v>45110</v>
      </c>
      <c r="D119" s="25">
        <v>45008</v>
      </c>
      <c r="E119" t="s">
        <v>41</v>
      </c>
      <c r="F119">
        <v>9392</v>
      </c>
      <c r="G119">
        <v>189</v>
      </c>
      <c r="H119">
        <v>338.61</v>
      </c>
      <c r="I119">
        <v>23</v>
      </c>
      <c r="J119" t="b">
        <v>1</v>
      </c>
      <c r="L119" t="s">
        <v>42</v>
      </c>
    </row>
    <row r="120" spans="1:12">
      <c r="A120" t="s">
        <v>273</v>
      </c>
      <c r="B120" t="s">
        <v>274</v>
      </c>
      <c r="C120" s="27">
        <v>45113</v>
      </c>
      <c r="D120" s="25">
        <v>45132</v>
      </c>
      <c r="E120" t="s">
        <v>266</v>
      </c>
      <c r="F120">
        <v>31535</v>
      </c>
      <c r="G120">
        <v>1149</v>
      </c>
      <c r="H120">
        <v>1369.32</v>
      </c>
      <c r="I120">
        <v>95</v>
      </c>
      <c r="J120" t="s">
        <v>30</v>
      </c>
      <c r="L120" t="s">
        <v>20</v>
      </c>
    </row>
    <row r="121" spans="1:12">
      <c r="A121" t="s">
        <v>275</v>
      </c>
      <c r="B121" t="s">
        <v>276</v>
      </c>
      <c r="C121" s="27">
        <v>44947</v>
      </c>
      <c r="D121" s="25">
        <v>44963</v>
      </c>
      <c r="E121" t="s">
        <v>19</v>
      </c>
      <c r="F121">
        <v>79603</v>
      </c>
      <c r="G121">
        <v>3912</v>
      </c>
      <c r="H121">
        <v>7471.52</v>
      </c>
      <c r="I121">
        <v>344</v>
      </c>
      <c r="J121" t="b">
        <v>0</v>
      </c>
      <c r="L121" t="s">
        <v>20</v>
      </c>
    </row>
    <row r="122" spans="1:12">
      <c r="A122" t="s">
        <v>277</v>
      </c>
      <c r="B122" t="s">
        <v>278</v>
      </c>
      <c r="C122" s="27">
        <v>45054</v>
      </c>
      <c r="D122" s="25">
        <v>45083</v>
      </c>
      <c r="E122" t="s">
        <v>23</v>
      </c>
      <c r="F122">
        <v>53256</v>
      </c>
      <c r="G122">
        <v>1329</v>
      </c>
      <c r="H122">
        <v>1669.23</v>
      </c>
      <c r="I122">
        <v>241</v>
      </c>
      <c r="J122">
        <v>0</v>
      </c>
      <c r="L122" t="s">
        <v>25</v>
      </c>
    </row>
    <row r="123" spans="1:12">
      <c r="A123" t="s">
        <v>279</v>
      </c>
      <c r="B123" t="s">
        <v>280</v>
      </c>
      <c r="C123" s="27">
        <v>45213</v>
      </c>
      <c r="D123" s="25">
        <v>45214</v>
      </c>
      <c r="E123" t="s">
        <v>33</v>
      </c>
      <c r="F123">
        <v>90135</v>
      </c>
      <c r="G123">
        <v>964</v>
      </c>
      <c r="H123">
        <v>1854.54</v>
      </c>
      <c r="I123">
        <v>61</v>
      </c>
      <c r="J123" t="s">
        <v>30</v>
      </c>
      <c r="L123" t="s">
        <v>34</v>
      </c>
    </row>
    <row r="124" spans="1:12">
      <c r="A124" t="s">
        <v>281</v>
      </c>
      <c r="B124" t="s">
        <v>282</v>
      </c>
      <c r="C124" s="27">
        <v>45244</v>
      </c>
      <c r="D124" s="25">
        <v>45255</v>
      </c>
      <c r="E124" t="s">
        <v>19</v>
      </c>
      <c r="F124">
        <v>36222</v>
      </c>
      <c r="G124">
        <v>715</v>
      </c>
      <c r="H124" s="26">
        <v>1250.71</v>
      </c>
      <c r="I124">
        <v>112</v>
      </c>
      <c r="J124" t="b">
        <v>1</v>
      </c>
      <c r="L124" t="s">
        <v>20</v>
      </c>
    </row>
    <row r="125" spans="1:12">
      <c r="A125" t="s">
        <v>283</v>
      </c>
      <c r="B125" t="s">
        <v>284</v>
      </c>
      <c r="C125" s="27">
        <v>45048</v>
      </c>
      <c r="D125" s="25">
        <v>45065</v>
      </c>
      <c r="E125" t="s">
        <v>138</v>
      </c>
      <c r="F125">
        <v>78373</v>
      </c>
      <c r="G125">
        <v>3388</v>
      </c>
      <c r="H125">
        <v>3535.88</v>
      </c>
      <c r="I125">
        <v>307</v>
      </c>
      <c r="J125" t="b">
        <v>1</v>
      </c>
      <c r="L125" t="s">
        <v>139</v>
      </c>
    </row>
    <row r="126" spans="1:12">
      <c r="A126" t="s">
        <v>285</v>
      </c>
      <c r="B126" t="s">
        <v>286</v>
      </c>
      <c r="C126" s="25">
        <v>45017</v>
      </c>
      <c r="D126" s="25">
        <v>44959</v>
      </c>
      <c r="E126" t="s">
        <v>23</v>
      </c>
      <c r="F126">
        <v>80575</v>
      </c>
      <c r="G126">
        <v>3592</v>
      </c>
      <c r="H126">
        <v>6449.3</v>
      </c>
      <c r="I126">
        <v>589</v>
      </c>
      <c r="J126" t="b">
        <v>0</v>
      </c>
      <c r="L126" t="s">
        <v>25</v>
      </c>
    </row>
    <row r="127" spans="1:12">
      <c r="A127" t="s">
        <v>287</v>
      </c>
      <c r="B127" t="s">
        <v>288</v>
      </c>
      <c r="C127" s="27">
        <v>45097</v>
      </c>
      <c r="D127" s="25">
        <v>45101</v>
      </c>
      <c r="E127" t="s">
        <v>23</v>
      </c>
      <c r="F127">
        <v>97354</v>
      </c>
      <c r="G127">
        <v>3966</v>
      </c>
      <c r="H127">
        <v>2637.77</v>
      </c>
      <c r="I127">
        <v>628</v>
      </c>
      <c r="J127" t="b">
        <v>1</v>
      </c>
      <c r="L127" t="s">
        <v>25</v>
      </c>
    </row>
    <row r="128" spans="1:12">
      <c r="A128" t="s">
        <v>289</v>
      </c>
      <c r="B128" t="s">
        <v>290</v>
      </c>
      <c r="C128" s="27">
        <v>45269</v>
      </c>
      <c r="D128" s="25">
        <v>45282</v>
      </c>
      <c r="E128" t="s">
        <v>33</v>
      </c>
      <c r="F128">
        <v>85651</v>
      </c>
      <c r="G128">
        <v>1244</v>
      </c>
      <c r="H128" s="26">
        <v>2348.14</v>
      </c>
      <c r="I128">
        <v>63</v>
      </c>
      <c r="J128" t="s">
        <v>24</v>
      </c>
      <c r="L128" t="s">
        <v>34</v>
      </c>
    </row>
    <row r="129" spans="1:12">
      <c r="A129" t="s">
        <v>291</v>
      </c>
      <c r="B129" t="s">
        <v>292</v>
      </c>
      <c r="C129" s="27">
        <v>45063</v>
      </c>
      <c r="D129" s="25">
        <v>45088</v>
      </c>
      <c r="E129" t="s">
        <v>33</v>
      </c>
      <c r="F129">
        <v>64335</v>
      </c>
      <c r="G129">
        <v>2690</v>
      </c>
      <c r="H129">
        <v>3893.68</v>
      </c>
      <c r="J129" t="s">
        <v>15</v>
      </c>
      <c r="L129" t="s">
        <v>34</v>
      </c>
    </row>
    <row r="130" spans="1:12">
      <c r="A130" t="s">
        <v>293</v>
      </c>
      <c r="B130" t="s">
        <v>294</v>
      </c>
      <c r="C130" s="27">
        <v>45122</v>
      </c>
      <c r="D130" s="25">
        <v>45127</v>
      </c>
      <c r="E130" t="s">
        <v>14</v>
      </c>
      <c r="F130">
        <v>11965</v>
      </c>
      <c r="G130">
        <v>559</v>
      </c>
      <c r="H130">
        <v>325.11</v>
      </c>
      <c r="I130">
        <v>39</v>
      </c>
      <c r="J130" t="s">
        <v>24</v>
      </c>
      <c r="L130" t="s">
        <v>16</v>
      </c>
    </row>
    <row r="131" spans="1:12">
      <c r="A131" t="s">
        <v>295</v>
      </c>
      <c r="B131" t="s">
        <v>296</v>
      </c>
      <c r="C131" s="27">
        <v>45040</v>
      </c>
      <c r="D131" s="25">
        <v>45060</v>
      </c>
      <c r="E131" t="s">
        <v>19</v>
      </c>
      <c r="F131">
        <v>25538</v>
      </c>
      <c r="G131">
        <v>868</v>
      </c>
      <c r="H131" s="26">
        <v>1272.82</v>
      </c>
      <c r="I131">
        <v>156</v>
      </c>
      <c r="J131">
        <v>0</v>
      </c>
      <c r="L131" t="s">
        <v>20</v>
      </c>
    </row>
    <row r="132" spans="1:12">
      <c r="A132" t="s">
        <v>297</v>
      </c>
      <c r="B132" t="s">
        <v>298</v>
      </c>
      <c r="C132" s="27">
        <v>45106</v>
      </c>
      <c r="D132" s="25">
        <v>45117</v>
      </c>
      <c r="E132" t="s">
        <v>41</v>
      </c>
      <c r="F132">
        <v>71592</v>
      </c>
      <c r="G132">
        <v>3410</v>
      </c>
      <c r="H132">
        <v>6688.28</v>
      </c>
      <c r="I132">
        <v>616</v>
      </c>
      <c r="J132">
        <v>0</v>
      </c>
      <c r="L132" t="s">
        <v>68</v>
      </c>
    </row>
    <row r="133" spans="1:12">
      <c r="A133" t="s">
        <v>299</v>
      </c>
      <c r="B133" t="s">
        <v>300</v>
      </c>
      <c r="C133" s="27">
        <v>45043</v>
      </c>
      <c r="D133" s="25">
        <v>45046</v>
      </c>
      <c r="E133" t="s">
        <v>41</v>
      </c>
      <c r="F133">
        <v>99018</v>
      </c>
      <c r="G133">
        <v>4265</v>
      </c>
      <c r="H133">
        <v>2579.05</v>
      </c>
      <c r="I133">
        <v>480</v>
      </c>
      <c r="J133">
        <v>0</v>
      </c>
      <c r="L133" t="s">
        <v>42</v>
      </c>
    </row>
    <row r="134" spans="1:12">
      <c r="A134" t="s">
        <v>301</v>
      </c>
      <c r="B134" t="s">
        <v>302</v>
      </c>
      <c r="C134" s="27">
        <v>45131</v>
      </c>
      <c r="D134" s="25">
        <v>45148</v>
      </c>
      <c r="E134" t="s">
        <v>19</v>
      </c>
      <c r="F134">
        <v>9110</v>
      </c>
      <c r="G134">
        <v>334</v>
      </c>
      <c r="H134">
        <v>444.9</v>
      </c>
      <c r="I134">
        <v>38</v>
      </c>
      <c r="J134">
        <v>1</v>
      </c>
      <c r="L134" t="s">
        <v>20</v>
      </c>
    </row>
    <row r="135" spans="1:12">
      <c r="A135" t="s">
        <v>303</v>
      </c>
      <c r="B135" t="s">
        <v>304</v>
      </c>
      <c r="C135" s="27">
        <v>45069</v>
      </c>
      <c r="D135" s="25">
        <v>45085</v>
      </c>
      <c r="E135" t="s">
        <v>19</v>
      </c>
      <c r="F135">
        <v>80309</v>
      </c>
      <c r="G135">
        <v>2657</v>
      </c>
      <c r="H135">
        <v>4308.83</v>
      </c>
      <c r="I135">
        <v>253</v>
      </c>
      <c r="J135" t="s">
        <v>30</v>
      </c>
      <c r="L135" t="s">
        <v>20</v>
      </c>
    </row>
    <row r="136" spans="1:12">
      <c r="A136" t="s">
        <v>305</v>
      </c>
      <c r="B136" t="s">
        <v>306</v>
      </c>
      <c r="C136" s="27">
        <v>45274</v>
      </c>
      <c r="D136" s="25">
        <v>45289</v>
      </c>
      <c r="E136" t="s">
        <v>41</v>
      </c>
      <c r="F136">
        <v>28266</v>
      </c>
      <c r="G136">
        <v>676</v>
      </c>
      <c r="H136" s="26">
        <v>1159.6</v>
      </c>
      <c r="J136" t="s">
        <v>15</v>
      </c>
      <c r="L136" t="s">
        <v>42</v>
      </c>
    </row>
    <row r="137" spans="1:12">
      <c r="A137" t="s">
        <v>307</v>
      </c>
      <c r="B137" t="s">
        <v>308</v>
      </c>
      <c r="C137" s="27">
        <v>44941</v>
      </c>
      <c r="D137" s="25">
        <v>44961</v>
      </c>
      <c r="E137" t="s">
        <v>41</v>
      </c>
      <c r="F137">
        <v>53992</v>
      </c>
      <c r="G137">
        <v>883</v>
      </c>
      <c r="H137">
        <v>989.61</v>
      </c>
      <c r="I137">
        <v>91</v>
      </c>
      <c r="J137" t="s">
        <v>30</v>
      </c>
      <c r="L137" t="s">
        <v>42</v>
      </c>
    </row>
    <row r="138" spans="1:12">
      <c r="A138" t="s">
        <v>309</v>
      </c>
      <c r="B138" t="s">
        <v>310</v>
      </c>
      <c r="C138" s="27">
        <v>45018</v>
      </c>
      <c r="D138" s="25">
        <v>45047</v>
      </c>
      <c r="E138" t="s">
        <v>41</v>
      </c>
      <c r="F138">
        <v>83948</v>
      </c>
      <c r="G138">
        <v>2870</v>
      </c>
      <c r="H138">
        <v>2313.94</v>
      </c>
      <c r="I138">
        <v>258</v>
      </c>
      <c r="J138" t="s">
        <v>15</v>
      </c>
      <c r="L138" t="s">
        <v>42</v>
      </c>
    </row>
    <row r="139" spans="1:12">
      <c r="A139" t="s">
        <v>311</v>
      </c>
      <c r="B139" t="s">
        <v>312</v>
      </c>
      <c r="C139" s="27">
        <v>44946</v>
      </c>
      <c r="D139" s="25">
        <v>44975</v>
      </c>
      <c r="E139" t="s">
        <v>19</v>
      </c>
      <c r="F139">
        <v>99806</v>
      </c>
      <c r="G139">
        <v>2268</v>
      </c>
      <c r="H139">
        <v>1278.05</v>
      </c>
      <c r="I139">
        <v>260</v>
      </c>
      <c r="J139" t="s">
        <v>30</v>
      </c>
      <c r="L139" t="s">
        <v>20</v>
      </c>
    </row>
    <row r="140" spans="1:12">
      <c r="A140" t="s">
        <v>313</v>
      </c>
      <c r="B140" t="s">
        <v>314</v>
      </c>
      <c r="C140" s="27">
        <v>45087</v>
      </c>
      <c r="D140" s="25">
        <v>45111</v>
      </c>
      <c r="E140" t="s">
        <v>33</v>
      </c>
      <c r="F140">
        <v>7910</v>
      </c>
      <c r="G140">
        <v>353</v>
      </c>
      <c r="H140" s="26">
        <v>483.47</v>
      </c>
      <c r="I140">
        <v>22</v>
      </c>
      <c r="J140" t="b">
        <v>0</v>
      </c>
      <c r="L140" t="s">
        <v>34</v>
      </c>
    </row>
    <row r="141" spans="1:12">
      <c r="A141" t="s">
        <v>315</v>
      </c>
      <c r="B141" t="s">
        <v>316</v>
      </c>
      <c r="C141" s="27">
        <v>44986</v>
      </c>
      <c r="D141" s="25">
        <v>44995</v>
      </c>
      <c r="E141" t="s">
        <v>33</v>
      </c>
      <c r="F141">
        <v>91982</v>
      </c>
      <c r="G141">
        <v>4574</v>
      </c>
      <c r="H141">
        <v>5394.42</v>
      </c>
      <c r="J141" t="s">
        <v>24</v>
      </c>
      <c r="K141">
        <v>92026</v>
      </c>
      <c r="L141" t="s">
        <v>34</v>
      </c>
    </row>
    <row r="142" spans="1:12">
      <c r="A142" t="s">
        <v>317</v>
      </c>
      <c r="B142" t="s">
        <v>318</v>
      </c>
      <c r="C142" s="25">
        <v>45235</v>
      </c>
      <c r="D142" s="25">
        <v>45060</v>
      </c>
      <c r="E142" t="s">
        <v>19</v>
      </c>
      <c r="F142">
        <v>1206</v>
      </c>
      <c r="G142">
        <v>48</v>
      </c>
      <c r="H142">
        <v>92.31</v>
      </c>
      <c r="I142">
        <v>2</v>
      </c>
      <c r="J142" t="b">
        <v>1</v>
      </c>
      <c r="L142" t="s">
        <v>20</v>
      </c>
    </row>
    <row r="143" spans="1:12">
      <c r="A143" t="s">
        <v>319</v>
      </c>
      <c r="B143" t="s">
        <v>320</v>
      </c>
      <c r="C143" s="25">
        <v>45268</v>
      </c>
      <c r="D143" s="25">
        <v>45165</v>
      </c>
      <c r="E143" t="s">
        <v>14</v>
      </c>
      <c r="F143">
        <v>88054</v>
      </c>
      <c r="G143">
        <v>1199</v>
      </c>
      <c r="H143" s="26">
        <v>708.5</v>
      </c>
      <c r="I143">
        <v>175</v>
      </c>
      <c r="J143" t="b">
        <v>1</v>
      </c>
      <c r="L143" t="s">
        <v>16</v>
      </c>
    </row>
    <row r="144" spans="1:12">
      <c r="A144" t="s">
        <v>321</v>
      </c>
      <c r="B144" t="s">
        <v>322</v>
      </c>
      <c r="C144" s="27">
        <v>45202</v>
      </c>
      <c r="D144" s="25">
        <v>45215</v>
      </c>
      <c r="E144" t="s">
        <v>19</v>
      </c>
      <c r="F144">
        <v>88897</v>
      </c>
      <c r="G144">
        <v>1915</v>
      </c>
      <c r="H144">
        <v>2926.3</v>
      </c>
      <c r="I144">
        <v>148</v>
      </c>
      <c r="J144" t="s">
        <v>24</v>
      </c>
      <c r="L144" t="s">
        <v>20</v>
      </c>
    </row>
    <row r="145" spans="1:12">
      <c r="A145" t="s">
        <v>323</v>
      </c>
      <c r="B145" t="s">
        <v>324</v>
      </c>
      <c r="C145" s="27">
        <v>45270</v>
      </c>
      <c r="D145" s="25">
        <v>45295</v>
      </c>
      <c r="E145" t="s">
        <v>41</v>
      </c>
      <c r="F145">
        <v>24419</v>
      </c>
      <c r="G145">
        <v>350</v>
      </c>
      <c r="H145">
        <v>188.11</v>
      </c>
      <c r="I145">
        <v>29</v>
      </c>
      <c r="J145" t="b">
        <v>0</v>
      </c>
      <c r="K145">
        <v>24436</v>
      </c>
      <c r="L145" t="s">
        <v>42</v>
      </c>
    </row>
    <row r="146" spans="1:12">
      <c r="A146" t="s">
        <v>325</v>
      </c>
      <c r="B146" t="s">
        <v>326</v>
      </c>
      <c r="C146" s="27">
        <v>45267</v>
      </c>
      <c r="D146" s="25">
        <v>45274</v>
      </c>
      <c r="E146" t="s">
        <v>19</v>
      </c>
      <c r="F146">
        <v>51636</v>
      </c>
      <c r="G146">
        <v>1859</v>
      </c>
      <c r="H146">
        <v>-1407.54</v>
      </c>
      <c r="I146">
        <v>270</v>
      </c>
      <c r="J146" t="s">
        <v>15</v>
      </c>
      <c r="L146" t="s">
        <v>20</v>
      </c>
    </row>
    <row r="147" spans="1:12">
      <c r="A147" t="s">
        <v>327</v>
      </c>
      <c r="B147" t="s">
        <v>328</v>
      </c>
      <c r="C147" s="27">
        <v>45266</v>
      </c>
      <c r="D147" s="25">
        <v>45292</v>
      </c>
      <c r="E147" t="s">
        <v>41</v>
      </c>
      <c r="F147">
        <v>51015</v>
      </c>
      <c r="G147">
        <v>2071</v>
      </c>
      <c r="H147">
        <v>2444.54</v>
      </c>
      <c r="J147" t="s">
        <v>24</v>
      </c>
      <c r="L147" t="s">
        <v>42</v>
      </c>
    </row>
    <row r="148" spans="1:12">
      <c r="A148" t="s">
        <v>329</v>
      </c>
      <c r="B148" t="s">
        <v>330</v>
      </c>
      <c r="C148" s="27">
        <v>45080</v>
      </c>
      <c r="D148" s="25">
        <v>45105</v>
      </c>
      <c r="E148" t="s">
        <v>19</v>
      </c>
      <c r="F148">
        <v>55268</v>
      </c>
      <c r="G148">
        <v>2599</v>
      </c>
      <c r="H148">
        <v>3072.82</v>
      </c>
      <c r="I148">
        <v>433</v>
      </c>
      <c r="J148">
        <v>1</v>
      </c>
      <c r="L148" t="s">
        <v>20</v>
      </c>
    </row>
    <row r="149" spans="1:12">
      <c r="A149" t="s">
        <v>331</v>
      </c>
      <c r="B149" t="s">
        <v>332</v>
      </c>
      <c r="C149" s="27">
        <v>45094</v>
      </c>
      <c r="D149" s="25">
        <v>45103</v>
      </c>
      <c r="E149" t="s">
        <v>33</v>
      </c>
      <c r="F149">
        <v>88939</v>
      </c>
      <c r="G149">
        <v>2448</v>
      </c>
      <c r="H149" s="26">
        <v>3741.89</v>
      </c>
      <c r="I149">
        <v>205</v>
      </c>
      <c r="J149" t="s">
        <v>15</v>
      </c>
      <c r="L149" t="s">
        <v>34</v>
      </c>
    </row>
    <row r="150" spans="1:12">
      <c r="A150" t="s">
        <v>333</v>
      </c>
      <c r="B150" t="s">
        <v>334</v>
      </c>
      <c r="C150" s="27">
        <v>44992</v>
      </c>
      <c r="D150" s="25">
        <v>45015</v>
      </c>
      <c r="E150" t="s">
        <v>19</v>
      </c>
      <c r="F150">
        <v>19141</v>
      </c>
      <c r="G150">
        <v>881</v>
      </c>
      <c r="H150">
        <v>1643.35</v>
      </c>
      <c r="I150">
        <v>67</v>
      </c>
      <c r="J150" t="b">
        <v>1</v>
      </c>
      <c r="L150" t="s">
        <v>20</v>
      </c>
    </row>
    <row r="151" spans="1:12">
      <c r="A151" t="s">
        <v>335</v>
      </c>
      <c r="B151" t="s">
        <v>336</v>
      </c>
      <c r="C151" s="27">
        <v>45121</v>
      </c>
      <c r="D151" s="25">
        <v>45126</v>
      </c>
      <c r="E151" t="s">
        <v>138</v>
      </c>
      <c r="F151">
        <v>81356</v>
      </c>
      <c r="G151">
        <v>3670</v>
      </c>
      <c r="H151">
        <v>5352.87</v>
      </c>
      <c r="I151">
        <v>660</v>
      </c>
      <c r="J151">
        <v>1</v>
      </c>
      <c r="L151" t="s">
        <v>139</v>
      </c>
    </row>
    <row r="152" spans="1:12">
      <c r="A152" t="s">
        <v>337</v>
      </c>
      <c r="B152" t="s">
        <v>338</v>
      </c>
      <c r="C152" s="27">
        <v>45242</v>
      </c>
      <c r="D152" s="25">
        <v>45254</v>
      </c>
      <c r="E152" t="s">
        <v>41</v>
      </c>
      <c r="F152">
        <v>72910</v>
      </c>
      <c r="G152">
        <v>1654</v>
      </c>
      <c r="H152">
        <v>3192.72</v>
      </c>
      <c r="I152">
        <v>192</v>
      </c>
      <c r="J152" t="s">
        <v>30</v>
      </c>
      <c r="L152" t="s">
        <v>42</v>
      </c>
    </row>
    <row r="153" spans="1:12">
      <c r="A153" t="s">
        <v>339</v>
      </c>
      <c r="B153" t="s">
        <v>340</v>
      </c>
      <c r="C153" s="27">
        <v>44927</v>
      </c>
      <c r="D153" s="25">
        <v>44955</v>
      </c>
      <c r="E153" t="s">
        <v>58</v>
      </c>
      <c r="F153">
        <v>57044</v>
      </c>
      <c r="G153">
        <v>2553</v>
      </c>
      <c r="H153">
        <v>4652.65</v>
      </c>
      <c r="I153">
        <v>180</v>
      </c>
      <c r="J153">
        <v>1</v>
      </c>
      <c r="L153" t="s">
        <v>59</v>
      </c>
    </row>
    <row r="154" spans="1:12">
      <c r="A154" t="s">
        <v>341</v>
      </c>
      <c r="B154" t="s">
        <v>342</v>
      </c>
      <c r="C154" s="27">
        <v>45223</v>
      </c>
      <c r="D154" s="25">
        <v>45248</v>
      </c>
      <c r="E154" t="s">
        <v>14</v>
      </c>
      <c r="F154">
        <v>68214</v>
      </c>
      <c r="G154">
        <v>1707</v>
      </c>
      <c r="H154" s="26">
        <v>2350.11</v>
      </c>
      <c r="I154">
        <v>306</v>
      </c>
      <c r="J154" t="s">
        <v>15</v>
      </c>
      <c r="L154" t="s">
        <v>16</v>
      </c>
    </row>
    <row r="155" spans="1:12">
      <c r="A155" t="s">
        <v>343</v>
      </c>
      <c r="B155" t="s">
        <v>344</v>
      </c>
      <c r="C155" s="27">
        <v>45153</v>
      </c>
      <c r="D155" s="25">
        <v>45155</v>
      </c>
      <c r="E155" t="s">
        <v>14</v>
      </c>
      <c r="F155">
        <v>34827</v>
      </c>
      <c r="G155">
        <v>761</v>
      </c>
      <c r="H155">
        <v>1332.27</v>
      </c>
      <c r="I155">
        <v>131</v>
      </c>
      <c r="J155" t="b">
        <v>0</v>
      </c>
      <c r="L155" t="s">
        <v>16</v>
      </c>
    </row>
    <row r="156" spans="1:12">
      <c r="A156" t="s">
        <v>345</v>
      </c>
      <c r="B156" t="s">
        <v>346</v>
      </c>
      <c r="C156" s="27">
        <v>45169</v>
      </c>
      <c r="D156" s="25">
        <v>45185</v>
      </c>
      <c r="E156" t="s">
        <v>19</v>
      </c>
      <c r="F156">
        <v>56820</v>
      </c>
      <c r="G156">
        <v>2043</v>
      </c>
      <c r="H156">
        <v>2990.68</v>
      </c>
      <c r="I156">
        <v>403</v>
      </c>
      <c r="J156" t="s">
        <v>30</v>
      </c>
      <c r="L156" t="s">
        <v>68</v>
      </c>
    </row>
    <row r="157" spans="1:12">
      <c r="A157" t="s">
        <v>347</v>
      </c>
      <c r="B157" t="s">
        <v>348</v>
      </c>
      <c r="C157" s="27">
        <v>45013</v>
      </c>
      <c r="D157" s="25">
        <v>45021</v>
      </c>
      <c r="E157" t="s">
        <v>19</v>
      </c>
      <c r="F157">
        <v>63623</v>
      </c>
      <c r="G157">
        <v>1471</v>
      </c>
      <c r="H157">
        <v>908.84</v>
      </c>
      <c r="I157">
        <v>274</v>
      </c>
      <c r="J157" t="s">
        <v>15</v>
      </c>
      <c r="L157" t="s">
        <v>20</v>
      </c>
    </row>
    <row r="158" spans="1:12">
      <c r="A158" t="s">
        <v>349</v>
      </c>
      <c r="B158" t="s">
        <v>350</v>
      </c>
      <c r="C158" s="27">
        <v>45266</v>
      </c>
      <c r="D158" s="25">
        <v>45261</v>
      </c>
      <c r="E158" t="s">
        <v>14</v>
      </c>
      <c r="F158">
        <v>82734</v>
      </c>
      <c r="G158">
        <v>2912</v>
      </c>
      <c r="H158">
        <v>4690.79</v>
      </c>
      <c r="J158" t="s">
        <v>30</v>
      </c>
      <c r="K158">
        <v>82765</v>
      </c>
      <c r="L158" t="s">
        <v>16</v>
      </c>
    </row>
    <row r="159" spans="1:12">
      <c r="A159" t="s">
        <v>351</v>
      </c>
      <c r="B159" t="s">
        <v>352</v>
      </c>
      <c r="C159" s="27">
        <v>45047</v>
      </c>
      <c r="D159" s="25">
        <v>45068</v>
      </c>
      <c r="E159" t="s">
        <v>23</v>
      </c>
      <c r="F159">
        <v>76450</v>
      </c>
      <c r="G159">
        <v>2629</v>
      </c>
      <c r="H159">
        <v>1688.77</v>
      </c>
      <c r="J159">
        <v>1</v>
      </c>
      <c r="L159" t="s">
        <v>68</v>
      </c>
    </row>
    <row r="160" spans="1:12">
      <c r="A160" t="s">
        <v>353</v>
      </c>
      <c r="B160" t="s">
        <v>354</v>
      </c>
      <c r="C160" s="25">
        <v>45028</v>
      </c>
      <c r="D160" s="25">
        <v>45265</v>
      </c>
      <c r="E160" t="s">
        <v>41</v>
      </c>
      <c r="F160">
        <v>94426</v>
      </c>
      <c r="G160">
        <v>3072</v>
      </c>
      <c r="H160">
        <v>4273.53</v>
      </c>
      <c r="I160">
        <v>201</v>
      </c>
      <c r="J160" t="b">
        <v>1</v>
      </c>
      <c r="L160" t="s">
        <v>42</v>
      </c>
    </row>
    <row r="161" spans="1:12">
      <c r="A161" t="s">
        <v>355</v>
      </c>
      <c r="B161" t="s">
        <v>356</v>
      </c>
      <c r="C161" s="27">
        <v>45170</v>
      </c>
      <c r="D161" s="25">
        <v>45181</v>
      </c>
      <c r="E161" t="s">
        <v>41</v>
      </c>
      <c r="F161">
        <v>23299</v>
      </c>
      <c r="G161">
        <v>587</v>
      </c>
      <c r="H161">
        <v>912.17</v>
      </c>
      <c r="I161">
        <v>79</v>
      </c>
      <c r="J161" t="s">
        <v>15</v>
      </c>
      <c r="L161" t="s">
        <v>42</v>
      </c>
    </row>
    <row r="162" spans="1:12">
      <c r="A162" t="s">
        <v>357</v>
      </c>
      <c r="B162" t="s">
        <v>358</v>
      </c>
      <c r="C162" s="27">
        <v>45160</v>
      </c>
      <c r="D162" s="25">
        <v>45172</v>
      </c>
      <c r="E162" t="s">
        <v>19</v>
      </c>
      <c r="F162">
        <v>44585</v>
      </c>
      <c r="G162">
        <v>1424</v>
      </c>
      <c r="H162">
        <v>854.1</v>
      </c>
      <c r="I162">
        <v>184</v>
      </c>
      <c r="J162" t="b">
        <v>0</v>
      </c>
      <c r="L162" t="s">
        <v>68</v>
      </c>
    </row>
    <row r="163" spans="1:12">
      <c r="A163" t="s">
        <v>359</v>
      </c>
      <c r="B163" t="s">
        <v>360</v>
      </c>
      <c r="C163" s="27">
        <v>45026</v>
      </c>
      <c r="D163" s="25">
        <v>45053</v>
      </c>
      <c r="E163" t="s">
        <v>41</v>
      </c>
      <c r="F163">
        <v>65044</v>
      </c>
      <c r="G163">
        <v>2202</v>
      </c>
      <c r="H163">
        <v>1863.31</v>
      </c>
      <c r="I163">
        <v>261</v>
      </c>
      <c r="J163" t="s">
        <v>24</v>
      </c>
      <c r="L163" t="s">
        <v>42</v>
      </c>
    </row>
    <row r="164" spans="1:12">
      <c r="A164" t="s">
        <v>361</v>
      </c>
      <c r="B164" t="s">
        <v>362</v>
      </c>
      <c r="C164" s="27">
        <v>45131</v>
      </c>
      <c r="D164" s="25">
        <v>45151</v>
      </c>
      <c r="E164" t="s">
        <v>138</v>
      </c>
      <c r="F164">
        <v>43557</v>
      </c>
      <c r="G164">
        <v>1386</v>
      </c>
      <c r="H164">
        <v>2596.68</v>
      </c>
      <c r="I164">
        <v>151</v>
      </c>
      <c r="J164">
        <v>1</v>
      </c>
      <c r="L164" t="s">
        <v>68</v>
      </c>
    </row>
    <row r="165" spans="1:12">
      <c r="A165" t="s">
        <v>363</v>
      </c>
      <c r="B165" t="s">
        <v>364</v>
      </c>
      <c r="C165" s="27">
        <v>44929</v>
      </c>
      <c r="D165" s="25">
        <v>44945</v>
      </c>
      <c r="E165" t="s">
        <v>41</v>
      </c>
      <c r="F165">
        <v>50080</v>
      </c>
      <c r="G165">
        <v>1391</v>
      </c>
      <c r="H165">
        <v>1981.44</v>
      </c>
      <c r="I165">
        <v>159</v>
      </c>
      <c r="J165" t="s">
        <v>15</v>
      </c>
      <c r="L165" t="s">
        <v>42</v>
      </c>
    </row>
    <row r="166" spans="1:12">
      <c r="A166" t="s">
        <v>365</v>
      </c>
      <c r="B166" t="s">
        <v>366</v>
      </c>
      <c r="C166" s="27">
        <v>44981</v>
      </c>
      <c r="D166" s="25">
        <v>44999</v>
      </c>
      <c r="E166" t="s">
        <v>33</v>
      </c>
      <c r="F166">
        <v>3693</v>
      </c>
      <c r="G166">
        <v>39</v>
      </c>
      <c r="H166">
        <v>33.91</v>
      </c>
      <c r="J166" t="b">
        <v>0</v>
      </c>
      <c r="L166" t="s">
        <v>34</v>
      </c>
    </row>
    <row r="167" spans="1:12">
      <c r="A167" t="s">
        <v>367</v>
      </c>
      <c r="B167" t="s">
        <v>368</v>
      </c>
      <c r="C167" s="25">
        <v>45283</v>
      </c>
      <c r="D167" s="25">
        <v>45288</v>
      </c>
      <c r="E167" t="s">
        <v>14</v>
      </c>
      <c r="F167">
        <v>96003</v>
      </c>
      <c r="G167">
        <v>3214</v>
      </c>
      <c r="H167" s="26">
        <v>4936.77</v>
      </c>
      <c r="I167">
        <v>161</v>
      </c>
      <c r="J167" t="s">
        <v>15</v>
      </c>
      <c r="L167" t="s">
        <v>16</v>
      </c>
    </row>
    <row r="168" spans="1:12">
      <c r="A168" t="s">
        <v>369</v>
      </c>
      <c r="B168" t="s">
        <v>370</v>
      </c>
      <c r="C168" s="27">
        <v>45054</v>
      </c>
      <c r="D168" s="25">
        <v>45080</v>
      </c>
      <c r="E168" t="s">
        <v>41</v>
      </c>
      <c r="F168">
        <v>96259</v>
      </c>
      <c r="G168">
        <v>1611</v>
      </c>
      <c r="H168">
        <v>2247.61</v>
      </c>
      <c r="I168">
        <v>143</v>
      </c>
      <c r="J168">
        <v>1</v>
      </c>
      <c r="L168" t="s">
        <v>42</v>
      </c>
    </row>
    <row r="169" spans="1:12">
      <c r="A169" t="s">
        <v>371</v>
      </c>
      <c r="B169" t="s">
        <v>372</v>
      </c>
      <c r="C169" s="27">
        <v>44995</v>
      </c>
      <c r="D169" s="25">
        <v>45004</v>
      </c>
      <c r="E169" t="s">
        <v>19</v>
      </c>
      <c r="F169">
        <v>70163</v>
      </c>
      <c r="G169">
        <v>2505</v>
      </c>
      <c r="H169">
        <v>3137.17</v>
      </c>
      <c r="J169" t="s">
        <v>15</v>
      </c>
      <c r="L169" t="s">
        <v>20</v>
      </c>
    </row>
    <row r="170" spans="1:12">
      <c r="A170" t="s">
        <v>373</v>
      </c>
      <c r="B170" t="s">
        <v>374</v>
      </c>
      <c r="C170" s="27">
        <v>45213</v>
      </c>
      <c r="D170" s="25">
        <v>45224</v>
      </c>
      <c r="E170" t="s">
        <v>41</v>
      </c>
      <c r="F170">
        <v>26939</v>
      </c>
      <c r="G170">
        <v>1087</v>
      </c>
      <c r="H170" s="26">
        <v>2135.17</v>
      </c>
      <c r="I170">
        <v>172</v>
      </c>
      <c r="J170" t="s">
        <v>30</v>
      </c>
      <c r="L170" t="s">
        <v>42</v>
      </c>
    </row>
    <row r="171" spans="1:12">
      <c r="A171" t="s">
        <v>375</v>
      </c>
      <c r="B171" t="s">
        <v>376</v>
      </c>
      <c r="C171" s="27">
        <v>45153</v>
      </c>
      <c r="D171" s="25">
        <v>45169</v>
      </c>
      <c r="E171" t="s">
        <v>14</v>
      </c>
      <c r="F171">
        <v>49925</v>
      </c>
      <c r="G171">
        <v>1498</v>
      </c>
      <c r="H171" s="26">
        <v>2284.72</v>
      </c>
      <c r="I171">
        <v>114</v>
      </c>
      <c r="J171">
        <v>1</v>
      </c>
      <c r="L171" t="s">
        <v>16</v>
      </c>
    </row>
    <row r="172" spans="1:12">
      <c r="A172" t="s">
        <v>377</v>
      </c>
      <c r="B172" t="s">
        <v>378</v>
      </c>
      <c r="C172" s="27">
        <v>45185</v>
      </c>
      <c r="D172" s="25">
        <v>45196</v>
      </c>
      <c r="E172" t="s">
        <v>138</v>
      </c>
      <c r="F172">
        <v>43941</v>
      </c>
      <c r="G172">
        <v>1392</v>
      </c>
      <c r="H172">
        <v>1479.92</v>
      </c>
      <c r="I172">
        <v>183</v>
      </c>
      <c r="J172" t="s">
        <v>15</v>
      </c>
      <c r="L172" t="s">
        <v>139</v>
      </c>
    </row>
    <row r="173" spans="1:12">
      <c r="A173" t="s">
        <v>379</v>
      </c>
      <c r="B173" t="s">
        <v>380</v>
      </c>
      <c r="C173" s="27">
        <v>45155</v>
      </c>
      <c r="D173" s="25">
        <v>45175</v>
      </c>
      <c r="E173" t="s">
        <v>19</v>
      </c>
      <c r="F173">
        <v>22834</v>
      </c>
      <c r="G173">
        <v>1097</v>
      </c>
      <c r="H173">
        <v>1865.02</v>
      </c>
      <c r="I173">
        <v>172</v>
      </c>
      <c r="J173" t="s">
        <v>24</v>
      </c>
      <c r="L173" t="s">
        <v>20</v>
      </c>
    </row>
    <row r="174" spans="1:12">
      <c r="A174" t="s">
        <v>381</v>
      </c>
      <c r="B174" t="s">
        <v>382</v>
      </c>
      <c r="C174" s="27">
        <v>45170</v>
      </c>
      <c r="D174" s="25">
        <v>45199</v>
      </c>
      <c r="E174" t="s">
        <v>23</v>
      </c>
      <c r="F174">
        <v>19047</v>
      </c>
      <c r="G174">
        <v>835</v>
      </c>
      <c r="H174">
        <v>1525.44</v>
      </c>
      <c r="I174">
        <v>97</v>
      </c>
      <c r="J174" t="b">
        <v>1</v>
      </c>
      <c r="L174" t="s">
        <v>25</v>
      </c>
    </row>
    <row r="175" spans="1:12">
      <c r="A175" t="s">
        <v>383</v>
      </c>
      <c r="B175" t="s">
        <v>384</v>
      </c>
      <c r="C175" s="27">
        <v>45253</v>
      </c>
      <c r="D175" s="25">
        <v>45271</v>
      </c>
      <c r="E175" t="s">
        <v>14</v>
      </c>
      <c r="F175">
        <v>27105</v>
      </c>
      <c r="G175">
        <v>1262</v>
      </c>
      <c r="H175">
        <v>868.04</v>
      </c>
      <c r="I175">
        <v>68</v>
      </c>
      <c r="J175" t="s">
        <v>15</v>
      </c>
      <c r="L175" t="s">
        <v>16</v>
      </c>
    </row>
    <row r="176" spans="1:12">
      <c r="A176" t="s">
        <v>385</v>
      </c>
      <c r="B176" t="s">
        <v>386</v>
      </c>
      <c r="C176" s="27">
        <v>45175</v>
      </c>
      <c r="D176" s="25">
        <v>45182</v>
      </c>
      <c r="E176" t="s">
        <v>23</v>
      </c>
      <c r="F176">
        <v>76766</v>
      </c>
      <c r="G176">
        <v>3266</v>
      </c>
      <c r="H176">
        <v>2615.51</v>
      </c>
      <c r="I176">
        <v>383</v>
      </c>
      <c r="J176" t="s">
        <v>30</v>
      </c>
      <c r="L176" t="s">
        <v>25</v>
      </c>
    </row>
    <row r="177" spans="1:12">
      <c r="A177" t="s">
        <v>387</v>
      </c>
      <c r="B177" t="s">
        <v>388</v>
      </c>
      <c r="C177" s="27">
        <v>44966</v>
      </c>
      <c r="D177" s="25">
        <v>44993</v>
      </c>
      <c r="E177" t="s">
        <v>14</v>
      </c>
      <c r="F177">
        <v>16707</v>
      </c>
      <c r="G177">
        <v>239</v>
      </c>
      <c r="H177">
        <v>197.02</v>
      </c>
      <c r="I177">
        <v>22</v>
      </c>
      <c r="J177" t="b">
        <v>0</v>
      </c>
      <c r="L177" t="s">
        <v>16</v>
      </c>
    </row>
    <row r="178" spans="1:12">
      <c r="A178" t="s">
        <v>389</v>
      </c>
      <c r="B178" t="s">
        <v>390</v>
      </c>
      <c r="C178" s="27">
        <v>45098</v>
      </c>
      <c r="D178" s="25">
        <v>45124</v>
      </c>
      <c r="E178" t="s">
        <v>14</v>
      </c>
      <c r="F178">
        <v>22976</v>
      </c>
      <c r="G178">
        <v>366</v>
      </c>
      <c r="H178" s="26">
        <v>562.48</v>
      </c>
      <c r="J178" t="s">
        <v>24</v>
      </c>
      <c r="L178" t="s">
        <v>16</v>
      </c>
    </row>
    <row r="179" spans="1:12">
      <c r="A179" t="s">
        <v>391</v>
      </c>
      <c r="B179" t="s">
        <v>392</v>
      </c>
      <c r="C179" s="27">
        <v>44997</v>
      </c>
      <c r="D179" s="25">
        <v>45018</v>
      </c>
      <c r="E179" t="s">
        <v>266</v>
      </c>
      <c r="F179">
        <v>45262</v>
      </c>
      <c r="G179">
        <v>1406</v>
      </c>
      <c r="H179">
        <v>1974.81</v>
      </c>
      <c r="I179">
        <v>96</v>
      </c>
      <c r="J179" t="b">
        <v>0</v>
      </c>
      <c r="L179" t="s">
        <v>20</v>
      </c>
    </row>
    <row r="180" spans="1:12">
      <c r="A180" t="s">
        <v>393</v>
      </c>
      <c r="B180" t="s">
        <v>394</v>
      </c>
      <c r="C180" s="25">
        <v>45005</v>
      </c>
      <c r="D180" s="25">
        <v>45012</v>
      </c>
      <c r="E180" t="s">
        <v>19</v>
      </c>
      <c r="F180">
        <v>24776</v>
      </c>
      <c r="G180">
        <v>491</v>
      </c>
      <c r="H180">
        <v>701.39</v>
      </c>
      <c r="I180">
        <v>72</v>
      </c>
      <c r="J180" t="s">
        <v>24</v>
      </c>
      <c r="L180" t="s">
        <v>20</v>
      </c>
    </row>
    <row r="181" spans="1:12">
      <c r="A181" t="s">
        <v>395</v>
      </c>
      <c r="B181" t="s">
        <v>396</v>
      </c>
      <c r="C181" s="27">
        <v>45135</v>
      </c>
      <c r="D181" s="25">
        <v>45165</v>
      </c>
      <c r="E181" t="s">
        <v>19</v>
      </c>
      <c r="F181">
        <v>31080</v>
      </c>
      <c r="G181">
        <v>903</v>
      </c>
      <c r="H181">
        <v>1725.78</v>
      </c>
      <c r="I181">
        <v>52</v>
      </c>
      <c r="J181" t="b">
        <v>0</v>
      </c>
      <c r="L181" t="s">
        <v>20</v>
      </c>
    </row>
    <row r="182" spans="1:12">
      <c r="A182" t="s">
        <v>397</v>
      </c>
      <c r="B182" t="s">
        <v>398</v>
      </c>
      <c r="C182" s="27">
        <v>44958</v>
      </c>
      <c r="D182" s="25">
        <v>44978</v>
      </c>
      <c r="E182" t="s">
        <v>33</v>
      </c>
      <c r="F182">
        <v>67842</v>
      </c>
      <c r="G182">
        <v>1748</v>
      </c>
      <c r="H182">
        <v>2908.44</v>
      </c>
      <c r="J182" t="b">
        <v>1</v>
      </c>
      <c r="L182" t="s">
        <v>34</v>
      </c>
    </row>
    <row r="183" spans="1:12">
      <c r="A183" t="s">
        <v>399</v>
      </c>
      <c r="B183" t="s">
        <v>400</v>
      </c>
      <c r="C183" s="25">
        <v>45226</v>
      </c>
      <c r="D183" s="25">
        <v>45246</v>
      </c>
      <c r="E183" t="s">
        <v>23</v>
      </c>
      <c r="F183">
        <v>62373</v>
      </c>
      <c r="G183">
        <v>1994</v>
      </c>
      <c r="H183" s="26">
        <v>1379.66</v>
      </c>
      <c r="I183">
        <v>265</v>
      </c>
      <c r="J183" t="s">
        <v>30</v>
      </c>
      <c r="L183" t="s">
        <v>25</v>
      </c>
    </row>
    <row r="184" spans="1:12">
      <c r="A184" t="s">
        <v>401</v>
      </c>
      <c r="B184" t="s">
        <v>402</v>
      </c>
      <c r="C184" s="25">
        <v>45221</v>
      </c>
      <c r="D184" s="25">
        <v>45225</v>
      </c>
      <c r="E184" t="s">
        <v>23</v>
      </c>
      <c r="F184">
        <v>7776</v>
      </c>
      <c r="G184">
        <v>310</v>
      </c>
      <c r="H184" s="26">
        <v>316.59</v>
      </c>
      <c r="I184">
        <v>29</v>
      </c>
      <c r="J184">
        <v>1</v>
      </c>
      <c r="L184" t="s">
        <v>25</v>
      </c>
    </row>
    <row r="185" spans="1:12">
      <c r="A185" t="s">
        <v>403</v>
      </c>
      <c r="B185" t="s">
        <v>404</v>
      </c>
      <c r="C185" s="27">
        <v>45107</v>
      </c>
      <c r="D185" s="25">
        <v>45117</v>
      </c>
      <c r="E185" t="s">
        <v>23</v>
      </c>
      <c r="F185">
        <v>93787</v>
      </c>
      <c r="G185">
        <v>3622</v>
      </c>
      <c r="H185" s="26">
        <v>4176.49</v>
      </c>
      <c r="I185">
        <v>428</v>
      </c>
      <c r="J185" t="b">
        <v>0</v>
      </c>
      <c r="L185" t="s">
        <v>25</v>
      </c>
    </row>
    <row r="186" spans="1:12">
      <c r="A186" t="s">
        <v>405</v>
      </c>
      <c r="B186" t="s">
        <v>406</v>
      </c>
      <c r="C186" s="27">
        <v>45141</v>
      </c>
      <c r="D186" s="25">
        <v>45165</v>
      </c>
      <c r="E186" t="s">
        <v>266</v>
      </c>
      <c r="F186">
        <v>56016</v>
      </c>
      <c r="G186">
        <v>1728</v>
      </c>
      <c r="H186">
        <v>1890.33</v>
      </c>
      <c r="I186">
        <v>128</v>
      </c>
      <c r="J186" t="s">
        <v>24</v>
      </c>
      <c r="L186" t="s">
        <v>20</v>
      </c>
    </row>
    <row r="187" spans="1:12">
      <c r="A187" t="s">
        <v>407</v>
      </c>
      <c r="B187" t="s">
        <v>408</v>
      </c>
      <c r="C187" s="27">
        <v>45235</v>
      </c>
      <c r="D187" s="25">
        <v>45237</v>
      </c>
      <c r="E187" t="s">
        <v>33</v>
      </c>
      <c r="F187">
        <v>10474</v>
      </c>
      <c r="G187">
        <v>449</v>
      </c>
      <c r="H187">
        <v>675.28</v>
      </c>
      <c r="I187">
        <v>42</v>
      </c>
      <c r="J187" t="s">
        <v>30</v>
      </c>
      <c r="L187" t="s">
        <v>34</v>
      </c>
    </row>
    <row r="188" spans="1:12">
      <c r="A188" t="s">
        <v>409</v>
      </c>
      <c r="B188" t="s">
        <v>410</v>
      </c>
      <c r="C188" s="25">
        <v>45066</v>
      </c>
      <c r="D188" s="25">
        <v>45090</v>
      </c>
      <c r="E188" t="s">
        <v>19</v>
      </c>
      <c r="F188">
        <v>59053</v>
      </c>
      <c r="G188">
        <v>1608</v>
      </c>
      <c r="H188">
        <v>2955.25</v>
      </c>
      <c r="I188">
        <v>230</v>
      </c>
      <c r="J188" t="s">
        <v>15</v>
      </c>
      <c r="L188" t="s">
        <v>20</v>
      </c>
    </row>
    <row r="189" spans="1:12">
      <c r="A189" t="s">
        <v>411</v>
      </c>
      <c r="B189" t="s">
        <v>412</v>
      </c>
      <c r="C189" s="27">
        <v>45099</v>
      </c>
      <c r="D189" s="25">
        <v>45128</v>
      </c>
      <c r="E189" t="s">
        <v>58</v>
      </c>
      <c r="F189">
        <v>22959</v>
      </c>
      <c r="G189">
        <v>1053</v>
      </c>
      <c r="H189">
        <v>1009.91</v>
      </c>
      <c r="I189">
        <v>100</v>
      </c>
      <c r="J189" t="b">
        <v>1</v>
      </c>
      <c r="L189" t="s">
        <v>59</v>
      </c>
    </row>
    <row r="190" spans="1:12">
      <c r="A190" t="s">
        <v>413</v>
      </c>
      <c r="B190" t="s">
        <v>414</v>
      </c>
      <c r="C190" s="27">
        <v>45011</v>
      </c>
      <c r="D190" s="25">
        <v>45018</v>
      </c>
      <c r="E190" t="s">
        <v>415</v>
      </c>
      <c r="F190">
        <v>6530</v>
      </c>
      <c r="G190">
        <v>83</v>
      </c>
      <c r="H190" s="26">
        <v>110.21</v>
      </c>
      <c r="I190">
        <v>15</v>
      </c>
      <c r="J190" t="s">
        <v>30</v>
      </c>
      <c r="L190" t="s">
        <v>34</v>
      </c>
    </row>
    <row r="191" spans="1:12">
      <c r="A191" t="s">
        <v>416</v>
      </c>
      <c r="B191" t="s">
        <v>417</v>
      </c>
      <c r="C191" s="27">
        <v>45245</v>
      </c>
      <c r="D191" s="25">
        <v>45262</v>
      </c>
      <c r="E191" t="s">
        <v>19</v>
      </c>
      <c r="F191">
        <v>95856</v>
      </c>
      <c r="G191">
        <v>4618</v>
      </c>
      <c r="H191" s="26">
        <v>7777.24</v>
      </c>
      <c r="J191" t="s">
        <v>30</v>
      </c>
      <c r="L191" t="s">
        <v>20</v>
      </c>
    </row>
    <row r="192" spans="1:12">
      <c r="A192" t="s">
        <v>418</v>
      </c>
      <c r="B192" t="s">
        <v>419</v>
      </c>
      <c r="C192" s="25">
        <v>45230</v>
      </c>
      <c r="D192" s="25">
        <v>45256</v>
      </c>
      <c r="E192" t="s">
        <v>19</v>
      </c>
      <c r="F192">
        <v>4748</v>
      </c>
      <c r="G192">
        <v>171</v>
      </c>
      <c r="H192">
        <v>192.26</v>
      </c>
      <c r="I192">
        <v>19</v>
      </c>
      <c r="J192">
        <v>1</v>
      </c>
      <c r="L192" t="s">
        <v>68</v>
      </c>
    </row>
    <row r="193" spans="1:12">
      <c r="A193" t="s">
        <v>420</v>
      </c>
      <c r="B193" t="s">
        <v>421</v>
      </c>
      <c r="C193" s="27">
        <v>45256</v>
      </c>
      <c r="D193" s="25">
        <v>45273</v>
      </c>
      <c r="E193" t="s">
        <v>33</v>
      </c>
      <c r="F193">
        <v>98504</v>
      </c>
      <c r="G193">
        <v>2482</v>
      </c>
      <c r="H193" s="26">
        <v>1866.9</v>
      </c>
      <c r="I193">
        <v>138</v>
      </c>
      <c r="J193" t="s">
        <v>30</v>
      </c>
      <c r="L193" t="s">
        <v>34</v>
      </c>
    </row>
    <row r="194" spans="1:12">
      <c r="A194" t="s">
        <v>422</v>
      </c>
      <c r="B194" t="s">
        <v>423</v>
      </c>
      <c r="C194" s="25">
        <v>45020</v>
      </c>
      <c r="D194" s="25">
        <v>45030</v>
      </c>
      <c r="E194" t="s">
        <v>19</v>
      </c>
      <c r="F194">
        <v>99098</v>
      </c>
      <c r="G194">
        <v>1772</v>
      </c>
      <c r="H194">
        <v>2148.42</v>
      </c>
      <c r="I194">
        <v>221</v>
      </c>
      <c r="J194">
        <v>1</v>
      </c>
      <c r="L194" t="s">
        <v>20</v>
      </c>
    </row>
    <row r="195" spans="1:12">
      <c r="A195" t="s">
        <v>424</v>
      </c>
      <c r="B195" t="s">
        <v>425</v>
      </c>
      <c r="C195" s="27">
        <v>45121</v>
      </c>
      <c r="D195" s="25">
        <v>45129</v>
      </c>
      <c r="E195" t="s">
        <v>19</v>
      </c>
      <c r="F195">
        <v>14545</v>
      </c>
      <c r="G195">
        <v>424</v>
      </c>
      <c r="H195">
        <v>247.12</v>
      </c>
      <c r="I195">
        <v>69</v>
      </c>
      <c r="J195" t="b">
        <v>1</v>
      </c>
      <c r="L195" t="s">
        <v>20</v>
      </c>
    </row>
    <row r="196" spans="1:12">
      <c r="A196" t="s">
        <v>426</v>
      </c>
      <c r="B196" t="s">
        <v>427</v>
      </c>
      <c r="C196" s="27">
        <v>45099</v>
      </c>
      <c r="D196" s="25">
        <v>45125</v>
      </c>
      <c r="E196" t="s">
        <v>23</v>
      </c>
      <c r="F196">
        <v>67199</v>
      </c>
      <c r="G196">
        <v>1194</v>
      </c>
      <c r="H196" s="26">
        <v>2284.81</v>
      </c>
      <c r="I196">
        <v>107</v>
      </c>
      <c r="J196" t="b">
        <v>1</v>
      </c>
      <c r="L196" t="s">
        <v>25</v>
      </c>
    </row>
    <row r="197" spans="1:12">
      <c r="A197" t="s">
        <v>428</v>
      </c>
      <c r="B197" t="s">
        <v>429</v>
      </c>
      <c r="C197" s="25">
        <v>45142</v>
      </c>
      <c r="D197" s="25">
        <v>45037</v>
      </c>
      <c r="E197" t="s">
        <v>33</v>
      </c>
      <c r="F197">
        <v>35766</v>
      </c>
      <c r="G197">
        <v>595</v>
      </c>
      <c r="H197">
        <v>364.28</v>
      </c>
      <c r="I197">
        <v>101</v>
      </c>
      <c r="J197" t="s">
        <v>15</v>
      </c>
      <c r="L197" t="s">
        <v>34</v>
      </c>
    </row>
    <row r="198" spans="1:12">
      <c r="A198" t="s">
        <v>430</v>
      </c>
      <c r="B198" t="s">
        <v>431</v>
      </c>
      <c r="C198" s="25">
        <v>44936</v>
      </c>
      <c r="D198" s="25">
        <v>45214</v>
      </c>
      <c r="E198" t="s">
        <v>33</v>
      </c>
      <c r="F198">
        <v>74530</v>
      </c>
      <c r="G198">
        <v>2585</v>
      </c>
      <c r="H198">
        <v>2992.62</v>
      </c>
      <c r="I198">
        <v>226</v>
      </c>
      <c r="J198">
        <v>1</v>
      </c>
      <c r="L198" t="s">
        <v>34</v>
      </c>
    </row>
    <row r="199" spans="1:12">
      <c r="A199" t="s">
        <v>432</v>
      </c>
      <c r="B199" t="s">
        <v>433</v>
      </c>
      <c r="C199" s="25">
        <v>45106</v>
      </c>
      <c r="D199" s="25">
        <v>45129</v>
      </c>
      <c r="E199" t="s">
        <v>14</v>
      </c>
      <c r="F199">
        <v>94557</v>
      </c>
      <c r="G199">
        <v>2924</v>
      </c>
      <c r="H199">
        <v>3786.06</v>
      </c>
      <c r="I199">
        <v>507</v>
      </c>
      <c r="J199">
        <v>1</v>
      </c>
      <c r="L199" t="s">
        <v>16</v>
      </c>
    </row>
    <row r="200" spans="1:12">
      <c r="A200" t="s">
        <v>434</v>
      </c>
      <c r="B200" t="s">
        <v>435</v>
      </c>
      <c r="C200" t="s">
        <v>436</v>
      </c>
      <c r="D200" s="25">
        <v>45287</v>
      </c>
      <c r="E200" t="s">
        <v>23</v>
      </c>
      <c r="F200">
        <v>62087</v>
      </c>
      <c r="G200">
        <v>2285</v>
      </c>
      <c r="H200">
        <v>4519.63</v>
      </c>
      <c r="I200">
        <v>143</v>
      </c>
      <c r="J200" t="b">
        <v>0</v>
      </c>
      <c r="L200" t="s">
        <v>25</v>
      </c>
    </row>
    <row r="201" spans="1:12">
      <c r="A201" t="s">
        <v>437</v>
      </c>
      <c r="B201" t="s">
        <v>438</v>
      </c>
      <c r="C201" s="27">
        <v>44942</v>
      </c>
      <c r="D201" s="25">
        <v>44970</v>
      </c>
      <c r="E201" t="s">
        <v>41</v>
      </c>
      <c r="F201">
        <v>96839</v>
      </c>
      <c r="G201">
        <v>4569</v>
      </c>
      <c r="H201">
        <v>3422.33</v>
      </c>
      <c r="J201" t="b">
        <v>0</v>
      </c>
      <c r="L201" t="s">
        <v>42</v>
      </c>
    </row>
    <row r="202" spans="1:12">
      <c r="A202" t="s">
        <v>439</v>
      </c>
      <c r="B202" t="s">
        <v>440</v>
      </c>
      <c r="C202" s="27">
        <v>44937</v>
      </c>
      <c r="D202" s="25">
        <v>44932</v>
      </c>
      <c r="E202" t="s">
        <v>33</v>
      </c>
      <c r="F202">
        <v>69840</v>
      </c>
      <c r="G202">
        <v>2185</v>
      </c>
      <c r="H202">
        <v>1467.55</v>
      </c>
      <c r="I202">
        <v>272</v>
      </c>
      <c r="J202" t="s">
        <v>15</v>
      </c>
      <c r="K202">
        <v>69935</v>
      </c>
      <c r="L202" t="s">
        <v>34</v>
      </c>
    </row>
    <row r="203" spans="1:12">
      <c r="A203" t="s">
        <v>441</v>
      </c>
      <c r="B203" t="s">
        <v>442</v>
      </c>
      <c r="C203" s="27">
        <v>45169</v>
      </c>
      <c r="D203" s="25">
        <v>45179</v>
      </c>
      <c r="E203" t="s">
        <v>23</v>
      </c>
      <c r="F203">
        <v>55384</v>
      </c>
      <c r="G203">
        <v>1840</v>
      </c>
      <c r="H203">
        <v>944.03</v>
      </c>
      <c r="I203">
        <v>173</v>
      </c>
      <c r="J203" t="b">
        <v>1</v>
      </c>
      <c r="L203" t="s">
        <v>25</v>
      </c>
    </row>
    <row r="204" spans="1:12">
      <c r="A204" t="s">
        <v>443</v>
      </c>
      <c r="B204" t="s">
        <v>444</v>
      </c>
      <c r="C204" s="27">
        <v>45038</v>
      </c>
      <c r="D204" s="25">
        <v>45047</v>
      </c>
      <c r="E204" t="s">
        <v>19</v>
      </c>
      <c r="F204">
        <v>52005</v>
      </c>
      <c r="G204">
        <v>706</v>
      </c>
      <c r="H204" s="26">
        <v>517.75</v>
      </c>
      <c r="I204">
        <v>63</v>
      </c>
      <c r="J204">
        <v>0</v>
      </c>
      <c r="L204" t="s">
        <v>20</v>
      </c>
    </row>
    <row r="205" spans="1:12">
      <c r="A205" t="s">
        <v>445</v>
      </c>
      <c r="B205" t="s">
        <v>446</v>
      </c>
      <c r="C205" s="27">
        <v>45115</v>
      </c>
      <c r="D205" s="25">
        <v>45122</v>
      </c>
      <c r="E205" t="s">
        <v>33</v>
      </c>
      <c r="F205">
        <v>47576</v>
      </c>
      <c r="G205">
        <v>1841</v>
      </c>
      <c r="H205">
        <v>1492.88</v>
      </c>
      <c r="I205">
        <v>211</v>
      </c>
      <c r="J205" t="b">
        <v>0</v>
      </c>
      <c r="L205" t="s">
        <v>34</v>
      </c>
    </row>
    <row r="206" spans="1:12">
      <c r="A206" t="s">
        <v>447</v>
      </c>
      <c r="B206" t="s">
        <v>448</v>
      </c>
      <c r="C206" s="27">
        <v>44985</v>
      </c>
      <c r="D206" s="25">
        <v>44990</v>
      </c>
      <c r="E206" t="s">
        <v>33</v>
      </c>
      <c r="F206">
        <v>40353</v>
      </c>
      <c r="G206">
        <v>1049</v>
      </c>
      <c r="H206">
        <v>1516.72</v>
      </c>
      <c r="I206">
        <v>209</v>
      </c>
      <c r="J206" t="s">
        <v>30</v>
      </c>
      <c r="L206" t="s">
        <v>34</v>
      </c>
    </row>
    <row r="207" spans="1:12">
      <c r="A207" t="s">
        <v>449</v>
      </c>
      <c r="B207" t="s">
        <v>450</v>
      </c>
      <c r="C207" s="25">
        <v>45086</v>
      </c>
      <c r="D207" s="25">
        <v>45185</v>
      </c>
      <c r="E207" t="s">
        <v>23</v>
      </c>
      <c r="F207">
        <v>63003</v>
      </c>
      <c r="G207">
        <v>3091</v>
      </c>
      <c r="H207">
        <v>2564.17</v>
      </c>
      <c r="I207">
        <v>256</v>
      </c>
      <c r="J207" t="b">
        <v>1</v>
      </c>
      <c r="L207" t="s">
        <v>25</v>
      </c>
    </row>
    <row r="208" spans="1:12">
      <c r="A208" t="s">
        <v>451</v>
      </c>
      <c r="B208" t="s">
        <v>452</v>
      </c>
      <c r="C208" s="27">
        <v>45086</v>
      </c>
      <c r="D208" s="25">
        <v>45087</v>
      </c>
      <c r="E208" t="s">
        <v>33</v>
      </c>
      <c r="F208">
        <v>84211</v>
      </c>
      <c r="G208">
        <v>3614</v>
      </c>
      <c r="H208">
        <v>1918.24</v>
      </c>
      <c r="I208">
        <v>236</v>
      </c>
      <c r="J208">
        <v>0</v>
      </c>
      <c r="L208" t="s">
        <v>34</v>
      </c>
    </row>
    <row r="209" spans="1:12">
      <c r="A209" t="s">
        <v>453</v>
      </c>
      <c r="B209" t="s">
        <v>454</v>
      </c>
      <c r="C209" s="27">
        <v>45119</v>
      </c>
      <c r="D209" s="25">
        <v>45120</v>
      </c>
      <c r="E209" t="s">
        <v>19</v>
      </c>
      <c r="F209">
        <v>53733</v>
      </c>
      <c r="G209">
        <v>1660</v>
      </c>
      <c r="H209" s="26">
        <v>2888.28</v>
      </c>
      <c r="I209">
        <v>228</v>
      </c>
      <c r="J209" t="s">
        <v>30</v>
      </c>
      <c r="L209" t="s">
        <v>20</v>
      </c>
    </row>
    <row r="210" spans="1:12">
      <c r="A210" t="s">
        <v>455</v>
      </c>
      <c r="B210" t="s">
        <v>456</v>
      </c>
      <c r="C210" s="27">
        <v>44965</v>
      </c>
      <c r="D210" s="25">
        <v>44986</v>
      </c>
      <c r="E210" t="s">
        <v>138</v>
      </c>
      <c r="F210">
        <v>66318</v>
      </c>
      <c r="G210">
        <v>990</v>
      </c>
      <c r="H210">
        <v>1037.91</v>
      </c>
      <c r="I210">
        <v>122</v>
      </c>
      <c r="J210" t="s">
        <v>24</v>
      </c>
      <c r="L210" t="s">
        <v>68</v>
      </c>
    </row>
    <row r="211" spans="1:12">
      <c r="A211" t="s">
        <v>457</v>
      </c>
      <c r="B211" t="s">
        <v>458</v>
      </c>
      <c r="C211" s="27">
        <v>45051</v>
      </c>
      <c r="D211" s="25">
        <v>45072</v>
      </c>
      <c r="E211" t="s">
        <v>415</v>
      </c>
      <c r="F211">
        <v>90474</v>
      </c>
      <c r="G211">
        <v>4014</v>
      </c>
      <c r="H211">
        <v>4136.61</v>
      </c>
      <c r="I211">
        <v>516</v>
      </c>
      <c r="J211">
        <v>1</v>
      </c>
      <c r="L211" t="s">
        <v>34</v>
      </c>
    </row>
    <row r="212" spans="1:12">
      <c r="A212" t="s">
        <v>459</v>
      </c>
      <c r="B212" t="s">
        <v>460</v>
      </c>
      <c r="C212" s="27">
        <v>45277</v>
      </c>
      <c r="D212" s="25">
        <v>45302</v>
      </c>
      <c r="E212" t="s">
        <v>14</v>
      </c>
      <c r="F212">
        <v>24664</v>
      </c>
      <c r="G212">
        <v>1035</v>
      </c>
      <c r="H212" s="26">
        <v>987.1</v>
      </c>
      <c r="I212">
        <v>155</v>
      </c>
      <c r="J212" t="b">
        <v>1</v>
      </c>
      <c r="L212" t="s">
        <v>16</v>
      </c>
    </row>
    <row r="213" spans="1:12">
      <c r="A213" t="s">
        <v>461</v>
      </c>
      <c r="B213" t="s">
        <v>462</v>
      </c>
      <c r="C213" s="27">
        <v>45216</v>
      </c>
      <c r="D213" s="25">
        <v>45230</v>
      </c>
      <c r="E213" t="s">
        <v>19</v>
      </c>
      <c r="F213">
        <v>68172</v>
      </c>
      <c r="G213">
        <v>1185</v>
      </c>
      <c r="H213">
        <v>2326.23</v>
      </c>
      <c r="J213" t="s">
        <v>24</v>
      </c>
      <c r="L213" t="s">
        <v>20</v>
      </c>
    </row>
    <row r="214" spans="1:12">
      <c r="A214" t="s">
        <v>463</v>
      </c>
      <c r="B214" t="s">
        <v>464</v>
      </c>
      <c r="C214" s="25">
        <v>45146</v>
      </c>
      <c r="D214" s="25">
        <v>45149</v>
      </c>
      <c r="E214" t="s">
        <v>19</v>
      </c>
      <c r="F214">
        <v>86616</v>
      </c>
      <c r="G214">
        <v>1889</v>
      </c>
      <c r="H214">
        <v>1426.52</v>
      </c>
      <c r="J214" t="s">
        <v>15</v>
      </c>
      <c r="L214" t="s">
        <v>20</v>
      </c>
    </row>
    <row r="215" spans="1:12">
      <c r="A215" t="s">
        <v>465</v>
      </c>
      <c r="B215" t="s">
        <v>466</v>
      </c>
      <c r="C215" s="27">
        <v>45258</v>
      </c>
      <c r="D215" s="25">
        <v>45270</v>
      </c>
      <c r="E215" t="s">
        <v>23</v>
      </c>
      <c r="F215">
        <v>94264</v>
      </c>
      <c r="G215">
        <v>3934</v>
      </c>
      <c r="H215">
        <v>7267.5</v>
      </c>
      <c r="I215">
        <v>453</v>
      </c>
      <c r="J215">
        <v>1</v>
      </c>
      <c r="L215" t="s">
        <v>25</v>
      </c>
    </row>
    <row r="216" spans="1:12">
      <c r="A216" t="s">
        <v>467</v>
      </c>
      <c r="B216" t="s">
        <v>468</v>
      </c>
      <c r="C216" s="27">
        <v>45177</v>
      </c>
      <c r="D216" s="25">
        <v>45192</v>
      </c>
      <c r="E216" t="s">
        <v>14</v>
      </c>
      <c r="F216">
        <v>27736</v>
      </c>
      <c r="G216">
        <v>482</v>
      </c>
      <c r="H216">
        <v>802.63</v>
      </c>
      <c r="I216">
        <v>33</v>
      </c>
      <c r="J216">
        <v>1</v>
      </c>
      <c r="L216" t="s">
        <v>16</v>
      </c>
    </row>
    <row r="217" spans="1:12">
      <c r="A217" t="s">
        <v>469</v>
      </c>
      <c r="B217" t="s">
        <v>470</v>
      </c>
      <c r="C217" s="27">
        <v>45252</v>
      </c>
      <c r="D217" s="25">
        <v>45277</v>
      </c>
      <c r="E217" t="s">
        <v>14</v>
      </c>
      <c r="F217">
        <v>95209</v>
      </c>
      <c r="G217">
        <v>4447</v>
      </c>
      <c r="H217">
        <v>2733.66</v>
      </c>
      <c r="I217">
        <v>717</v>
      </c>
      <c r="J217" t="s">
        <v>30</v>
      </c>
      <c r="L217" t="s">
        <v>16</v>
      </c>
    </row>
    <row r="218" spans="1:12">
      <c r="A218" t="s">
        <v>471</v>
      </c>
      <c r="B218" t="s">
        <v>472</v>
      </c>
      <c r="C218" s="27">
        <v>45005</v>
      </c>
      <c r="D218" s="25">
        <v>45035</v>
      </c>
      <c r="E218" t="s">
        <v>33</v>
      </c>
      <c r="F218">
        <v>1854</v>
      </c>
      <c r="G218">
        <v>50</v>
      </c>
      <c r="H218">
        <v>99</v>
      </c>
      <c r="I218">
        <v>7</v>
      </c>
      <c r="J218" t="s">
        <v>24</v>
      </c>
      <c r="L218" t="s">
        <v>34</v>
      </c>
    </row>
    <row r="219" spans="1:12">
      <c r="A219" t="s">
        <v>473</v>
      </c>
      <c r="B219" t="s">
        <v>474</v>
      </c>
      <c r="C219" s="27">
        <v>45260</v>
      </c>
      <c r="D219" s="25">
        <v>45265</v>
      </c>
      <c r="E219" t="s">
        <v>41</v>
      </c>
      <c r="F219">
        <v>91084</v>
      </c>
      <c r="G219">
        <v>1227</v>
      </c>
      <c r="H219">
        <v>1112.95</v>
      </c>
      <c r="I219">
        <v>119</v>
      </c>
      <c r="J219">
        <v>1</v>
      </c>
      <c r="L219" t="s">
        <v>68</v>
      </c>
    </row>
    <row r="220" spans="1:12">
      <c r="A220" t="s">
        <v>475</v>
      </c>
      <c r="B220" t="s">
        <v>476</v>
      </c>
      <c r="C220" s="27">
        <v>45202</v>
      </c>
      <c r="D220" s="25">
        <v>45197</v>
      </c>
      <c r="E220" t="s">
        <v>14</v>
      </c>
      <c r="F220">
        <v>39623</v>
      </c>
      <c r="G220">
        <v>1689</v>
      </c>
      <c r="H220">
        <v>1094.26</v>
      </c>
      <c r="I220">
        <v>241</v>
      </c>
      <c r="J220" t="b">
        <v>0</v>
      </c>
      <c r="L220" t="s">
        <v>16</v>
      </c>
    </row>
    <row r="221" spans="1:12">
      <c r="A221" t="s">
        <v>477</v>
      </c>
      <c r="B221" t="s">
        <v>478</v>
      </c>
      <c r="C221" s="27">
        <v>45230</v>
      </c>
      <c r="D221" s="25">
        <v>45251</v>
      </c>
      <c r="E221" t="s">
        <v>33</v>
      </c>
      <c r="F221">
        <v>8392</v>
      </c>
      <c r="G221">
        <v>209</v>
      </c>
      <c r="H221">
        <v>364.49</v>
      </c>
      <c r="I221">
        <v>17</v>
      </c>
      <c r="J221" t="b">
        <v>1</v>
      </c>
      <c r="L221" t="s">
        <v>34</v>
      </c>
    </row>
    <row r="222" spans="1:12">
      <c r="A222" t="s">
        <v>479</v>
      </c>
      <c r="B222" t="s">
        <v>480</v>
      </c>
      <c r="C222" s="27">
        <v>44971</v>
      </c>
      <c r="D222" s="25">
        <v>44984</v>
      </c>
      <c r="E222" t="s">
        <v>19</v>
      </c>
      <c r="F222">
        <v>56680</v>
      </c>
      <c r="G222">
        <v>1760</v>
      </c>
      <c r="H222">
        <v>2745.62</v>
      </c>
      <c r="I222">
        <v>205</v>
      </c>
      <c r="J222" t="b">
        <v>0</v>
      </c>
      <c r="L222" t="s">
        <v>20</v>
      </c>
    </row>
    <row r="223" spans="1:12">
      <c r="A223" t="s">
        <v>481</v>
      </c>
      <c r="B223" t="s">
        <v>482</v>
      </c>
      <c r="C223" s="27">
        <v>45164</v>
      </c>
      <c r="D223" s="25">
        <v>45159</v>
      </c>
      <c r="E223" t="s">
        <v>14</v>
      </c>
      <c r="F223">
        <v>47717</v>
      </c>
      <c r="G223">
        <v>691</v>
      </c>
      <c r="H223">
        <v>985.25</v>
      </c>
      <c r="I223">
        <v>127</v>
      </c>
      <c r="J223" t="s">
        <v>30</v>
      </c>
      <c r="L223" t="s">
        <v>16</v>
      </c>
    </row>
    <row r="224" spans="1:12">
      <c r="A224" t="s">
        <v>483</v>
      </c>
      <c r="B224" t="s">
        <v>484</v>
      </c>
      <c r="C224" t="s">
        <v>485</v>
      </c>
      <c r="D224" s="25">
        <v>45105</v>
      </c>
      <c r="E224" t="s">
        <v>19</v>
      </c>
      <c r="F224">
        <v>88092</v>
      </c>
      <c r="G224">
        <v>890</v>
      </c>
      <c r="H224" s="26">
        <v>653.23</v>
      </c>
      <c r="I224">
        <v>62</v>
      </c>
      <c r="J224">
        <v>0</v>
      </c>
      <c r="L224" t="s">
        <v>20</v>
      </c>
    </row>
    <row r="225" spans="1:12">
      <c r="A225" t="s">
        <v>486</v>
      </c>
      <c r="B225" t="s">
        <v>487</v>
      </c>
      <c r="C225" s="27">
        <v>45093</v>
      </c>
      <c r="D225" s="25">
        <v>45113</v>
      </c>
      <c r="E225" t="s">
        <v>41</v>
      </c>
      <c r="F225">
        <v>51859</v>
      </c>
      <c r="G225">
        <v>1842</v>
      </c>
      <c r="H225">
        <v>2243.08</v>
      </c>
      <c r="J225" t="s">
        <v>30</v>
      </c>
      <c r="L225" t="s">
        <v>42</v>
      </c>
    </row>
    <row r="226" spans="1:12">
      <c r="A226" t="s">
        <v>488</v>
      </c>
      <c r="B226" t="s">
        <v>489</v>
      </c>
      <c r="C226" s="27">
        <v>45059</v>
      </c>
      <c r="D226" s="25">
        <v>45074</v>
      </c>
      <c r="E226" t="s">
        <v>138</v>
      </c>
      <c r="F226">
        <v>27309</v>
      </c>
      <c r="G226">
        <v>835</v>
      </c>
      <c r="H226" s="26">
        <v>1395.15</v>
      </c>
      <c r="I226">
        <v>144</v>
      </c>
      <c r="J226" t="b">
        <v>1</v>
      </c>
      <c r="L226" t="s">
        <v>68</v>
      </c>
    </row>
    <row r="227" spans="1:12">
      <c r="A227" t="s">
        <v>490</v>
      </c>
      <c r="B227" t="s">
        <v>491</v>
      </c>
      <c r="C227" s="27">
        <v>45286</v>
      </c>
      <c r="D227" s="25">
        <v>45311</v>
      </c>
      <c r="E227" t="s">
        <v>33</v>
      </c>
      <c r="F227">
        <v>88455</v>
      </c>
      <c r="G227">
        <v>2984</v>
      </c>
      <c r="H227" s="26">
        <v>2851.02</v>
      </c>
      <c r="I227">
        <v>583</v>
      </c>
      <c r="J227">
        <v>1</v>
      </c>
      <c r="L227" t="s">
        <v>34</v>
      </c>
    </row>
    <row r="228" spans="1:12">
      <c r="A228" t="s">
        <v>492</v>
      </c>
      <c r="B228" t="s">
        <v>493</v>
      </c>
      <c r="C228" s="25">
        <v>45191</v>
      </c>
      <c r="D228" s="25">
        <v>45202</v>
      </c>
      <c r="E228" t="s">
        <v>23</v>
      </c>
      <c r="F228">
        <v>64734</v>
      </c>
      <c r="G228">
        <v>2702</v>
      </c>
      <c r="H228">
        <v>2614.28</v>
      </c>
      <c r="I228">
        <v>319</v>
      </c>
      <c r="J228" t="s">
        <v>24</v>
      </c>
      <c r="L228" t="s">
        <v>25</v>
      </c>
    </row>
    <row r="229" spans="1:12">
      <c r="A229" t="s">
        <v>494</v>
      </c>
      <c r="B229" t="s">
        <v>495</v>
      </c>
      <c r="C229" s="27">
        <v>45135</v>
      </c>
      <c r="D229" s="25">
        <v>45139</v>
      </c>
      <c r="E229" t="s">
        <v>23</v>
      </c>
      <c r="F229">
        <v>71467</v>
      </c>
      <c r="G229">
        <v>2563</v>
      </c>
      <c r="H229" s="26">
        <v>1293.58</v>
      </c>
      <c r="I229">
        <v>323</v>
      </c>
      <c r="J229" t="s">
        <v>24</v>
      </c>
      <c r="L229" t="s">
        <v>25</v>
      </c>
    </row>
    <row r="230" spans="1:12">
      <c r="A230" t="s">
        <v>496</v>
      </c>
      <c r="B230" t="s">
        <v>497</v>
      </c>
      <c r="C230" s="27">
        <v>45280</v>
      </c>
      <c r="D230" s="25">
        <v>45310</v>
      </c>
      <c r="E230" t="s">
        <v>23</v>
      </c>
      <c r="F230">
        <v>53662</v>
      </c>
      <c r="G230">
        <v>911</v>
      </c>
      <c r="H230">
        <v>693.6</v>
      </c>
      <c r="I230">
        <v>123</v>
      </c>
      <c r="J230" t="s">
        <v>15</v>
      </c>
      <c r="L230" t="s">
        <v>25</v>
      </c>
    </row>
    <row r="231" spans="1:12">
      <c r="A231" t="s">
        <v>498</v>
      </c>
      <c r="B231" t="s">
        <v>499</v>
      </c>
      <c r="C231" s="25">
        <v>45156</v>
      </c>
      <c r="D231" s="25">
        <v>45165</v>
      </c>
      <c r="E231" t="s">
        <v>14</v>
      </c>
      <c r="F231">
        <v>99506</v>
      </c>
      <c r="G231">
        <v>2431</v>
      </c>
      <c r="H231">
        <v>4407.67</v>
      </c>
      <c r="I231">
        <v>461</v>
      </c>
      <c r="J231" t="s">
        <v>30</v>
      </c>
      <c r="L231" t="s">
        <v>16</v>
      </c>
    </row>
    <row r="232" spans="1:12">
      <c r="A232" t="s">
        <v>500</v>
      </c>
      <c r="B232" t="s">
        <v>501</v>
      </c>
      <c r="C232" s="27">
        <v>45040</v>
      </c>
      <c r="D232" s="25">
        <v>45055</v>
      </c>
      <c r="E232" t="s">
        <v>33</v>
      </c>
      <c r="F232">
        <v>13688</v>
      </c>
      <c r="G232">
        <v>632</v>
      </c>
      <c r="H232">
        <v>734.78</v>
      </c>
      <c r="I232">
        <v>112</v>
      </c>
      <c r="J232" t="b">
        <v>1</v>
      </c>
      <c r="L232" t="s">
        <v>68</v>
      </c>
    </row>
    <row r="233" spans="1:12">
      <c r="A233" t="s">
        <v>502</v>
      </c>
      <c r="B233" t="s">
        <v>503</v>
      </c>
      <c r="C233" s="27">
        <v>45266</v>
      </c>
      <c r="D233" s="25">
        <v>45275</v>
      </c>
      <c r="E233" t="s">
        <v>138</v>
      </c>
      <c r="F233">
        <v>26342</v>
      </c>
      <c r="G233">
        <v>1074</v>
      </c>
      <c r="H233">
        <v>2122.6</v>
      </c>
      <c r="I233">
        <v>81</v>
      </c>
      <c r="J233" t="s">
        <v>15</v>
      </c>
      <c r="L233" t="s">
        <v>139</v>
      </c>
    </row>
    <row r="234" spans="1:12">
      <c r="A234" t="s">
        <v>504</v>
      </c>
      <c r="B234" t="s">
        <v>505</v>
      </c>
      <c r="C234" s="27">
        <v>45198</v>
      </c>
      <c r="D234" s="25">
        <v>45205</v>
      </c>
      <c r="E234" t="s">
        <v>33</v>
      </c>
      <c r="F234">
        <v>38157</v>
      </c>
      <c r="G234">
        <v>1231</v>
      </c>
      <c r="H234">
        <v>1346.17</v>
      </c>
      <c r="I234">
        <v>142</v>
      </c>
      <c r="J234">
        <v>1</v>
      </c>
      <c r="L234" t="s">
        <v>34</v>
      </c>
    </row>
    <row r="235" spans="1:12">
      <c r="A235" t="s">
        <v>506</v>
      </c>
      <c r="B235" t="s">
        <v>507</v>
      </c>
      <c r="C235" s="27">
        <v>45208</v>
      </c>
      <c r="D235" s="25">
        <v>45231</v>
      </c>
      <c r="E235" t="s">
        <v>14</v>
      </c>
      <c r="F235">
        <v>68863</v>
      </c>
      <c r="G235">
        <v>1392</v>
      </c>
      <c r="H235">
        <v>2189.31</v>
      </c>
      <c r="I235">
        <v>166</v>
      </c>
      <c r="J235">
        <v>0</v>
      </c>
      <c r="L235" t="s">
        <v>16</v>
      </c>
    </row>
    <row r="236" spans="1:12">
      <c r="A236" t="s">
        <v>508</v>
      </c>
      <c r="B236" t="s">
        <v>509</v>
      </c>
      <c r="C236" s="27">
        <v>45065</v>
      </c>
      <c r="D236" s="25">
        <v>45085</v>
      </c>
      <c r="E236" t="s">
        <v>33</v>
      </c>
      <c r="F236">
        <v>53083</v>
      </c>
      <c r="G236">
        <v>1172</v>
      </c>
      <c r="H236">
        <v>1081.61</v>
      </c>
      <c r="I236">
        <v>197</v>
      </c>
      <c r="J236" t="s">
        <v>30</v>
      </c>
      <c r="L236" t="s">
        <v>34</v>
      </c>
    </row>
    <row r="237" spans="1:12">
      <c r="A237" t="s">
        <v>510</v>
      </c>
      <c r="B237" t="s">
        <v>511</v>
      </c>
      <c r="C237" s="27">
        <v>45025</v>
      </c>
      <c r="D237" s="25">
        <v>45040</v>
      </c>
      <c r="E237" t="s">
        <v>19</v>
      </c>
      <c r="F237">
        <v>66733</v>
      </c>
      <c r="G237">
        <v>2621</v>
      </c>
      <c r="H237">
        <v>2740.82</v>
      </c>
      <c r="J237">
        <v>0</v>
      </c>
      <c r="L237" t="s">
        <v>20</v>
      </c>
    </row>
    <row r="238" spans="1:12">
      <c r="A238" t="s">
        <v>512</v>
      </c>
      <c r="B238" t="s">
        <v>513</v>
      </c>
      <c r="C238" s="27">
        <v>45280</v>
      </c>
      <c r="D238" s="25">
        <v>45290</v>
      </c>
      <c r="E238" t="s">
        <v>138</v>
      </c>
      <c r="F238">
        <v>90045</v>
      </c>
      <c r="G238">
        <v>3966</v>
      </c>
      <c r="H238">
        <v>3117.63</v>
      </c>
      <c r="I238">
        <v>587</v>
      </c>
      <c r="J238" t="b">
        <v>1</v>
      </c>
      <c r="L238" t="s">
        <v>139</v>
      </c>
    </row>
    <row r="239" spans="1:12">
      <c r="A239" t="s">
        <v>514</v>
      </c>
      <c r="B239" t="s">
        <v>515</v>
      </c>
      <c r="C239" s="27">
        <v>45174</v>
      </c>
      <c r="D239" s="25">
        <v>45180</v>
      </c>
      <c r="E239" t="s">
        <v>138</v>
      </c>
      <c r="F239">
        <v>35698</v>
      </c>
      <c r="G239">
        <v>1315</v>
      </c>
      <c r="H239" s="26">
        <v>1342.08</v>
      </c>
      <c r="I239">
        <v>262</v>
      </c>
      <c r="J239">
        <v>0</v>
      </c>
      <c r="L239" t="s">
        <v>139</v>
      </c>
    </row>
    <row r="240" spans="1:12">
      <c r="A240" t="s">
        <v>516</v>
      </c>
      <c r="B240" t="s">
        <v>517</v>
      </c>
      <c r="C240" s="27">
        <v>45195</v>
      </c>
      <c r="D240" s="25">
        <v>45214</v>
      </c>
      <c r="E240" t="s">
        <v>138</v>
      </c>
      <c r="F240">
        <v>81623</v>
      </c>
      <c r="G240">
        <v>3459</v>
      </c>
      <c r="H240">
        <v>4568.84</v>
      </c>
      <c r="I240">
        <v>211</v>
      </c>
      <c r="J240">
        <v>0</v>
      </c>
      <c r="L240" t="s">
        <v>139</v>
      </c>
    </row>
    <row r="241" spans="1:12">
      <c r="A241" t="s">
        <v>518</v>
      </c>
      <c r="B241" t="s">
        <v>519</v>
      </c>
      <c r="C241" s="27">
        <v>45026</v>
      </c>
      <c r="D241" s="25">
        <v>45031</v>
      </c>
      <c r="E241" t="s">
        <v>234</v>
      </c>
      <c r="F241">
        <v>23671</v>
      </c>
      <c r="G241">
        <v>962</v>
      </c>
      <c r="H241">
        <v>1912.13</v>
      </c>
      <c r="I241">
        <v>80</v>
      </c>
      <c r="J241" t="b">
        <v>1</v>
      </c>
      <c r="L241" t="s">
        <v>16</v>
      </c>
    </row>
    <row r="242" spans="1:12">
      <c r="A242" t="s">
        <v>520</v>
      </c>
      <c r="B242" t="s">
        <v>521</v>
      </c>
      <c r="C242" s="25">
        <v>45022</v>
      </c>
      <c r="D242" s="25">
        <v>45092</v>
      </c>
      <c r="E242" t="s">
        <v>19</v>
      </c>
      <c r="F242">
        <v>26184</v>
      </c>
      <c r="G242">
        <v>418</v>
      </c>
      <c r="H242" s="26">
        <v>625.45</v>
      </c>
      <c r="I242">
        <v>46</v>
      </c>
      <c r="J242" t="b">
        <v>1</v>
      </c>
      <c r="L242" t="s">
        <v>20</v>
      </c>
    </row>
    <row r="243" spans="1:12">
      <c r="A243" t="s">
        <v>522</v>
      </c>
      <c r="B243" t="s">
        <v>523</v>
      </c>
      <c r="C243" s="25">
        <v>45200</v>
      </c>
      <c r="D243" s="25">
        <v>44937</v>
      </c>
      <c r="E243" t="s">
        <v>33</v>
      </c>
      <c r="F243">
        <v>94384</v>
      </c>
      <c r="G243">
        <v>2544</v>
      </c>
      <c r="H243">
        <v>2032.32</v>
      </c>
      <c r="I243">
        <v>259</v>
      </c>
      <c r="J243" t="s">
        <v>30</v>
      </c>
      <c r="L243" t="s">
        <v>34</v>
      </c>
    </row>
    <row r="244" spans="1:12">
      <c r="A244" t="s">
        <v>524</v>
      </c>
      <c r="B244" t="s">
        <v>525</v>
      </c>
      <c r="C244" s="27">
        <v>44954</v>
      </c>
      <c r="D244" s="25">
        <v>44958</v>
      </c>
      <c r="E244" t="s">
        <v>19</v>
      </c>
      <c r="F244">
        <v>43107</v>
      </c>
      <c r="G244">
        <v>694</v>
      </c>
      <c r="H244">
        <v>393.8</v>
      </c>
      <c r="I244">
        <v>36</v>
      </c>
      <c r="J244">
        <v>0</v>
      </c>
      <c r="L244" t="s">
        <v>20</v>
      </c>
    </row>
    <row r="245" spans="1:12">
      <c r="A245" t="s">
        <v>526</v>
      </c>
      <c r="B245" t="s">
        <v>527</v>
      </c>
      <c r="C245" s="27">
        <v>44991</v>
      </c>
      <c r="D245" s="25">
        <v>44993</v>
      </c>
      <c r="E245" t="s">
        <v>19</v>
      </c>
      <c r="F245">
        <v>87202</v>
      </c>
      <c r="G245">
        <v>1692</v>
      </c>
      <c r="H245" s="26">
        <v>1166.69</v>
      </c>
      <c r="I245">
        <v>107</v>
      </c>
      <c r="J245" t="s">
        <v>15</v>
      </c>
      <c r="L245" t="s">
        <v>20</v>
      </c>
    </row>
    <row r="246" spans="1:12">
      <c r="A246" t="s">
        <v>528</v>
      </c>
      <c r="B246" t="s">
        <v>529</v>
      </c>
      <c r="C246" s="27">
        <v>44979</v>
      </c>
      <c r="D246" s="25">
        <v>45007</v>
      </c>
      <c r="E246" t="s">
        <v>33</v>
      </c>
      <c r="F246">
        <v>52663</v>
      </c>
      <c r="G246">
        <v>2357</v>
      </c>
      <c r="H246">
        <v>3167.41</v>
      </c>
      <c r="I246">
        <v>358</v>
      </c>
      <c r="J246" t="b">
        <v>1</v>
      </c>
      <c r="L246" t="s">
        <v>34</v>
      </c>
    </row>
    <row r="247" spans="1:12">
      <c r="A247" t="s">
        <v>530</v>
      </c>
      <c r="B247" t="s">
        <v>531</v>
      </c>
      <c r="C247" s="27">
        <v>45167</v>
      </c>
      <c r="D247" s="25">
        <v>45178</v>
      </c>
      <c r="E247" t="s">
        <v>23</v>
      </c>
      <c r="F247">
        <v>16708</v>
      </c>
      <c r="G247">
        <v>483</v>
      </c>
      <c r="H247">
        <v>795.86</v>
      </c>
      <c r="I247">
        <v>87</v>
      </c>
      <c r="J247">
        <v>1</v>
      </c>
      <c r="L247" t="s">
        <v>25</v>
      </c>
    </row>
    <row r="248" spans="1:12">
      <c r="A248" t="s">
        <v>532</v>
      </c>
      <c r="B248" t="s">
        <v>533</v>
      </c>
      <c r="C248" s="27">
        <v>44953</v>
      </c>
      <c r="D248" s="25">
        <v>44971</v>
      </c>
      <c r="E248" t="s">
        <v>14</v>
      </c>
      <c r="F248">
        <v>92906</v>
      </c>
      <c r="G248">
        <v>2918</v>
      </c>
      <c r="H248">
        <v>5575.21</v>
      </c>
      <c r="J248">
        <v>0</v>
      </c>
      <c r="L248" t="s">
        <v>16</v>
      </c>
    </row>
    <row r="249" spans="1:12">
      <c r="A249" t="s">
        <v>534</v>
      </c>
      <c r="B249" t="s">
        <v>535</v>
      </c>
      <c r="C249" s="27">
        <v>44985</v>
      </c>
      <c r="D249" s="25">
        <v>45001</v>
      </c>
      <c r="E249" t="s">
        <v>41</v>
      </c>
      <c r="F249">
        <v>50811</v>
      </c>
      <c r="G249">
        <v>870</v>
      </c>
      <c r="H249">
        <v>455.65</v>
      </c>
      <c r="J249" t="b">
        <v>1</v>
      </c>
      <c r="L249" t="s">
        <v>42</v>
      </c>
    </row>
    <row r="250" spans="1:12">
      <c r="A250" t="s">
        <v>536</v>
      </c>
      <c r="B250" t="s">
        <v>537</v>
      </c>
      <c r="C250" s="27">
        <v>44964</v>
      </c>
      <c r="D250" s="25">
        <v>44976</v>
      </c>
      <c r="E250" t="s">
        <v>19</v>
      </c>
      <c r="F250">
        <v>3811</v>
      </c>
      <c r="G250">
        <v>85</v>
      </c>
      <c r="H250">
        <v>109.15</v>
      </c>
      <c r="I250">
        <v>7</v>
      </c>
      <c r="J250" t="s">
        <v>15</v>
      </c>
      <c r="L250" t="s">
        <v>20</v>
      </c>
    </row>
    <row r="251" spans="1:12">
      <c r="A251" t="s">
        <v>538</v>
      </c>
      <c r="B251" t="s">
        <v>539</v>
      </c>
      <c r="C251" s="27">
        <v>45004</v>
      </c>
      <c r="D251" s="25">
        <v>45009</v>
      </c>
      <c r="E251" t="s">
        <v>19</v>
      </c>
      <c r="F251">
        <v>57250</v>
      </c>
      <c r="G251">
        <v>1099</v>
      </c>
      <c r="H251">
        <v>1325.72</v>
      </c>
      <c r="I251">
        <v>181</v>
      </c>
      <c r="J251" t="s">
        <v>24</v>
      </c>
      <c r="L251" t="s">
        <v>20</v>
      </c>
    </row>
    <row r="252" spans="1:12">
      <c r="A252" t="s">
        <v>540</v>
      </c>
      <c r="B252" t="s">
        <v>541</v>
      </c>
      <c r="C252" s="25">
        <v>45052</v>
      </c>
      <c r="D252" s="25">
        <v>45093</v>
      </c>
      <c r="E252" t="s">
        <v>14</v>
      </c>
      <c r="F252">
        <v>73082</v>
      </c>
      <c r="G252">
        <v>1333</v>
      </c>
      <c r="H252" s="26">
        <v>1978.28</v>
      </c>
      <c r="J252" t="s">
        <v>30</v>
      </c>
      <c r="L252" t="s">
        <v>16</v>
      </c>
    </row>
    <row r="253" spans="1:12">
      <c r="A253" t="s">
        <v>542</v>
      </c>
      <c r="B253" t="s">
        <v>543</v>
      </c>
      <c r="C253" s="27">
        <v>45054</v>
      </c>
      <c r="D253" s="25">
        <v>45081</v>
      </c>
      <c r="E253" t="s">
        <v>14</v>
      </c>
      <c r="F253">
        <v>35754</v>
      </c>
      <c r="G253">
        <v>1269</v>
      </c>
      <c r="H253">
        <v>1699.66</v>
      </c>
      <c r="I253">
        <v>175</v>
      </c>
      <c r="J253">
        <v>0</v>
      </c>
      <c r="L253" t="s">
        <v>16</v>
      </c>
    </row>
    <row r="254" spans="1:12">
      <c r="A254" t="s">
        <v>544</v>
      </c>
      <c r="B254" t="s">
        <v>545</v>
      </c>
      <c r="C254" s="27">
        <v>45237</v>
      </c>
      <c r="D254" s="25">
        <v>45261</v>
      </c>
      <c r="E254" t="s">
        <v>19</v>
      </c>
      <c r="F254">
        <v>96742</v>
      </c>
      <c r="G254">
        <v>1961</v>
      </c>
      <c r="H254">
        <v>3001.43</v>
      </c>
      <c r="I254">
        <v>160</v>
      </c>
      <c r="J254" t="s">
        <v>24</v>
      </c>
      <c r="L254" t="s">
        <v>20</v>
      </c>
    </row>
    <row r="255" spans="1:12">
      <c r="A255" t="s">
        <v>546</v>
      </c>
      <c r="B255" t="s">
        <v>547</v>
      </c>
      <c r="C255" s="27">
        <v>45194</v>
      </c>
      <c r="D255" s="25">
        <v>45207</v>
      </c>
      <c r="E255" t="s">
        <v>14</v>
      </c>
      <c r="F255">
        <v>12411</v>
      </c>
      <c r="G255">
        <v>437</v>
      </c>
      <c r="H255">
        <v>649.87</v>
      </c>
      <c r="I255">
        <v>28</v>
      </c>
      <c r="J255" t="b">
        <v>1</v>
      </c>
      <c r="L255" t="s">
        <v>16</v>
      </c>
    </row>
    <row r="256" spans="1:12">
      <c r="A256" t="s">
        <v>548</v>
      </c>
      <c r="B256" t="s">
        <v>549</v>
      </c>
      <c r="C256" s="27">
        <v>45079</v>
      </c>
      <c r="D256" s="25">
        <v>45097</v>
      </c>
      <c r="E256" t="s">
        <v>14</v>
      </c>
      <c r="F256">
        <v>3911</v>
      </c>
      <c r="G256">
        <v>48</v>
      </c>
      <c r="H256">
        <v>32.42</v>
      </c>
      <c r="I256">
        <v>2</v>
      </c>
      <c r="J256" t="b">
        <v>1</v>
      </c>
      <c r="L256" t="s">
        <v>16</v>
      </c>
    </row>
    <row r="257" spans="1:12">
      <c r="A257" t="s">
        <v>550</v>
      </c>
      <c r="B257" t="s">
        <v>551</v>
      </c>
      <c r="C257" s="25">
        <v>45083</v>
      </c>
      <c r="D257" s="25">
        <v>45084</v>
      </c>
      <c r="E257" t="s">
        <v>23</v>
      </c>
      <c r="F257">
        <v>68270</v>
      </c>
      <c r="G257">
        <v>1069</v>
      </c>
      <c r="H257">
        <v>1816.85</v>
      </c>
      <c r="J257">
        <v>1</v>
      </c>
      <c r="L257" t="s">
        <v>25</v>
      </c>
    </row>
    <row r="258" spans="1:12">
      <c r="A258" t="s">
        <v>552</v>
      </c>
      <c r="B258" t="s">
        <v>553</v>
      </c>
      <c r="C258" s="27">
        <v>44977</v>
      </c>
      <c r="D258" s="25">
        <v>44998</v>
      </c>
      <c r="E258" t="s">
        <v>14</v>
      </c>
      <c r="F258">
        <v>84763</v>
      </c>
      <c r="G258">
        <v>1778</v>
      </c>
      <c r="H258">
        <v>1217.66</v>
      </c>
      <c r="I258">
        <v>308</v>
      </c>
      <c r="J258">
        <v>1</v>
      </c>
      <c r="L258" t="s">
        <v>16</v>
      </c>
    </row>
    <row r="259" spans="1:12">
      <c r="A259" t="s">
        <v>554</v>
      </c>
      <c r="B259" t="s">
        <v>555</v>
      </c>
      <c r="C259" s="25">
        <v>45035</v>
      </c>
      <c r="D259" s="25">
        <v>45049</v>
      </c>
      <c r="E259" t="s">
        <v>14</v>
      </c>
      <c r="F259">
        <v>9680</v>
      </c>
      <c r="G259">
        <v>327</v>
      </c>
      <c r="H259">
        <v>506.13</v>
      </c>
      <c r="I259">
        <v>58</v>
      </c>
      <c r="J259">
        <v>0</v>
      </c>
      <c r="L259" t="s">
        <v>16</v>
      </c>
    </row>
    <row r="260" spans="1:12">
      <c r="A260" t="s">
        <v>556</v>
      </c>
      <c r="B260" t="s">
        <v>557</v>
      </c>
      <c r="C260" s="25">
        <v>45049</v>
      </c>
      <c r="D260" s="25">
        <v>45011</v>
      </c>
      <c r="E260" t="s">
        <v>41</v>
      </c>
      <c r="F260">
        <v>85896</v>
      </c>
      <c r="G260">
        <v>3181</v>
      </c>
      <c r="H260">
        <v>3576.14</v>
      </c>
      <c r="I260">
        <v>380</v>
      </c>
      <c r="J260" t="s">
        <v>24</v>
      </c>
      <c r="L260" t="s">
        <v>42</v>
      </c>
    </row>
    <row r="261" spans="1:12">
      <c r="A261" t="s">
        <v>558</v>
      </c>
      <c r="B261" t="s">
        <v>559</v>
      </c>
      <c r="C261" s="27">
        <v>44928</v>
      </c>
      <c r="D261" s="25">
        <v>44939</v>
      </c>
      <c r="E261" t="s">
        <v>33</v>
      </c>
      <c r="F261">
        <v>84879</v>
      </c>
      <c r="G261">
        <v>2351</v>
      </c>
      <c r="H261" s="26">
        <v>2987.59</v>
      </c>
      <c r="J261" t="s">
        <v>24</v>
      </c>
      <c r="L261" t="s">
        <v>34</v>
      </c>
    </row>
    <row r="262" spans="1:12">
      <c r="A262" t="s">
        <v>560</v>
      </c>
      <c r="B262" t="s">
        <v>561</v>
      </c>
      <c r="C262" s="27">
        <v>45167</v>
      </c>
      <c r="D262" s="25">
        <v>45180</v>
      </c>
      <c r="E262" t="s">
        <v>19</v>
      </c>
      <c r="F262">
        <v>72295</v>
      </c>
      <c r="G262">
        <v>2012</v>
      </c>
      <c r="H262">
        <v>3732.15</v>
      </c>
      <c r="I262">
        <v>386</v>
      </c>
      <c r="J262" t="b">
        <v>1</v>
      </c>
      <c r="L262" t="s">
        <v>20</v>
      </c>
    </row>
    <row r="263" spans="1:12">
      <c r="A263" t="s">
        <v>562</v>
      </c>
      <c r="B263" t="s">
        <v>563</v>
      </c>
      <c r="C263" s="27">
        <v>45288</v>
      </c>
      <c r="D263" s="25">
        <v>45294</v>
      </c>
      <c r="E263" t="s">
        <v>19</v>
      </c>
      <c r="F263">
        <v>89614</v>
      </c>
      <c r="G263">
        <v>3493</v>
      </c>
      <c r="H263">
        <v>6409.05</v>
      </c>
      <c r="I263">
        <v>318</v>
      </c>
      <c r="J263">
        <v>0</v>
      </c>
      <c r="L263" t="s">
        <v>20</v>
      </c>
    </row>
    <row r="264" spans="1:12">
      <c r="A264" t="s">
        <v>564</v>
      </c>
      <c r="B264" t="s">
        <v>565</v>
      </c>
      <c r="C264" s="27">
        <v>44963</v>
      </c>
      <c r="D264" s="25">
        <v>44974</v>
      </c>
      <c r="E264" t="s">
        <v>19</v>
      </c>
      <c r="F264">
        <v>12111</v>
      </c>
      <c r="G264">
        <v>128</v>
      </c>
      <c r="H264">
        <v>221.03</v>
      </c>
      <c r="J264" t="b">
        <v>1</v>
      </c>
      <c r="L264" t="s">
        <v>20</v>
      </c>
    </row>
    <row r="265" spans="1:12">
      <c r="A265" t="s">
        <v>566</v>
      </c>
      <c r="B265" t="s">
        <v>567</v>
      </c>
      <c r="C265" s="27">
        <v>45247</v>
      </c>
      <c r="D265" s="25">
        <v>45267</v>
      </c>
      <c r="E265" t="s">
        <v>14</v>
      </c>
      <c r="F265">
        <v>38504</v>
      </c>
      <c r="G265">
        <v>910</v>
      </c>
      <c r="H265">
        <v>1151.35</v>
      </c>
      <c r="I265">
        <v>172</v>
      </c>
      <c r="J265">
        <v>1</v>
      </c>
      <c r="L265" t="s">
        <v>16</v>
      </c>
    </row>
    <row r="266" spans="1:12">
      <c r="A266" t="s">
        <v>568</v>
      </c>
      <c r="B266" t="s">
        <v>569</v>
      </c>
      <c r="C266" s="27">
        <v>45028</v>
      </c>
      <c r="D266" s="25">
        <v>45055</v>
      </c>
      <c r="E266" t="s">
        <v>41</v>
      </c>
      <c r="F266">
        <v>2802</v>
      </c>
      <c r="G266">
        <v>119</v>
      </c>
      <c r="H266">
        <v>190.92</v>
      </c>
      <c r="I266">
        <v>11</v>
      </c>
      <c r="J266" t="s">
        <v>15</v>
      </c>
      <c r="L266" t="s">
        <v>42</v>
      </c>
    </row>
    <row r="267" spans="1:12">
      <c r="A267" t="s">
        <v>570</v>
      </c>
      <c r="B267" t="s">
        <v>571</v>
      </c>
      <c r="C267" s="27">
        <v>45258</v>
      </c>
      <c r="D267" s="25">
        <v>45283</v>
      </c>
      <c r="E267" t="s">
        <v>41</v>
      </c>
      <c r="F267">
        <v>9155</v>
      </c>
      <c r="G267">
        <v>312</v>
      </c>
      <c r="H267">
        <v>396.04</v>
      </c>
      <c r="I267">
        <v>58</v>
      </c>
      <c r="J267" t="b">
        <v>0</v>
      </c>
      <c r="L267" t="s">
        <v>42</v>
      </c>
    </row>
    <row r="268" spans="1:12">
      <c r="A268" t="s">
        <v>572</v>
      </c>
      <c r="B268" t="s">
        <v>573</v>
      </c>
      <c r="C268" t="s">
        <v>574</v>
      </c>
      <c r="D268" s="25">
        <v>45001</v>
      </c>
      <c r="E268" t="s">
        <v>23</v>
      </c>
      <c r="F268">
        <v>74656</v>
      </c>
      <c r="G268">
        <v>1753</v>
      </c>
      <c r="H268" s="26">
        <v>3163.13</v>
      </c>
      <c r="I268">
        <v>345</v>
      </c>
      <c r="J268" t="b">
        <v>0</v>
      </c>
      <c r="L268" t="s">
        <v>25</v>
      </c>
    </row>
    <row r="269" spans="1:12">
      <c r="A269" t="s">
        <v>575</v>
      </c>
      <c r="B269" t="s">
        <v>576</v>
      </c>
      <c r="C269" s="27">
        <v>45011</v>
      </c>
      <c r="D269" s="25">
        <v>45032</v>
      </c>
      <c r="E269" t="s">
        <v>23</v>
      </c>
      <c r="F269">
        <v>40384</v>
      </c>
      <c r="G269">
        <v>1866</v>
      </c>
      <c r="H269">
        <v>2060.37</v>
      </c>
      <c r="I269">
        <v>278</v>
      </c>
      <c r="J269" t="b">
        <v>1</v>
      </c>
      <c r="L269" t="s">
        <v>25</v>
      </c>
    </row>
    <row r="270" spans="1:12">
      <c r="A270" t="s">
        <v>577</v>
      </c>
      <c r="B270" t="s">
        <v>578</v>
      </c>
      <c r="C270" s="27">
        <v>45218</v>
      </c>
      <c r="D270" s="25">
        <v>45228</v>
      </c>
      <c r="E270" t="s">
        <v>33</v>
      </c>
      <c r="F270">
        <v>48254</v>
      </c>
      <c r="G270">
        <v>1973</v>
      </c>
      <c r="H270">
        <v>3857.91</v>
      </c>
      <c r="I270">
        <v>340</v>
      </c>
      <c r="J270" t="s">
        <v>24</v>
      </c>
      <c r="L270" t="s">
        <v>34</v>
      </c>
    </row>
    <row r="271" spans="1:12">
      <c r="A271" t="s">
        <v>579</v>
      </c>
      <c r="B271" t="s">
        <v>580</v>
      </c>
      <c r="C271" s="27">
        <v>45166</v>
      </c>
      <c r="D271" s="25">
        <v>45177</v>
      </c>
      <c r="E271" t="s">
        <v>23</v>
      </c>
      <c r="F271">
        <v>22918</v>
      </c>
      <c r="G271">
        <v>472</v>
      </c>
      <c r="H271">
        <v>896.08</v>
      </c>
      <c r="I271">
        <v>76</v>
      </c>
      <c r="J271">
        <v>1</v>
      </c>
      <c r="L271" t="s">
        <v>25</v>
      </c>
    </row>
    <row r="272" spans="1:12">
      <c r="A272" t="s">
        <v>581</v>
      </c>
      <c r="B272" t="s">
        <v>582</v>
      </c>
      <c r="C272" s="27">
        <v>45066</v>
      </c>
      <c r="D272" s="25">
        <v>45085</v>
      </c>
      <c r="E272" t="s">
        <v>33</v>
      </c>
      <c r="F272">
        <v>86981</v>
      </c>
      <c r="G272">
        <v>3114</v>
      </c>
      <c r="H272">
        <v>5021.03</v>
      </c>
      <c r="I272">
        <v>482</v>
      </c>
      <c r="J272" t="s">
        <v>30</v>
      </c>
      <c r="L272" t="s">
        <v>34</v>
      </c>
    </row>
    <row r="273" spans="1:12">
      <c r="A273" t="s">
        <v>583</v>
      </c>
      <c r="B273" t="s">
        <v>584</v>
      </c>
      <c r="C273" s="27">
        <v>44968</v>
      </c>
      <c r="D273" s="25">
        <v>44993</v>
      </c>
      <c r="E273" t="s">
        <v>14</v>
      </c>
      <c r="F273">
        <v>61713</v>
      </c>
      <c r="G273">
        <v>2087</v>
      </c>
      <c r="H273">
        <v>1918.21</v>
      </c>
      <c r="I273">
        <v>200</v>
      </c>
      <c r="J273" t="s">
        <v>30</v>
      </c>
      <c r="L273" t="s">
        <v>16</v>
      </c>
    </row>
    <row r="274" spans="1:12">
      <c r="A274" t="s">
        <v>585</v>
      </c>
      <c r="B274" t="s">
        <v>586</v>
      </c>
      <c r="C274" s="25">
        <v>45092</v>
      </c>
      <c r="D274" s="25">
        <v>45111</v>
      </c>
      <c r="E274" t="s">
        <v>14</v>
      </c>
      <c r="F274">
        <v>31306</v>
      </c>
      <c r="G274">
        <v>815</v>
      </c>
      <c r="H274">
        <v>568.45</v>
      </c>
      <c r="I274">
        <v>47</v>
      </c>
      <c r="J274" t="b">
        <v>0</v>
      </c>
      <c r="L274" t="s">
        <v>16</v>
      </c>
    </row>
    <row r="275" spans="1:12">
      <c r="A275" t="s">
        <v>587</v>
      </c>
      <c r="B275" t="s">
        <v>588</v>
      </c>
      <c r="C275" s="27">
        <v>45044</v>
      </c>
      <c r="D275" s="25">
        <v>45046</v>
      </c>
      <c r="E275" t="s">
        <v>33</v>
      </c>
      <c r="F275">
        <v>17646</v>
      </c>
      <c r="G275">
        <v>435</v>
      </c>
      <c r="H275">
        <v>775.19</v>
      </c>
      <c r="I275">
        <v>44</v>
      </c>
      <c r="J275" t="s">
        <v>15</v>
      </c>
      <c r="L275" t="s">
        <v>34</v>
      </c>
    </row>
    <row r="276" spans="1:12">
      <c r="A276" t="s">
        <v>589</v>
      </c>
      <c r="B276" t="s">
        <v>590</v>
      </c>
      <c r="C276" s="25">
        <v>45221</v>
      </c>
      <c r="D276" s="25">
        <v>45250</v>
      </c>
      <c r="E276" t="s">
        <v>14</v>
      </c>
      <c r="F276">
        <v>47843</v>
      </c>
      <c r="G276">
        <v>1135</v>
      </c>
      <c r="H276">
        <v>848.93</v>
      </c>
      <c r="J276" t="b">
        <v>0</v>
      </c>
      <c r="L276" t="s">
        <v>16</v>
      </c>
    </row>
    <row r="277" spans="1:12">
      <c r="A277" t="s">
        <v>591</v>
      </c>
      <c r="B277" t="s">
        <v>592</v>
      </c>
      <c r="C277" s="27">
        <v>45271</v>
      </c>
      <c r="D277" s="25">
        <v>45288</v>
      </c>
      <c r="E277" t="s">
        <v>23</v>
      </c>
      <c r="F277">
        <v>97601</v>
      </c>
      <c r="G277">
        <v>3385</v>
      </c>
      <c r="H277">
        <v>6030.01</v>
      </c>
      <c r="I277">
        <v>221</v>
      </c>
      <c r="J277" t="b">
        <v>1</v>
      </c>
      <c r="L277" t="s">
        <v>25</v>
      </c>
    </row>
    <row r="278" spans="1:12">
      <c r="A278" t="s">
        <v>593</v>
      </c>
      <c r="B278" t="s">
        <v>594</v>
      </c>
      <c r="C278" s="27">
        <v>45016</v>
      </c>
      <c r="D278" s="25">
        <v>45018</v>
      </c>
      <c r="E278" t="s">
        <v>23</v>
      </c>
      <c r="F278">
        <v>91735</v>
      </c>
      <c r="G278">
        <v>2540</v>
      </c>
      <c r="H278">
        <v>3139.81</v>
      </c>
      <c r="I278">
        <v>131</v>
      </c>
      <c r="J278" t="s">
        <v>15</v>
      </c>
      <c r="L278" t="s">
        <v>25</v>
      </c>
    </row>
    <row r="279" spans="1:12">
      <c r="A279" t="s">
        <v>595</v>
      </c>
      <c r="B279" t="s">
        <v>596</v>
      </c>
      <c r="C279" s="27">
        <v>45069</v>
      </c>
      <c r="D279" s="25">
        <v>45093</v>
      </c>
      <c r="E279" t="s">
        <v>14</v>
      </c>
      <c r="F279">
        <v>17371</v>
      </c>
      <c r="G279">
        <v>751</v>
      </c>
      <c r="H279">
        <v>833.49</v>
      </c>
      <c r="I279">
        <v>53</v>
      </c>
      <c r="J279" t="s">
        <v>30</v>
      </c>
      <c r="L279" t="s">
        <v>16</v>
      </c>
    </row>
    <row r="280" spans="1:12">
      <c r="A280" t="s">
        <v>597</v>
      </c>
      <c r="B280" t="s">
        <v>598</v>
      </c>
      <c r="C280" s="27">
        <v>45252</v>
      </c>
      <c r="D280" s="25">
        <v>45275</v>
      </c>
      <c r="E280" t="s">
        <v>19</v>
      </c>
      <c r="F280">
        <v>78371</v>
      </c>
      <c r="G280">
        <v>2882</v>
      </c>
      <c r="H280">
        <v>5345.49</v>
      </c>
      <c r="I280">
        <v>453</v>
      </c>
      <c r="J280" t="s">
        <v>24</v>
      </c>
      <c r="L280" t="s">
        <v>20</v>
      </c>
    </row>
    <row r="281" spans="1:12">
      <c r="A281" t="s">
        <v>599</v>
      </c>
      <c r="B281" t="s">
        <v>600</v>
      </c>
      <c r="C281" s="27">
        <v>45167</v>
      </c>
      <c r="D281" s="25">
        <v>45190</v>
      </c>
      <c r="E281" t="s">
        <v>58</v>
      </c>
      <c r="F281">
        <v>3049</v>
      </c>
      <c r="G281">
        <v>39</v>
      </c>
      <c r="H281">
        <v>54.83</v>
      </c>
      <c r="I281">
        <v>7</v>
      </c>
      <c r="J281">
        <v>1</v>
      </c>
      <c r="L281" t="s">
        <v>59</v>
      </c>
    </row>
    <row r="282" spans="1:12">
      <c r="A282" t="s">
        <v>601</v>
      </c>
      <c r="B282" t="s">
        <v>602</v>
      </c>
      <c r="C282" s="27">
        <v>45270</v>
      </c>
      <c r="D282" s="25">
        <v>45265</v>
      </c>
      <c r="E282" t="s">
        <v>23</v>
      </c>
      <c r="F282">
        <v>32616</v>
      </c>
      <c r="G282">
        <v>1161</v>
      </c>
      <c r="H282" s="26">
        <v>1584.67</v>
      </c>
      <c r="I282">
        <v>229</v>
      </c>
      <c r="J282">
        <v>1</v>
      </c>
      <c r="L282" t="s">
        <v>25</v>
      </c>
    </row>
    <row r="283" spans="1:12">
      <c r="A283" t="s">
        <v>603</v>
      </c>
      <c r="B283" t="s">
        <v>604</v>
      </c>
      <c r="C283" s="27">
        <v>45137</v>
      </c>
      <c r="D283" s="25">
        <v>45153</v>
      </c>
      <c r="E283" t="s">
        <v>19</v>
      </c>
      <c r="F283">
        <v>21932</v>
      </c>
      <c r="G283">
        <v>457</v>
      </c>
      <c r="H283">
        <v>611.53</v>
      </c>
      <c r="I283">
        <v>56</v>
      </c>
      <c r="J283" t="b">
        <v>1</v>
      </c>
      <c r="L283" t="s">
        <v>20</v>
      </c>
    </row>
    <row r="284" spans="1:12">
      <c r="A284" t="s">
        <v>605</v>
      </c>
      <c r="B284" t="s">
        <v>606</v>
      </c>
      <c r="C284" s="27">
        <v>45132</v>
      </c>
      <c r="D284" s="25">
        <v>45135</v>
      </c>
      <c r="E284" t="s">
        <v>33</v>
      </c>
      <c r="F284">
        <v>30855</v>
      </c>
      <c r="G284">
        <v>1040</v>
      </c>
      <c r="H284" s="26">
        <v>1099.02</v>
      </c>
      <c r="J284" t="b">
        <v>0</v>
      </c>
      <c r="L284" t="s">
        <v>34</v>
      </c>
    </row>
    <row r="285" spans="1:12">
      <c r="A285" t="s">
        <v>607</v>
      </c>
      <c r="B285" t="s">
        <v>608</v>
      </c>
      <c r="C285" t="s">
        <v>115</v>
      </c>
      <c r="D285" s="25">
        <v>45189</v>
      </c>
      <c r="E285" t="s">
        <v>19</v>
      </c>
      <c r="F285">
        <v>62434</v>
      </c>
      <c r="G285">
        <v>2322</v>
      </c>
      <c r="H285">
        <v>3897.39</v>
      </c>
      <c r="I285">
        <v>372</v>
      </c>
      <c r="J285" t="b">
        <v>1</v>
      </c>
      <c r="L285" t="s">
        <v>68</v>
      </c>
    </row>
    <row r="286" spans="1:12">
      <c r="A286" t="s">
        <v>609</v>
      </c>
      <c r="B286" t="s">
        <v>610</v>
      </c>
      <c r="C286" s="27">
        <v>45056</v>
      </c>
      <c r="D286" s="25">
        <v>45059</v>
      </c>
      <c r="E286" t="s">
        <v>138</v>
      </c>
      <c r="F286">
        <v>73694</v>
      </c>
      <c r="G286">
        <v>1417</v>
      </c>
      <c r="H286">
        <v>1245.82</v>
      </c>
      <c r="I286">
        <v>177</v>
      </c>
      <c r="J286">
        <v>1</v>
      </c>
      <c r="L286" t="s">
        <v>139</v>
      </c>
    </row>
    <row r="287" spans="1:12">
      <c r="A287" t="s">
        <v>611</v>
      </c>
      <c r="B287" t="s">
        <v>612</v>
      </c>
      <c r="C287" s="27">
        <v>45133</v>
      </c>
      <c r="D287" s="25">
        <v>45138</v>
      </c>
      <c r="E287" t="s">
        <v>33</v>
      </c>
      <c r="F287">
        <v>44016</v>
      </c>
      <c r="G287">
        <v>1244</v>
      </c>
      <c r="H287">
        <v>2373.98</v>
      </c>
      <c r="J287" t="s">
        <v>30</v>
      </c>
      <c r="L287" t="s">
        <v>34</v>
      </c>
    </row>
    <row r="288" spans="1:12">
      <c r="A288" t="s">
        <v>613</v>
      </c>
      <c r="B288" t="s">
        <v>614</v>
      </c>
      <c r="C288" s="27">
        <v>44927</v>
      </c>
      <c r="D288" s="25">
        <v>44932</v>
      </c>
      <c r="E288" t="s">
        <v>33</v>
      </c>
      <c r="F288">
        <v>8400</v>
      </c>
      <c r="G288">
        <v>147</v>
      </c>
      <c r="H288" s="26">
        <v>270.62</v>
      </c>
      <c r="I288">
        <v>10</v>
      </c>
      <c r="J288">
        <v>1</v>
      </c>
      <c r="L288" t="s">
        <v>34</v>
      </c>
    </row>
    <row r="289" spans="1:12">
      <c r="A289" t="s">
        <v>615</v>
      </c>
      <c r="B289" t="s">
        <v>616</v>
      </c>
      <c r="C289" t="s">
        <v>617</v>
      </c>
      <c r="D289" s="25">
        <v>45142</v>
      </c>
      <c r="E289" t="s">
        <v>266</v>
      </c>
      <c r="F289">
        <v>43642</v>
      </c>
      <c r="G289">
        <v>527</v>
      </c>
      <c r="H289">
        <v>530.28</v>
      </c>
      <c r="I289">
        <v>100</v>
      </c>
      <c r="J289" t="s">
        <v>15</v>
      </c>
      <c r="L289" t="s">
        <v>68</v>
      </c>
    </row>
    <row r="290" spans="1:12">
      <c r="A290" t="s">
        <v>618</v>
      </c>
      <c r="B290" t="s">
        <v>619</v>
      </c>
      <c r="C290" s="27">
        <v>45192</v>
      </c>
      <c r="D290" s="25">
        <v>45209</v>
      </c>
      <c r="E290" t="s">
        <v>41</v>
      </c>
      <c r="F290">
        <v>16151</v>
      </c>
      <c r="G290">
        <v>406</v>
      </c>
      <c r="H290">
        <v>647.24</v>
      </c>
      <c r="I290">
        <v>41</v>
      </c>
      <c r="J290" t="s">
        <v>24</v>
      </c>
      <c r="K290">
        <v>16169</v>
      </c>
      <c r="L290" t="s">
        <v>68</v>
      </c>
    </row>
    <row r="291" spans="1:12">
      <c r="A291" t="s">
        <v>620</v>
      </c>
      <c r="B291" t="s">
        <v>621</v>
      </c>
      <c r="C291" s="25">
        <v>45247</v>
      </c>
      <c r="D291" s="25">
        <v>45253</v>
      </c>
      <c r="E291" t="s">
        <v>14</v>
      </c>
      <c r="F291">
        <v>52407</v>
      </c>
      <c r="G291">
        <v>1284</v>
      </c>
      <c r="H291">
        <v>1746.03</v>
      </c>
      <c r="I291">
        <v>150</v>
      </c>
      <c r="J291" t="s">
        <v>24</v>
      </c>
      <c r="L291" t="s">
        <v>68</v>
      </c>
    </row>
    <row r="292" spans="1:12">
      <c r="A292" t="s">
        <v>622</v>
      </c>
      <c r="B292" t="s">
        <v>623</v>
      </c>
      <c r="C292" s="27">
        <v>45063</v>
      </c>
      <c r="D292" s="25">
        <v>45086</v>
      </c>
      <c r="E292" t="s">
        <v>58</v>
      </c>
      <c r="F292">
        <v>67690</v>
      </c>
      <c r="G292">
        <v>3372</v>
      </c>
      <c r="H292">
        <v>3393.83</v>
      </c>
      <c r="J292">
        <v>0</v>
      </c>
      <c r="L292" t="s">
        <v>59</v>
      </c>
    </row>
    <row r="293" spans="1:12">
      <c r="A293" t="s">
        <v>624</v>
      </c>
      <c r="B293" t="s">
        <v>625</v>
      </c>
      <c r="C293" s="27">
        <v>45151</v>
      </c>
      <c r="D293" s="25">
        <v>45159</v>
      </c>
      <c r="E293" t="s">
        <v>14</v>
      </c>
      <c r="F293">
        <v>5499</v>
      </c>
      <c r="G293">
        <v>153</v>
      </c>
      <c r="H293" s="26">
        <v>303.37</v>
      </c>
      <c r="I293">
        <v>15</v>
      </c>
      <c r="J293">
        <v>1</v>
      </c>
      <c r="L293" t="s">
        <v>16</v>
      </c>
    </row>
    <row r="294" spans="1:12">
      <c r="A294" t="s">
        <v>626</v>
      </c>
      <c r="B294" t="s">
        <v>627</v>
      </c>
      <c r="C294" s="27">
        <v>44941</v>
      </c>
      <c r="D294" s="25">
        <v>44944</v>
      </c>
      <c r="E294" t="s">
        <v>33</v>
      </c>
      <c r="F294">
        <v>7295</v>
      </c>
      <c r="G294">
        <v>170</v>
      </c>
      <c r="H294">
        <v>91.44</v>
      </c>
      <c r="I294">
        <v>14</v>
      </c>
      <c r="J294">
        <v>1</v>
      </c>
      <c r="L294" t="s">
        <v>34</v>
      </c>
    </row>
    <row r="295" spans="1:12">
      <c r="A295" t="s">
        <v>628</v>
      </c>
      <c r="B295" t="s">
        <v>629</v>
      </c>
      <c r="C295" s="27">
        <v>45049</v>
      </c>
      <c r="D295" s="25">
        <v>45074</v>
      </c>
      <c r="E295" t="s">
        <v>14</v>
      </c>
      <c r="F295">
        <v>60040</v>
      </c>
      <c r="G295">
        <v>1994</v>
      </c>
      <c r="H295">
        <v>1752.66</v>
      </c>
      <c r="I295">
        <v>288</v>
      </c>
      <c r="J295" t="s">
        <v>24</v>
      </c>
      <c r="L295" t="s">
        <v>16</v>
      </c>
    </row>
    <row r="296" spans="1:12">
      <c r="A296" t="s">
        <v>630</v>
      </c>
      <c r="B296" t="s">
        <v>631</v>
      </c>
      <c r="C296" s="25">
        <v>44934</v>
      </c>
      <c r="D296" s="25">
        <v>45151</v>
      </c>
      <c r="E296" t="s">
        <v>41</v>
      </c>
      <c r="F296">
        <v>13183</v>
      </c>
      <c r="G296">
        <v>178</v>
      </c>
      <c r="H296">
        <v>227.86</v>
      </c>
      <c r="I296">
        <v>9</v>
      </c>
      <c r="J296">
        <v>0</v>
      </c>
      <c r="L296" t="s">
        <v>42</v>
      </c>
    </row>
    <row r="297" spans="1:12">
      <c r="A297" t="s">
        <v>632</v>
      </c>
      <c r="B297" t="s">
        <v>633</v>
      </c>
      <c r="C297" s="27">
        <v>44985</v>
      </c>
      <c r="D297" s="25">
        <v>44997</v>
      </c>
      <c r="E297" t="s">
        <v>19</v>
      </c>
      <c r="F297">
        <v>30299</v>
      </c>
      <c r="G297">
        <v>1468</v>
      </c>
      <c r="H297">
        <v>1883.34</v>
      </c>
      <c r="I297">
        <v>232</v>
      </c>
      <c r="J297" t="s">
        <v>15</v>
      </c>
      <c r="L297" t="s">
        <v>20</v>
      </c>
    </row>
    <row r="298" spans="1:12">
      <c r="A298" t="s">
        <v>634</v>
      </c>
      <c r="B298" t="s">
        <v>635</v>
      </c>
      <c r="C298" s="27">
        <v>45005</v>
      </c>
      <c r="D298" s="25">
        <v>45016</v>
      </c>
      <c r="E298" t="s">
        <v>19</v>
      </c>
      <c r="F298">
        <v>13874</v>
      </c>
      <c r="G298">
        <v>491</v>
      </c>
      <c r="H298">
        <v>679.25</v>
      </c>
      <c r="I298">
        <v>62</v>
      </c>
      <c r="J298" t="b">
        <v>0</v>
      </c>
      <c r="L298" t="s">
        <v>20</v>
      </c>
    </row>
    <row r="299" spans="1:12">
      <c r="A299" t="s">
        <v>636</v>
      </c>
      <c r="B299" t="s">
        <v>637</v>
      </c>
      <c r="C299" s="27">
        <v>45187</v>
      </c>
      <c r="D299" s="25">
        <v>45190</v>
      </c>
      <c r="E299" t="s">
        <v>41</v>
      </c>
      <c r="F299">
        <v>33711</v>
      </c>
      <c r="G299">
        <v>1354</v>
      </c>
      <c r="H299">
        <v>2203.65</v>
      </c>
      <c r="I299">
        <v>190</v>
      </c>
      <c r="J299">
        <v>1</v>
      </c>
      <c r="L299" t="s">
        <v>42</v>
      </c>
    </row>
    <row r="300" spans="1:12">
      <c r="A300" t="s">
        <v>638</v>
      </c>
      <c r="B300" t="s">
        <v>639</v>
      </c>
      <c r="C300" s="27">
        <v>45174</v>
      </c>
      <c r="D300" s="25">
        <v>45188</v>
      </c>
      <c r="E300" t="s">
        <v>138</v>
      </c>
      <c r="F300">
        <v>6539</v>
      </c>
      <c r="G300">
        <v>109</v>
      </c>
      <c r="H300" s="26">
        <v>156.44</v>
      </c>
      <c r="I300">
        <v>15</v>
      </c>
      <c r="J300" t="s">
        <v>24</v>
      </c>
      <c r="L300" t="s">
        <v>139</v>
      </c>
    </row>
    <row r="301" spans="1:12">
      <c r="A301" t="s">
        <v>640</v>
      </c>
      <c r="B301" t="s">
        <v>641</v>
      </c>
      <c r="C301" s="27">
        <v>45209</v>
      </c>
      <c r="D301" s="25">
        <v>45220</v>
      </c>
      <c r="E301" t="s">
        <v>41</v>
      </c>
      <c r="F301">
        <v>54351</v>
      </c>
      <c r="G301">
        <v>1433</v>
      </c>
      <c r="H301">
        <v>2006.8</v>
      </c>
      <c r="I301">
        <v>184</v>
      </c>
      <c r="J301" t="b">
        <v>1</v>
      </c>
      <c r="L301" t="s">
        <v>42</v>
      </c>
    </row>
    <row r="302" spans="1:12">
      <c r="A302" t="s">
        <v>642</v>
      </c>
      <c r="B302" t="s">
        <v>643</v>
      </c>
      <c r="C302" s="27">
        <v>45233</v>
      </c>
      <c r="D302" s="25">
        <v>45258</v>
      </c>
      <c r="E302" t="s">
        <v>23</v>
      </c>
      <c r="F302">
        <v>62267</v>
      </c>
      <c r="G302">
        <v>1675</v>
      </c>
      <c r="H302">
        <v>971.96</v>
      </c>
      <c r="I302">
        <v>230</v>
      </c>
      <c r="J302">
        <v>1</v>
      </c>
      <c r="L302" t="s">
        <v>25</v>
      </c>
    </row>
    <row r="303" spans="1:12">
      <c r="A303" t="s">
        <v>644</v>
      </c>
      <c r="B303" t="s">
        <v>645</v>
      </c>
      <c r="C303" s="27">
        <v>44962</v>
      </c>
      <c r="D303" s="25">
        <v>44965</v>
      </c>
      <c r="E303" t="s">
        <v>33</v>
      </c>
      <c r="F303">
        <v>49354</v>
      </c>
      <c r="G303">
        <v>2115</v>
      </c>
      <c r="H303">
        <v>2252.04</v>
      </c>
      <c r="I303">
        <v>322</v>
      </c>
      <c r="J303" t="b">
        <v>1</v>
      </c>
      <c r="L303" t="s">
        <v>34</v>
      </c>
    </row>
    <row r="304" spans="1:12">
      <c r="A304" t="s">
        <v>646</v>
      </c>
      <c r="B304" t="s">
        <v>647</v>
      </c>
      <c r="C304" s="27">
        <v>45139</v>
      </c>
      <c r="D304" s="25">
        <v>45155</v>
      </c>
      <c r="E304" t="s">
        <v>19</v>
      </c>
      <c r="F304">
        <v>3557</v>
      </c>
      <c r="G304">
        <v>35</v>
      </c>
      <c r="H304">
        <v>29.68</v>
      </c>
      <c r="I304">
        <v>5</v>
      </c>
      <c r="J304" t="s">
        <v>15</v>
      </c>
      <c r="L304" t="s">
        <v>20</v>
      </c>
    </row>
    <row r="305" spans="1:12">
      <c r="A305" t="s">
        <v>648</v>
      </c>
      <c r="B305" t="s">
        <v>649</v>
      </c>
      <c r="C305" s="27">
        <v>45063</v>
      </c>
      <c r="D305" s="25">
        <v>45058</v>
      </c>
      <c r="E305" t="s">
        <v>41</v>
      </c>
      <c r="F305">
        <v>39360</v>
      </c>
      <c r="G305">
        <v>867</v>
      </c>
      <c r="H305">
        <v>778.61</v>
      </c>
      <c r="I305">
        <v>137</v>
      </c>
      <c r="J305">
        <v>1</v>
      </c>
      <c r="L305" t="s">
        <v>42</v>
      </c>
    </row>
    <row r="306" spans="1:12">
      <c r="A306" t="s">
        <v>650</v>
      </c>
      <c r="B306" t="s">
        <v>651</v>
      </c>
      <c r="C306" s="27">
        <v>45079</v>
      </c>
      <c r="D306" s="25">
        <v>45097</v>
      </c>
      <c r="E306" t="s">
        <v>19</v>
      </c>
      <c r="F306">
        <v>83018</v>
      </c>
      <c r="G306">
        <v>4088</v>
      </c>
      <c r="H306">
        <v>5443.2</v>
      </c>
      <c r="I306">
        <v>737</v>
      </c>
      <c r="J306" t="s">
        <v>24</v>
      </c>
      <c r="L306" t="s">
        <v>20</v>
      </c>
    </row>
    <row r="307" spans="1:12">
      <c r="A307" t="s">
        <v>652</v>
      </c>
      <c r="B307" t="s">
        <v>653</v>
      </c>
      <c r="C307" s="27">
        <v>45264</v>
      </c>
      <c r="D307" s="25">
        <v>45266</v>
      </c>
      <c r="E307" t="s">
        <v>41</v>
      </c>
      <c r="F307">
        <v>3200</v>
      </c>
      <c r="G307">
        <v>92</v>
      </c>
      <c r="H307">
        <v>73.53</v>
      </c>
      <c r="I307">
        <v>7</v>
      </c>
      <c r="J307" t="s">
        <v>15</v>
      </c>
      <c r="K307">
        <v>3228</v>
      </c>
      <c r="L307" t="s">
        <v>42</v>
      </c>
    </row>
    <row r="308" spans="1:12">
      <c r="A308" t="s">
        <v>654</v>
      </c>
      <c r="B308" t="s">
        <v>655</v>
      </c>
      <c r="C308" s="27">
        <v>45202</v>
      </c>
      <c r="D308" s="25">
        <v>45219</v>
      </c>
      <c r="E308" t="s">
        <v>19</v>
      </c>
      <c r="F308">
        <v>69497</v>
      </c>
      <c r="G308">
        <v>1758</v>
      </c>
      <c r="H308">
        <v>1654.14</v>
      </c>
      <c r="I308">
        <v>193</v>
      </c>
      <c r="J308" t="s">
        <v>15</v>
      </c>
      <c r="L308" t="s">
        <v>20</v>
      </c>
    </row>
    <row r="309" spans="1:12">
      <c r="A309" t="s">
        <v>656</v>
      </c>
      <c r="B309" t="s">
        <v>657</v>
      </c>
      <c r="C309" s="27">
        <v>45205</v>
      </c>
      <c r="D309" s="25">
        <v>45219</v>
      </c>
      <c r="E309" t="s">
        <v>14</v>
      </c>
      <c r="F309">
        <v>47975</v>
      </c>
      <c r="G309">
        <v>709</v>
      </c>
      <c r="H309">
        <v>606.64</v>
      </c>
      <c r="I309">
        <v>136</v>
      </c>
      <c r="J309" t="b">
        <v>0</v>
      </c>
      <c r="L309" t="s">
        <v>16</v>
      </c>
    </row>
    <row r="310" spans="1:12">
      <c r="A310" t="s">
        <v>658</v>
      </c>
      <c r="B310" t="s">
        <v>659</v>
      </c>
      <c r="C310" s="27">
        <v>45023</v>
      </c>
      <c r="D310" s="25">
        <v>45044</v>
      </c>
      <c r="E310" t="s">
        <v>41</v>
      </c>
      <c r="F310">
        <v>22357</v>
      </c>
      <c r="G310">
        <v>1094</v>
      </c>
      <c r="H310">
        <v>2103.49</v>
      </c>
      <c r="I310">
        <v>119</v>
      </c>
      <c r="J310">
        <v>1</v>
      </c>
      <c r="L310" t="s">
        <v>42</v>
      </c>
    </row>
    <row r="311" spans="1:12">
      <c r="A311" t="s">
        <v>660</v>
      </c>
      <c r="B311" t="s">
        <v>661</v>
      </c>
      <c r="C311" s="27">
        <v>45123</v>
      </c>
      <c r="D311" s="25">
        <v>45149</v>
      </c>
      <c r="E311" t="s">
        <v>23</v>
      </c>
      <c r="F311">
        <v>78505</v>
      </c>
      <c r="G311">
        <v>847</v>
      </c>
      <c r="H311">
        <v>1623.7</v>
      </c>
      <c r="I311">
        <v>58</v>
      </c>
      <c r="J311" t="b">
        <v>1</v>
      </c>
      <c r="L311" t="s">
        <v>25</v>
      </c>
    </row>
    <row r="312" spans="1:12">
      <c r="A312" t="s">
        <v>662</v>
      </c>
      <c r="B312" t="s">
        <v>663</v>
      </c>
      <c r="C312" s="27">
        <v>44949</v>
      </c>
      <c r="D312" s="25">
        <v>44962</v>
      </c>
      <c r="E312" t="s">
        <v>23</v>
      </c>
      <c r="F312">
        <v>3869</v>
      </c>
      <c r="G312">
        <v>152</v>
      </c>
      <c r="H312" s="26">
        <v>215.07</v>
      </c>
      <c r="I312">
        <v>19</v>
      </c>
      <c r="J312" t="b">
        <v>1</v>
      </c>
      <c r="L312" t="s">
        <v>25</v>
      </c>
    </row>
    <row r="313" spans="1:12">
      <c r="A313" t="s">
        <v>664</v>
      </c>
      <c r="B313" t="s">
        <v>665</v>
      </c>
      <c r="C313" s="27">
        <v>45122</v>
      </c>
      <c r="D313" s="25">
        <v>45145</v>
      </c>
      <c r="E313" t="s">
        <v>33</v>
      </c>
      <c r="F313">
        <v>62135</v>
      </c>
      <c r="G313">
        <v>2531</v>
      </c>
      <c r="H313">
        <v>4775.45</v>
      </c>
      <c r="I313">
        <v>168</v>
      </c>
      <c r="J313">
        <v>1</v>
      </c>
      <c r="L313" t="s">
        <v>34</v>
      </c>
    </row>
    <row r="314" spans="1:12">
      <c r="A314" t="s">
        <v>666</v>
      </c>
      <c r="B314" t="s">
        <v>667</v>
      </c>
      <c r="C314" s="27">
        <v>45260</v>
      </c>
      <c r="D314" s="25">
        <v>45265</v>
      </c>
      <c r="E314" t="s">
        <v>41</v>
      </c>
      <c r="F314">
        <v>51108</v>
      </c>
      <c r="G314">
        <v>1009</v>
      </c>
      <c r="H314">
        <v>1693.83</v>
      </c>
      <c r="I314">
        <v>81</v>
      </c>
      <c r="J314">
        <v>0</v>
      </c>
      <c r="L314" t="s">
        <v>42</v>
      </c>
    </row>
    <row r="315" spans="1:12">
      <c r="A315" t="s">
        <v>668</v>
      </c>
      <c r="B315" t="s">
        <v>669</v>
      </c>
      <c r="C315" s="27">
        <v>44945</v>
      </c>
      <c r="D315" s="25">
        <v>44963</v>
      </c>
      <c r="E315" t="s">
        <v>19</v>
      </c>
      <c r="F315">
        <v>95179</v>
      </c>
      <c r="G315">
        <v>3508</v>
      </c>
      <c r="H315">
        <v>4858.31</v>
      </c>
      <c r="I315">
        <v>700</v>
      </c>
      <c r="J315" t="b">
        <v>0</v>
      </c>
      <c r="L315" t="s">
        <v>20</v>
      </c>
    </row>
    <row r="316" spans="1:12">
      <c r="A316" t="s">
        <v>670</v>
      </c>
      <c r="B316" t="s">
        <v>671</v>
      </c>
      <c r="C316" s="27">
        <v>45096</v>
      </c>
      <c r="D316" s="25">
        <v>45123</v>
      </c>
      <c r="E316" t="s">
        <v>23</v>
      </c>
      <c r="F316">
        <v>91272</v>
      </c>
      <c r="G316">
        <v>1251</v>
      </c>
      <c r="H316" s="26">
        <v>637.58</v>
      </c>
      <c r="I316">
        <v>164</v>
      </c>
      <c r="J316" t="b">
        <v>0</v>
      </c>
      <c r="L316" t="s">
        <v>25</v>
      </c>
    </row>
    <row r="317" spans="1:12">
      <c r="A317" t="s">
        <v>672</v>
      </c>
      <c r="B317" t="s">
        <v>673</v>
      </c>
      <c r="C317" t="s">
        <v>674</v>
      </c>
      <c r="D317" s="25">
        <v>45155</v>
      </c>
      <c r="E317" t="s">
        <v>33</v>
      </c>
      <c r="F317">
        <v>39467</v>
      </c>
      <c r="G317">
        <v>800</v>
      </c>
      <c r="H317">
        <v>1327.02</v>
      </c>
      <c r="J317" t="b">
        <v>0</v>
      </c>
      <c r="L317" t="s">
        <v>34</v>
      </c>
    </row>
    <row r="318" spans="1:12">
      <c r="A318" t="s">
        <v>675</v>
      </c>
      <c r="B318" t="s">
        <v>676</v>
      </c>
      <c r="C318" t="s">
        <v>677</v>
      </c>
      <c r="D318" s="25">
        <v>45187</v>
      </c>
      <c r="E318" t="s">
        <v>33</v>
      </c>
      <c r="F318">
        <v>24328</v>
      </c>
      <c r="G318">
        <v>1010</v>
      </c>
      <c r="H318">
        <v>1569.27</v>
      </c>
      <c r="I318">
        <v>201</v>
      </c>
      <c r="J318" t="b">
        <v>1</v>
      </c>
      <c r="L318" t="s">
        <v>34</v>
      </c>
    </row>
    <row r="319" spans="1:12">
      <c r="A319" t="s">
        <v>678</v>
      </c>
      <c r="B319" t="s">
        <v>679</v>
      </c>
      <c r="C319" s="27">
        <v>45000</v>
      </c>
      <c r="D319" s="25">
        <v>45007</v>
      </c>
      <c r="E319" t="s">
        <v>41</v>
      </c>
      <c r="F319">
        <v>92412</v>
      </c>
      <c r="G319">
        <v>4120</v>
      </c>
      <c r="H319">
        <v>5862.27</v>
      </c>
      <c r="I319">
        <v>803</v>
      </c>
      <c r="J319" t="s">
        <v>15</v>
      </c>
      <c r="L319" t="s">
        <v>42</v>
      </c>
    </row>
    <row r="320" spans="1:12">
      <c r="A320" t="s">
        <v>680</v>
      </c>
      <c r="B320" t="s">
        <v>681</v>
      </c>
      <c r="C320" t="s">
        <v>682</v>
      </c>
      <c r="D320" s="25">
        <v>45021</v>
      </c>
      <c r="E320" t="s">
        <v>14</v>
      </c>
      <c r="F320">
        <v>87831</v>
      </c>
      <c r="G320">
        <v>3016</v>
      </c>
      <c r="H320">
        <v>4948.16</v>
      </c>
      <c r="I320">
        <v>350</v>
      </c>
      <c r="J320" t="s">
        <v>24</v>
      </c>
      <c r="L320" t="s">
        <v>16</v>
      </c>
    </row>
    <row r="321" spans="1:12">
      <c r="A321" t="s">
        <v>683</v>
      </c>
      <c r="B321" t="s">
        <v>684</v>
      </c>
      <c r="C321" s="27">
        <v>45062</v>
      </c>
      <c r="D321" s="25">
        <v>45068</v>
      </c>
      <c r="E321" t="s">
        <v>19</v>
      </c>
      <c r="F321">
        <v>4987</v>
      </c>
      <c r="G321">
        <v>150</v>
      </c>
      <c r="H321">
        <v>190.41</v>
      </c>
      <c r="I321">
        <v>13</v>
      </c>
      <c r="J321">
        <v>0</v>
      </c>
      <c r="L321" t="s">
        <v>20</v>
      </c>
    </row>
    <row r="322" spans="1:12">
      <c r="A322" t="s">
        <v>685</v>
      </c>
      <c r="B322" t="s">
        <v>686</v>
      </c>
      <c r="C322" t="s">
        <v>687</v>
      </c>
      <c r="D322" s="25">
        <v>45263</v>
      </c>
      <c r="E322" t="s">
        <v>14</v>
      </c>
      <c r="F322">
        <v>59871</v>
      </c>
      <c r="G322">
        <v>980</v>
      </c>
      <c r="H322">
        <v>1525</v>
      </c>
      <c r="I322">
        <v>172</v>
      </c>
      <c r="J322" t="b">
        <v>0</v>
      </c>
      <c r="L322" t="s">
        <v>16</v>
      </c>
    </row>
    <row r="323" spans="1:12">
      <c r="A323" t="s">
        <v>688</v>
      </c>
      <c r="B323" t="s">
        <v>689</v>
      </c>
      <c r="C323" s="27">
        <v>45095</v>
      </c>
      <c r="D323" s="25">
        <v>45120</v>
      </c>
      <c r="E323" t="s">
        <v>23</v>
      </c>
      <c r="F323">
        <v>23399</v>
      </c>
      <c r="G323">
        <v>293</v>
      </c>
      <c r="H323">
        <v>557.51</v>
      </c>
      <c r="I323">
        <v>46</v>
      </c>
      <c r="J323" t="b">
        <v>1</v>
      </c>
      <c r="L323" t="s">
        <v>25</v>
      </c>
    </row>
    <row r="324" spans="1:12">
      <c r="A324" t="s">
        <v>690</v>
      </c>
      <c r="B324" t="s">
        <v>691</v>
      </c>
      <c r="C324" s="27">
        <v>45121</v>
      </c>
      <c r="D324" s="25">
        <v>45151</v>
      </c>
      <c r="E324" t="s">
        <v>138</v>
      </c>
      <c r="F324">
        <v>47214</v>
      </c>
      <c r="G324">
        <v>694</v>
      </c>
      <c r="H324">
        <v>738.21</v>
      </c>
      <c r="I324">
        <v>106</v>
      </c>
      <c r="J324" t="b">
        <v>1</v>
      </c>
      <c r="L324" t="s">
        <v>139</v>
      </c>
    </row>
    <row r="325" spans="1:12">
      <c r="A325" t="s">
        <v>692</v>
      </c>
      <c r="B325" t="s">
        <v>693</v>
      </c>
      <c r="C325" s="25">
        <v>45176</v>
      </c>
      <c r="D325" s="25">
        <v>45144</v>
      </c>
      <c r="E325" t="s">
        <v>23</v>
      </c>
      <c r="F325">
        <v>87416</v>
      </c>
      <c r="G325">
        <v>1669</v>
      </c>
      <c r="H325">
        <v>2607.28</v>
      </c>
      <c r="I325">
        <v>307</v>
      </c>
      <c r="J325" t="s">
        <v>15</v>
      </c>
      <c r="L325" t="s">
        <v>25</v>
      </c>
    </row>
    <row r="326" spans="1:12">
      <c r="A326" t="s">
        <v>694</v>
      </c>
      <c r="B326" t="s">
        <v>695</v>
      </c>
      <c r="C326" s="27">
        <v>44962</v>
      </c>
      <c r="D326" s="25">
        <v>44971</v>
      </c>
      <c r="E326" t="s">
        <v>14</v>
      </c>
      <c r="F326">
        <v>71271</v>
      </c>
      <c r="G326">
        <v>1686</v>
      </c>
      <c r="H326">
        <v>2046.01</v>
      </c>
      <c r="I326">
        <v>258</v>
      </c>
      <c r="J326">
        <v>1</v>
      </c>
      <c r="L326" t="s">
        <v>16</v>
      </c>
    </row>
    <row r="327" spans="1:12">
      <c r="A327" t="s">
        <v>696</v>
      </c>
      <c r="B327" t="s">
        <v>697</v>
      </c>
      <c r="C327" s="27">
        <v>45074</v>
      </c>
      <c r="D327" s="25">
        <v>45082</v>
      </c>
      <c r="E327" t="s">
        <v>19</v>
      </c>
      <c r="F327">
        <v>45064</v>
      </c>
      <c r="G327">
        <v>1137</v>
      </c>
      <c r="H327">
        <v>1718.69</v>
      </c>
      <c r="I327">
        <v>105</v>
      </c>
      <c r="J327">
        <v>1</v>
      </c>
      <c r="L327" t="s">
        <v>20</v>
      </c>
    </row>
    <row r="328" spans="1:12">
      <c r="A328" t="s">
        <v>698</v>
      </c>
      <c r="B328" t="s">
        <v>699</v>
      </c>
      <c r="C328" s="27">
        <v>45149</v>
      </c>
      <c r="D328" s="25">
        <v>45157</v>
      </c>
      <c r="E328" t="s">
        <v>138</v>
      </c>
      <c r="F328">
        <v>71091</v>
      </c>
      <c r="G328">
        <v>1695</v>
      </c>
      <c r="H328">
        <v>2787.16</v>
      </c>
      <c r="I328">
        <v>261</v>
      </c>
      <c r="J328" t="s">
        <v>24</v>
      </c>
      <c r="L328" t="s">
        <v>139</v>
      </c>
    </row>
    <row r="329" spans="1:12">
      <c r="A329" t="s">
        <v>700</v>
      </c>
      <c r="B329" t="s">
        <v>701</v>
      </c>
      <c r="C329" s="27">
        <v>45287</v>
      </c>
      <c r="D329" s="25">
        <v>45289</v>
      </c>
      <c r="E329" t="s">
        <v>14</v>
      </c>
      <c r="F329">
        <v>41818</v>
      </c>
      <c r="G329">
        <v>818</v>
      </c>
      <c r="H329">
        <v>464.77</v>
      </c>
      <c r="I329">
        <v>78</v>
      </c>
      <c r="J329" t="s">
        <v>24</v>
      </c>
      <c r="L329" t="s">
        <v>16</v>
      </c>
    </row>
    <row r="330" spans="1:12">
      <c r="A330" t="s">
        <v>702</v>
      </c>
      <c r="B330" t="s">
        <v>703</v>
      </c>
      <c r="C330" s="25">
        <v>45282</v>
      </c>
      <c r="D330" s="25">
        <v>45303</v>
      </c>
      <c r="E330" t="s">
        <v>41</v>
      </c>
      <c r="F330">
        <v>46525</v>
      </c>
      <c r="G330">
        <v>1413</v>
      </c>
      <c r="H330">
        <v>2076.97</v>
      </c>
      <c r="I330">
        <v>231</v>
      </c>
      <c r="J330" t="b">
        <v>0</v>
      </c>
      <c r="L330" t="s">
        <v>42</v>
      </c>
    </row>
    <row r="331" spans="1:12">
      <c r="A331" t="s">
        <v>704</v>
      </c>
      <c r="B331" t="s">
        <v>705</v>
      </c>
      <c r="C331" s="27">
        <v>45093</v>
      </c>
      <c r="D331" s="25">
        <v>45115</v>
      </c>
      <c r="E331" t="s">
        <v>19</v>
      </c>
      <c r="F331">
        <v>20830</v>
      </c>
      <c r="G331">
        <v>895</v>
      </c>
      <c r="H331">
        <v>751.9</v>
      </c>
      <c r="I331">
        <v>127</v>
      </c>
      <c r="J331" t="s">
        <v>24</v>
      </c>
      <c r="L331" t="s">
        <v>20</v>
      </c>
    </row>
    <row r="332" spans="1:12">
      <c r="A332" t="s">
        <v>706</v>
      </c>
      <c r="B332" t="s">
        <v>707</v>
      </c>
      <c r="C332" s="27">
        <v>45118</v>
      </c>
      <c r="D332" s="25">
        <v>45136</v>
      </c>
      <c r="E332" t="s">
        <v>41</v>
      </c>
      <c r="F332">
        <v>18429</v>
      </c>
      <c r="G332">
        <v>390</v>
      </c>
      <c r="H332">
        <v>586.97</v>
      </c>
      <c r="I332">
        <v>24</v>
      </c>
      <c r="J332" t="b">
        <v>0</v>
      </c>
      <c r="L332" t="s">
        <v>42</v>
      </c>
    </row>
    <row r="333" spans="1:12">
      <c r="A333" t="s">
        <v>708</v>
      </c>
      <c r="B333" t="s">
        <v>709</v>
      </c>
      <c r="C333" s="27">
        <v>45137</v>
      </c>
      <c r="D333" s="25">
        <v>45138</v>
      </c>
      <c r="E333" t="s">
        <v>33</v>
      </c>
      <c r="F333">
        <v>7893</v>
      </c>
      <c r="G333">
        <v>376</v>
      </c>
      <c r="H333">
        <v>452.14</v>
      </c>
      <c r="I333">
        <v>47</v>
      </c>
      <c r="J333">
        <v>0</v>
      </c>
      <c r="L333" t="s">
        <v>34</v>
      </c>
    </row>
    <row r="334" spans="1:12">
      <c r="A334" t="s">
        <v>710</v>
      </c>
      <c r="B334" t="s">
        <v>711</v>
      </c>
      <c r="C334" s="27">
        <v>45014</v>
      </c>
      <c r="D334" s="25">
        <v>45016</v>
      </c>
      <c r="E334" t="s">
        <v>33</v>
      </c>
      <c r="F334">
        <v>80909</v>
      </c>
      <c r="G334">
        <v>3635</v>
      </c>
      <c r="H334">
        <v>6035.3</v>
      </c>
      <c r="I334">
        <v>368</v>
      </c>
      <c r="J334" t="s">
        <v>24</v>
      </c>
      <c r="L334" t="s">
        <v>34</v>
      </c>
    </row>
    <row r="335" spans="1:12">
      <c r="A335" t="s">
        <v>712</v>
      </c>
      <c r="B335" t="s">
        <v>713</v>
      </c>
      <c r="C335" s="27">
        <v>45122</v>
      </c>
      <c r="D335" s="25">
        <v>45143</v>
      </c>
      <c r="E335" t="s">
        <v>19</v>
      </c>
      <c r="F335">
        <v>48333</v>
      </c>
      <c r="G335">
        <v>796</v>
      </c>
      <c r="H335">
        <v>545.34</v>
      </c>
      <c r="I335">
        <v>79</v>
      </c>
      <c r="J335" t="s">
        <v>15</v>
      </c>
      <c r="L335" t="s">
        <v>20</v>
      </c>
    </row>
    <row r="336" spans="1:12">
      <c r="A336" t="s">
        <v>714</v>
      </c>
      <c r="B336" t="s">
        <v>715</v>
      </c>
      <c r="C336" s="27">
        <v>45225</v>
      </c>
      <c r="D336" s="25">
        <v>45252</v>
      </c>
      <c r="E336" t="s">
        <v>23</v>
      </c>
      <c r="F336">
        <v>4436</v>
      </c>
      <c r="G336">
        <v>183</v>
      </c>
      <c r="H336">
        <v>263.43</v>
      </c>
      <c r="I336">
        <v>25</v>
      </c>
      <c r="J336" t="b">
        <v>0</v>
      </c>
      <c r="L336" t="s">
        <v>25</v>
      </c>
    </row>
    <row r="337" spans="1:12">
      <c r="A337" t="s">
        <v>716</v>
      </c>
      <c r="B337" t="s">
        <v>717</v>
      </c>
      <c r="C337" s="27">
        <v>45057</v>
      </c>
      <c r="D337" s="25">
        <v>45080</v>
      </c>
      <c r="E337" t="s">
        <v>14</v>
      </c>
      <c r="F337">
        <v>75290</v>
      </c>
      <c r="G337">
        <v>2483</v>
      </c>
      <c r="H337">
        <v>2278.66</v>
      </c>
      <c r="I337">
        <v>244</v>
      </c>
      <c r="J337" t="s">
        <v>15</v>
      </c>
      <c r="L337" t="s">
        <v>16</v>
      </c>
    </row>
    <row r="338" spans="1:12">
      <c r="A338" t="s">
        <v>718</v>
      </c>
      <c r="B338" t="s">
        <v>719</v>
      </c>
      <c r="C338" s="27">
        <v>45165</v>
      </c>
      <c r="D338" s="25">
        <v>45173</v>
      </c>
      <c r="E338" t="s">
        <v>14</v>
      </c>
      <c r="F338">
        <v>77213</v>
      </c>
      <c r="G338">
        <v>2522</v>
      </c>
      <c r="H338">
        <v>4487.83</v>
      </c>
      <c r="I338">
        <v>419</v>
      </c>
      <c r="J338" t="b">
        <v>1</v>
      </c>
      <c r="L338" t="s">
        <v>16</v>
      </c>
    </row>
    <row r="339" spans="1:12">
      <c r="A339" t="s">
        <v>720</v>
      </c>
      <c r="B339" t="s">
        <v>721</v>
      </c>
      <c r="C339" t="s">
        <v>722</v>
      </c>
      <c r="D339" s="25">
        <v>45023</v>
      </c>
      <c r="E339" t="s">
        <v>19</v>
      </c>
      <c r="F339">
        <v>6895</v>
      </c>
      <c r="G339">
        <v>176</v>
      </c>
      <c r="H339">
        <v>333.09</v>
      </c>
      <c r="I339">
        <v>10</v>
      </c>
      <c r="J339" t="b">
        <v>0</v>
      </c>
      <c r="L339" t="s">
        <v>20</v>
      </c>
    </row>
    <row r="340" spans="1:12">
      <c r="A340" t="s">
        <v>723</v>
      </c>
      <c r="B340" t="s">
        <v>724</v>
      </c>
      <c r="C340" s="27">
        <v>45103</v>
      </c>
      <c r="D340" s="25">
        <v>45105</v>
      </c>
      <c r="E340" t="s">
        <v>266</v>
      </c>
      <c r="F340">
        <v>20738</v>
      </c>
      <c r="G340">
        <v>623</v>
      </c>
      <c r="H340" s="26">
        <v>1242.63</v>
      </c>
      <c r="I340">
        <v>92</v>
      </c>
      <c r="J340" t="b">
        <v>1</v>
      </c>
      <c r="L340" t="s">
        <v>20</v>
      </c>
    </row>
    <row r="341" spans="1:12">
      <c r="A341" t="s">
        <v>725</v>
      </c>
      <c r="B341" t="s">
        <v>726</v>
      </c>
      <c r="C341" s="27">
        <v>45144</v>
      </c>
      <c r="D341" s="25">
        <v>45146</v>
      </c>
      <c r="E341" t="s">
        <v>33</v>
      </c>
      <c r="F341">
        <v>31746</v>
      </c>
      <c r="G341">
        <v>821</v>
      </c>
      <c r="H341">
        <v>1390.78</v>
      </c>
      <c r="I341">
        <v>140</v>
      </c>
      <c r="J341" t="s">
        <v>30</v>
      </c>
      <c r="L341" t="s">
        <v>34</v>
      </c>
    </row>
    <row r="342" spans="1:12">
      <c r="A342" t="s">
        <v>727</v>
      </c>
      <c r="B342" t="s">
        <v>728</v>
      </c>
      <c r="C342" s="27">
        <v>45081</v>
      </c>
      <c r="D342" s="25">
        <v>45089</v>
      </c>
      <c r="E342" t="s">
        <v>23</v>
      </c>
      <c r="F342">
        <v>50377</v>
      </c>
      <c r="G342">
        <v>1591</v>
      </c>
      <c r="H342">
        <v>2594.29</v>
      </c>
      <c r="I342">
        <v>240</v>
      </c>
      <c r="J342" t="s">
        <v>15</v>
      </c>
      <c r="L342" t="s">
        <v>25</v>
      </c>
    </row>
    <row r="343" spans="1:12">
      <c r="A343" t="s">
        <v>729</v>
      </c>
      <c r="B343" t="s">
        <v>730</v>
      </c>
      <c r="C343" s="27">
        <v>45174</v>
      </c>
      <c r="D343" s="25">
        <v>45199</v>
      </c>
      <c r="E343" t="s">
        <v>14</v>
      </c>
      <c r="F343">
        <v>49404</v>
      </c>
      <c r="G343">
        <v>1734</v>
      </c>
      <c r="H343">
        <v>1427.52</v>
      </c>
      <c r="I343">
        <v>216</v>
      </c>
      <c r="J343" t="s">
        <v>30</v>
      </c>
      <c r="L343" t="s">
        <v>16</v>
      </c>
    </row>
    <row r="344" spans="1:12">
      <c r="A344" t="s">
        <v>731</v>
      </c>
      <c r="B344" t="s">
        <v>732</v>
      </c>
      <c r="C344" s="27">
        <v>45110</v>
      </c>
      <c r="D344" s="25">
        <v>45118</v>
      </c>
      <c r="E344" t="s">
        <v>41</v>
      </c>
      <c r="F344">
        <v>55045</v>
      </c>
      <c r="G344">
        <v>2035</v>
      </c>
      <c r="H344">
        <v>2043.16</v>
      </c>
      <c r="I344">
        <v>391</v>
      </c>
      <c r="J344" t="b">
        <v>0</v>
      </c>
      <c r="L344" t="s">
        <v>42</v>
      </c>
    </row>
    <row r="345" spans="1:12">
      <c r="A345" t="s">
        <v>733</v>
      </c>
      <c r="B345" t="s">
        <v>734</v>
      </c>
      <c r="C345" s="25">
        <v>44932</v>
      </c>
      <c r="D345" s="25">
        <v>45083</v>
      </c>
      <c r="E345" t="s">
        <v>23</v>
      </c>
      <c r="F345">
        <v>98888</v>
      </c>
      <c r="G345">
        <v>3095</v>
      </c>
      <c r="H345">
        <v>3709.43</v>
      </c>
      <c r="I345">
        <v>293</v>
      </c>
      <c r="J345" t="b">
        <v>1</v>
      </c>
      <c r="K345">
        <v>98941</v>
      </c>
      <c r="L345" t="s">
        <v>25</v>
      </c>
    </row>
    <row r="346" spans="1:12">
      <c r="A346" t="s">
        <v>735</v>
      </c>
      <c r="B346" t="s">
        <v>736</v>
      </c>
      <c r="C346" s="25">
        <v>45264</v>
      </c>
      <c r="D346" s="25">
        <v>45056</v>
      </c>
      <c r="E346" t="s">
        <v>14</v>
      </c>
      <c r="F346">
        <v>40790</v>
      </c>
      <c r="G346">
        <v>1584</v>
      </c>
      <c r="H346">
        <v>2629.55</v>
      </c>
      <c r="I346">
        <v>83</v>
      </c>
      <c r="J346" t="b">
        <v>0</v>
      </c>
      <c r="L346" t="s">
        <v>16</v>
      </c>
    </row>
    <row r="347" spans="1:12">
      <c r="A347" t="s">
        <v>737</v>
      </c>
      <c r="B347" t="s">
        <v>738</v>
      </c>
      <c r="C347" s="27">
        <v>45278</v>
      </c>
      <c r="D347" s="25">
        <v>45283</v>
      </c>
      <c r="E347" t="s">
        <v>23</v>
      </c>
      <c r="F347">
        <v>6600</v>
      </c>
      <c r="G347">
        <v>103</v>
      </c>
      <c r="H347" s="26">
        <v>192.86</v>
      </c>
      <c r="I347">
        <v>11</v>
      </c>
      <c r="J347" t="s">
        <v>30</v>
      </c>
      <c r="L347" t="s">
        <v>25</v>
      </c>
    </row>
    <row r="348" spans="1:12">
      <c r="A348" t="s">
        <v>739</v>
      </c>
      <c r="B348" t="s">
        <v>740</v>
      </c>
      <c r="C348" s="27">
        <v>45237</v>
      </c>
      <c r="D348" s="25">
        <v>45232</v>
      </c>
      <c r="E348" t="s">
        <v>41</v>
      </c>
      <c r="F348">
        <v>95660</v>
      </c>
      <c r="G348">
        <v>1767</v>
      </c>
      <c r="H348">
        <v>1384.81</v>
      </c>
      <c r="J348" t="b">
        <v>0</v>
      </c>
      <c r="L348" t="s">
        <v>42</v>
      </c>
    </row>
    <row r="349" spans="1:12">
      <c r="A349" t="s">
        <v>741</v>
      </c>
      <c r="B349" t="s">
        <v>742</v>
      </c>
      <c r="C349" s="27">
        <v>45073</v>
      </c>
      <c r="D349" s="25">
        <v>45084</v>
      </c>
      <c r="E349" t="s">
        <v>41</v>
      </c>
      <c r="F349">
        <v>94179</v>
      </c>
      <c r="G349">
        <v>4026</v>
      </c>
      <c r="H349">
        <v>7583.18</v>
      </c>
      <c r="I349">
        <v>777</v>
      </c>
      <c r="J349">
        <v>0</v>
      </c>
      <c r="L349" t="s">
        <v>42</v>
      </c>
    </row>
    <row r="350" spans="1:12">
      <c r="A350" t="s">
        <v>743</v>
      </c>
      <c r="B350" t="s">
        <v>744</v>
      </c>
      <c r="C350" s="27">
        <v>45107</v>
      </c>
      <c r="D350" s="25">
        <v>45118</v>
      </c>
      <c r="E350" t="s">
        <v>41</v>
      </c>
      <c r="F350">
        <v>41764</v>
      </c>
      <c r="G350">
        <v>956</v>
      </c>
      <c r="H350">
        <v>1475.53</v>
      </c>
      <c r="I350">
        <v>77</v>
      </c>
      <c r="J350">
        <v>1</v>
      </c>
      <c r="L350" t="s">
        <v>42</v>
      </c>
    </row>
    <row r="351" spans="1:12">
      <c r="A351" t="s">
        <v>745</v>
      </c>
      <c r="B351" t="s">
        <v>746</v>
      </c>
      <c r="C351" s="27">
        <v>45055</v>
      </c>
      <c r="D351" s="25">
        <v>45068</v>
      </c>
      <c r="E351" t="s">
        <v>19</v>
      </c>
      <c r="F351">
        <v>75543</v>
      </c>
      <c r="G351">
        <v>824</v>
      </c>
      <c r="H351">
        <v>1166.91</v>
      </c>
      <c r="I351">
        <v>138</v>
      </c>
      <c r="J351" t="s">
        <v>30</v>
      </c>
      <c r="L351" t="s">
        <v>20</v>
      </c>
    </row>
    <row r="352" spans="1:12">
      <c r="A352" t="s">
        <v>747</v>
      </c>
      <c r="B352" t="s">
        <v>748</v>
      </c>
      <c r="C352" s="27">
        <v>45264</v>
      </c>
      <c r="D352" s="25">
        <v>45289</v>
      </c>
      <c r="E352" t="s">
        <v>41</v>
      </c>
      <c r="F352">
        <v>46714</v>
      </c>
      <c r="G352">
        <v>754</v>
      </c>
      <c r="H352">
        <v>603.02</v>
      </c>
      <c r="I352">
        <v>125</v>
      </c>
      <c r="J352" t="b">
        <v>0</v>
      </c>
      <c r="L352" t="s">
        <v>42</v>
      </c>
    </row>
    <row r="353" spans="1:12">
      <c r="A353" t="s">
        <v>749</v>
      </c>
      <c r="B353" t="s">
        <v>750</v>
      </c>
      <c r="C353" s="27">
        <v>44976</v>
      </c>
      <c r="D353" s="25">
        <v>44997</v>
      </c>
      <c r="E353" t="s">
        <v>33</v>
      </c>
      <c r="F353">
        <v>57835</v>
      </c>
      <c r="G353">
        <v>1095</v>
      </c>
      <c r="H353" s="26">
        <v>638.7</v>
      </c>
      <c r="I353">
        <v>90</v>
      </c>
      <c r="J353" t="b">
        <v>1</v>
      </c>
      <c r="L353" t="s">
        <v>34</v>
      </c>
    </row>
    <row r="354" spans="1:12">
      <c r="A354" t="s">
        <v>751</v>
      </c>
      <c r="B354" t="s">
        <v>752</v>
      </c>
      <c r="C354" s="25">
        <v>45085</v>
      </c>
      <c r="D354" s="25">
        <v>45166</v>
      </c>
      <c r="E354" t="s">
        <v>138</v>
      </c>
      <c r="F354">
        <v>74744</v>
      </c>
      <c r="G354">
        <v>3609</v>
      </c>
      <c r="H354">
        <v>4881.88</v>
      </c>
      <c r="I354">
        <v>516</v>
      </c>
      <c r="J354" t="b">
        <v>0</v>
      </c>
      <c r="L354" t="s">
        <v>139</v>
      </c>
    </row>
    <row r="355" spans="1:12">
      <c r="A355" t="s">
        <v>753</v>
      </c>
      <c r="B355" t="s">
        <v>754</v>
      </c>
      <c r="C355" s="25">
        <v>45113</v>
      </c>
      <c r="D355" s="25">
        <v>45097</v>
      </c>
      <c r="E355" t="s">
        <v>41</v>
      </c>
      <c r="F355">
        <v>57491</v>
      </c>
      <c r="G355">
        <v>1892</v>
      </c>
      <c r="H355" s="26">
        <v>2795</v>
      </c>
      <c r="I355">
        <v>108</v>
      </c>
      <c r="J355" t="b">
        <v>1</v>
      </c>
      <c r="L355" t="s">
        <v>42</v>
      </c>
    </row>
    <row r="356" spans="1:12">
      <c r="A356" t="s">
        <v>755</v>
      </c>
      <c r="B356" t="s">
        <v>756</v>
      </c>
      <c r="C356" s="27">
        <v>45078</v>
      </c>
      <c r="D356" s="25">
        <v>45079</v>
      </c>
      <c r="E356" t="s">
        <v>33</v>
      </c>
      <c r="F356">
        <v>19589</v>
      </c>
      <c r="G356">
        <v>926</v>
      </c>
      <c r="H356">
        <v>755.78</v>
      </c>
      <c r="I356">
        <v>113</v>
      </c>
      <c r="J356">
        <v>1</v>
      </c>
      <c r="L356" t="s">
        <v>34</v>
      </c>
    </row>
    <row r="357" spans="1:12">
      <c r="A357" t="s">
        <v>757</v>
      </c>
      <c r="B357" t="s">
        <v>758</v>
      </c>
      <c r="C357" s="27">
        <v>45029</v>
      </c>
      <c r="D357" s="25">
        <v>45046</v>
      </c>
      <c r="E357" t="s">
        <v>33</v>
      </c>
      <c r="F357">
        <v>44484</v>
      </c>
      <c r="G357">
        <v>1468</v>
      </c>
      <c r="H357">
        <v>1959.32</v>
      </c>
      <c r="I357">
        <v>76</v>
      </c>
      <c r="J357" t="b">
        <v>0</v>
      </c>
      <c r="L357" t="s">
        <v>34</v>
      </c>
    </row>
    <row r="358" spans="1:12">
      <c r="A358" t="s">
        <v>759</v>
      </c>
      <c r="B358" t="s">
        <v>760</v>
      </c>
      <c r="C358" s="27">
        <v>45114</v>
      </c>
      <c r="D358" s="25">
        <v>45139</v>
      </c>
      <c r="E358" t="s">
        <v>266</v>
      </c>
      <c r="F358">
        <v>83989</v>
      </c>
      <c r="G358">
        <v>2450</v>
      </c>
      <c r="H358">
        <v>4372.61</v>
      </c>
      <c r="I358">
        <v>461</v>
      </c>
      <c r="J358" t="s">
        <v>24</v>
      </c>
      <c r="L358" t="s">
        <v>20</v>
      </c>
    </row>
    <row r="359" spans="1:12">
      <c r="A359" t="s">
        <v>761</v>
      </c>
      <c r="B359" t="s">
        <v>762</v>
      </c>
      <c r="C359" s="27">
        <v>45011</v>
      </c>
      <c r="D359" s="25">
        <v>45021</v>
      </c>
      <c r="E359" t="s">
        <v>41</v>
      </c>
      <c r="F359">
        <v>37212</v>
      </c>
      <c r="G359">
        <v>839</v>
      </c>
      <c r="H359">
        <v>1470.43</v>
      </c>
      <c r="I359">
        <v>164</v>
      </c>
      <c r="J359" t="s">
        <v>24</v>
      </c>
      <c r="L359" t="s">
        <v>42</v>
      </c>
    </row>
    <row r="360" spans="1:12">
      <c r="A360" t="s">
        <v>763</v>
      </c>
      <c r="B360" t="s">
        <v>764</v>
      </c>
      <c r="C360" s="27">
        <v>45173</v>
      </c>
      <c r="D360" s="25">
        <v>45189</v>
      </c>
      <c r="E360" t="s">
        <v>14</v>
      </c>
      <c r="F360">
        <v>44525</v>
      </c>
      <c r="G360">
        <v>1525</v>
      </c>
      <c r="H360">
        <v>2883.82</v>
      </c>
      <c r="I360">
        <v>127</v>
      </c>
      <c r="J360">
        <v>1</v>
      </c>
      <c r="L360" t="s">
        <v>16</v>
      </c>
    </row>
    <row r="361" spans="1:12">
      <c r="A361" t="s">
        <v>765</v>
      </c>
      <c r="B361" t="s">
        <v>766</v>
      </c>
      <c r="C361" s="27">
        <v>45100</v>
      </c>
      <c r="D361" s="25">
        <v>45101</v>
      </c>
      <c r="E361" t="s">
        <v>33</v>
      </c>
      <c r="F361">
        <v>48202</v>
      </c>
      <c r="G361">
        <v>750</v>
      </c>
      <c r="H361">
        <v>786.62</v>
      </c>
      <c r="I361">
        <v>60</v>
      </c>
      <c r="J361" t="s">
        <v>30</v>
      </c>
      <c r="L361" t="s">
        <v>34</v>
      </c>
    </row>
    <row r="362" spans="1:12">
      <c r="A362" t="s">
        <v>767</v>
      </c>
      <c r="B362" t="s">
        <v>768</v>
      </c>
      <c r="C362" s="27">
        <v>44965</v>
      </c>
      <c r="D362" s="25">
        <v>44987</v>
      </c>
      <c r="E362" t="s">
        <v>19</v>
      </c>
      <c r="F362">
        <v>33635</v>
      </c>
      <c r="G362">
        <v>1544</v>
      </c>
      <c r="H362" s="26">
        <v>1508.6</v>
      </c>
      <c r="J362" t="b">
        <v>1</v>
      </c>
      <c r="L362" t="s">
        <v>68</v>
      </c>
    </row>
    <row r="363" spans="1:12">
      <c r="A363" t="s">
        <v>769</v>
      </c>
      <c r="B363" t="s">
        <v>770</v>
      </c>
      <c r="C363" s="27">
        <v>45273</v>
      </c>
      <c r="D363" s="25">
        <v>45296</v>
      </c>
      <c r="E363" t="s">
        <v>41</v>
      </c>
      <c r="F363">
        <v>64208</v>
      </c>
      <c r="G363">
        <v>2772</v>
      </c>
      <c r="H363">
        <v>4502.11</v>
      </c>
      <c r="J363" t="s">
        <v>24</v>
      </c>
      <c r="L363" t="s">
        <v>42</v>
      </c>
    </row>
    <row r="364" spans="1:12">
      <c r="A364" t="s">
        <v>771</v>
      </c>
      <c r="B364" t="s">
        <v>772</v>
      </c>
      <c r="C364" s="27">
        <v>45212</v>
      </c>
      <c r="D364" s="25">
        <v>45235</v>
      </c>
      <c r="E364" t="s">
        <v>14</v>
      </c>
      <c r="F364">
        <v>34828</v>
      </c>
      <c r="G364">
        <v>790</v>
      </c>
      <c r="H364">
        <v>905.87</v>
      </c>
      <c r="J364">
        <v>0</v>
      </c>
      <c r="L364" t="s">
        <v>16</v>
      </c>
    </row>
    <row r="365" spans="1:12">
      <c r="A365" t="s">
        <v>773</v>
      </c>
      <c r="B365" t="s">
        <v>774</v>
      </c>
      <c r="C365" s="27">
        <v>44934</v>
      </c>
      <c r="D365" s="25">
        <v>44948</v>
      </c>
      <c r="E365" t="s">
        <v>33</v>
      </c>
      <c r="F365">
        <v>19711</v>
      </c>
      <c r="G365">
        <v>948</v>
      </c>
      <c r="H365">
        <v>598.49</v>
      </c>
      <c r="I365">
        <v>129</v>
      </c>
      <c r="J365" t="s">
        <v>30</v>
      </c>
      <c r="L365" t="s">
        <v>34</v>
      </c>
    </row>
    <row r="366" spans="1:12">
      <c r="A366" t="s">
        <v>775</v>
      </c>
      <c r="B366" t="s">
        <v>776</v>
      </c>
      <c r="C366" s="27">
        <v>45115</v>
      </c>
      <c r="D366" s="25">
        <v>45133</v>
      </c>
      <c r="E366" t="s">
        <v>19</v>
      </c>
      <c r="F366">
        <v>4420</v>
      </c>
      <c r="G366">
        <v>190</v>
      </c>
      <c r="H366">
        <v>175.6</v>
      </c>
      <c r="I366">
        <v>19</v>
      </c>
      <c r="J366" t="b">
        <v>1</v>
      </c>
      <c r="L366" t="s">
        <v>20</v>
      </c>
    </row>
    <row r="367" spans="1:12">
      <c r="A367" t="s">
        <v>777</v>
      </c>
      <c r="B367" t="s">
        <v>778</v>
      </c>
      <c r="C367" s="27">
        <v>45226</v>
      </c>
      <c r="D367" s="25">
        <v>45229</v>
      </c>
      <c r="E367" t="s">
        <v>14</v>
      </c>
      <c r="F367">
        <v>97752</v>
      </c>
      <c r="G367">
        <v>3582</v>
      </c>
      <c r="H367">
        <v>4040.04</v>
      </c>
      <c r="I367">
        <v>626</v>
      </c>
      <c r="J367">
        <v>1</v>
      </c>
      <c r="L367" t="s">
        <v>16</v>
      </c>
    </row>
    <row r="368" spans="1:12">
      <c r="A368" t="s">
        <v>779</v>
      </c>
      <c r="B368" t="s">
        <v>780</v>
      </c>
      <c r="C368" s="27">
        <v>45117</v>
      </c>
      <c r="D368" s="25">
        <v>45119</v>
      </c>
      <c r="E368" t="s">
        <v>33</v>
      </c>
      <c r="F368">
        <v>1301</v>
      </c>
      <c r="G368">
        <v>19</v>
      </c>
      <c r="H368">
        <v>17.84</v>
      </c>
      <c r="I368">
        <v>2</v>
      </c>
      <c r="J368" t="s">
        <v>24</v>
      </c>
      <c r="L368" t="s">
        <v>34</v>
      </c>
    </row>
    <row r="369" spans="1:12">
      <c r="A369" t="s">
        <v>781</v>
      </c>
      <c r="B369" t="s">
        <v>782</v>
      </c>
      <c r="C369" s="27">
        <v>44939</v>
      </c>
      <c r="D369" s="25">
        <v>44946</v>
      </c>
      <c r="E369" t="s">
        <v>41</v>
      </c>
      <c r="F369">
        <v>46236</v>
      </c>
      <c r="G369">
        <v>1346</v>
      </c>
      <c r="H369">
        <v>1343.72</v>
      </c>
      <c r="I369">
        <v>251</v>
      </c>
      <c r="J369" t="s">
        <v>15</v>
      </c>
      <c r="L369" t="s">
        <v>42</v>
      </c>
    </row>
    <row r="370" spans="1:12">
      <c r="A370" t="s">
        <v>783</v>
      </c>
      <c r="B370" t="s">
        <v>784</v>
      </c>
      <c r="C370" s="27">
        <v>45094</v>
      </c>
      <c r="D370" s="25">
        <v>45113</v>
      </c>
      <c r="E370" t="s">
        <v>23</v>
      </c>
      <c r="F370">
        <v>67235</v>
      </c>
      <c r="G370">
        <v>2033</v>
      </c>
      <c r="H370">
        <v>1912.37</v>
      </c>
      <c r="I370">
        <v>384</v>
      </c>
      <c r="J370" t="b">
        <v>0</v>
      </c>
      <c r="L370" t="s">
        <v>25</v>
      </c>
    </row>
    <row r="371" spans="1:12">
      <c r="A371" t="s">
        <v>785</v>
      </c>
      <c r="B371" t="s">
        <v>786</v>
      </c>
      <c r="C371" s="27">
        <v>44959</v>
      </c>
      <c r="D371" s="25">
        <v>44961</v>
      </c>
      <c r="E371" t="s">
        <v>41</v>
      </c>
      <c r="F371">
        <v>55240</v>
      </c>
      <c r="G371">
        <v>1066</v>
      </c>
      <c r="H371">
        <v>599.36</v>
      </c>
      <c r="I371">
        <v>79</v>
      </c>
      <c r="J371">
        <v>1</v>
      </c>
      <c r="L371" t="s">
        <v>42</v>
      </c>
    </row>
    <row r="372" spans="1:12">
      <c r="A372" t="s">
        <v>787</v>
      </c>
      <c r="B372" t="s">
        <v>788</v>
      </c>
      <c r="C372" s="27">
        <v>45285</v>
      </c>
      <c r="D372" s="25">
        <v>45292</v>
      </c>
      <c r="E372" t="s">
        <v>41</v>
      </c>
      <c r="F372">
        <v>66726</v>
      </c>
      <c r="G372">
        <v>880</v>
      </c>
      <c r="H372">
        <v>1280.97</v>
      </c>
      <c r="I372">
        <v>44</v>
      </c>
      <c r="J372" t="b">
        <v>1</v>
      </c>
      <c r="L372" t="s">
        <v>42</v>
      </c>
    </row>
    <row r="373" spans="1:12">
      <c r="A373" t="s">
        <v>789</v>
      </c>
      <c r="B373" t="s">
        <v>790</v>
      </c>
      <c r="C373" t="s">
        <v>791</v>
      </c>
      <c r="D373" s="25">
        <v>45006</v>
      </c>
      <c r="E373" t="s">
        <v>41</v>
      </c>
      <c r="F373">
        <v>11492</v>
      </c>
      <c r="G373">
        <v>471</v>
      </c>
      <c r="H373">
        <v>657.49</v>
      </c>
      <c r="I373">
        <v>93</v>
      </c>
      <c r="J373" t="b">
        <v>1</v>
      </c>
      <c r="L373" t="s">
        <v>42</v>
      </c>
    </row>
    <row r="374" spans="1:12">
      <c r="A374" t="s">
        <v>792</v>
      </c>
      <c r="B374" t="s">
        <v>793</v>
      </c>
      <c r="C374" s="27">
        <v>44946</v>
      </c>
      <c r="D374" s="25">
        <v>44965</v>
      </c>
      <c r="E374" t="s">
        <v>23</v>
      </c>
      <c r="F374">
        <v>7102</v>
      </c>
      <c r="G374">
        <v>105</v>
      </c>
      <c r="H374">
        <v>155.41</v>
      </c>
      <c r="I374">
        <v>19</v>
      </c>
      <c r="J374" t="b">
        <v>1</v>
      </c>
      <c r="L374" t="s">
        <v>68</v>
      </c>
    </row>
    <row r="375" spans="1:12">
      <c r="A375" t="s">
        <v>794</v>
      </c>
      <c r="B375" t="s">
        <v>795</v>
      </c>
      <c r="C375" s="27">
        <v>44976</v>
      </c>
      <c r="D375" s="25">
        <v>44992</v>
      </c>
      <c r="E375" t="s">
        <v>23</v>
      </c>
      <c r="F375">
        <v>51336</v>
      </c>
      <c r="G375">
        <v>1733</v>
      </c>
      <c r="H375">
        <v>1366.41</v>
      </c>
      <c r="I375">
        <v>101</v>
      </c>
      <c r="J375" t="b">
        <v>1</v>
      </c>
      <c r="L375" t="s">
        <v>25</v>
      </c>
    </row>
    <row r="376" spans="1:12">
      <c r="A376" t="s">
        <v>796</v>
      </c>
      <c r="B376" t="s">
        <v>797</v>
      </c>
      <c r="C376" s="27">
        <v>45125</v>
      </c>
      <c r="D376" s="25">
        <v>45126</v>
      </c>
      <c r="E376" t="s">
        <v>138</v>
      </c>
      <c r="F376">
        <v>86314</v>
      </c>
      <c r="G376">
        <v>4096</v>
      </c>
      <c r="H376">
        <v>3864.5</v>
      </c>
      <c r="I376">
        <v>716</v>
      </c>
      <c r="J376" t="b">
        <v>0</v>
      </c>
      <c r="L376" t="s">
        <v>139</v>
      </c>
    </row>
    <row r="377" spans="1:12">
      <c r="A377" t="s">
        <v>798</v>
      </c>
      <c r="B377" t="s">
        <v>799</v>
      </c>
      <c r="C377" s="27">
        <v>45283</v>
      </c>
      <c r="D377" s="25">
        <v>45295</v>
      </c>
      <c r="E377" t="s">
        <v>19</v>
      </c>
      <c r="F377">
        <v>27641</v>
      </c>
      <c r="G377">
        <v>1245</v>
      </c>
      <c r="H377">
        <v>1779.63</v>
      </c>
      <c r="I377">
        <v>147</v>
      </c>
      <c r="J377" t="s">
        <v>30</v>
      </c>
      <c r="L377" t="s">
        <v>20</v>
      </c>
    </row>
    <row r="378" spans="1:12">
      <c r="A378" t="s">
        <v>800</v>
      </c>
      <c r="B378" t="s">
        <v>801</v>
      </c>
      <c r="C378" s="27">
        <v>45006</v>
      </c>
      <c r="D378" s="25">
        <v>45029</v>
      </c>
      <c r="E378" t="s">
        <v>19</v>
      </c>
      <c r="F378">
        <v>35584</v>
      </c>
      <c r="G378">
        <v>751</v>
      </c>
      <c r="H378">
        <v>1050.98</v>
      </c>
      <c r="I378">
        <v>66</v>
      </c>
      <c r="J378">
        <v>0</v>
      </c>
      <c r="L378" t="s">
        <v>20</v>
      </c>
    </row>
    <row r="379" spans="1:12">
      <c r="A379" t="s">
        <v>802</v>
      </c>
      <c r="B379" t="s">
        <v>803</v>
      </c>
      <c r="C379" s="27">
        <v>45177</v>
      </c>
      <c r="D379" s="25">
        <v>45180</v>
      </c>
      <c r="E379" t="s">
        <v>23</v>
      </c>
      <c r="F379">
        <v>33745</v>
      </c>
      <c r="G379">
        <v>1486</v>
      </c>
      <c r="H379">
        <v>1871.61</v>
      </c>
      <c r="I379">
        <v>270</v>
      </c>
      <c r="J379" t="s">
        <v>15</v>
      </c>
      <c r="L379" t="s">
        <v>25</v>
      </c>
    </row>
    <row r="380" spans="1:12">
      <c r="A380" t="s">
        <v>804</v>
      </c>
      <c r="B380" t="s">
        <v>805</v>
      </c>
      <c r="C380" t="s">
        <v>806</v>
      </c>
      <c r="D380" s="25">
        <v>45089</v>
      </c>
      <c r="E380" t="s">
        <v>19</v>
      </c>
      <c r="F380">
        <v>24093</v>
      </c>
      <c r="G380">
        <v>241</v>
      </c>
      <c r="H380">
        <v>247.17</v>
      </c>
      <c r="I380">
        <v>19</v>
      </c>
      <c r="J380" t="b">
        <v>0</v>
      </c>
      <c r="L380" t="s">
        <v>20</v>
      </c>
    </row>
    <row r="381" spans="1:12">
      <c r="A381" t="s">
        <v>807</v>
      </c>
      <c r="B381" t="s">
        <v>808</v>
      </c>
      <c r="C381" s="27">
        <v>45116</v>
      </c>
      <c r="D381" s="25">
        <v>45145</v>
      </c>
      <c r="E381" t="s">
        <v>33</v>
      </c>
      <c r="F381">
        <v>67105</v>
      </c>
      <c r="G381">
        <v>718</v>
      </c>
      <c r="H381">
        <v>1342.23</v>
      </c>
      <c r="I381">
        <v>137</v>
      </c>
      <c r="J381" t="b">
        <v>1</v>
      </c>
      <c r="L381" t="s">
        <v>68</v>
      </c>
    </row>
    <row r="382" spans="1:12">
      <c r="A382" t="s">
        <v>809</v>
      </c>
      <c r="B382" t="s">
        <v>810</v>
      </c>
      <c r="C382" s="25">
        <v>45047</v>
      </c>
      <c r="D382" s="25">
        <v>44943</v>
      </c>
      <c r="E382" t="s">
        <v>19</v>
      </c>
      <c r="F382">
        <v>52885</v>
      </c>
      <c r="G382">
        <v>1803</v>
      </c>
      <c r="H382">
        <v>1820.41</v>
      </c>
      <c r="I382">
        <v>145</v>
      </c>
      <c r="J382" t="b">
        <v>0</v>
      </c>
      <c r="L382" t="s">
        <v>20</v>
      </c>
    </row>
    <row r="383" spans="1:12">
      <c r="A383" t="s">
        <v>811</v>
      </c>
      <c r="B383" t="s">
        <v>812</v>
      </c>
      <c r="C383" s="27">
        <v>45278</v>
      </c>
      <c r="D383" s="25">
        <v>45295</v>
      </c>
      <c r="E383" t="s">
        <v>138</v>
      </c>
      <c r="F383">
        <v>37631</v>
      </c>
      <c r="G383">
        <v>925</v>
      </c>
      <c r="H383">
        <v>1094.67</v>
      </c>
      <c r="J383">
        <v>1</v>
      </c>
      <c r="L383" t="s">
        <v>139</v>
      </c>
    </row>
    <row r="384" spans="1:12">
      <c r="A384" t="s">
        <v>813</v>
      </c>
      <c r="B384" t="s">
        <v>814</v>
      </c>
      <c r="C384" s="27">
        <v>45257</v>
      </c>
      <c r="D384" s="25">
        <v>45286</v>
      </c>
      <c r="E384" t="s">
        <v>23</v>
      </c>
      <c r="F384">
        <v>73991</v>
      </c>
      <c r="G384">
        <v>1883</v>
      </c>
      <c r="H384">
        <v>2856.83</v>
      </c>
      <c r="I384">
        <v>157</v>
      </c>
      <c r="J384">
        <v>0</v>
      </c>
      <c r="L384" t="s">
        <v>25</v>
      </c>
    </row>
    <row r="385" spans="1:12">
      <c r="A385" t="s">
        <v>815</v>
      </c>
      <c r="B385" t="s">
        <v>816</v>
      </c>
      <c r="C385" s="27">
        <v>45024</v>
      </c>
      <c r="D385" s="25">
        <v>45051</v>
      </c>
      <c r="E385" t="s">
        <v>138</v>
      </c>
      <c r="F385">
        <v>5014</v>
      </c>
      <c r="G385">
        <v>163</v>
      </c>
      <c r="H385">
        <v>214.27</v>
      </c>
      <c r="I385">
        <v>21</v>
      </c>
      <c r="J385" t="b">
        <v>1</v>
      </c>
      <c r="L385" t="s">
        <v>139</v>
      </c>
    </row>
    <row r="386" spans="1:12">
      <c r="A386" t="s">
        <v>817</v>
      </c>
      <c r="B386" t="s">
        <v>818</v>
      </c>
      <c r="C386" t="s">
        <v>115</v>
      </c>
      <c r="D386" s="25">
        <v>45165</v>
      </c>
      <c r="E386" t="s">
        <v>19</v>
      </c>
      <c r="F386">
        <v>12093</v>
      </c>
      <c r="G386">
        <v>213</v>
      </c>
      <c r="H386">
        <v>217.33</v>
      </c>
      <c r="J386" t="s">
        <v>15</v>
      </c>
      <c r="L386" t="s">
        <v>20</v>
      </c>
    </row>
    <row r="387" spans="1:12">
      <c r="A387" t="s">
        <v>819</v>
      </c>
      <c r="B387" t="s">
        <v>820</v>
      </c>
      <c r="C387" s="27">
        <v>45035</v>
      </c>
      <c r="D387" s="25">
        <v>45048</v>
      </c>
      <c r="E387" t="s">
        <v>14</v>
      </c>
      <c r="F387">
        <v>19070</v>
      </c>
      <c r="G387">
        <v>352</v>
      </c>
      <c r="H387">
        <v>406.02</v>
      </c>
      <c r="I387">
        <v>27</v>
      </c>
      <c r="J387" t="b">
        <v>1</v>
      </c>
      <c r="L387" t="s">
        <v>16</v>
      </c>
    </row>
    <row r="388" spans="1:12">
      <c r="A388" t="s">
        <v>821</v>
      </c>
      <c r="B388" t="s">
        <v>822</v>
      </c>
      <c r="C388" s="25">
        <v>45231</v>
      </c>
      <c r="D388" s="25">
        <v>44944</v>
      </c>
      <c r="E388" t="s">
        <v>19</v>
      </c>
      <c r="F388">
        <v>36777</v>
      </c>
      <c r="G388">
        <v>1080</v>
      </c>
      <c r="H388">
        <v>1827.06</v>
      </c>
      <c r="I388">
        <v>138</v>
      </c>
      <c r="J388">
        <v>0</v>
      </c>
      <c r="L388" t="s">
        <v>20</v>
      </c>
    </row>
    <row r="389" spans="1:12">
      <c r="A389" t="s">
        <v>823</v>
      </c>
      <c r="B389" t="s">
        <v>824</v>
      </c>
      <c r="C389" s="27">
        <v>45097</v>
      </c>
      <c r="D389" s="25">
        <v>45102</v>
      </c>
      <c r="E389" t="s">
        <v>14</v>
      </c>
      <c r="F389">
        <v>57958</v>
      </c>
      <c r="G389">
        <v>2328</v>
      </c>
      <c r="H389" s="26">
        <v>2135.23</v>
      </c>
      <c r="I389">
        <v>280</v>
      </c>
      <c r="J389" t="s">
        <v>15</v>
      </c>
      <c r="L389" t="s">
        <v>16</v>
      </c>
    </row>
    <row r="390" spans="1:12">
      <c r="A390" t="s">
        <v>825</v>
      </c>
      <c r="B390" t="s">
        <v>826</v>
      </c>
      <c r="C390" s="27">
        <v>45216</v>
      </c>
      <c r="D390" s="25">
        <v>45234</v>
      </c>
      <c r="E390" t="s">
        <v>41</v>
      </c>
      <c r="F390">
        <v>83074</v>
      </c>
      <c r="G390">
        <v>2889</v>
      </c>
      <c r="H390">
        <v>2060.96</v>
      </c>
      <c r="I390">
        <v>175</v>
      </c>
      <c r="J390">
        <v>0</v>
      </c>
      <c r="L390" t="s">
        <v>42</v>
      </c>
    </row>
    <row r="391" spans="1:12">
      <c r="A391" t="s">
        <v>827</v>
      </c>
      <c r="B391" t="s">
        <v>828</v>
      </c>
      <c r="C391" s="27">
        <v>45210</v>
      </c>
      <c r="D391" s="25">
        <v>45211</v>
      </c>
      <c r="E391" t="s">
        <v>23</v>
      </c>
      <c r="F391">
        <v>11729</v>
      </c>
      <c r="G391">
        <v>256</v>
      </c>
      <c r="H391">
        <v>248.25</v>
      </c>
      <c r="I391">
        <v>44</v>
      </c>
      <c r="J391" t="s">
        <v>15</v>
      </c>
      <c r="L391" t="s">
        <v>68</v>
      </c>
    </row>
    <row r="392" spans="1:12">
      <c r="A392" t="s">
        <v>829</v>
      </c>
      <c r="B392" t="s">
        <v>830</v>
      </c>
      <c r="C392" s="27">
        <v>45046</v>
      </c>
      <c r="D392" s="25">
        <v>45076</v>
      </c>
      <c r="E392" t="s">
        <v>41</v>
      </c>
      <c r="F392">
        <v>46017</v>
      </c>
      <c r="G392">
        <v>1252</v>
      </c>
      <c r="H392">
        <v>2221.43</v>
      </c>
      <c r="I392">
        <v>125</v>
      </c>
      <c r="J392" t="s">
        <v>30</v>
      </c>
      <c r="L392" t="s">
        <v>42</v>
      </c>
    </row>
    <row r="393" spans="1:12">
      <c r="A393" t="s">
        <v>831</v>
      </c>
      <c r="B393" t="s">
        <v>832</v>
      </c>
      <c r="C393" s="25">
        <v>44968</v>
      </c>
      <c r="D393" s="25">
        <v>45253</v>
      </c>
      <c r="E393" t="s">
        <v>14</v>
      </c>
      <c r="F393">
        <v>67320</v>
      </c>
      <c r="G393">
        <v>1132</v>
      </c>
      <c r="H393" s="26">
        <v>717.1</v>
      </c>
      <c r="I393">
        <v>154</v>
      </c>
      <c r="J393" t="s">
        <v>24</v>
      </c>
      <c r="L393" t="s">
        <v>16</v>
      </c>
    </row>
    <row r="394" spans="1:12">
      <c r="A394" t="s">
        <v>833</v>
      </c>
      <c r="B394" t="s">
        <v>834</v>
      </c>
      <c r="C394" s="27">
        <v>45001</v>
      </c>
      <c r="D394" s="25">
        <v>45025</v>
      </c>
      <c r="E394" t="s">
        <v>191</v>
      </c>
      <c r="F394">
        <v>28751</v>
      </c>
      <c r="G394">
        <v>373</v>
      </c>
      <c r="H394" s="26">
        <v>741.35</v>
      </c>
      <c r="I394">
        <v>47</v>
      </c>
      <c r="J394" t="s">
        <v>30</v>
      </c>
      <c r="L394" t="s">
        <v>42</v>
      </c>
    </row>
    <row r="395" spans="1:12">
      <c r="A395" t="s">
        <v>835</v>
      </c>
      <c r="B395" t="s">
        <v>836</v>
      </c>
      <c r="C395" s="27">
        <v>45016</v>
      </c>
      <c r="D395" s="25">
        <v>45036</v>
      </c>
      <c r="E395" t="s">
        <v>41</v>
      </c>
      <c r="F395">
        <v>79069</v>
      </c>
      <c r="G395">
        <v>3266</v>
      </c>
      <c r="H395" s="26">
        <v>4283.37</v>
      </c>
      <c r="I395">
        <v>414</v>
      </c>
      <c r="J395" t="b">
        <v>0</v>
      </c>
      <c r="L395" t="s">
        <v>42</v>
      </c>
    </row>
    <row r="396" spans="1:12">
      <c r="A396" t="s">
        <v>837</v>
      </c>
      <c r="B396" t="s">
        <v>838</v>
      </c>
      <c r="C396" s="25">
        <v>45172</v>
      </c>
      <c r="D396" s="25">
        <v>45004</v>
      </c>
      <c r="E396" t="s">
        <v>14</v>
      </c>
      <c r="F396">
        <v>55748</v>
      </c>
      <c r="G396">
        <v>1149</v>
      </c>
      <c r="H396">
        <v>2271.88</v>
      </c>
      <c r="I396">
        <v>75</v>
      </c>
      <c r="J396" t="b">
        <v>0</v>
      </c>
      <c r="L396" t="s">
        <v>16</v>
      </c>
    </row>
    <row r="397" spans="1:12">
      <c r="A397" t="s">
        <v>839</v>
      </c>
      <c r="B397" t="s">
        <v>840</v>
      </c>
      <c r="C397" s="25">
        <v>45048</v>
      </c>
      <c r="D397" s="25">
        <v>44971</v>
      </c>
      <c r="E397" t="s">
        <v>19</v>
      </c>
      <c r="F397">
        <v>6801</v>
      </c>
      <c r="G397">
        <v>116</v>
      </c>
      <c r="H397">
        <v>221.39</v>
      </c>
      <c r="I397">
        <v>13</v>
      </c>
      <c r="J397" t="s">
        <v>15</v>
      </c>
      <c r="L397" t="s">
        <v>68</v>
      </c>
    </row>
    <row r="398" spans="1:12">
      <c r="A398" t="s">
        <v>841</v>
      </c>
      <c r="B398" t="s">
        <v>842</v>
      </c>
      <c r="C398" t="s">
        <v>843</v>
      </c>
      <c r="D398" s="25">
        <v>45080</v>
      </c>
      <c r="E398" t="s">
        <v>14</v>
      </c>
      <c r="F398">
        <v>20190</v>
      </c>
      <c r="G398">
        <v>760</v>
      </c>
      <c r="H398">
        <v>896.21</v>
      </c>
      <c r="I398">
        <v>89</v>
      </c>
      <c r="J398" t="b">
        <v>1</v>
      </c>
      <c r="L398" t="s">
        <v>16</v>
      </c>
    </row>
    <row r="399" spans="1:12">
      <c r="A399" t="s">
        <v>844</v>
      </c>
      <c r="B399" t="s">
        <v>845</v>
      </c>
      <c r="C399" s="27">
        <v>45142</v>
      </c>
      <c r="D399" s="25">
        <v>45154</v>
      </c>
      <c r="E399" t="s">
        <v>14</v>
      </c>
      <c r="F399">
        <v>50689</v>
      </c>
      <c r="G399">
        <v>1760</v>
      </c>
      <c r="H399">
        <v>1404.02</v>
      </c>
      <c r="J399" t="s">
        <v>24</v>
      </c>
      <c r="L399" t="s">
        <v>16</v>
      </c>
    </row>
    <row r="400" spans="1:12">
      <c r="A400" t="s">
        <v>846</v>
      </c>
      <c r="B400" t="s">
        <v>847</v>
      </c>
      <c r="C400" s="27">
        <v>45170</v>
      </c>
      <c r="D400" s="25">
        <v>45187</v>
      </c>
      <c r="E400" t="s">
        <v>41</v>
      </c>
      <c r="F400">
        <v>51993</v>
      </c>
      <c r="G400">
        <v>1836</v>
      </c>
      <c r="H400">
        <v>1372.09</v>
      </c>
      <c r="I400">
        <v>323</v>
      </c>
      <c r="J400">
        <v>1</v>
      </c>
      <c r="L400" t="s">
        <v>42</v>
      </c>
    </row>
    <row r="401" spans="1:12">
      <c r="A401" t="s">
        <v>848</v>
      </c>
      <c r="B401" t="s">
        <v>849</v>
      </c>
      <c r="C401" s="27">
        <v>45230</v>
      </c>
      <c r="D401" s="25">
        <v>45243</v>
      </c>
      <c r="E401" t="s">
        <v>14</v>
      </c>
      <c r="F401">
        <v>30592</v>
      </c>
      <c r="G401">
        <v>586</v>
      </c>
      <c r="H401" s="26">
        <v>503.95</v>
      </c>
      <c r="I401">
        <v>77</v>
      </c>
      <c r="J401">
        <v>1</v>
      </c>
      <c r="L401" t="s">
        <v>16</v>
      </c>
    </row>
    <row r="402" spans="1:12">
      <c r="A402" t="s">
        <v>850</v>
      </c>
      <c r="B402" t="s">
        <v>851</v>
      </c>
      <c r="C402" s="25">
        <v>45241</v>
      </c>
      <c r="D402" s="25">
        <v>45247</v>
      </c>
      <c r="E402" t="s">
        <v>14</v>
      </c>
      <c r="F402">
        <v>11647</v>
      </c>
      <c r="G402">
        <v>224</v>
      </c>
      <c r="H402">
        <v>350.6</v>
      </c>
      <c r="I402">
        <v>14</v>
      </c>
      <c r="J402" t="b">
        <v>1</v>
      </c>
      <c r="L402" t="s">
        <v>16</v>
      </c>
    </row>
    <row r="403" spans="1:12">
      <c r="A403" t="s">
        <v>852</v>
      </c>
      <c r="B403" t="s">
        <v>853</v>
      </c>
      <c r="C403" s="27">
        <v>45264</v>
      </c>
      <c r="D403" s="25">
        <v>45291</v>
      </c>
      <c r="E403" t="s">
        <v>23</v>
      </c>
      <c r="F403">
        <v>9716</v>
      </c>
      <c r="G403">
        <v>182</v>
      </c>
      <c r="H403">
        <v>165.52</v>
      </c>
      <c r="J403" t="b">
        <v>1</v>
      </c>
      <c r="L403" t="s">
        <v>25</v>
      </c>
    </row>
    <row r="404" spans="1:12">
      <c r="A404" t="s">
        <v>854</v>
      </c>
      <c r="B404" t="s">
        <v>855</v>
      </c>
      <c r="C404" t="s">
        <v>856</v>
      </c>
      <c r="D404" s="25">
        <v>44949</v>
      </c>
      <c r="E404" t="s">
        <v>33</v>
      </c>
      <c r="F404">
        <v>89891</v>
      </c>
      <c r="G404">
        <v>1523</v>
      </c>
      <c r="H404">
        <v>1541.49</v>
      </c>
      <c r="I404">
        <v>113</v>
      </c>
      <c r="J404" t="s">
        <v>30</v>
      </c>
      <c r="L404" t="s">
        <v>34</v>
      </c>
    </row>
    <row r="405" spans="1:12">
      <c r="A405" t="s">
        <v>857</v>
      </c>
      <c r="B405" t="s">
        <v>858</v>
      </c>
      <c r="C405" s="27">
        <v>45172</v>
      </c>
      <c r="D405" s="25">
        <v>45197</v>
      </c>
      <c r="E405" t="s">
        <v>138</v>
      </c>
      <c r="F405">
        <v>88545</v>
      </c>
      <c r="G405">
        <v>3207</v>
      </c>
      <c r="H405" s="26">
        <v>3762.35</v>
      </c>
      <c r="J405">
        <v>1</v>
      </c>
      <c r="L405" t="s">
        <v>68</v>
      </c>
    </row>
    <row r="406" spans="1:12">
      <c r="A406" t="s">
        <v>859</v>
      </c>
      <c r="B406" t="s">
        <v>860</v>
      </c>
      <c r="C406" s="27">
        <v>44982</v>
      </c>
      <c r="D406" s="25">
        <v>45002</v>
      </c>
      <c r="E406" t="s">
        <v>23</v>
      </c>
      <c r="F406">
        <v>90912</v>
      </c>
      <c r="G406">
        <v>3992</v>
      </c>
      <c r="H406">
        <v>7464.44</v>
      </c>
      <c r="I406">
        <v>418</v>
      </c>
      <c r="J406" t="s">
        <v>15</v>
      </c>
      <c r="L406" t="s">
        <v>25</v>
      </c>
    </row>
    <row r="407" spans="1:12">
      <c r="A407" t="s">
        <v>861</v>
      </c>
      <c r="B407" t="s">
        <v>862</v>
      </c>
      <c r="C407" s="27">
        <v>44964</v>
      </c>
      <c r="D407" s="25">
        <v>44973</v>
      </c>
      <c r="E407" t="s">
        <v>19</v>
      </c>
      <c r="F407">
        <v>71316</v>
      </c>
      <c r="G407">
        <v>2779</v>
      </c>
      <c r="H407" s="26">
        <v>2178.99</v>
      </c>
      <c r="I407">
        <v>234</v>
      </c>
      <c r="J407">
        <v>0</v>
      </c>
      <c r="L407" t="s">
        <v>20</v>
      </c>
    </row>
    <row r="408" spans="1:12">
      <c r="A408" t="s">
        <v>863</v>
      </c>
      <c r="B408" t="s">
        <v>864</v>
      </c>
      <c r="C408" t="s">
        <v>865</v>
      </c>
      <c r="D408" s="25">
        <v>45013</v>
      </c>
      <c r="E408" t="s">
        <v>23</v>
      </c>
      <c r="F408">
        <v>3368</v>
      </c>
      <c r="G408">
        <v>140</v>
      </c>
      <c r="H408">
        <v>71.06</v>
      </c>
      <c r="I408">
        <v>11</v>
      </c>
      <c r="J408" t="b">
        <v>0</v>
      </c>
      <c r="L408" t="s">
        <v>25</v>
      </c>
    </row>
    <row r="409" spans="1:12">
      <c r="A409" t="s">
        <v>866</v>
      </c>
      <c r="B409" t="s">
        <v>867</v>
      </c>
      <c r="C409" s="27">
        <v>45067</v>
      </c>
      <c r="D409" s="25">
        <v>45074</v>
      </c>
      <c r="E409" t="s">
        <v>266</v>
      </c>
      <c r="F409">
        <v>78575</v>
      </c>
      <c r="G409">
        <v>2058</v>
      </c>
      <c r="H409">
        <v>-1214.52</v>
      </c>
      <c r="I409">
        <v>119</v>
      </c>
      <c r="J409">
        <v>0</v>
      </c>
      <c r="L409" t="s">
        <v>20</v>
      </c>
    </row>
    <row r="410" spans="1:12">
      <c r="A410" t="s">
        <v>868</v>
      </c>
      <c r="B410" t="s">
        <v>869</v>
      </c>
      <c r="C410" s="27">
        <v>45291</v>
      </c>
      <c r="D410" s="25">
        <v>45302</v>
      </c>
      <c r="E410" t="s">
        <v>41</v>
      </c>
      <c r="F410">
        <v>7655</v>
      </c>
      <c r="G410">
        <v>276</v>
      </c>
      <c r="H410">
        <v>512.57</v>
      </c>
      <c r="I410">
        <v>14</v>
      </c>
      <c r="J410" t="s">
        <v>30</v>
      </c>
      <c r="L410" t="s">
        <v>42</v>
      </c>
    </row>
    <row r="411" spans="1:12">
      <c r="A411" t="s">
        <v>870</v>
      </c>
      <c r="B411" t="s">
        <v>871</v>
      </c>
      <c r="C411" s="27">
        <v>45198</v>
      </c>
      <c r="D411" s="25">
        <v>45227</v>
      </c>
      <c r="E411" t="s">
        <v>23</v>
      </c>
      <c r="F411">
        <v>71031</v>
      </c>
      <c r="G411">
        <v>1716</v>
      </c>
      <c r="H411">
        <v>2524.71</v>
      </c>
      <c r="I411">
        <v>112</v>
      </c>
      <c r="J411">
        <v>1</v>
      </c>
      <c r="L411" t="s">
        <v>25</v>
      </c>
    </row>
    <row r="412" spans="1:12">
      <c r="A412" t="s">
        <v>872</v>
      </c>
      <c r="B412" t="s">
        <v>873</v>
      </c>
      <c r="C412" s="25">
        <v>45177</v>
      </c>
      <c r="D412" s="25">
        <v>45156</v>
      </c>
      <c r="E412" t="s">
        <v>23</v>
      </c>
      <c r="F412">
        <v>77429</v>
      </c>
      <c r="G412">
        <v>2401</v>
      </c>
      <c r="H412" s="26">
        <v>2183.86</v>
      </c>
      <c r="I412">
        <v>182</v>
      </c>
      <c r="J412" t="s">
        <v>24</v>
      </c>
      <c r="L412" t="s">
        <v>68</v>
      </c>
    </row>
    <row r="413" spans="1:12">
      <c r="A413" t="s">
        <v>874</v>
      </c>
      <c r="B413" t="s">
        <v>875</v>
      </c>
      <c r="C413" s="27">
        <v>45286</v>
      </c>
      <c r="D413" s="25">
        <v>45299</v>
      </c>
      <c r="E413" t="s">
        <v>33</v>
      </c>
      <c r="F413">
        <v>92083</v>
      </c>
      <c r="G413">
        <v>2694</v>
      </c>
      <c r="H413">
        <v>2063.03</v>
      </c>
      <c r="I413">
        <v>308</v>
      </c>
      <c r="J413" t="b">
        <v>1</v>
      </c>
      <c r="L413" t="s">
        <v>34</v>
      </c>
    </row>
    <row r="414" spans="1:12">
      <c r="A414" t="s">
        <v>876</v>
      </c>
      <c r="B414" t="s">
        <v>877</v>
      </c>
      <c r="C414" s="27">
        <v>45209</v>
      </c>
      <c r="D414" s="25">
        <v>45213</v>
      </c>
      <c r="E414" t="s">
        <v>14</v>
      </c>
      <c r="F414">
        <v>88922</v>
      </c>
      <c r="G414">
        <v>1518</v>
      </c>
      <c r="H414">
        <v>1429.05</v>
      </c>
      <c r="J414" t="s">
        <v>24</v>
      </c>
      <c r="L414" t="s">
        <v>16</v>
      </c>
    </row>
    <row r="415" spans="1:12">
      <c r="A415" t="s">
        <v>878</v>
      </c>
      <c r="B415" t="s">
        <v>879</v>
      </c>
      <c r="C415" s="27">
        <v>45158</v>
      </c>
      <c r="D415" s="25">
        <v>45179</v>
      </c>
      <c r="E415" t="s">
        <v>234</v>
      </c>
      <c r="F415">
        <v>56766</v>
      </c>
      <c r="G415">
        <v>1446</v>
      </c>
      <c r="H415">
        <v>971.99</v>
      </c>
      <c r="I415">
        <v>102</v>
      </c>
      <c r="J415" t="s">
        <v>24</v>
      </c>
      <c r="L415" t="s">
        <v>16</v>
      </c>
    </row>
    <row r="416" spans="1:12">
      <c r="A416" t="s">
        <v>880</v>
      </c>
      <c r="B416" t="s">
        <v>881</v>
      </c>
      <c r="C416" s="27">
        <v>45159</v>
      </c>
      <c r="D416" s="25">
        <v>45169</v>
      </c>
      <c r="E416" t="s">
        <v>41</v>
      </c>
      <c r="F416">
        <v>14403</v>
      </c>
      <c r="G416">
        <v>699</v>
      </c>
      <c r="H416">
        <v>1336.7</v>
      </c>
      <c r="I416">
        <v>79</v>
      </c>
      <c r="J416">
        <v>1</v>
      </c>
      <c r="L416" t="s">
        <v>42</v>
      </c>
    </row>
    <row r="417" spans="1:12">
      <c r="A417" t="s">
        <v>882</v>
      </c>
      <c r="B417" t="s">
        <v>883</v>
      </c>
      <c r="C417" s="27">
        <v>45087</v>
      </c>
      <c r="D417" s="25">
        <v>45102</v>
      </c>
      <c r="E417" t="s">
        <v>41</v>
      </c>
      <c r="F417">
        <v>33097</v>
      </c>
      <c r="G417">
        <v>660</v>
      </c>
      <c r="H417" s="26">
        <v>1106.36</v>
      </c>
      <c r="I417">
        <v>66</v>
      </c>
      <c r="J417" t="s">
        <v>15</v>
      </c>
      <c r="L417" t="s">
        <v>42</v>
      </c>
    </row>
    <row r="418" spans="1:12">
      <c r="A418" t="s">
        <v>884</v>
      </c>
      <c r="B418" t="s">
        <v>885</v>
      </c>
      <c r="C418" s="27">
        <v>45118</v>
      </c>
      <c r="D418" s="25">
        <v>45119</v>
      </c>
      <c r="E418" t="s">
        <v>14</v>
      </c>
      <c r="F418">
        <v>79657</v>
      </c>
      <c r="G418">
        <v>1222</v>
      </c>
      <c r="H418">
        <v>1458.56</v>
      </c>
      <c r="I418">
        <v>94</v>
      </c>
      <c r="J418" t="s">
        <v>30</v>
      </c>
      <c r="L418" t="s">
        <v>16</v>
      </c>
    </row>
    <row r="419" spans="1:12">
      <c r="A419" t="s">
        <v>886</v>
      </c>
      <c r="B419" t="s">
        <v>887</v>
      </c>
      <c r="C419" t="s">
        <v>888</v>
      </c>
      <c r="D419" s="25">
        <v>45184</v>
      </c>
      <c r="E419" t="s">
        <v>19</v>
      </c>
      <c r="F419">
        <v>11966</v>
      </c>
      <c r="G419">
        <v>320</v>
      </c>
      <c r="H419">
        <v>575.18</v>
      </c>
      <c r="I419">
        <v>16</v>
      </c>
      <c r="J419" t="b">
        <v>1</v>
      </c>
      <c r="L419" t="s">
        <v>20</v>
      </c>
    </row>
    <row r="420" spans="1:12">
      <c r="A420" t="s">
        <v>889</v>
      </c>
      <c r="B420" t="s">
        <v>890</v>
      </c>
      <c r="C420" t="s">
        <v>891</v>
      </c>
      <c r="D420" s="25">
        <v>44990</v>
      </c>
      <c r="E420" t="s">
        <v>41</v>
      </c>
      <c r="F420">
        <v>94848</v>
      </c>
      <c r="G420">
        <v>3946</v>
      </c>
      <c r="H420">
        <v>3449.54</v>
      </c>
      <c r="I420">
        <v>473</v>
      </c>
      <c r="J420">
        <v>0</v>
      </c>
      <c r="L420" t="s">
        <v>42</v>
      </c>
    </row>
    <row r="421" spans="1:12">
      <c r="A421" t="s">
        <v>892</v>
      </c>
      <c r="B421" t="s">
        <v>893</v>
      </c>
      <c r="C421" s="27">
        <v>44976</v>
      </c>
      <c r="D421" s="25">
        <v>44997</v>
      </c>
      <c r="E421" t="s">
        <v>14</v>
      </c>
      <c r="F421">
        <v>53921</v>
      </c>
      <c r="G421">
        <v>1794</v>
      </c>
      <c r="H421" s="26">
        <v>2826.77</v>
      </c>
      <c r="I421">
        <v>274</v>
      </c>
      <c r="J421" t="s">
        <v>15</v>
      </c>
      <c r="L421" t="s">
        <v>16</v>
      </c>
    </row>
    <row r="422" spans="1:12">
      <c r="A422" t="s">
        <v>894</v>
      </c>
      <c r="B422" t="s">
        <v>895</v>
      </c>
      <c r="C422" s="27">
        <v>44993</v>
      </c>
      <c r="D422" s="25">
        <v>45015</v>
      </c>
      <c r="E422" t="s">
        <v>41</v>
      </c>
      <c r="F422">
        <v>50726</v>
      </c>
      <c r="G422">
        <v>1888</v>
      </c>
      <c r="H422">
        <v>3368.57</v>
      </c>
      <c r="I422">
        <v>158</v>
      </c>
      <c r="J422">
        <v>0</v>
      </c>
      <c r="L422" t="s">
        <v>42</v>
      </c>
    </row>
    <row r="423" spans="1:12">
      <c r="A423" t="s">
        <v>896</v>
      </c>
      <c r="B423" t="s">
        <v>897</v>
      </c>
      <c r="C423" s="27">
        <v>45214</v>
      </c>
      <c r="D423" s="25">
        <v>45231</v>
      </c>
      <c r="E423" t="s">
        <v>14</v>
      </c>
      <c r="F423">
        <v>51300</v>
      </c>
      <c r="G423">
        <v>902</v>
      </c>
      <c r="H423">
        <v>933.71</v>
      </c>
      <c r="I423">
        <v>62</v>
      </c>
      <c r="J423" t="b">
        <v>0</v>
      </c>
      <c r="L423" t="s">
        <v>16</v>
      </c>
    </row>
    <row r="424" spans="1:12">
      <c r="A424" t="s">
        <v>898</v>
      </c>
      <c r="B424" t="s">
        <v>899</v>
      </c>
      <c r="C424" s="27">
        <v>45137</v>
      </c>
      <c r="D424" s="25">
        <v>45162</v>
      </c>
      <c r="E424" t="s">
        <v>415</v>
      </c>
      <c r="F424">
        <v>23677</v>
      </c>
      <c r="G424">
        <v>822</v>
      </c>
      <c r="H424" s="26">
        <v>1344.95</v>
      </c>
      <c r="J424" t="s">
        <v>30</v>
      </c>
      <c r="L424" t="s">
        <v>34</v>
      </c>
    </row>
    <row r="425" spans="1:12">
      <c r="A425" t="s">
        <v>900</v>
      </c>
      <c r="B425" t="s">
        <v>901</v>
      </c>
      <c r="C425" s="27">
        <v>45143</v>
      </c>
      <c r="D425" s="25">
        <v>45156</v>
      </c>
      <c r="E425" t="s">
        <v>41</v>
      </c>
      <c r="F425">
        <v>56609</v>
      </c>
      <c r="G425">
        <v>1298</v>
      </c>
      <c r="H425">
        <v>1223.51</v>
      </c>
      <c r="I425">
        <v>118</v>
      </c>
      <c r="J425" t="s">
        <v>15</v>
      </c>
      <c r="L425" t="s">
        <v>42</v>
      </c>
    </row>
    <row r="426" spans="1:12">
      <c r="A426" t="s">
        <v>902</v>
      </c>
      <c r="B426" t="s">
        <v>903</v>
      </c>
      <c r="C426" s="27">
        <v>45074</v>
      </c>
      <c r="D426" s="25">
        <v>45081</v>
      </c>
      <c r="E426" t="s">
        <v>19</v>
      </c>
      <c r="F426">
        <v>97825</v>
      </c>
      <c r="G426">
        <v>4242</v>
      </c>
      <c r="H426">
        <v>4022.63</v>
      </c>
      <c r="I426">
        <v>354</v>
      </c>
      <c r="J426" t="s">
        <v>15</v>
      </c>
      <c r="L426" t="s">
        <v>20</v>
      </c>
    </row>
    <row r="427" spans="1:12">
      <c r="A427" t="s">
        <v>904</v>
      </c>
      <c r="B427" t="s">
        <v>905</v>
      </c>
      <c r="C427" s="27">
        <v>45222</v>
      </c>
      <c r="D427" s="25">
        <v>45228</v>
      </c>
      <c r="E427" t="s">
        <v>41</v>
      </c>
      <c r="F427">
        <v>57661</v>
      </c>
      <c r="G427">
        <v>2028</v>
      </c>
      <c r="H427">
        <v>1339.67</v>
      </c>
      <c r="I427">
        <v>362</v>
      </c>
      <c r="J427">
        <v>0</v>
      </c>
      <c r="L427" t="s">
        <v>42</v>
      </c>
    </row>
    <row r="428" spans="1:12">
      <c r="A428" t="s">
        <v>906</v>
      </c>
      <c r="B428" t="s">
        <v>907</v>
      </c>
      <c r="C428" s="27">
        <v>45173</v>
      </c>
      <c r="D428" s="25">
        <v>45177</v>
      </c>
      <c r="E428" t="s">
        <v>23</v>
      </c>
      <c r="F428">
        <v>32024</v>
      </c>
      <c r="G428">
        <v>574</v>
      </c>
      <c r="H428">
        <v>665.89</v>
      </c>
      <c r="I428">
        <v>99</v>
      </c>
      <c r="J428" t="b">
        <v>1</v>
      </c>
      <c r="L428" t="s">
        <v>68</v>
      </c>
    </row>
    <row r="429" spans="1:12">
      <c r="A429" t="s">
        <v>908</v>
      </c>
      <c r="B429" t="s">
        <v>909</v>
      </c>
      <c r="C429" s="27">
        <v>45211</v>
      </c>
      <c r="D429" s="25">
        <v>45213</v>
      </c>
      <c r="E429" t="s">
        <v>41</v>
      </c>
      <c r="F429">
        <v>71313</v>
      </c>
      <c r="G429">
        <v>897</v>
      </c>
      <c r="H429">
        <v>1430.33</v>
      </c>
      <c r="I429">
        <v>105</v>
      </c>
      <c r="J429" t="b">
        <v>0</v>
      </c>
      <c r="L429" t="s">
        <v>42</v>
      </c>
    </row>
    <row r="430" spans="1:12">
      <c r="A430" t="s">
        <v>910</v>
      </c>
      <c r="B430" t="s">
        <v>911</v>
      </c>
      <c r="C430" s="27">
        <v>45220</v>
      </c>
      <c r="D430" s="25">
        <v>45233</v>
      </c>
      <c r="E430" t="s">
        <v>14</v>
      </c>
      <c r="F430">
        <v>54006</v>
      </c>
      <c r="G430">
        <v>632</v>
      </c>
      <c r="H430">
        <v>1207.33</v>
      </c>
      <c r="I430">
        <v>77</v>
      </c>
      <c r="J430">
        <v>0</v>
      </c>
      <c r="L430" t="s">
        <v>68</v>
      </c>
    </row>
    <row r="431" spans="1:12">
      <c r="A431" t="s">
        <v>912</v>
      </c>
      <c r="B431" t="s">
        <v>913</v>
      </c>
      <c r="C431" s="27">
        <v>45214</v>
      </c>
      <c r="D431" s="25">
        <v>45240</v>
      </c>
      <c r="E431" t="s">
        <v>19</v>
      </c>
      <c r="F431">
        <v>96285</v>
      </c>
      <c r="G431">
        <v>2393</v>
      </c>
      <c r="H431">
        <v>3363.83</v>
      </c>
      <c r="I431">
        <v>197</v>
      </c>
      <c r="J431" t="s">
        <v>15</v>
      </c>
      <c r="K431">
        <v>96312</v>
      </c>
      <c r="L431" t="s">
        <v>20</v>
      </c>
    </row>
    <row r="432" spans="1:12">
      <c r="A432" t="s">
        <v>914</v>
      </c>
      <c r="B432" t="s">
        <v>915</v>
      </c>
      <c r="C432" s="27">
        <v>45241</v>
      </c>
      <c r="D432" s="25">
        <v>45245</v>
      </c>
      <c r="E432" t="s">
        <v>58</v>
      </c>
      <c r="F432">
        <v>16338</v>
      </c>
      <c r="G432">
        <v>337</v>
      </c>
      <c r="H432">
        <v>604.82</v>
      </c>
      <c r="I432">
        <v>20</v>
      </c>
      <c r="J432" t="s">
        <v>30</v>
      </c>
      <c r="L432" t="s">
        <v>59</v>
      </c>
    </row>
    <row r="433" spans="1:12">
      <c r="A433" t="s">
        <v>916</v>
      </c>
      <c r="B433" t="s">
        <v>917</v>
      </c>
      <c r="C433" s="27">
        <v>45238</v>
      </c>
      <c r="D433" s="25">
        <v>45262</v>
      </c>
      <c r="E433" t="s">
        <v>41</v>
      </c>
      <c r="F433">
        <v>69027</v>
      </c>
      <c r="G433">
        <v>2474</v>
      </c>
      <c r="H433">
        <v>4289.28</v>
      </c>
      <c r="I433">
        <v>336</v>
      </c>
      <c r="J433" t="s">
        <v>15</v>
      </c>
      <c r="L433" t="s">
        <v>42</v>
      </c>
    </row>
    <row r="434" spans="1:12">
      <c r="A434" t="s">
        <v>918</v>
      </c>
      <c r="B434" t="s">
        <v>919</v>
      </c>
      <c r="C434" t="s">
        <v>920</v>
      </c>
      <c r="D434" s="25">
        <v>45093</v>
      </c>
      <c r="E434" t="s">
        <v>19</v>
      </c>
      <c r="F434">
        <v>93772</v>
      </c>
      <c r="G434">
        <v>2810</v>
      </c>
      <c r="H434">
        <v>2135.64</v>
      </c>
      <c r="I434">
        <v>181</v>
      </c>
      <c r="J434">
        <v>1</v>
      </c>
      <c r="L434" t="s">
        <v>20</v>
      </c>
    </row>
    <row r="435" spans="1:12">
      <c r="A435" t="s">
        <v>921</v>
      </c>
      <c r="B435" t="s">
        <v>922</v>
      </c>
      <c r="C435" s="27">
        <v>45066</v>
      </c>
      <c r="D435" s="25">
        <v>45094</v>
      </c>
      <c r="E435" t="s">
        <v>14</v>
      </c>
      <c r="F435">
        <v>81135</v>
      </c>
      <c r="G435">
        <v>1674</v>
      </c>
      <c r="H435">
        <v>2056.89</v>
      </c>
      <c r="I435">
        <v>196</v>
      </c>
      <c r="J435" t="s">
        <v>30</v>
      </c>
      <c r="L435" t="s">
        <v>16</v>
      </c>
    </row>
    <row r="436" spans="1:12">
      <c r="A436" t="s">
        <v>923</v>
      </c>
      <c r="B436" t="s">
        <v>924</v>
      </c>
      <c r="C436" s="27">
        <v>45100</v>
      </c>
      <c r="D436" s="25">
        <v>45107</v>
      </c>
      <c r="E436" t="s">
        <v>33</v>
      </c>
      <c r="F436">
        <v>20508</v>
      </c>
      <c r="G436">
        <v>327</v>
      </c>
      <c r="H436">
        <v>220.85</v>
      </c>
      <c r="I436">
        <v>62</v>
      </c>
      <c r="J436" t="s">
        <v>30</v>
      </c>
      <c r="L436" t="s">
        <v>34</v>
      </c>
    </row>
    <row r="437" spans="1:12">
      <c r="A437" t="s">
        <v>925</v>
      </c>
      <c r="B437" t="s">
        <v>926</v>
      </c>
      <c r="C437" s="27">
        <v>45000</v>
      </c>
      <c r="D437" s="25">
        <v>45007</v>
      </c>
      <c r="E437" t="s">
        <v>19</v>
      </c>
      <c r="F437">
        <v>4051</v>
      </c>
      <c r="G437">
        <v>61</v>
      </c>
      <c r="H437">
        <v>92.92</v>
      </c>
      <c r="I437">
        <v>11</v>
      </c>
      <c r="J437" t="s">
        <v>15</v>
      </c>
      <c r="L437" t="s">
        <v>20</v>
      </c>
    </row>
    <row r="438" spans="1:12">
      <c r="A438" t="s">
        <v>927</v>
      </c>
      <c r="B438" t="s">
        <v>928</v>
      </c>
      <c r="C438" s="27">
        <v>44999</v>
      </c>
      <c r="D438" s="25">
        <v>45024</v>
      </c>
      <c r="E438" t="s">
        <v>14</v>
      </c>
      <c r="F438">
        <v>49747</v>
      </c>
      <c r="G438">
        <v>2218</v>
      </c>
      <c r="H438">
        <v>4269.32</v>
      </c>
      <c r="I438">
        <v>190</v>
      </c>
      <c r="J438" t="b">
        <v>1</v>
      </c>
      <c r="L438" t="s">
        <v>16</v>
      </c>
    </row>
    <row r="439" spans="1:12">
      <c r="A439" t="s">
        <v>929</v>
      </c>
      <c r="B439" t="s">
        <v>930</v>
      </c>
      <c r="C439" s="27">
        <v>44973</v>
      </c>
      <c r="D439" s="25">
        <v>44992</v>
      </c>
      <c r="E439" t="s">
        <v>138</v>
      </c>
      <c r="F439">
        <v>88142</v>
      </c>
      <c r="G439">
        <v>1739</v>
      </c>
      <c r="H439">
        <v>1227.1</v>
      </c>
      <c r="I439">
        <v>249</v>
      </c>
      <c r="J439" t="s">
        <v>30</v>
      </c>
      <c r="L439" t="s">
        <v>139</v>
      </c>
    </row>
    <row r="440" spans="1:12">
      <c r="A440" t="s">
        <v>931</v>
      </c>
      <c r="B440" t="s">
        <v>932</v>
      </c>
      <c r="C440" s="27">
        <v>45141</v>
      </c>
      <c r="D440" s="25">
        <v>45165</v>
      </c>
      <c r="E440" t="s">
        <v>41</v>
      </c>
      <c r="F440">
        <v>88235</v>
      </c>
      <c r="G440">
        <v>3182</v>
      </c>
      <c r="H440">
        <v>5093.82</v>
      </c>
      <c r="I440">
        <v>385</v>
      </c>
      <c r="J440">
        <v>1</v>
      </c>
      <c r="L440" t="s">
        <v>42</v>
      </c>
    </row>
    <row r="441" spans="1:12">
      <c r="A441" t="s">
        <v>933</v>
      </c>
      <c r="B441" t="s">
        <v>934</v>
      </c>
      <c r="C441" s="27">
        <v>45086</v>
      </c>
      <c r="D441" s="25">
        <v>45110</v>
      </c>
      <c r="E441" t="s">
        <v>19</v>
      </c>
      <c r="F441">
        <v>55021</v>
      </c>
      <c r="G441">
        <v>2334</v>
      </c>
      <c r="H441">
        <v>3380.47</v>
      </c>
      <c r="I441">
        <v>423</v>
      </c>
      <c r="J441">
        <v>0</v>
      </c>
      <c r="L441" t="s">
        <v>20</v>
      </c>
    </row>
    <row r="442" spans="1:12">
      <c r="A442" t="s">
        <v>935</v>
      </c>
      <c r="B442" t="s">
        <v>936</v>
      </c>
      <c r="C442" s="27">
        <v>45217</v>
      </c>
      <c r="D442" s="25">
        <v>45227</v>
      </c>
      <c r="E442" t="s">
        <v>33</v>
      </c>
      <c r="F442">
        <v>67412</v>
      </c>
      <c r="G442">
        <v>2329</v>
      </c>
      <c r="H442">
        <v>3203.32</v>
      </c>
      <c r="I442">
        <v>211</v>
      </c>
      <c r="J442" t="b">
        <v>1</v>
      </c>
      <c r="L442" t="s">
        <v>34</v>
      </c>
    </row>
    <row r="443" spans="1:12">
      <c r="A443" t="s">
        <v>937</v>
      </c>
      <c r="B443" t="s">
        <v>938</v>
      </c>
      <c r="C443" s="27">
        <v>45006</v>
      </c>
      <c r="D443" s="25">
        <v>45033</v>
      </c>
      <c r="E443" t="s">
        <v>23</v>
      </c>
      <c r="F443">
        <v>59335</v>
      </c>
      <c r="G443">
        <v>2633</v>
      </c>
      <c r="H443">
        <v>2857.28</v>
      </c>
      <c r="I443">
        <v>133</v>
      </c>
      <c r="J443" t="b">
        <v>1</v>
      </c>
      <c r="L443" t="s">
        <v>25</v>
      </c>
    </row>
    <row r="444" spans="1:12">
      <c r="A444" t="s">
        <v>939</v>
      </c>
      <c r="B444" t="s">
        <v>940</v>
      </c>
      <c r="C444" s="25">
        <v>45272</v>
      </c>
      <c r="D444" s="25">
        <v>45295</v>
      </c>
      <c r="E444" t="s">
        <v>23</v>
      </c>
      <c r="F444">
        <v>57179</v>
      </c>
      <c r="G444">
        <v>1469</v>
      </c>
      <c r="H444">
        <v>1517.03</v>
      </c>
      <c r="I444">
        <v>109</v>
      </c>
      <c r="J444" t="b">
        <v>1</v>
      </c>
      <c r="L444" t="s">
        <v>25</v>
      </c>
    </row>
    <row r="445" spans="1:12">
      <c r="A445" t="s">
        <v>941</v>
      </c>
      <c r="B445" t="s">
        <v>942</v>
      </c>
      <c r="C445" s="27">
        <v>45153</v>
      </c>
      <c r="D445" s="25">
        <v>45175</v>
      </c>
      <c r="E445" t="s">
        <v>41</v>
      </c>
      <c r="F445">
        <v>33093</v>
      </c>
      <c r="G445">
        <v>1596</v>
      </c>
      <c r="H445">
        <v>906.33</v>
      </c>
      <c r="I445">
        <v>163</v>
      </c>
      <c r="J445" t="s">
        <v>30</v>
      </c>
      <c r="L445" t="s">
        <v>42</v>
      </c>
    </row>
    <row r="446" spans="1:12">
      <c r="A446" t="s">
        <v>943</v>
      </c>
      <c r="B446" t="s">
        <v>944</v>
      </c>
      <c r="C446" s="27">
        <v>45153</v>
      </c>
      <c r="D446" s="25">
        <v>45160</v>
      </c>
      <c r="E446" t="s">
        <v>41</v>
      </c>
      <c r="F446">
        <v>70678</v>
      </c>
      <c r="G446">
        <v>1083</v>
      </c>
      <c r="H446">
        <v>895.49</v>
      </c>
      <c r="I446">
        <v>105</v>
      </c>
      <c r="J446" t="b">
        <v>1</v>
      </c>
      <c r="L446" t="s">
        <v>42</v>
      </c>
    </row>
    <row r="447" spans="1:12">
      <c r="A447" t="s">
        <v>945</v>
      </c>
      <c r="B447" t="s">
        <v>946</v>
      </c>
      <c r="C447" s="27">
        <v>45189</v>
      </c>
      <c r="D447" s="25">
        <v>45218</v>
      </c>
      <c r="E447" t="s">
        <v>41</v>
      </c>
      <c r="F447">
        <v>81738</v>
      </c>
      <c r="G447">
        <v>1151</v>
      </c>
      <c r="H447">
        <v>601.7</v>
      </c>
      <c r="I447">
        <v>194</v>
      </c>
      <c r="J447" t="s">
        <v>15</v>
      </c>
      <c r="L447" t="s">
        <v>68</v>
      </c>
    </row>
    <row r="448" spans="1:12">
      <c r="A448" t="s">
        <v>947</v>
      </c>
      <c r="B448" t="s">
        <v>948</v>
      </c>
      <c r="C448" s="27">
        <v>45072</v>
      </c>
      <c r="D448" s="25">
        <v>45091</v>
      </c>
      <c r="E448" t="s">
        <v>23</v>
      </c>
      <c r="F448">
        <v>40734</v>
      </c>
      <c r="G448">
        <v>1480</v>
      </c>
      <c r="H448">
        <v>2030.75</v>
      </c>
      <c r="I448">
        <v>225</v>
      </c>
      <c r="J448" t="b">
        <v>1</v>
      </c>
      <c r="L448" t="s">
        <v>25</v>
      </c>
    </row>
    <row r="449" spans="1:12">
      <c r="A449" t="s">
        <v>949</v>
      </c>
      <c r="B449" t="s">
        <v>950</v>
      </c>
      <c r="C449" s="25">
        <v>45196</v>
      </c>
      <c r="D449" s="25">
        <v>45223</v>
      </c>
      <c r="E449" t="s">
        <v>138</v>
      </c>
      <c r="F449">
        <v>73615</v>
      </c>
      <c r="G449">
        <v>3512</v>
      </c>
      <c r="H449">
        <v>2313.63</v>
      </c>
      <c r="J449">
        <v>1</v>
      </c>
      <c r="L449" t="s">
        <v>139</v>
      </c>
    </row>
    <row r="450" spans="1:12">
      <c r="A450" t="s">
        <v>951</v>
      </c>
      <c r="B450" t="s">
        <v>952</v>
      </c>
      <c r="C450" s="25">
        <v>45129</v>
      </c>
      <c r="D450" s="25">
        <v>45139</v>
      </c>
      <c r="E450" t="s">
        <v>23</v>
      </c>
      <c r="F450">
        <v>74523</v>
      </c>
      <c r="G450">
        <v>3156</v>
      </c>
      <c r="H450" s="26">
        <v>5710.87</v>
      </c>
      <c r="I450">
        <v>374</v>
      </c>
      <c r="J450" t="b">
        <v>0</v>
      </c>
      <c r="L450" t="s">
        <v>25</v>
      </c>
    </row>
    <row r="451" spans="1:12">
      <c r="A451" t="s">
        <v>953</v>
      </c>
      <c r="B451" t="s">
        <v>954</v>
      </c>
      <c r="C451" s="27">
        <v>45031</v>
      </c>
      <c r="D451" s="25">
        <v>45043</v>
      </c>
      <c r="E451" t="s">
        <v>14</v>
      </c>
      <c r="F451">
        <v>95476</v>
      </c>
      <c r="G451">
        <v>1246</v>
      </c>
      <c r="H451">
        <v>1600.75</v>
      </c>
      <c r="I451">
        <v>80</v>
      </c>
      <c r="J451">
        <v>1</v>
      </c>
      <c r="L451" t="s">
        <v>16</v>
      </c>
    </row>
    <row r="452" spans="1:12">
      <c r="A452" t="s">
        <v>955</v>
      </c>
      <c r="B452" t="s">
        <v>956</v>
      </c>
      <c r="C452" s="27">
        <v>44997</v>
      </c>
      <c r="D452" s="25">
        <v>45012</v>
      </c>
      <c r="E452" t="s">
        <v>138</v>
      </c>
      <c r="F452">
        <v>18019</v>
      </c>
      <c r="G452">
        <v>381</v>
      </c>
      <c r="H452" s="26">
        <v>590.37</v>
      </c>
      <c r="I452">
        <v>70</v>
      </c>
      <c r="J452" t="s">
        <v>30</v>
      </c>
      <c r="L452" t="s">
        <v>139</v>
      </c>
    </row>
    <row r="453" spans="1:12">
      <c r="A453" t="s">
        <v>957</v>
      </c>
      <c r="B453" t="s">
        <v>958</v>
      </c>
      <c r="C453" s="25">
        <v>44988</v>
      </c>
      <c r="D453" s="25">
        <v>44990</v>
      </c>
      <c r="E453" t="s">
        <v>33</v>
      </c>
      <c r="F453">
        <v>84613</v>
      </c>
      <c r="G453">
        <v>3994</v>
      </c>
      <c r="H453">
        <v>4458.44</v>
      </c>
      <c r="I453">
        <v>760</v>
      </c>
      <c r="J453" t="b">
        <v>1</v>
      </c>
      <c r="L453" t="s">
        <v>34</v>
      </c>
    </row>
    <row r="454" spans="1:12">
      <c r="A454" t="s">
        <v>959</v>
      </c>
      <c r="B454" t="s">
        <v>960</v>
      </c>
      <c r="C454" s="27">
        <v>45147</v>
      </c>
      <c r="D454" s="25">
        <v>45168</v>
      </c>
      <c r="E454" t="s">
        <v>33</v>
      </c>
      <c r="F454">
        <v>92794</v>
      </c>
      <c r="G454">
        <v>1867</v>
      </c>
      <c r="H454">
        <v>2503.4</v>
      </c>
      <c r="I454">
        <v>367</v>
      </c>
      <c r="J454" t="b">
        <v>1</v>
      </c>
      <c r="L454" t="s">
        <v>34</v>
      </c>
    </row>
    <row r="455" spans="1:12">
      <c r="A455" t="s">
        <v>961</v>
      </c>
      <c r="B455" t="s">
        <v>962</v>
      </c>
      <c r="C455" s="27">
        <v>45287</v>
      </c>
      <c r="D455" s="25">
        <v>45308</v>
      </c>
      <c r="E455" t="s">
        <v>23</v>
      </c>
      <c r="F455">
        <v>87672</v>
      </c>
      <c r="G455">
        <v>3616</v>
      </c>
      <c r="H455">
        <v>6920.98</v>
      </c>
      <c r="I455">
        <v>651</v>
      </c>
      <c r="J455" t="s">
        <v>15</v>
      </c>
      <c r="L455" t="s">
        <v>25</v>
      </c>
    </row>
    <row r="456" spans="1:12">
      <c r="A456" t="s">
        <v>963</v>
      </c>
      <c r="B456" t="s">
        <v>964</v>
      </c>
      <c r="C456" s="25">
        <v>45269</v>
      </c>
      <c r="D456" s="25">
        <v>45189</v>
      </c>
      <c r="E456" t="s">
        <v>23</v>
      </c>
      <c r="F456">
        <v>74847</v>
      </c>
      <c r="G456">
        <v>3218</v>
      </c>
      <c r="H456">
        <v>2008.36</v>
      </c>
      <c r="I456">
        <v>244</v>
      </c>
      <c r="J456">
        <v>0</v>
      </c>
      <c r="L456" t="s">
        <v>25</v>
      </c>
    </row>
    <row r="457" spans="1:12">
      <c r="A457" t="s">
        <v>965</v>
      </c>
      <c r="B457" t="s">
        <v>966</v>
      </c>
      <c r="C457" s="27">
        <v>44948</v>
      </c>
      <c r="D457" s="25">
        <v>44967</v>
      </c>
      <c r="E457" t="s">
        <v>23</v>
      </c>
      <c r="F457">
        <v>83750</v>
      </c>
      <c r="G457">
        <v>2497</v>
      </c>
      <c r="H457">
        <v>2199.62</v>
      </c>
      <c r="I457">
        <v>142</v>
      </c>
      <c r="J457" t="b">
        <v>1</v>
      </c>
      <c r="L457" t="s">
        <v>25</v>
      </c>
    </row>
    <row r="458" spans="1:12">
      <c r="A458" t="s">
        <v>967</v>
      </c>
      <c r="B458" t="s">
        <v>968</v>
      </c>
      <c r="C458" s="27">
        <v>44966</v>
      </c>
      <c r="D458" s="25">
        <v>44995</v>
      </c>
      <c r="E458" t="s">
        <v>19</v>
      </c>
      <c r="F458">
        <v>80634</v>
      </c>
      <c r="G458">
        <v>2052</v>
      </c>
      <c r="H458">
        <v>3426.8</v>
      </c>
      <c r="I458">
        <v>280</v>
      </c>
      <c r="J458" t="s">
        <v>24</v>
      </c>
      <c r="L458" t="s">
        <v>20</v>
      </c>
    </row>
    <row r="459" spans="1:12">
      <c r="A459" t="s">
        <v>969</v>
      </c>
      <c r="B459" t="s">
        <v>970</v>
      </c>
      <c r="C459" s="27">
        <v>45220</v>
      </c>
      <c r="D459" s="25">
        <v>45249</v>
      </c>
      <c r="E459" t="s">
        <v>19</v>
      </c>
      <c r="F459">
        <v>29251</v>
      </c>
      <c r="G459">
        <v>819</v>
      </c>
      <c r="H459">
        <v>530.8</v>
      </c>
      <c r="I459">
        <v>153</v>
      </c>
      <c r="J459">
        <v>1</v>
      </c>
      <c r="L459" t="s">
        <v>20</v>
      </c>
    </row>
    <row r="460" spans="1:12">
      <c r="A460" t="s">
        <v>971</v>
      </c>
      <c r="B460" t="s">
        <v>972</v>
      </c>
      <c r="C460" s="25">
        <v>45075</v>
      </c>
      <c r="D460" s="25">
        <v>45102</v>
      </c>
      <c r="E460" t="s">
        <v>33</v>
      </c>
      <c r="F460">
        <v>26945</v>
      </c>
      <c r="G460">
        <v>514</v>
      </c>
      <c r="H460">
        <v>315.33</v>
      </c>
      <c r="I460">
        <v>39</v>
      </c>
      <c r="J460" t="s">
        <v>30</v>
      </c>
      <c r="L460" t="s">
        <v>34</v>
      </c>
    </row>
    <row r="461" spans="1:12">
      <c r="A461" t="s">
        <v>973</v>
      </c>
      <c r="B461" t="s">
        <v>974</v>
      </c>
      <c r="C461" s="27">
        <v>45093</v>
      </c>
      <c r="D461" s="25">
        <v>45102</v>
      </c>
      <c r="E461" t="s">
        <v>14</v>
      </c>
      <c r="F461">
        <v>91852</v>
      </c>
      <c r="G461">
        <v>4186</v>
      </c>
      <c r="H461">
        <v>4363.12</v>
      </c>
      <c r="J461" t="b">
        <v>0</v>
      </c>
      <c r="L461" t="s">
        <v>16</v>
      </c>
    </row>
    <row r="462" spans="1:12">
      <c r="A462" t="s">
        <v>975</v>
      </c>
      <c r="B462" t="s">
        <v>976</v>
      </c>
      <c r="C462" s="27">
        <v>45162</v>
      </c>
      <c r="D462" s="25">
        <v>45169</v>
      </c>
      <c r="E462" t="s">
        <v>138</v>
      </c>
      <c r="F462">
        <v>33217</v>
      </c>
      <c r="G462">
        <v>930</v>
      </c>
      <c r="H462">
        <v>593.57</v>
      </c>
      <c r="I462">
        <v>158</v>
      </c>
      <c r="J462" t="b">
        <v>1</v>
      </c>
      <c r="K462">
        <v>33288</v>
      </c>
      <c r="L462" t="s">
        <v>139</v>
      </c>
    </row>
    <row r="463" spans="1:12">
      <c r="A463" t="s">
        <v>977</v>
      </c>
      <c r="B463" t="s">
        <v>978</v>
      </c>
      <c r="C463" s="27">
        <v>44972</v>
      </c>
      <c r="D463" s="25">
        <v>44989</v>
      </c>
      <c r="E463" t="s">
        <v>14</v>
      </c>
      <c r="F463">
        <v>9308</v>
      </c>
      <c r="G463">
        <v>421</v>
      </c>
      <c r="H463">
        <v>579.98</v>
      </c>
      <c r="I463">
        <v>25</v>
      </c>
      <c r="J463" t="b">
        <v>0</v>
      </c>
      <c r="L463" t="s">
        <v>16</v>
      </c>
    </row>
    <row r="464" spans="1:12">
      <c r="A464" t="s">
        <v>979</v>
      </c>
      <c r="B464" t="s">
        <v>980</v>
      </c>
      <c r="C464" s="27">
        <v>45150</v>
      </c>
      <c r="D464" s="25">
        <v>45151</v>
      </c>
      <c r="E464" t="s">
        <v>23</v>
      </c>
      <c r="F464">
        <v>6949</v>
      </c>
      <c r="G464">
        <v>98</v>
      </c>
      <c r="H464">
        <v>82.26</v>
      </c>
      <c r="I464">
        <v>10</v>
      </c>
      <c r="J464" t="b">
        <v>1</v>
      </c>
      <c r="L464" t="s">
        <v>25</v>
      </c>
    </row>
    <row r="465" spans="1:12">
      <c r="A465" t="s">
        <v>981</v>
      </c>
      <c r="B465" t="s">
        <v>982</v>
      </c>
      <c r="C465" s="27">
        <v>45129</v>
      </c>
      <c r="D465" s="25">
        <v>45139</v>
      </c>
      <c r="E465" t="s">
        <v>41</v>
      </c>
      <c r="F465">
        <v>52990</v>
      </c>
      <c r="G465">
        <v>2624</v>
      </c>
      <c r="H465">
        <v>4837.47</v>
      </c>
      <c r="I465">
        <v>398</v>
      </c>
      <c r="J465" t="s">
        <v>30</v>
      </c>
      <c r="L465" t="s">
        <v>42</v>
      </c>
    </row>
    <row r="466" spans="1:12">
      <c r="A466" t="s">
        <v>983</v>
      </c>
      <c r="B466" t="s">
        <v>984</v>
      </c>
      <c r="C466" s="27">
        <v>45040</v>
      </c>
      <c r="D466" s="25">
        <v>45041</v>
      </c>
      <c r="E466" t="s">
        <v>191</v>
      </c>
      <c r="F466">
        <v>2150</v>
      </c>
      <c r="G466">
        <v>59</v>
      </c>
      <c r="H466">
        <v>98.84</v>
      </c>
      <c r="I466">
        <v>5</v>
      </c>
      <c r="J466">
        <v>0</v>
      </c>
      <c r="L466" t="s">
        <v>42</v>
      </c>
    </row>
    <row r="467" spans="1:12">
      <c r="A467" t="s">
        <v>985</v>
      </c>
      <c r="B467" t="s">
        <v>986</v>
      </c>
      <c r="C467" s="27">
        <v>45188</v>
      </c>
      <c r="D467" s="25">
        <v>45195</v>
      </c>
      <c r="E467" t="s">
        <v>19</v>
      </c>
      <c r="F467">
        <v>90480</v>
      </c>
      <c r="G467">
        <v>1077</v>
      </c>
      <c r="H467">
        <v>1668.87</v>
      </c>
      <c r="I467">
        <v>67</v>
      </c>
      <c r="J467">
        <v>1</v>
      </c>
      <c r="L467" t="s">
        <v>20</v>
      </c>
    </row>
    <row r="468" spans="1:12">
      <c r="A468" t="s">
        <v>987</v>
      </c>
      <c r="B468" t="s">
        <v>988</v>
      </c>
      <c r="C468" s="27">
        <v>45026</v>
      </c>
      <c r="D468" s="25">
        <v>45021</v>
      </c>
      <c r="E468" t="s">
        <v>138</v>
      </c>
      <c r="F468">
        <v>75740</v>
      </c>
      <c r="G468">
        <v>872</v>
      </c>
      <c r="H468">
        <v>1242.96</v>
      </c>
      <c r="I468">
        <v>144</v>
      </c>
      <c r="J468" t="s">
        <v>30</v>
      </c>
      <c r="L468" t="s">
        <v>139</v>
      </c>
    </row>
    <row r="469" spans="1:12">
      <c r="A469" t="s">
        <v>989</v>
      </c>
      <c r="B469" t="s">
        <v>990</v>
      </c>
      <c r="C469" s="27">
        <v>45257</v>
      </c>
      <c r="D469" s="25">
        <v>45263</v>
      </c>
      <c r="E469" t="s">
        <v>41</v>
      </c>
      <c r="F469">
        <v>67617</v>
      </c>
      <c r="G469">
        <v>2694</v>
      </c>
      <c r="H469" s="26">
        <v>4836.27</v>
      </c>
      <c r="I469">
        <v>389</v>
      </c>
      <c r="J469" t="b">
        <v>0</v>
      </c>
      <c r="L469" t="s">
        <v>42</v>
      </c>
    </row>
    <row r="470" spans="1:12">
      <c r="A470" t="s">
        <v>991</v>
      </c>
      <c r="B470" t="s">
        <v>992</v>
      </c>
      <c r="C470" s="27">
        <v>45001</v>
      </c>
      <c r="D470" s="25">
        <v>45029</v>
      </c>
      <c r="E470" t="s">
        <v>33</v>
      </c>
      <c r="F470">
        <v>95841</v>
      </c>
      <c r="G470">
        <v>3484</v>
      </c>
      <c r="H470" s="26">
        <v>2907.72</v>
      </c>
      <c r="I470">
        <v>690</v>
      </c>
      <c r="J470" t="b">
        <v>1</v>
      </c>
      <c r="L470" t="s">
        <v>34</v>
      </c>
    </row>
    <row r="471" spans="1:12">
      <c r="A471" t="s">
        <v>993</v>
      </c>
      <c r="B471" t="s">
        <v>994</v>
      </c>
      <c r="C471" s="27">
        <v>45005</v>
      </c>
      <c r="D471" s="25">
        <v>45016</v>
      </c>
      <c r="E471" t="s">
        <v>14</v>
      </c>
      <c r="F471">
        <v>17896</v>
      </c>
      <c r="G471">
        <v>753</v>
      </c>
      <c r="H471">
        <v>1362.68</v>
      </c>
      <c r="I471">
        <v>76</v>
      </c>
      <c r="J471" t="b">
        <v>0</v>
      </c>
      <c r="L471" t="s">
        <v>16</v>
      </c>
    </row>
    <row r="472" spans="1:12">
      <c r="A472" t="s">
        <v>995</v>
      </c>
      <c r="B472" t="s">
        <v>996</v>
      </c>
      <c r="C472" s="27">
        <v>45017</v>
      </c>
      <c r="D472" s="25">
        <v>45024</v>
      </c>
      <c r="E472" t="s">
        <v>19</v>
      </c>
      <c r="F472">
        <v>47175</v>
      </c>
      <c r="G472">
        <v>670</v>
      </c>
      <c r="H472">
        <v>1128.44</v>
      </c>
      <c r="I472">
        <v>39</v>
      </c>
      <c r="J472">
        <v>1</v>
      </c>
      <c r="L472" t="s">
        <v>20</v>
      </c>
    </row>
    <row r="473" spans="1:12">
      <c r="A473" t="s">
        <v>997</v>
      </c>
      <c r="B473" t="s">
        <v>998</v>
      </c>
      <c r="C473" s="27">
        <v>45164</v>
      </c>
      <c r="D473" s="25">
        <v>45180</v>
      </c>
      <c r="E473" t="s">
        <v>14</v>
      </c>
      <c r="F473">
        <v>8805</v>
      </c>
      <c r="G473">
        <v>100</v>
      </c>
      <c r="H473">
        <v>162.22</v>
      </c>
      <c r="I473">
        <v>16</v>
      </c>
      <c r="J473" t="s">
        <v>24</v>
      </c>
      <c r="L473" t="s">
        <v>16</v>
      </c>
    </row>
    <row r="474" spans="1:12">
      <c r="A474" t="s">
        <v>999</v>
      </c>
      <c r="B474" t="s">
        <v>1000</v>
      </c>
      <c r="C474" s="27">
        <v>45156</v>
      </c>
      <c r="D474" s="25">
        <v>45180</v>
      </c>
      <c r="E474" t="s">
        <v>19</v>
      </c>
      <c r="F474">
        <v>6237</v>
      </c>
      <c r="G474">
        <v>189</v>
      </c>
      <c r="H474">
        <v>253.62</v>
      </c>
      <c r="I474">
        <v>24</v>
      </c>
      <c r="J474" t="s">
        <v>30</v>
      </c>
      <c r="L474" t="s">
        <v>20</v>
      </c>
    </row>
    <row r="475" spans="1:12">
      <c r="A475" t="s">
        <v>1001</v>
      </c>
      <c r="B475" t="s">
        <v>1002</v>
      </c>
      <c r="C475" s="27">
        <v>45256</v>
      </c>
      <c r="D475" s="25">
        <v>45269</v>
      </c>
      <c r="E475" t="s">
        <v>19</v>
      </c>
      <c r="F475">
        <v>21056</v>
      </c>
      <c r="G475">
        <v>537</v>
      </c>
      <c r="H475">
        <v>466.85</v>
      </c>
      <c r="I475">
        <v>44</v>
      </c>
      <c r="J475" t="b">
        <v>0</v>
      </c>
      <c r="L475" t="s">
        <v>20</v>
      </c>
    </row>
    <row r="476" spans="1:12">
      <c r="A476" t="s">
        <v>1003</v>
      </c>
      <c r="B476" t="s">
        <v>1004</v>
      </c>
      <c r="C476" s="27">
        <v>45248</v>
      </c>
      <c r="D476" s="25">
        <v>45272</v>
      </c>
      <c r="E476" t="s">
        <v>23</v>
      </c>
      <c r="F476">
        <v>46543</v>
      </c>
      <c r="G476">
        <v>1325</v>
      </c>
      <c r="H476">
        <v>1504.3</v>
      </c>
      <c r="I476">
        <v>221</v>
      </c>
      <c r="J476" t="b">
        <v>0</v>
      </c>
      <c r="L476" t="s">
        <v>25</v>
      </c>
    </row>
    <row r="477" spans="1:12">
      <c r="A477" t="s">
        <v>1005</v>
      </c>
      <c r="B477" t="s">
        <v>1006</v>
      </c>
      <c r="C477" s="27">
        <v>45167</v>
      </c>
      <c r="D477" s="25">
        <v>45178</v>
      </c>
      <c r="E477" t="s">
        <v>14</v>
      </c>
      <c r="F477">
        <v>57556</v>
      </c>
      <c r="G477">
        <v>2858</v>
      </c>
      <c r="H477">
        <v>4831.04</v>
      </c>
      <c r="I477">
        <v>230</v>
      </c>
      <c r="J477">
        <v>1</v>
      </c>
      <c r="L477" t="s">
        <v>16</v>
      </c>
    </row>
    <row r="478" spans="1:12">
      <c r="A478" t="s">
        <v>1007</v>
      </c>
      <c r="B478" t="s">
        <v>1008</v>
      </c>
      <c r="C478" s="27">
        <v>45067</v>
      </c>
      <c r="D478" s="25">
        <v>45082</v>
      </c>
      <c r="E478" t="s">
        <v>191</v>
      </c>
      <c r="F478">
        <v>4343</v>
      </c>
      <c r="G478">
        <v>212</v>
      </c>
      <c r="H478">
        <v>116.11</v>
      </c>
      <c r="J478" t="s">
        <v>24</v>
      </c>
      <c r="L478" t="s">
        <v>42</v>
      </c>
    </row>
    <row r="479" spans="1:12">
      <c r="A479" t="s">
        <v>1009</v>
      </c>
      <c r="B479" t="s">
        <v>1010</v>
      </c>
      <c r="C479" s="27">
        <v>44964</v>
      </c>
      <c r="D479" s="25">
        <v>44977</v>
      </c>
      <c r="E479" t="s">
        <v>41</v>
      </c>
      <c r="F479">
        <v>14500</v>
      </c>
      <c r="G479">
        <v>691</v>
      </c>
      <c r="H479">
        <v>1156.1</v>
      </c>
      <c r="I479">
        <v>44</v>
      </c>
      <c r="J479" t="b">
        <v>1</v>
      </c>
      <c r="L479" t="s">
        <v>42</v>
      </c>
    </row>
    <row r="480" spans="1:12">
      <c r="A480" t="s">
        <v>1011</v>
      </c>
      <c r="B480" t="s">
        <v>1012</v>
      </c>
      <c r="C480" s="27">
        <v>44956</v>
      </c>
      <c r="D480" s="25">
        <v>44976</v>
      </c>
      <c r="E480" t="s">
        <v>138</v>
      </c>
      <c r="F480">
        <v>54222</v>
      </c>
      <c r="G480">
        <v>2242</v>
      </c>
      <c r="H480">
        <v>1928.36</v>
      </c>
      <c r="I480">
        <v>246</v>
      </c>
      <c r="J480" t="s">
        <v>24</v>
      </c>
      <c r="L480" t="s">
        <v>139</v>
      </c>
    </row>
    <row r="481" spans="1:12">
      <c r="A481" t="s">
        <v>1013</v>
      </c>
      <c r="B481" t="s">
        <v>1014</v>
      </c>
      <c r="C481" s="27">
        <v>45257</v>
      </c>
      <c r="D481" s="25">
        <v>45282</v>
      </c>
      <c r="E481" t="s">
        <v>23</v>
      </c>
      <c r="F481">
        <v>30375</v>
      </c>
      <c r="G481">
        <v>734</v>
      </c>
      <c r="H481">
        <v>525.88</v>
      </c>
      <c r="I481">
        <v>82</v>
      </c>
      <c r="J481" t="b">
        <v>0</v>
      </c>
      <c r="L481" t="s">
        <v>25</v>
      </c>
    </row>
    <row r="482" spans="1:12">
      <c r="A482" t="s">
        <v>1015</v>
      </c>
      <c r="B482" t="s">
        <v>1016</v>
      </c>
      <c r="C482" s="27">
        <v>45241</v>
      </c>
      <c r="D482" s="25">
        <v>45247</v>
      </c>
      <c r="E482" t="s">
        <v>33</v>
      </c>
      <c r="F482">
        <v>10662</v>
      </c>
      <c r="G482">
        <v>282</v>
      </c>
      <c r="H482">
        <v>189.94</v>
      </c>
      <c r="I482">
        <v>35</v>
      </c>
      <c r="J482">
        <v>1</v>
      </c>
      <c r="L482" t="s">
        <v>34</v>
      </c>
    </row>
    <row r="483" spans="1:12">
      <c r="A483" t="s">
        <v>1017</v>
      </c>
      <c r="B483" t="s">
        <v>1018</v>
      </c>
      <c r="C483" s="27">
        <v>45224</v>
      </c>
      <c r="D483" s="25">
        <v>45254</v>
      </c>
      <c r="E483" t="s">
        <v>191</v>
      </c>
      <c r="F483">
        <v>17964</v>
      </c>
      <c r="G483">
        <v>574</v>
      </c>
      <c r="H483">
        <v>310.46</v>
      </c>
      <c r="I483">
        <v>89</v>
      </c>
      <c r="J483" t="b">
        <v>1</v>
      </c>
      <c r="L483" t="s">
        <v>42</v>
      </c>
    </row>
    <row r="484" spans="1:12">
      <c r="A484" t="s">
        <v>1019</v>
      </c>
      <c r="B484" t="s">
        <v>1020</v>
      </c>
      <c r="C484" s="27">
        <v>44948</v>
      </c>
      <c r="D484" s="25">
        <v>44964</v>
      </c>
      <c r="E484" t="s">
        <v>33</v>
      </c>
      <c r="F484">
        <v>60638</v>
      </c>
      <c r="G484">
        <v>2620</v>
      </c>
      <c r="H484">
        <v>3367.69</v>
      </c>
      <c r="I484">
        <v>487</v>
      </c>
      <c r="J484" t="s">
        <v>24</v>
      </c>
      <c r="L484" t="s">
        <v>34</v>
      </c>
    </row>
    <row r="485" spans="1:12">
      <c r="A485" t="s">
        <v>1021</v>
      </c>
      <c r="B485" t="s">
        <v>1022</v>
      </c>
      <c r="C485" s="27">
        <v>45260</v>
      </c>
      <c r="D485" s="25">
        <v>45276</v>
      </c>
      <c r="E485" t="s">
        <v>41</v>
      </c>
      <c r="F485">
        <v>74666</v>
      </c>
      <c r="G485">
        <v>951</v>
      </c>
      <c r="H485">
        <v>786.85</v>
      </c>
      <c r="I485">
        <v>67</v>
      </c>
      <c r="J485" t="s">
        <v>24</v>
      </c>
      <c r="L485" t="s">
        <v>42</v>
      </c>
    </row>
    <row r="486" spans="1:12">
      <c r="A486" t="s">
        <v>1023</v>
      </c>
      <c r="B486" t="s">
        <v>1024</v>
      </c>
      <c r="C486" s="25">
        <v>45183</v>
      </c>
      <c r="D486" s="25">
        <v>45201</v>
      </c>
      <c r="E486" t="s">
        <v>41</v>
      </c>
      <c r="F486">
        <v>86067</v>
      </c>
      <c r="G486">
        <v>2321</v>
      </c>
      <c r="H486" s="26">
        <v>4605.21</v>
      </c>
      <c r="I486">
        <v>134</v>
      </c>
      <c r="J486" t="s">
        <v>24</v>
      </c>
      <c r="L486" t="s">
        <v>42</v>
      </c>
    </row>
    <row r="487" spans="1:12">
      <c r="A487" t="s">
        <v>1025</v>
      </c>
      <c r="B487" t="s">
        <v>1026</v>
      </c>
      <c r="C487" s="27">
        <v>44979</v>
      </c>
      <c r="D487" s="25">
        <v>44999</v>
      </c>
      <c r="E487" t="s">
        <v>23</v>
      </c>
      <c r="F487">
        <v>68215</v>
      </c>
      <c r="G487">
        <v>907</v>
      </c>
      <c r="H487">
        <v>1235.02</v>
      </c>
      <c r="J487">
        <v>0</v>
      </c>
      <c r="L487" t="s">
        <v>25</v>
      </c>
    </row>
    <row r="488" spans="1:12">
      <c r="A488" t="s">
        <v>1027</v>
      </c>
      <c r="B488" t="s">
        <v>1028</v>
      </c>
      <c r="C488" s="25">
        <v>45292</v>
      </c>
      <c r="D488" s="25">
        <v>45302</v>
      </c>
      <c r="E488" t="s">
        <v>138</v>
      </c>
      <c r="F488">
        <v>70042</v>
      </c>
      <c r="G488">
        <v>2142</v>
      </c>
      <c r="H488">
        <v>1514.03</v>
      </c>
      <c r="I488">
        <v>153</v>
      </c>
      <c r="J488" t="b">
        <v>1</v>
      </c>
      <c r="L488" t="s">
        <v>139</v>
      </c>
    </row>
    <row r="489" spans="1:12">
      <c r="A489" t="s">
        <v>1029</v>
      </c>
      <c r="B489" t="s">
        <v>1030</v>
      </c>
      <c r="C489" s="27">
        <v>45257</v>
      </c>
      <c r="D489" s="25">
        <v>45283</v>
      </c>
      <c r="E489" t="s">
        <v>23</v>
      </c>
      <c r="F489">
        <v>14284</v>
      </c>
      <c r="G489">
        <v>656</v>
      </c>
      <c r="H489">
        <v>1005.74</v>
      </c>
      <c r="I489">
        <v>97</v>
      </c>
      <c r="J489" t="s">
        <v>24</v>
      </c>
      <c r="L489" t="s">
        <v>25</v>
      </c>
    </row>
    <row r="490" spans="1:12">
      <c r="A490" t="s">
        <v>1031</v>
      </c>
      <c r="B490" t="s">
        <v>1032</v>
      </c>
      <c r="C490" s="27">
        <v>45151</v>
      </c>
      <c r="D490" s="25">
        <v>45173</v>
      </c>
      <c r="E490" t="s">
        <v>23</v>
      </c>
      <c r="F490">
        <v>73789</v>
      </c>
      <c r="G490">
        <v>3047</v>
      </c>
      <c r="H490">
        <v>5626.64</v>
      </c>
      <c r="I490">
        <v>484</v>
      </c>
      <c r="J490">
        <v>0</v>
      </c>
      <c r="L490" t="s">
        <v>25</v>
      </c>
    </row>
    <row r="491" spans="1:12">
      <c r="A491" t="s">
        <v>1033</v>
      </c>
      <c r="B491" t="s">
        <v>1034</v>
      </c>
      <c r="C491" s="27">
        <v>45239</v>
      </c>
      <c r="D491" s="25">
        <v>45267</v>
      </c>
      <c r="E491" t="s">
        <v>23</v>
      </c>
      <c r="F491">
        <v>85664</v>
      </c>
      <c r="G491">
        <v>1637</v>
      </c>
      <c r="H491">
        <v>2648.29</v>
      </c>
      <c r="I491">
        <v>274</v>
      </c>
      <c r="J491" t="s">
        <v>30</v>
      </c>
      <c r="L491" t="s">
        <v>25</v>
      </c>
    </row>
    <row r="492" spans="1:12">
      <c r="A492" t="s">
        <v>1035</v>
      </c>
      <c r="B492" t="s">
        <v>1036</v>
      </c>
      <c r="C492" s="27">
        <v>45071</v>
      </c>
      <c r="D492" s="25">
        <v>45079</v>
      </c>
      <c r="E492" t="s">
        <v>138</v>
      </c>
      <c r="F492">
        <v>94468</v>
      </c>
      <c r="G492">
        <v>4632</v>
      </c>
      <c r="H492">
        <v>2847.1</v>
      </c>
      <c r="I492">
        <v>400</v>
      </c>
      <c r="J492">
        <v>1</v>
      </c>
      <c r="L492" t="s">
        <v>139</v>
      </c>
    </row>
    <row r="493" spans="1:12">
      <c r="A493" t="s">
        <v>1037</v>
      </c>
      <c r="B493" t="s">
        <v>1038</v>
      </c>
      <c r="C493" s="27">
        <v>45274</v>
      </c>
      <c r="D493" s="25">
        <v>45277</v>
      </c>
      <c r="E493" t="s">
        <v>33</v>
      </c>
      <c r="F493">
        <v>62389</v>
      </c>
      <c r="G493">
        <v>2289</v>
      </c>
      <c r="H493">
        <v>4220.52</v>
      </c>
      <c r="I493">
        <v>219</v>
      </c>
      <c r="J493" t="s">
        <v>24</v>
      </c>
      <c r="L493" t="s">
        <v>34</v>
      </c>
    </row>
    <row r="494" spans="1:12">
      <c r="A494" t="s">
        <v>1039</v>
      </c>
      <c r="B494" t="s">
        <v>1040</v>
      </c>
      <c r="C494" s="27">
        <v>45258</v>
      </c>
      <c r="D494" s="25">
        <v>45278</v>
      </c>
      <c r="E494" t="s">
        <v>58</v>
      </c>
      <c r="F494">
        <v>10435</v>
      </c>
      <c r="G494">
        <v>108</v>
      </c>
      <c r="H494">
        <v>182.62</v>
      </c>
      <c r="I494">
        <v>13</v>
      </c>
      <c r="J494" t="b">
        <v>1</v>
      </c>
      <c r="L494" t="s">
        <v>59</v>
      </c>
    </row>
    <row r="495" spans="1:12">
      <c r="A495" t="s">
        <v>1041</v>
      </c>
      <c r="B495" t="s">
        <v>1042</v>
      </c>
      <c r="C495" s="27">
        <v>45212</v>
      </c>
      <c r="D495" s="25">
        <v>45216</v>
      </c>
      <c r="E495" t="s">
        <v>19</v>
      </c>
      <c r="F495">
        <v>55340</v>
      </c>
      <c r="G495">
        <v>1118</v>
      </c>
      <c r="H495">
        <v>824.48</v>
      </c>
      <c r="I495">
        <v>66</v>
      </c>
      <c r="J495">
        <v>0</v>
      </c>
      <c r="L495" t="s">
        <v>20</v>
      </c>
    </row>
    <row r="496" spans="1:12">
      <c r="A496" t="s">
        <v>1043</v>
      </c>
      <c r="B496" t="s">
        <v>1044</v>
      </c>
      <c r="C496" s="27">
        <v>45263</v>
      </c>
      <c r="D496" s="25">
        <v>45292</v>
      </c>
      <c r="E496" t="s">
        <v>23</v>
      </c>
      <c r="F496">
        <v>45078</v>
      </c>
      <c r="G496">
        <v>920</v>
      </c>
      <c r="H496">
        <v>531.46</v>
      </c>
      <c r="I496">
        <v>130</v>
      </c>
      <c r="J496">
        <v>0</v>
      </c>
      <c r="L496" t="s">
        <v>25</v>
      </c>
    </row>
    <row r="497" spans="1:12">
      <c r="A497" t="s">
        <v>1045</v>
      </c>
      <c r="B497" t="s">
        <v>1046</v>
      </c>
      <c r="C497" s="27">
        <v>45003</v>
      </c>
      <c r="D497" s="25">
        <v>45004</v>
      </c>
      <c r="E497" t="s">
        <v>14</v>
      </c>
      <c r="F497">
        <v>79832</v>
      </c>
      <c r="G497">
        <v>1019</v>
      </c>
      <c r="H497">
        <v>1361.35</v>
      </c>
      <c r="I497">
        <v>201</v>
      </c>
      <c r="J497" t="s">
        <v>30</v>
      </c>
      <c r="L497" t="s">
        <v>16</v>
      </c>
    </row>
    <row r="498" spans="1:12">
      <c r="A498" t="s">
        <v>1047</v>
      </c>
      <c r="B498" t="s">
        <v>1048</v>
      </c>
      <c r="C498" s="27">
        <v>44999</v>
      </c>
      <c r="D498" s="25">
        <v>45027</v>
      </c>
      <c r="E498" t="s">
        <v>138</v>
      </c>
      <c r="F498">
        <v>52293</v>
      </c>
      <c r="G498">
        <v>2530</v>
      </c>
      <c r="H498">
        <v>1857.16</v>
      </c>
      <c r="I498">
        <v>263</v>
      </c>
      <c r="J498" t="s">
        <v>15</v>
      </c>
      <c r="L498" t="s">
        <v>139</v>
      </c>
    </row>
    <row r="499" spans="1:12">
      <c r="A499" t="s">
        <v>1049</v>
      </c>
      <c r="B499" t="s">
        <v>1050</v>
      </c>
      <c r="C499" s="27">
        <v>45262</v>
      </c>
      <c r="D499" s="25">
        <v>45263</v>
      </c>
      <c r="E499" t="s">
        <v>19</v>
      </c>
      <c r="F499">
        <v>96981</v>
      </c>
      <c r="G499">
        <v>2825</v>
      </c>
      <c r="H499">
        <v>4949.08</v>
      </c>
      <c r="I499">
        <v>460</v>
      </c>
      <c r="J499">
        <v>1</v>
      </c>
      <c r="L499" t="s">
        <v>20</v>
      </c>
    </row>
    <row r="500" spans="1:12">
      <c r="A500" t="s">
        <v>1051</v>
      </c>
      <c r="B500" t="s">
        <v>1052</v>
      </c>
      <c r="C500" s="25">
        <v>45231</v>
      </c>
      <c r="D500" s="25">
        <v>44957</v>
      </c>
      <c r="E500" t="s">
        <v>41</v>
      </c>
      <c r="F500">
        <v>79781</v>
      </c>
      <c r="G500">
        <v>3656</v>
      </c>
      <c r="H500" s="26">
        <v>3793.11</v>
      </c>
      <c r="J500" t="s">
        <v>15</v>
      </c>
      <c r="L500" t="s">
        <v>42</v>
      </c>
    </row>
    <row r="501" spans="1:12">
      <c r="A501" t="s">
        <v>1053</v>
      </c>
      <c r="B501" t="s">
        <v>1054</v>
      </c>
      <c r="C501" s="27">
        <v>45213</v>
      </c>
      <c r="D501" s="25">
        <v>45215</v>
      </c>
      <c r="E501" t="s">
        <v>14</v>
      </c>
      <c r="F501">
        <v>61403</v>
      </c>
      <c r="G501">
        <v>1405</v>
      </c>
      <c r="H501">
        <v>2626.42</v>
      </c>
      <c r="I501">
        <v>97</v>
      </c>
      <c r="J501" t="b">
        <v>1</v>
      </c>
      <c r="L501" t="s">
        <v>16</v>
      </c>
    </row>
    <row r="502" spans="1:12">
      <c r="A502" t="s">
        <v>1055</v>
      </c>
      <c r="B502" t="s">
        <v>1056</v>
      </c>
      <c r="C502" s="27">
        <v>44992</v>
      </c>
      <c r="D502" s="25">
        <v>45020</v>
      </c>
      <c r="E502" t="s">
        <v>33</v>
      </c>
      <c r="F502">
        <v>30124</v>
      </c>
      <c r="G502">
        <v>452</v>
      </c>
      <c r="H502">
        <v>609.54</v>
      </c>
      <c r="I502">
        <v>62</v>
      </c>
      <c r="J502">
        <v>1</v>
      </c>
      <c r="L502" t="s">
        <v>34</v>
      </c>
    </row>
    <row r="503" spans="1:12">
      <c r="A503" t="s">
        <v>1057</v>
      </c>
      <c r="B503" t="s">
        <v>1058</v>
      </c>
      <c r="C503" s="25">
        <v>45277</v>
      </c>
      <c r="D503" s="25">
        <v>45278</v>
      </c>
      <c r="E503" t="s">
        <v>41</v>
      </c>
      <c r="F503">
        <v>96435</v>
      </c>
      <c r="G503">
        <v>2794</v>
      </c>
      <c r="H503">
        <v>2162.58</v>
      </c>
      <c r="I503">
        <v>265</v>
      </c>
      <c r="J503" t="s">
        <v>30</v>
      </c>
      <c r="L503" t="s">
        <v>42</v>
      </c>
    </row>
    <row r="504" spans="1:12">
      <c r="A504" t="s">
        <v>1059</v>
      </c>
      <c r="B504" t="s">
        <v>1060</v>
      </c>
      <c r="C504" s="27">
        <v>45270</v>
      </c>
      <c r="D504" s="25">
        <v>45279</v>
      </c>
      <c r="E504" t="s">
        <v>19</v>
      </c>
      <c r="F504">
        <v>44919</v>
      </c>
      <c r="G504">
        <v>653</v>
      </c>
      <c r="H504">
        <v>463.24</v>
      </c>
      <c r="J504" t="b">
        <v>1</v>
      </c>
      <c r="L504" t="s">
        <v>20</v>
      </c>
    </row>
    <row r="505" spans="1:12">
      <c r="A505" t="s">
        <v>1061</v>
      </c>
      <c r="B505" t="s">
        <v>1062</v>
      </c>
      <c r="C505" s="27">
        <v>45112</v>
      </c>
      <c r="D505" s="25">
        <v>45142</v>
      </c>
      <c r="E505" t="s">
        <v>14</v>
      </c>
      <c r="F505">
        <v>36247</v>
      </c>
      <c r="G505">
        <v>1067</v>
      </c>
      <c r="H505">
        <v>1456.14</v>
      </c>
      <c r="I505">
        <v>154</v>
      </c>
      <c r="J505">
        <v>1</v>
      </c>
      <c r="L505" t="s">
        <v>16</v>
      </c>
    </row>
    <row r="506" spans="1:12">
      <c r="A506" t="s">
        <v>1063</v>
      </c>
      <c r="B506" t="s">
        <v>1064</v>
      </c>
      <c r="C506" s="27">
        <v>45101</v>
      </c>
      <c r="D506" s="25">
        <v>45102</v>
      </c>
      <c r="E506" t="s">
        <v>41</v>
      </c>
      <c r="F506">
        <v>95758</v>
      </c>
      <c r="G506">
        <v>4482</v>
      </c>
      <c r="H506">
        <v>7363.14</v>
      </c>
      <c r="I506">
        <v>801</v>
      </c>
      <c r="J506">
        <v>1</v>
      </c>
      <c r="L506" t="s">
        <v>42</v>
      </c>
    </row>
    <row r="507" spans="1:12">
      <c r="A507" t="s">
        <v>1065</v>
      </c>
      <c r="B507" t="s">
        <v>1066</v>
      </c>
      <c r="C507" s="27">
        <v>45042</v>
      </c>
      <c r="D507" s="25">
        <v>45052</v>
      </c>
      <c r="E507" t="s">
        <v>19</v>
      </c>
      <c r="F507">
        <v>92747</v>
      </c>
      <c r="G507">
        <v>2859</v>
      </c>
      <c r="H507">
        <v>4780.99</v>
      </c>
      <c r="J507" t="s">
        <v>15</v>
      </c>
      <c r="L507" t="s">
        <v>20</v>
      </c>
    </row>
    <row r="508" spans="1:12">
      <c r="A508" t="s">
        <v>1067</v>
      </c>
      <c r="B508" t="s">
        <v>1068</v>
      </c>
      <c r="C508" s="27">
        <v>45078</v>
      </c>
      <c r="D508" s="25">
        <v>45093</v>
      </c>
      <c r="E508" t="s">
        <v>14</v>
      </c>
      <c r="F508">
        <v>63752</v>
      </c>
      <c r="G508">
        <v>2209</v>
      </c>
      <c r="H508">
        <v>2018.22</v>
      </c>
      <c r="I508">
        <v>239</v>
      </c>
      <c r="J508" t="b">
        <v>1</v>
      </c>
      <c r="L508" t="s">
        <v>16</v>
      </c>
    </row>
    <row r="509" spans="1:12">
      <c r="A509" t="s">
        <v>1069</v>
      </c>
      <c r="B509" t="s">
        <v>1070</v>
      </c>
      <c r="C509" s="27">
        <v>45203</v>
      </c>
      <c r="D509" s="25">
        <v>45216</v>
      </c>
      <c r="E509" t="s">
        <v>41</v>
      </c>
      <c r="F509">
        <v>57573</v>
      </c>
      <c r="G509">
        <v>936</v>
      </c>
      <c r="H509">
        <v>754.76</v>
      </c>
      <c r="J509" t="s">
        <v>30</v>
      </c>
      <c r="L509" t="s">
        <v>42</v>
      </c>
    </row>
    <row r="510" spans="1:12">
      <c r="A510" t="s">
        <v>1071</v>
      </c>
      <c r="B510" t="s">
        <v>1072</v>
      </c>
      <c r="C510" s="27">
        <v>44946</v>
      </c>
      <c r="D510" s="25">
        <v>44970</v>
      </c>
      <c r="E510" t="s">
        <v>41</v>
      </c>
      <c r="F510">
        <v>60101</v>
      </c>
      <c r="G510">
        <v>706</v>
      </c>
      <c r="H510">
        <v>370.74</v>
      </c>
      <c r="I510">
        <v>121</v>
      </c>
      <c r="J510" t="s">
        <v>30</v>
      </c>
      <c r="L510" t="s">
        <v>42</v>
      </c>
    </row>
    <row r="511" spans="1:12">
      <c r="A511" t="s">
        <v>1073</v>
      </c>
      <c r="B511" t="s">
        <v>1074</v>
      </c>
      <c r="C511" s="27">
        <v>45243</v>
      </c>
      <c r="D511" s="25">
        <v>45262</v>
      </c>
      <c r="E511" t="s">
        <v>14</v>
      </c>
      <c r="F511">
        <v>27646</v>
      </c>
      <c r="G511">
        <v>398</v>
      </c>
      <c r="H511" s="26">
        <v>604.48</v>
      </c>
      <c r="I511">
        <v>62</v>
      </c>
      <c r="J511" t="b">
        <v>1</v>
      </c>
      <c r="L511" t="s">
        <v>16</v>
      </c>
    </row>
    <row r="512" spans="1:12">
      <c r="A512" t="s">
        <v>1075</v>
      </c>
      <c r="B512" t="s">
        <v>1076</v>
      </c>
      <c r="C512" s="27">
        <v>45010</v>
      </c>
      <c r="D512" s="25">
        <v>45016</v>
      </c>
      <c r="E512" t="s">
        <v>14</v>
      </c>
      <c r="F512">
        <v>24049</v>
      </c>
      <c r="G512">
        <v>816</v>
      </c>
      <c r="H512">
        <v>501.72</v>
      </c>
      <c r="I512">
        <v>71</v>
      </c>
      <c r="J512" t="b">
        <v>1</v>
      </c>
      <c r="L512" t="s">
        <v>16</v>
      </c>
    </row>
    <row r="513" spans="1:12">
      <c r="A513" t="s">
        <v>1077</v>
      </c>
      <c r="B513" t="s">
        <v>1078</v>
      </c>
      <c r="C513" s="27">
        <v>45246</v>
      </c>
      <c r="D513" s="25">
        <v>45250</v>
      </c>
      <c r="E513" t="s">
        <v>14</v>
      </c>
      <c r="F513">
        <v>80605</v>
      </c>
      <c r="G513">
        <v>1112</v>
      </c>
      <c r="H513">
        <v>1257.83</v>
      </c>
      <c r="I513">
        <v>207</v>
      </c>
      <c r="J513">
        <v>0</v>
      </c>
      <c r="L513" t="s">
        <v>16</v>
      </c>
    </row>
    <row r="514" spans="1:12">
      <c r="A514" t="s">
        <v>1079</v>
      </c>
      <c r="B514" t="s">
        <v>1080</v>
      </c>
      <c r="C514" t="s">
        <v>1081</v>
      </c>
      <c r="D514" s="25">
        <v>45153</v>
      </c>
      <c r="E514" t="s">
        <v>19</v>
      </c>
      <c r="F514">
        <v>99116</v>
      </c>
      <c r="G514">
        <v>2481</v>
      </c>
      <c r="H514">
        <v>3479.66</v>
      </c>
      <c r="I514">
        <v>181</v>
      </c>
      <c r="J514" t="b">
        <v>0</v>
      </c>
      <c r="L514" t="s">
        <v>20</v>
      </c>
    </row>
    <row r="515" spans="1:12">
      <c r="A515" t="s">
        <v>1082</v>
      </c>
      <c r="B515" t="s">
        <v>1083</v>
      </c>
      <c r="C515" s="27">
        <v>45113</v>
      </c>
      <c r="D515" s="25">
        <v>45125</v>
      </c>
      <c r="E515" t="s">
        <v>14</v>
      </c>
      <c r="F515">
        <v>98379</v>
      </c>
      <c r="G515">
        <v>3148</v>
      </c>
      <c r="H515">
        <v>5999.03</v>
      </c>
      <c r="J515" t="s">
        <v>15</v>
      </c>
      <c r="L515" t="s">
        <v>16</v>
      </c>
    </row>
    <row r="516" spans="1:12">
      <c r="A516" t="s">
        <v>1084</v>
      </c>
      <c r="B516" t="s">
        <v>1085</v>
      </c>
      <c r="C516" s="27">
        <v>45154</v>
      </c>
      <c r="D516" s="25">
        <v>45161</v>
      </c>
      <c r="E516" t="s">
        <v>41</v>
      </c>
      <c r="F516">
        <v>69385</v>
      </c>
      <c r="G516">
        <v>1772</v>
      </c>
      <c r="H516">
        <v>1714.77</v>
      </c>
      <c r="I516">
        <v>96</v>
      </c>
      <c r="J516" t="b">
        <v>1</v>
      </c>
      <c r="L516" t="s">
        <v>42</v>
      </c>
    </row>
    <row r="517" spans="1:12">
      <c r="A517" t="s">
        <v>1086</v>
      </c>
      <c r="B517" t="s">
        <v>1087</v>
      </c>
      <c r="C517" s="27">
        <v>45156</v>
      </c>
      <c r="D517" s="25">
        <v>45177</v>
      </c>
      <c r="E517" t="s">
        <v>14</v>
      </c>
      <c r="F517">
        <v>41158</v>
      </c>
      <c r="G517">
        <v>681</v>
      </c>
      <c r="H517">
        <v>595.64</v>
      </c>
      <c r="J517" t="b">
        <v>1</v>
      </c>
      <c r="L517" t="s">
        <v>16</v>
      </c>
    </row>
    <row r="518" spans="1:12">
      <c r="A518" t="s">
        <v>1088</v>
      </c>
      <c r="B518" t="s">
        <v>1089</v>
      </c>
      <c r="C518" s="27">
        <v>45167</v>
      </c>
      <c r="D518" s="25">
        <v>45174</v>
      </c>
      <c r="E518" t="s">
        <v>14</v>
      </c>
      <c r="F518">
        <v>66417</v>
      </c>
      <c r="G518">
        <v>1391</v>
      </c>
      <c r="H518" s="26">
        <v>2060.41</v>
      </c>
      <c r="I518">
        <v>127</v>
      </c>
      <c r="J518" t="b">
        <v>0</v>
      </c>
      <c r="L518" t="s">
        <v>16</v>
      </c>
    </row>
    <row r="519" spans="1:12">
      <c r="A519" t="s">
        <v>1090</v>
      </c>
      <c r="B519" t="s">
        <v>1091</v>
      </c>
      <c r="C519" s="27">
        <v>45274</v>
      </c>
      <c r="D519" s="25">
        <v>45288</v>
      </c>
      <c r="E519" t="s">
        <v>19</v>
      </c>
      <c r="F519">
        <v>24289</v>
      </c>
      <c r="G519">
        <v>1144</v>
      </c>
      <c r="H519" s="26">
        <v>1634.61</v>
      </c>
      <c r="I519">
        <v>134</v>
      </c>
      <c r="J519" t="b">
        <v>0</v>
      </c>
      <c r="L519" t="s">
        <v>20</v>
      </c>
    </row>
    <row r="520" spans="1:12">
      <c r="A520" t="s">
        <v>1092</v>
      </c>
      <c r="B520" t="s">
        <v>1093</v>
      </c>
      <c r="C520" s="27">
        <v>45163</v>
      </c>
      <c r="D520" s="25">
        <v>45187</v>
      </c>
      <c r="E520" t="s">
        <v>14</v>
      </c>
      <c r="F520">
        <v>10823</v>
      </c>
      <c r="G520">
        <v>400</v>
      </c>
      <c r="H520">
        <v>399.27</v>
      </c>
      <c r="I520">
        <v>40</v>
      </c>
      <c r="J520">
        <v>1</v>
      </c>
      <c r="L520" t="s">
        <v>16</v>
      </c>
    </row>
    <row r="521" spans="1:12">
      <c r="A521" t="s">
        <v>1094</v>
      </c>
      <c r="B521" t="s">
        <v>1095</v>
      </c>
      <c r="C521" s="27">
        <v>45184</v>
      </c>
      <c r="D521" s="25">
        <v>45213</v>
      </c>
      <c r="E521" t="s">
        <v>23</v>
      </c>
      <c r="F521">
        <v>61160</v>
      </c>
      <c r="G521">
        <v>1825</v>
      </c>
      <c r="H521">
        <v>3453.18</v>
      </c>
      <c r="J521" t="s">
        <v>24</v>
      </c>
      <c r="L521" t="s">
        <v>25</v>
      </c>
    </row>
    <row r="522" spans="1:12">
      <c r="A522" t="s">
        <v>1096</v>
      </c>
      <c r="B522" t="s">
        <v>1097</v>
      </c>
      <c r="C522" s="27">
        <v>45029</v>
      </c>
      <c r="D522" s="25">
        <v>45041</v>
      </c>
      <c r="E522" t="s">
        <v>33</v>
      </c>
      <c r="F522">
        <v>42975</v>
      </c>
      <c r="G522">
        <v>451</v>
      </c>
      <c r="H522">
        <v>797.05</v>
      </c>
      <c r="J522" t="s">
        <v>30</v>
      </c>
      <c r="L522" t="s">
        <v>34</v>
      </c>
    </row>
    <row r="523" spans="1:12">
      <c r="A523" t="s">
        <v>1098</v>
      </c>
      <c r="B523" t="s">
        <v>1099</v>
      </c>
      <c r="C523" s="25">
        <v>45174</v>
      </c>
      <c r="D523" s="25">
        <v>45058</v>
      </c>
      <c r="E523" t="s">
        <v>33</v>
      </c>
      <c r="F523">
        <v>10540</v>
      </c>
      <c r="G523">
        <v>523</v>
      </c>
      <c r="H523">
        <v>437.21</v>
      </c>
      <c r="I523">
        <v>95</v>
      </c>
      <c r="J523" t="s">
        <v>15</v>
      </c>
      <c r="L523" t="s">
        <v>34</v>
      </c>
    </row>
    <row r="524" spans="1:12">
      <c r="A524" t="s">
        <v>1100</v>
      </c>
      <c r="B524" t="s">
        <v>1101</v>
      </c>
      <c r="C524" s="27">
        <v>45173</v>
      </c>
      <c r="D524" s="25">
        <v>45182</v>
      </c>
      <c r="E524" t="s">
        <v>23</v>
      </c>
      <c r="F524">
        <v>17364</v>
      </c>
      <c r="G524">
        <v>640</v>
      </c>
      <c r="H524">
        <v>549.58</v>
      </c>
      <c r="I524">
        <v>124</v>
      </c>
      <c r="J524">
        <v>1</v>
      </c>
      <c r="L524" t="s">
        <v>25</v>
      </c>
    </row>
    <row r="525" spans="1:12">
      <c r="A525" t="s">
        <v>1102</v>
      </c>
      <c r="B525" t="s">
        <v>1103</v>
      </c>
      <c r="C525" s="27">
        <v>44979</v>
      </c>
      <c r="D525" s="25">
        <v>44993</v>
      </c>
      <c r="E525" t="s">
        <v>14</v>
      </c>
      <c r="F525">
        <v>5611</v>
      </c>
      <c r="G525">
        <v>127</v>
      </c>
      <c r="H525">
        <v>161.09</v>
      </c>
      <c r="I525">
        <v>10</v>
      </c>
      <c r="J525" t="b">
        <v>1</v>
      </c>
      <c r="K525">
        <v>5636</v>
      </c>
      <c r="L525" t="s">
        <v>16</v>
      </c>
    </row>
    <row r="526" spans="1:12">
      <c r="A526" t="s">
        <v>1104</v>
      </c>
      <c r="B526" t="s">
        <v>1105</v>
      </c>
      <c r="C526" s="27">
        <v>44990</v>
      </c>
      <c r="D526" s="25">
        <v>45011</v>
      </c>
      <c r="E526" t="s">
        <v>14</v>
      </c>
      <c r="F526">
        <v>28663</v>
      </c>
      <c r="G526">
        <v>1294</v>
      </c>
      <c r="H526">
        <v>2148.5</v>
      </c>
      <c r="I526">
        <v>203</v>
      </c>
      <c r="J526" t="b">
        <v>0</v>
      </c>
      <c r="L526" t="s">
        <v>16</v>
      </c>
    </row>
    <row r="527" spans="1:12">
      <c r="A527" t="s">
        <v>1106</v>
      </c>
      <c r="B527" t="s">
        <v>1107</v>
      </c>
      <c r="C527" s="27">
        <v>45066</v>
      </c>
      <c r="D527" s="25">
        <v>45067</v>
      </c>
      <c r="E527" t="s">
        <v>41</v>
      </c>
      <c r="F527">
        <v>52991</v>
      </c>
      <c r="G527">
        <v>1077</v>
      </c>
      <c r="H527">
        <v>609.65</v>
      </c>
      <c r="I527">
        <v>161</v>
      </c>
      <c r="J527">
        <v>0</v>
      </c>
      <c r="L527" t="s">
        <v>42</v>
      </c>
    </row>
    <row r="528" spans="1:12">
      <c r="A528" t="s">
        <v>1108</v>
      </c>
      <c r="B528" t="s">
        <v>1109</v>
      </c>
      <c r="C528" s="25">
        <v>45268</v>
      </c>
      <c r="D528" s="25">
        <v>45160</v>
      </c>
      <c r="E528" t="s">
        <v>23</v>
      </c>
      <c r="F528">
        <v>58679</v>
      </c>
      <c r="G528">
        <v>1863</v>
      </c>
      <c r="H528">
        <v>2869.03</v>
      </c>
      <c r="I528">
        <v>189</v>
      </c>
      <c r="J528" t="s">
        <v>30</v>
      </c>
      <c r="L528" t="s">
        <v>25</v>
      </c>
    </row>
    <row r="529" spans="1:12">
      <c r="A529" t="s">
        <v>1110</v>
      </c>
      <c r="B529" t="s">
        <v>1111</v>
      </c>
      <c r="C529" s="27">
        <v>45040</v>
      </c>
      <c r="D529" s="25">
        <v>45065</v>
      </c>
      <c r="E529" t="s">
        <v>14</v>
      </c>
      <c r="F529">
        <v>31977</v>
      </c>
      <c r="G529">
        <v>1133</v>
      </c>
      <c r="H529" s="26">
        <v>1668.18</v>
      </c>
      <c r="I529">
        <v>59</v>
      </c>
      <c r="J529">
        <v>1</v>
      </c>
      <c r="L529" t="s">
        <v>16</v>
      </c>
    </row>
    <row r="530" spans="1:12">
      <c r="A530" t="s">
        <v>1112</v>
      </c>
      <c r="B530" t="s">
        <v>1113</v>
      </c>
      <c r="C530" s="27">
        <v>44940</v>
      </c>
      <c r="D530" s="25">
        <v>44942</v>
      </c>
      <c r="E530" t="s">
        <v>23</v>
      </c>
      <c r="F530">
        <v>95704</v>
      </c>
      <c r="G530">
        <v>1803</v>
      </c>
      <c r="H530">
        <v>1527.54</v>
      </c>
      <c r="I530">
        <v>276</v>
      </c>
      <c r="J530">
        <v>0</v>
      </c>
      <c r="L530" t="s">
        <v>25</v>
      </c>
    </row>
    <row r="531" spans="1:12">
      <c r="A531" t="s">
        <v>1114</v>
      </c>
      <c r="B531" t="s">
        <v>1115</v>
      </c>
      <c r="C531" s="27">
        <v>45118</v>
      </c>
      <c r="D531" s="25">
        <v>45147</v>
      </c>
      <c r="E531" t="s">
        <v>14</v>
      </c>
      <c r="F531">
        <v>50115</v>
      </c>
      <c r="G531">
        <v>2462</v>
      </c>
      <c r="H531" s="26">
        <v>3747.24</v>
      </c>
      <c r="I531">
        <v>472</v>
      </c>
      <c r="J531" t="s">
        <v>30</v>
      </c>
      <c r="L531" t="s">
        <v>16</v>
      </c>
    </row>
    <row r="532" spans="1:12">
      <c r="A532" t="s">
        <v>1116</v>
      </c>
      <c r="B532" t="s">
        <v>1117</v>
      </c>
      <c r="C532" s="27">
        <v>45118</v>
      </c>
      <c r="D532" s="25">
        <v>45122</v>
      </c>
      <c r="E532" t="s">
        <v>33</v>
      </c>
      <c r="F532">
        <v>92007</v>
      </c>
      <c r="G532">
        <v>3673</v>
      </c>
      <c r="H532">
        <v>7016.44</v>
      </c>
      <c r="I532">
        <v>531</v>
      </c>
      <c r="J532" t="s">
        <v>24</v>
      </c>
      <c r="L532" t="s">
        <v>34</v>
      </c>
    </row>
    <row r="533" spans="1:12">
      <c r="A533" t="s">
        <v>1118</v>
      </c>
      <c r="B533" t="s">
        <v>1119</v>
      </c>
      <c r="C533" s="27">
        <v>44977</v>
      </c>
      <c r="D533" s="25">
        <v>44987</v>
      </c>
      <c r="E533" t="s">
        <v>19</v>
      </c>
      <c r="F533">
        <v>89223</v>
      </c>
      <c r="G533">
        <v>2883</v>
      </c>
      <c r="H533">
        <v>1643.83</v>
      </c>
      <c r="I533">
        <v>332</v>
      </c>
      <c r="J533" t="s">
        <v>24</v>
      </c>
      <c r="L533" t="s">
        <v>20</v>
      </c>
    </row>
    <row r="534" spans="1:12">
      <c r="A534" t="s">
        <v>1120</v>
      </c>
      <c r="B534" t="s">
        <v>1121</v>
      </c>
      <c r="C534" s="27">
        <v>45001</v>
      </c>
      <c r="D534" s="25">
        <v>45006</v>
      </c>
      <c r="E534" t="s">
        <v>14</v>
      </c>
      <c r="F534">
        <v>61890</v>
      </c>
      <c r="G534">
        <v>1065</v>
      </c>
      <c r="H534">
        <v>1043.14</v>
      </c>
      <c r="I534">
        <v>137</v>
      </c>
      <c r="J534">
        <v>0</v>
      </c>
      <c r="L534" t="s">
        <v>16</v>
      </c>
    </row>
    <row r="535" spans="1:12">
      <c r="A535" t="s">
        <v>1122</v>
      </c>
      <c r="B535" t="s">
        <v>1123</v>
      </c>
      <c r="C535" s="27">
        <v>45168</v>
      </c>
      <c r="D535" s="25">
        <v>45177</v>
      </c>
      <c r="E535" t="s">
        <v>415</v>
      </c>
      <c r="F535">
        <v>67387</v>
      </c>
      <c r="G535">
        <v>819</v>
      </c>
      <c r="H535">
        <v>947.8</v>
      </c>
      <c r="I535">
        <v>65</v>
      </c>
      <c r="J535" t="b">
        <v>0</v>
      </c>
      <c r="L535" t="s">
        <v>34</v>
      </c>
    </row>
    <row r="536" spans="1:12">
      <c r="A536" t="s">
        <v>1124</v>
      </c>
      <c r="B536" t="s">
        <v>1125</v>
      </c>
      <c r="C536" s="27">
        <v>45288</v>
      </c>
      <c r="D536" s="25">
        <v>45303</v>
      </c>
      <c r="E536" t="s">
        <v>19</v>
      </c>
      <c r="F536">
        <v>19071</v>
      </c>
      <c r="G536">
        <v>434</v>
      </c>
      <c r="H536">
        <v>802.42</v>
      </c>
      <c r="I536">
        <v>70</v>
      </c>
      <c r="J536">
        <v>1</v>
      </c>
      <c r="L536" t="s">
        <v>20</v>
      </c>
    </row>
    <row r="537" spans="1:12">
      <c r="A537" t="s">
        <v>1126</v>
      </c>
      <c r="B537" t="s">
        <v>1127</v>
      </c>
      <c r="C537" s="25">
        <v>45201</v>
      </c>
      <c r="D537" s="25">
        <v>44997</v>
      </c>
      <c r="E537" t="s">
        <v>14</v>
      </c>
      <c r="F537">
        <v>60275</v>
      </c>
      <c r="G537">
        <v>2418</v>
      </c>
      <c r="H537">
        <v>4699.12</v>
      </c>
      <c r="I537">
        <v>391</v>
      </c>
      <c r="J537">
        <v>1</v>
      </c>
      <c r="L537" t="s">
        <v>16</v>
      </c>
    </row>
    <row r="538" spans="1:12">
      <c r="A538" t="s">
        <v>1128</v>
      </c>
      <c r="B538" t="s">
        <v>1129</v>
      </c>
      <c r="C538" s="27">
        <v>45037</v>
      </c>
      <c r="D538" s="25">
        <v>45067</v>
      </c>
      <c r="E538" t="s">
        <v>33</v>
      </c>
      <c r="F538">
        <v>73369</v>
      </c>
      <c r="G538">
        <v>1524</v>
      </c>
      <c r="H538">
        <v>1777.25</v>
      </c>
      <c r="J538" t="s">
        <v>24</v>
      </c>
      <c r="L538" t="s">
        <v>34</v>
      </c>
    </row>
    <row r="539" spans="1:12">
      <c r="A539" t="s">
        <v>1130</v>
      </c>
      <c r="B539" t="s">
        <v>1131</v>
      </c>
      <c r="C539" s="27">
        <v>45238</v>
      </c>
      <c r="D539" s="25">
        <v>45267</v>
      </c>
      <c r="E539" t="s">
        <v>41</v>
      </c>
      <c r="F539">
        <v>12938</v>
      </c>
      <c r="G539">
        <v>408</v>
      </c>
      <c r="H539">
        <v>663.02</v>
      </c>
      <c r="I539">
        <v>74</v>
      </c>
      <c r="J539" t="s">
        <v>30</v>
      </c>
      <c r="L539" t="s">
        <v>42</v>
      </c>
    </row>
    <row r="540" spans="1:12">
      <c r="A540" t="s">
        <v>1132</v>
      </c>
      <c r="B540" t="s">
        <v>1133</v>
      </c>
      <c r="C540" s="27">
        <v>45074</v>
      </c>
      <c r="D540" s="25">
        <v>45100</v>
      </c>
      <c r="E540" t="s">
        <v>23</v>
      </c>
      <c r="F540">
        <v>36195</v>
      </c>
      <c r="G540">
        <v>1415</v>
      </c>
      <c r="H540">
        <v>1835.95</v>
      </c>
      <c r="I540">
        <v>127</v>
      </c>
      <c r="J540">
        <v>0</v>
      </c>
      <c r="L540" t="s">
        <v>25</v>
      </c>
    </row>
    <row r="541" spans="1:12">
      <c r="A541" t="s">
        <v>1134</v>
      </c>
      <c r="B541" t="s">
        <v>1135</v>
      </c>
      <c r="C541" s="27">
        <v>45049</v>
      </c>
      <c r="D541" s="25">
        <v>45079</v>
      </c>
      <c r="E541" t="s">
        <v>19</v>
      </c>
      <c r="F541">
        <v>92680</v>
      </c>
      <c r="G541">
        <v>1326</v>
      </c>
      <c r="H541">
        <v>1732.65</v>
      </c>
      <c r="I541">
        <v>261</v>
      </c>
      <c r="J541" t="b">
        <v>0</v>
      </c>
      <c r="L541" t="s">
        <v>20</v>
      </c>
    </row>
    <row r="542" spans="1:12">
      <c r="A542" t="s">
        <v>1136</v>
      </c>
      <c r="B542" t="s">
        <v>1137</v>
      </c>
      <c r="C542" t="s">
        <v>1138</v>
      </c>
      <c r="D542" s="25">
        <v>45168</v>
      </c>
      <c r="E542" t="s">
        <v>23</v>
      </c>
      <c r="F542">
        <v>5000</v>
      </c>
      <c r="G542">
        <v>187</v>
      </c>
      <c r="H542">
        <v>171.51</v>
      </c>
      <c r="I542">
        <v>20</v>
      </c>
      <c r="J542" t="b">
        <v>1</v>
      </c>
      <c r="L542" t="s">
        <v>25</v>
      </c>
    </row>
    <row r="543" spans="1:12">
      <c r="A543" t="s">
        <v>1139</v>
      </c>
      <c r="B543" t="s">
        <v>1140</v>
      </c>
      <c r="C543" s="25">
        <v>45182</v>
      </c>
      <c r="D543" s="25">
        <v>45186</v>
      </c>
      <c r="E543" t="s">
        <v>14</v>
      </c>
      <c r="F543">
        <v>71588</v>
      </c>
      <c r="G543">
        <v>978</v>
      </c>
      <c r="H543">
        <v>807.27</v>
      </c>
      <c r="I543">
        <v>74</v>
      </c>
      <c r="J543">
        <v>1</v>
      </c>
      <c r="L543" t="s">
        <v>16</v>
      </c>
    </row>
    <row r="544" spans="1:12">
      <c r="A544" t="s">
        <v>1141</v>
      </c>
      <c r="B544" t="s">
        <v>1142</v>
      </c>
      <c r="C544" s="27">
        <v>45190</v>
      </c>
      <c r="D544" s="25">
        <v>45220</v>
      </c>
      <c r="E544" t="s">
        <v>14</v>
      </c>
      <c r="F544">
        <v>94610</v>
      </c>
      <c r="G544">
        <v>4598</v>
      </c>
      <c r="H544">
        <v>4285.37</v>
      </c>
      <c r="I544">
        <v>472</v>
      </c>
      <c r="J544" t="b">
        <v>1</v>
      </c>
      <c r="L544" t="s">
        <v>16</v>
      </c>
    </row>
    <row r="545" spans="1:12">
      <c r="A545" t="s">
        <v>1143</v>
      </c>
      <c r="B545" t="s">
        <v>1144</v>
      </c>
      <c r="C545" s="27">
        <v>45076</v>
      </c>
      <c r="D545" s="25">
        <v>45097</v>
      </c>
      <c r="E545" t="s">
        <v>41</v>
      </c>
      <c r="F545">
        <v>98856</v>
      </c>
      <c r="G545">
        <v>2919</v>
      </c>
      <c r="H545">
        <v>3895.38</v>
      </c>
      <c r="I545">
        <v>338</v>
      </c>
      <c r="J545" t="b">
        <v>0</v>
      </c>
      <c r="L545" t="s">
        <v>42</v>
      </c>
    </row>
    <row r="546" spans="1:12">
      <c r="A546" t="s">
        <v>1145</v>
      </c>
      <c r="B546" t="s">
        <v>1146</v>
      </c>
      <c r="C546" s="27">
        <v>45050</v>
      </c>
      <c r="D546" s="25">
        <v>45074</v>
      </c>
      <c r="E546" t="s">
        <v>23</v>
      </c>
      <c r="F546">
        <v>39304</v>
      </c>
      <c r="G546">
        <v>629</v>
      </c>
      <c r="H546">
        <v>342.01</v>
      </c>
      <c r="I546">
        <v>37</v>
      </c>
      <c r="J546" t="s">
        <v>24</v>
      </c>
      <c r="L546" t="s">
        <v>25</v>
      </c>
    </row>
    <row r="547" spans="1:12">
      <c r="A547" t="s">
        <v>1147</v>
      </c>
      <c r="B547" t="s">
        <v>1148</v>
      </c>
      <c r="C547" s="25">
        <v>45181</v>
      </c>
      <c r="D547" s="25">
        <v>45291</v>
      </c>
      <c r="E547" t="s">
        <v>19</v>
      </c>
      <c r="F547">
        <v>70449</v>
      </c>
      <c r="G547">
        <v>1669</v>
      </c>
      <c r="H547">
        <v>3105.8</v>
      </c>
      <c r="I547">
        <v>228</v>
      </c>
      <c r="J547">
        <v>1</v>
      </c>
      <c r="L547" t="s">
        <v>20</v>
      </c>
    </row>
    <row r="548" spans="1:12">
      <c r="A548" t="s">
        <v>1149</v>
      </c>
      <c r="B548" t="s">
        <v>1150</v>
      </c>
      <c r="C548" s="25">
        <v>45023</v>
      </c>
      <c r="D548" s="25">
        <v>45137</v>
      </c>
      <c r="E548" t="s">
        <v>19</v>
      </c>
      <c r="F548">
        <v>83986</v>
      </c>
      <c r="G548">
        <v>2228</v>
      </c>
      <c r="H548">
        <v>1636.3</v>
      </c>
      <c r="I548">
        <v>311</v>
      </c>
      <c r="J548">
        <v>1</v>
      </c>
      <c r="L548" t="s">
        <v>20</v>
      </c>
    </row>
    <row r="549" spans="1:12">
      <c r="A549" t="s">
        <v>1151</v>
      </c>
      <c r="B549" t="s">
        <v>1152</v>
      </c>
      <c r="C549" s="27">
        <v>45196</v>
      </c>
      <c r="D549" s="25">
        <v>45197</v>
      </c>
      <c r="E549" t="s">
        <v>41</v>
      </c>
      <c r="F549">
        <v>90643</v>
      </c>
      <c r="G549">
        <v>3655</v>
      </c>
      <c r="H549">
        <v>3034.14</v>
      </c>
      <c r="I549">
        <v>587</v>
      </c>
      <c r="J549">
        <v>0</v>
      </c>
      <c r="L549" t="s">
        <v>42</v>
      </c>
    </row>
    <row r="550" spans="1:12">
      <c r="A550" t="s">
        <v>1153</v>
      </c>
      <c r="B550" t="s">
        <v>1154</v>
      </c>
      <c r="C550" s="27">
        <v>45186</v>
      </c>
      <c r="D550" s="25">
        <v>45215</v>
      </c>
      <c r="E550" t="s">
        <v>14</v>
      </c>
      <c r="F550">
        <v>21764</v>
      </c>
      <c r="G550">
        <v>864</v>
      </c>
      <c r="H550">
        <v>1103.69</v>
      </c>
      <c r="I550">
        <v>46</v>
      </c>
      <c r="J550" t="b">
        <v>1</v>
      </c>
      <c r="L550" t="s">
        <v>16</v>
      </c>
    </row>
    <row r="551" spans="1:12">
      <c r="A551" t="s">
        <v>1155</v>
      </c>
      <c r="B551" t="s">
        <v>1156</v>
      </c>
      <c r="C551" t="s">
        <v>1157</v>
      </c>
      <c r="D551" s="25">
        <v>45197</v>
      </c>
      <c r="E551" t="s">
        <v>19</v>
      </c>
      <c r="F551">
        <v>87027</v>
      </c>
      <c r="G551">
        <v>3000</v>
      </c>
      <c r="H551">
        <v>4695.52</v>
      </c>
      <c r="I551">
        <v>393</v>
      </c>
      <c r="J551" t="s">
        <v>24</v>
      </c>
      <c r="L551" t="s">
        <v>20</v>
      </c>
    </row>
    <row r="552" spans="1:12">
      <c r="A552" t="s">
        <v>1158</v>
      </c>
      <c r="B552" t="s">
        <v>1159</v>
      </c>
      <c r="C552" s="27">
        <v>45125</v>
      </c>
      <c r="D552" s="25">
        <v>45155</v>
      </c>
      <c r="E552" t="s">
        <v>41</v>
      </c>
      <c r="F552">
        <v>39494</v>
      </c>
      <c r="G552">
        <v>562</v>
      </c>
      <c r="H552">
        <v>361.7</v>
      </c>
      <c r="I552">
        <v>32</v>
      </c>
      <c r="J552">
        <v>0</v>
      </c>
      <c r="L552" t="s">
        <v>42</v>
      </c>
    </row>
    <row r="553" spans="1:12">
      <c r="A553" t="s">
        <v>1160</v>
      </c>
      <c r="B553" t="s">
        <v>1161</v>
      </c>
      <c r="C553" s="25">
        <v>44935</v>
      </c>
      <c r="D553" s="25">
        <v>45186</v>
      </c>
      <c r="E553" t="s">
        <v>33</v>
      </c>
      <c r="F553">
        <v>4373</v>
      </c>
      <c r="G553">
        <v>70</v>
      </c>
      <c r="H553">
        <v>68.36</v>
      </c>
      <c r="I553">
        <v>10</v>
      </c>
      <c r="J553" t="s">
        <v>15</v>
      </c>
      <c r="L553" t="s">
        <v>34</v>
      </c>
    </row>
    <row r="554" spans="1:12">
      <c r="A554" t="s">
        <v>1162</v>
      </c>
      <c r="B554" t="s">
        <v>1163</v>
      </c>
      <c r="C554" s="27">
        <v>45050</v>
      </c>
      <c r="D554" s="25">
        <v>45056</v>
      </c>
      <c r="E554" t="s">
        <v>33</v>
      </c>
      <c r="F554">
        <v>13161</v>
      </c>
      <c r="G554">
        <v>180</v>
      </c>
      <c r="H554">
        <v>351.54</v>
      </c>
      <c r="I554">
        <v>10</v>
      </c>
      <c r="J554" t="b">
        <v>1</v>
      </c>
      <c r="L554" t="s">
        <v>34</v>
      </c>
    </row>
    <row r="555" spans="1:12">
      <c r="A555" t="s">
        <v>1164</v>
      </c>
      <c r="B555" t="s">
        <v>1165</v>
      </c>
      <c r="C555" s="27">
        <v>45224</v>
      </c>
      <c r="D555" s="25">
        <v>45225</v>
      </c>
      <c r="E555" t="s">
        <v>14</v>
      </c>
      <c r="F555">
        <v>98532</v>
      </c>
      <c r="G555">
        <v>3260</v>
      </c>
      <c r="H555">
        <v>2912.86</v>
      </c>
      <c r="I555">
        <v>608</v>
      </c>
      <c r="J555" t="b">
        <v>1</v>
      </c>
      <c r="L555" t="s">
        <v>16</v>
      </c>
    </row>
    <row r="556" spans="1:12">
      <c r="A556" t="s">
        <v>1166</v>
      </c>
      <c r="B556" t="s">
        <v>1167</v>
      </c>
      <c r="C556" s="27">
        <v>44949</v>
      </c>
      <c r="D556" s="25">
        <v>44953</v>
      </c>
      <c r="E556" t="s">
        <v>19</v>
      </c>
      <c r="F556">
        <v>93658</v>
      </c>
      <c r="G556">
        <v>4222</v>
      </c>
      <c r="H556">
        <v>4093.55</v>
      </c>
      <c r="I556">
        <v>655</v>
      </c>
      <c r="J556" t="s">
        <v>15</v>
      </c>
      <c r="L556" t="s">
        <v>20</v>
      </c>
    </row>
    <row r="557" spans="1:12">
      <c r="A557" t="s">
        <v>1168</v>
      </c>
      <c r="B557" t="s">
        <v>1169</v>
      </c>
      <c r="C557" s="27">
        <v>45256</v>
      </c>
      <c r="D557" s="25">
        <v>45259</v>
      </c>
      <c r="E557" t="s">
        <v>138</v>
      </c>
      <c r="F557">
        <v>28350</v>
      </c>
      <c r="G557">
        <v>775</v>
      </c>
      <c r="H557">
        <v>1359.93</v>
      </c>
      <c r="J557" t="b">
        <v>0</v>
      </c>
      <c r="L557" t="s">
        <v>139</v>
      </c>
    </row>
    <row r="558" spans="1:12">
      <c r="A558" t="s">
        <v>1170</v>
      </c>
      <c r="B558" t="s">
        <v>1171</v>
      </c>
      <c r="C558" s="27">
        <v>45164</v>
      </c>
      <c r="D558" s="25">
        <v>45188</v>
      </c>
      <c r="E558" t="s">
        <v>23</v>
      </c>
      <c r="F558">
        <v>94008</v>
      </c>
      <c r="G558">
        <v>1544</v>
      </c>
      <c r="H558" s="26">
        <v>888.3</v>
      </c>
      <c r="I558">
        <v>179</v>
      </c>
      <c r="J558" t="b">
        <v>0</v>
      </c>
      <c r="L558" t="s">
        <v>25</v>
      </c>
    </row>
    <row r="559" spans="1:12">
      <c r="A559" t="s">
        <v>1172</v>
      </c>
      <c r="B559" t="s">
        <v>1173</v>
      </c>
      <c r="C559" s="25">
        <v>45020</v>
      </c>
      <c r="D559" s="25">
        <v>45028</v>
      </c>
      <c r="E559" t="s">
        <v>14</v>
      </c>
      <c r="F559">
        <v>95297</v>
      </c>
      <c r="G559">
        <v>3080</v>
      </c>
      <c r="H559">
        <v>3686.51</v>
      </c>
      <c r="I559">
        <v>214</v>
      </c>
      <c r="J559">
        <v>1</v>
      </c>
      <c r="L559" t="s">
        <v>16</v>
      </c>
    </row>
    <row r="560" spans="1:12">
      <c r="A560" t="s">
        <v>1174</v>
      </c>
      <c r="B560" t="s">
        <v>1175</v>
      </c>
      <c r="C560" t="s">
        <v>1138</v>
      </c>
      <c r="D560" s="25">
        <v>45176</v>
      </c>
      <c r="E560" t="s">
        <v>33</v>
      </c>
      <c r="F560">
        <v>26351</v>
      </c>
      <c r="G560">
        <v>1119</v>
      </c>
      <c r="H560">
        <v>1196.69</v>
      </c>
      <c r="J560" t="s">
        <v>30</v>
      </c>
      <c r="L560" t="s">
        <v>34</v>
      </c>
    </row>
    <row r="561" spans="1:12">
      <c r="A561" t="s">
        <v>1176</v>
      </c>
      <c r="B561" t="s">
        <v>1177</v>
      </c>
      <c r="C561" t="s">
        <v>1178</v>
      </c>
      <c r="D561" s="25">
        <v>45058</v>
      </c>
      <c r="E561" t="s">
        <v>14</v>
      </c>
      <c r="F561">
        <v>89668</v>
      </c>
      <c r="G561">
        <v>3556</v>
      </c>
      <c r="H561">
        <v>3466.67</v>
      </c>
      <c r="I561">
        <v>641</v>
      </c>
      <c r="J561">
        <v>0</v>
      </c>
      <c r="L561" t="s">
        <v>16</v>
      </c>
    </row>
    <row r="562" spans="1:12">
      <c r="A562" t="s">
        <v>1179</v>
      </c>
      <c r="B562" t="s">
        <v>1180</v>
      </c>
      <c r="C562" s="27">
        <v>45029</v>
      </c>
      <c r="D562" s="25">
        <v>45058</v>
      </c>
      <c r="E562" t="s">
        <v>23</v>
      </c>
      <c r="F562">
        <v>16305</v>
      </c>
      <c r="G562">
        <v>737</v>
      </c>
      <c r="H562">
        <v>684.34</v>
      </c>
      <c r="I562">
        <v>136</v>
      </c>
      <c r="J562" t="s">
        <v>30</v>
      </c>
      <c r="L562" t="s">
        <v>25</v>
      </c>
    </row>
    <row r="563" spans="1:12">
      <c r="A563" t="s">
        <v>1181</v>
      </c>
      <c r="B563" t="s">
        <v>1182</v>
      </c>
      <c r="C563" s="27">
        <v>45085</v>
      </c>
      <c r="D563" s="25">
        <v>45104</v>
      </c>
      <c r="E563" t="s">
        <v>23</v>
      </c>
      <c r="F563">
        <v>76353</v>
      </c>
      <c r="G563">
        <v>1612</v>
      </c>
      <c r="H563">
        <v>1026.94</v>
      </c>
      <c r="I563">
        <v>80</v>
      </c>
      <c r="J563">
        <v>1</v>
      </c>
      <c r="L563" t="s">
        <v>25</v>
      </c>
    </row>
    <row r="564" spans="1:12">
      <c r="A564" t="s">
        <v>1183</v>
      </c>
      <c r="B564" t="s">
        <v>1184</v>
      </c>
      <c r="C564" s="25">
        <v>45205</v>
      </c>
      <c r="D564" s="25">
        <v>45110</v>
      </c>
      <c r="E564" t="s">
        <v>138</v>
      </c>
      <c r="F564">
        <v>77797</v>
      </c>
      <c r="G564">
        <v>1381</v>
      </c>
      <c r="H564">
        <v>1342.66</v>
      </c>
      <c r="I564">
        <v>192</v>
      </c>
      <c r="J564" t="s">
        <v>30</v>
      </c>
      <c r="L564" t="s">
        <v>139</v>
      </c>
    </row>
    <row r="565" spans="1:12">
      <c r="A565" t="s">
        <v>1185</v>
      </c>
      <c r="B565" t="s">
        <v>1186</v>
      </c>
      <c r="C565" s="27">
        <v>45258</v>
      </c>
      <c r="D565" s="25">
        <v>45276</v>
      </c>
      <c r="E565" t="s">
        <v>19</v>
      </c>
      <c r="F565">
        <v>66953</v>
      </c>
      <c r="G565">
        <v>3025</v>
      </c>
      <c r="H565">
        <v>1707.85</v>
      </c>
      <c r="I565">
        <v>477</v>
      </c>
      <c r="J565" t="b">
        <v>1</v>
      </c>
      <c r="L565" t="s">
        <v>20</v>
      </c>
    </row>
    <row r="566" spans="1:12">
      <c r="A566" t="s">
        <v>1187</v>
      </c>
      <c r="B566" t="s">
        <v>1188</v>
      </c>
      <c r="C566" s="27">
        <v>44951</v>
      </c>
      <c r="D566" s="25">
        <v>44960</v>
      </c>
      <c r="E566" t="s">
        <v>33</v>
      </c>
      <c r="F566">
        <v>58458</v>
      </c>
      <c r="G566">
        <v>2122</v>
      </c>
      <c r="H566">
        <v>3546.81</v>
      </c>
      <c r="I566">
        <v>303</v>
      </c>
      <c r="J566" t="b">
        <v>1</v>
      </c>
      <c r="L566" t="s">
        <v>34</v>
      </c>
    </row>
    <row r="567" spans="1:12">
      <c r="A567" t="s">
        <v>1189</v>
      </c>
      <c r="B567" t="s">
        <v>1190</v>
      </c>
      <c r="C567" s="27">
        <v>44990</v>
      </c>
      <c r="D567" s="25">
        <v>44999</v>
      </c>
      <c r="E567" t="s">
        <v>41</v>
      </c>
      <c r="F567">
        <v>21358</v>
      </c>
      <c r="G567">
        <v>479</v>
      </c>
      <c r="H567">
        <v>525.63</v>
      </c>
      <c r="I567">
        <v>29</v>
      </c>
      <c r="J567" t="s">
        <v>15</v>
      </c>
      <c r="L567" t="s">
        <v>42</v>
      </c>
    </row>
    <row r="568" spans="1:12">
      <c r="A568" t="s">
        <v>1191</v>
      </c>
      <c r="B568" t="s">
        <v>1192</v>
      </c>
      <c r="C568" s="27">
        <v>45131</v>
      </c>
      <c r="D568" s="25">
        <v>45132</v>
      </c>
      <c r="E568" t="s">
        <v>138</v>
      </c>
      <c r="F568">
        <v>4267</v>
      </c>
      <c r="G568">
        <v>169</v>
      </c>
      <c r="H568">
        <v>197.03</v>
      </c>
      <c r="I568">
        <v>13</v>
      </c>
      <c r="J568" t="s">
        <v>15</v>
      </c>
      <c r="L568" t="s">
        <v>139</v>
      </c>
    </row>
    <row r="569" spans="1:12">
      <c r="A569" t="s">
        <v>1193</v>
      </c>
      <c r="B569" t="s">
        <v>1194</v>
      </c>
      <c r="C569" s="27">
        <v>45124</v>
      </c>
      <c r="D569" s="25">
        <v>45147</v>
      </c>
      <c r="E569" t="s">
        <v>41</v>
      </c>
      <c r="F569">
        <v>83745</v>
      </c>
      <c r="G569">
        <v>3567</v>
      </c>
      <c r="H569">
        <v>6564.68</v>
      </c>
      <c r="I569">
        <v>312</v>
      </c>
      <c r="J569">
        <v>1</v>
      </c>
      <c r="L569" t="s">
        <v>68</v>
      </c>
    </row>
    <row r="570" spans="1:12">
      <c r="A570" t="s">
        <v>1195</v>
      </c>
      <c r="B570" t="s">
        <v>1196</v>
      </c>
      <c r="C570" s="27">
        <v>45281</v>
      </c>
      <c r="D570" s="25">
        <v>45300</v>
      </c>
      <c r="E570" t="s">
        <v>14</v>
      </c>
      <c r="F570">
        <v>90588</v>
      </c>
      <c r="G570">
        <v>3134</v>
      </c>
      <c r="H570">
        <v>4660.52</v>
      </c>
      <c r="I570">
        <v>547</v>
      </c>
      <c r="J570">
        <v>1</v>
      </c>
      <c r="L570" t="s">
        <v>16</v>
      </c>
    </row>
    <row r="571" spans="1:12">
      <c r="A571" t="s">
        <v>1197</v>
      </c>
      <c r="B571" t="s">
        <v>1198</v>
      </c>
      <c r="C571" s="25">
        <v>45192</v>
      </c>
      <c r="D571" s="25">
        <v>45208</v>
      </c>
      <c r="E571" t="s">
        <v>41</v>
      </c>
      <c r="F571">
        <v>39513</v>
      </c>
      <c r="G571">
        <v>1482</v>
      </c>
      <c r="H571" s="26">
        <v>758.92</v>
      </c>
      <c r="I571">
        <v>177</v>
      </c>
      <c r="J571" t="s">
        <v>24</v>
      </c>
      <c r="L571" t="s">
        <v>42</v>
      </c>
    </row>
    <row r="572" spans="1:12">
      <c r="A572" t="s">
        <v>1199</v>
      </c>
      <c r="B572" t="s">
        <v>1200</v>
      </c>
      <c r="C572" s="25">
        <v>45085</v>
      </c>
      <c r="D572" s="25">
        <v>45147</v>
      </c>
      <c r="E572" t="s">
        <v>19</v>
      </c>
      <c r="F572">
        <v>27092</v>
      </c>
      <c r="G572">
        <v>677</v>
      </c>
      <c r="H572">
        <v>1296.29</v>
      </c>
      <c r="I572">
        <v>83</v>
      </c>
      <c r="J572">
        <v>1</v>
      </c>
      <c r="L572" t="s">
        <v>20</v>
      </c>
    </row>
    <row r="573" spans="1:12">
      <c r="A573" t="s">
        <v>1201</v>
      </c>
      <c r="B573" t="s">
        <v>1202</v>
      </c>
      <c r="C573" s="27">
        <v>45235</v>
      </c>
      <c r="D573" s="25">
        <v>45259</v>
      </c>
      <c r="E573" t="s">
        <v>33</v>
      </c>
      <c r="F573">
        <v>12338</v>
      </c>
      <c r="G573">
        <v>389</v>
      </c>
      <c r="H573">
        <v>332.87</v>
      </c>
      <c r="I573">
        <v>74</v>
      </c>
      <c r="J573" t="b">
        <v>1</v>
      </c>
      <c r="L573" t="s">
        <v>34</v>
      </c>
    </row>
    <row r="574" spans="1:12">
      <c r="A574" t="s">
        <v>1203</v>
      </c>
      <c r="B574" t="s">
        <v>1204</v>
      </c>
      <c r="C574" s="25">
        <v>45077</v>
      </c>
      <c r="D574" s="25">
        <v>45100</v>
      </c>
      <c r="E574" t="s">
        <v>41</v>
      </c>
      <c r="F574">
        <v>1412</v>
      </c>
      <c r="G574">
        <v>43</v>
      </c>
      <c r="H574" s="26">
        <v>28.44</v>
      </c>
      <c r="I574">
        <v>6</v>
      </c>
      <c r="J574" t="s">
        <v>30</v>
      </c>
      <c r="L574" t="s">
        <v>68</v>
      </c>
    </row>
    <row r="575" spans="1:12">
      <c r="A575" t="s">
        <v>1205</v>
      </c>
      <c r="B575" t="s">
        <v>1206</v>
      </c>
      <c r="C575" s="27">
        <v>45265</v>
      </c>
      <c r="D575" s="25">
        <v>45270</v>
      </c>
      <c r="E575" t="s">
        <v>138</v>
      </c>
      <c r="F575">
        <v>8543</v>
      </c>
      <c r="G575">
        <v>375</v>
      </c>
      <c r="H575">
        <v>619.57</v>
      </c>
      <c r="I575">
        <v>69</v>
      </c>
      <c r="J575">
        <v>0</v>
      </c>
      <c r="L575" t="s">
        <v>139</v>
      </c>
    </row>
    <row r="576" spans="1:12">
      <c r="A576" t="s">
        <v>1207</v>
      </c>
      <c r="B576" t="s">
        <v>1208</v>
      </c>
      <c r="C576" s="27">
        <v>45145</v>
      </c>
      <c r="D576" s="25">
        <v>45152</v>
      </c>
      <c r="E576" t="s">
        <v>19</v>
      </c>
      <c r="F576">
        <v>34496</v>
      </c>
      <c r="G576">
        <v>1503</v>
      </c>
      <c r="H576">
        <v>1879.83</v>
      </c>
      <c r="I576">
        <v>178</v>
      </c>
      <c r="J576" t="s">
        <v>24</v>
      </c>
      <c r="L576" t="s">
        <v>20</v>
      </c>
    </row>
    <row r="577" spans="1:12">
      <c r="A577" t="s">
        <v>1209</v>
      </c>
      <c r="B577" t="s">
        <v>1210</v>
      </c>
      <c r="C577" t="s">
        <v>1211</v>
      </c>
      <c r="D577" s="25">
        <v>45158</v>
      </c>
      <c r="E577" t="s">
        <v>19</v>
      </c>
      <c r="F577">
        <v>61692</v>
      </c>
      <c r="G577">
        <v>2671</v>
      </c>
      <c r="H577" s="26">
        <v>3073.4</v>
      </c>
      <c r="I577">
        <v>193</v>
      </c>
      <c r="J577" t="s">
        <v>24</v>
      </c>
      <c r="L577" t="s">
        <v>20</v>
      </c>
    </row>
    <row r="578" spans="1:12">
      <c r="A578" t="s">
        <v>1212</v>
      </c>
      <c r="B578" t="s">
        <v>1213</v>
      </c>
      <c r="C578" s="27">
        <v>45107</v>
      </c>
      <c r="D578" s="25">
        <v>45120</v>
      </c>
      <c r="E578" t="s">
        <v>19</v>
      </c>
      <c r="F578">
        <v>90084</v>
      </c>
      <c r="G578">
        <v>940</v>
      </c>
      <c r="H578">
        <v>-821.8</v>
      </c>
      <c r="I578">
        <v>178</v>
      </c>
      <c r="J578" t="s">
        <v>24</v>
      </c>
      <c r="L578" t="s">
        <v>20</v>
      </c>
    </row>
    <row r="579" spans="1:12">
      <c r="A579" t="s">
        <v>1214</v>
      </c>
      <c r="B579" t="s">
        <v>1215</v>
      </c>
      <c r="C579" s="27">
        <v>45254</v>
      </c>
      <c r="D579" s="25">
        <v>45276</v>
      </c>
      <c r="E579" t="s">
        <v>14</v>
      </c>
      <c r="F579">
        <v>93920</v>
      </c>
      <c r="G579">
        <v>3755</v>
      </c>
      <c r="H579" s="26">
        <v>4961.13</v>
      </c>
      <c r="I579">
        <v>446</v>
      </c>
      <c r="J579">
        <v>1</v>
      </c>
      <c r="L579" t="s">
        <v>16</v>
      </c>
    </row>
    <row r="580" spans="1:12">
      <c r="A580" t="s">
        <v>1216</v>
      </c>
      <c r="B580" t="s">
        <v>1217</v>
      </c>
      <c r="C580" s="27">
        <v>44965</v>
      </c>
      <c r="D580" s="25">
        <v>44978</v>
      </c>
      <c r="E580" t="s">
        <v>14</v>
      </c>
      <c r="F580">
        <v>45425</v>
      </c>
      <c r="G580">
        <v>1832</v>
      </c>
      <c r="H580">
        <v>1670.01</v>
      </c>
      <c r="I580">
        <v>141</v>
      </c>
      <c r="J580">
        <v>1</v>
      </c>
      <c r="L580" t="s">
        <v>16</v>
      </c>
    </row>
    <row r="581" spans="1:12">
      <c r="A581" t="s">
        <v>1218</v>
      </c>
      <c r="B581" t="s">
        <v>1219</v>
      </c>
      <c r="C581" s="27">
        <v>45189</v>
      </c>
      <c r="D581" s="25">
        <v>45190</v>
      </c>
      <c r="E581" t="s">
        <v>14</v>
      </c>
      <c r="F581">
        <v>39756</v>
      </c>
      <c r="G581">
        <v>1476</v>
      </c>
      <c r="H581">
        <v>2734.1</v>
      </c>
      <c r="I581">
        <v>140</v>
      </c>
      <c r="J581" t="b">
        <v>1</v>
      </c>
      <c r="L581" t="s">
        <v>16</v>
      </c>
    </row>
    <row r="582" spans="1:12">
      <c r="A582" t="s">
        <v>1220</v>
      </c>
      <c r="B582" t="s">
        <v>1221</v>
      </c>
      <c r="C582" s="27">
        <v>44942</v>
      </c>
      <c r="D582" s="25">
        <v>44944</v>
      </c>
      <c r="E582" t="s">
        <v>41</v>
      </c>
      <c r="F582">
        <v>19888</v>
      </c>
      <c r="G582">
        <v>800</v>
      </c>
      <c r="H582">
        <v>658.25</v>
      </c>
      <c r="I582">
        <v>46</v>
      </c>
      <c r="J582">
        <v>0</v>
      </c>
      <c r="L582" t="s">
        <v>42</v>
      </c>
    </row>
    <row r="583" spans="1:12">
      <c r="A583" t="s">
        <v>1222</v>
      </c>
      <c r="B583" t="s">
        <v>1223</v>
      </c>
      <c r="C583" t="s">
        <v>1081</v>
      </c>
      <c r="D583" s="25">
        <v>45167</v>
      </c>
      <c r="E583" t="s">
        <v>14</v>
      </c>
      <c r="F583">
        <v>36735</v>
      </c>
      <c r="G583">
        <v>1604</v>
      </c>
      <c r="H583">
        <v>2929.76</v>
      </c>
      <c r="I583">
        <v>192</v>
      </c>
      <c r="J583" t="b">
        <v>1</v>
      </c>
      <c r="L583" t="s">
        <v>16</v>
      </c>
    </row>
    <row r="584" spans="1:12">
      <c r="A584" t="s">
        <v>1224</v>
      </c>
      <c r="B584" t="s">
        <v>1225</v>
      </c>
      <c r="C584" s="27">
        <v>44961</v>
      </c>
      <c r="D584" s="25">
        <v>44975</v>
      </c>
      <c r="E584" t="s">
        <v>19</v>
      </c>
      <c r="F584">
        <v>48295</v>
      </c>
      <c r="G584">
        <v>1391</v>
      </c>
      <c r="H584">
        <v>1862.7</v>
      </c>
      <c r="I584">
        <v>247</v>
      </c>
      <c r="J584">
        <v>0</v>
      </c>
      <c r="L584" t="s">
        <v>20</v>
      </c>
    </row>
    <row r="585" spans="1:12">
      <c r="A585" t="s">
        <v>1226</v>
      </c>
      <c r="B585" t="s">
        <v>1227</v>
      </c>
      <c r="C585" s="27">
        <v>45112</v>
      </c>
      <c r="D585" s="25">
        <v>45139</v>
      </c>
      <c r="E585" t="s">
        <v>19</v>
      </c>
      <c r="F585">
        <v>84042</v>
      </c>
      <c r="G585">
        <v>2528</v>
      </c>
      <c r="H585">
        <v>4405.63</v>
      </c>
      <c r="J585" t="b">
        <v>1</v>
      </c>
      <c r="L585" t="s">
        <v>20</v>
      </c>
    </row>
    <row r="586" spans="1:12">
      <c r="A586" t="s">
        <v>1228</v>
      </c>
      <c r="B586" t="s">
        <v>1229</v>
      </c>
      <c r="C586" s="27">
        <v>45236</v>
      </c>
      <c r="D586" s="25">
        <v>45251</v>
      </c>
      <c r="E586" t="s">
        <v>33</v>
      </c>
      <c r="F586">
        <v>86999</v>
      </c>
      <c r="G586">
        <v>1303</v>
      </c>
      <c r="H586">
        <v>2044.76</v>
      </c>
      <c r="I586">
        <v>247</v>
      </c>
      <c r="J586" t="s">
        <v>30</v>
      </c>
      <c r="L586" t="s">
        <v>34</v>
      </c>
    </row>
    <row r="587" spans="1:12">
      <c r="A587" t="s">
        <v>1230</v>
      </c>
      <c r="B587" t="s">
        <v>1231</v>
      </c>
      <c r="C587" s="27">
        <v>45116</v>
      </c>
      <c r="D587" s="25">
        <v>45130</v>
      </c>
      <c r="E587" t="s">
        <v>23</v>
      </c>
      <c r="F587">
        <v>18955</v>
      </c>
      <c r="G587">
        <v>481</v>
      </c>
      <c r="H587">
        <v>743.17</v>
      </c>
      <c r="I587">
        <v>33</v>
      </c>
      <c r="J587">
        <v>1</v>
      </c>
      <c r="L587" t="s">
        <v>25</v>
      </c>
    </row>
    <row r="588" spans="1:12">
      <c r="A588" t="s">
        <v>1232</v>
      </c>
      <c r="B588" t="s">
        <v>1233</v>
      </c>
      <c r="C588" s="27">
        <v>45220</v>
      </c>
      <c r="D588" s="25">
        <v>45226</v>
      </c>
      <c r="E588" t="s">
        <v>41</v>
      </c>
      <c r="F588">
        <v>38841</v>
      </c>
      <c r="G588">
        <v>1387</v>
      </c>
      <c r="H588">
        <v>1368.3</v>
      </c>
      <c r="I588">
        <v>148</v>
      </c>
      <c r="J588" t="b">
        <v>0</v>
      </c>
      <c r="L588" t="s">
        <v>42</v>
      </c>
    </row>
    <row r="589" spans="1:12">
      <c r="A589" t="s">
        <v>1234</v>
      </c>
      <c r="B589" t="s">
        <v>1235</v>
      </c>
      <c r="C589" s="27">
        <v>45087</v>
      </c>
      <c r="D589" s="25">
        <v>45088</v>
      </c>
      <c r="E589" t="s">
        <v>41</v>
      </c>
      <c r="F589">
        <v>71640</v>
      </c>
      <c r="G589">
        <v>2952</v>
      </c>
      <c r="H589">
        <v>2511.7</v>
      </c>
      <c r="J589" t="b">
        <v>0</v>
      </c>
      <c r="L589" t="s">
        <v>42</v>
      </c>
    </row>
    <row r="590" spans="1:12">
      <c r="A590" t="s">
        <v>1236</v>
      </c>
      <c r="B590" t="s">
        <v>1237</v>
      </c>
      <c r="C590" t="s">
        <v>1238</v>
      </c>
      <c r="D590" s="25">
        <v>45004</v>
      </c>
      <c r="E590" t="s">
        <v>14</v>
      </c>
      <c r="F590">
        <v>66510</v>
      </c>
      <c r="G590">
        <v>1242</v>
      </c>
      <c r="H590">
        <v>1013.88</v>
      </c>
      <c r="I590">
        <v>221</v>
      </c>
      <c r="J590">
        <v>1</v>
      </c>
      <c r="L590" t="s">
        <v>16</v>
      </c>
    </row>
    <row r="591" spans="1:12">
      <c r="A591" t="s">
        <v>1239</v>
      </c>
      <c r="B591" t="s">
        <v>1240</v>
      </c>
      <c r="C591" s="27">
        <v>45022</v>
      </c>
      <c r="D591" s="25">
        <v>45051</v>
      </c>
      <c r="E591" t="s">
        <v>19</v>
      </c>
      <c r="F591">
        <v>35911</v>
      </c>
      <c r="G591">
        <v>557</v>
      </c>
      <c r="H591">
        <v>994.68</v>
      </c>
      <c r="I591">
        <v>57</v>
      </c>
      <c r="J591" t="s">
        <v>24</v>
      </c>
      <c r="L591" t="s">
        <v>20</v>
      </c>
    </row>
    <row r="592" spans="1:12">
      <c r="A592" t="s">
        <v>1241</v>
      </c>
      <c r="B592" t="s">
        <v>1242</v>
      </c>
      <c r="C592" s="27">
        <v>45214</v>
      </c>
      <c r="D592" s="25">
        <v>45216</v>
      </c>
      <c r="E592" t="s">
        <v>138</v>
      </c>
      <c r="F592">
        <v>60031</v>
      </c>
      <c r="G592">
        <v>2192</v>
      </c>
      <c r="H592" s="26">
        <v>3793.56</v>
      </c>
      <c r="I592">
        <v>317</v>
      </c>
      <c r="J592">
        <v>1</v>
      </c>
      <c r="L592" t="s">
        <v>68</v>
      </c>
    </row>
    <row r="593" spans="1:12">
      <c r="A593" t="s">
        <v>1243</v>
      </c>
      <c r="B593" t="s">
        <v>1244</v>
      </c>
      <c r="C593" s="27">
        <v>45287</v>
      </c>
      <c r="D593" s="25">
        <v>45309</v>
      </c>
      <c r="E593" t="s">
        <v>191</v>
      </c>
      <c r="F593">
        <v>89726</v>
      </c>
      <c r="G593">
        <v>904</v>
      </c>
      <c r="H593">
        <v>1049.42</v>
      </c>
      <c r="I593">
        <v>142</v>
      </c>
      <c r="J593">
        <v>1</v>
      </c>
      <c r="L593" t="s">
        <v>42</v>
      </c>
    </row>
    <row r="594" spans="1:12">
      <c r="A594" t="s">
        <v>1245</v>
      </c>
      <c r="B594" t="s">
        <v>1246</v>
      </c>
      <c r="C594" s="27">
        <v>45073</v>
      </c>
      <c r="D594" s="25">
        <v>45076</v>
      </c>
      <c r="E594" t="s">
        <v>23</v>
      </c>
      <c r="F594">
        <v>8357</v>
      </c>
      <c r="G594">
        <v>143</v>
      </c>
      <c r="H594">
        <v>99.9</v>
      </c>
      <c r="I594">
        <v>16</v>
      </c>
      <c r="J594">
        <v>1</v>
      </c>
      <c r="L594" t="s">
        <v>25</v>
      </c>
    </row>
    <row r="595" spans="1:12">
      <c r="A595" t="s">
        <v>1247</v>
      </c>
      <c r="B595" t="s">
        <v>1248</v>
      </c>
      <c r="C595" s="27">
        <v>45029</v>
      </c>
      <c r="D595" s="25">
        <v>45054</v>
      </c>
      <c r="E595" t="s">
        <v>33</v>
      </c>
      <c r="F595">
        <v>33479</v>
      </c>
      <c r="G595">
        <v>373</v>
      </c>
      <c r="H595">
        <v>400.37</v>
      </c>
      <c r="I595">
        <v>35</v>
      </c>
      <c r="J595" t="s">
        <v>24</v>
      </c>
      <c r="L595" t="s">
        <v>34</v>
      </c>
    </row>
    <row r="596" spans="1:12">
      <c r="A596" t="s">
        <v>1249</v>
      </c>
      <c r="B596" t="s">
        <v>1250</v>
      </c>
      <c r="C596" s="27">
        <v>45158</v>
      </c>
      <c r="D596" s="25">
        <v>45187</v>
      </c>
      <c r="E596" t="s">
        <v>19</v>
      </c>
      <c r="F596">
        <v>62476</v>
      </c>
      <c r="G596">
        <v>1041</v>
      </c>
      <c r="H596">
        <v>1487.6</v>
      </c>
      <c r="I596">
        <v>202</v>
      </c>
      <c r="J596">
        <v>0</v>
      </c>
      <c r="L596" t="s">
        <v>20</v>
      </c>
    </row>
    <row r="597" spans="1:12">
      <c r="A597" t="s">
        <v>1251</v>
      </c>
      <c r="B597" t="s">
        <v>1252</v>
      </c>
      <c r="C597" s="27">
        <v>44971</v>
      </c>
      <c r="D597" s="25">
        <v>44980</v>
      </c>
      <c r="E597" t="s">
        <v>23</v>
      </c>
      <c r="F597">
        <v>45811</v>
      </c>
      <c r="G597">
        <v>790</v>
      </c>
      <c r="H597">
        <v>933.47</v>
      </c>
      <c r="I597">
        <v>153</v>
      </c>
      <c r="J597" t="s">
        <v>30</v>
      </c>
      <c r="L597" t="s">
        <v>25</v>
      </c>
    </row>
    <row r="598" spans="1:12">
      <c r="A598" t="s">
        <v>1253</v>
      </c>
      <c r="B598" t="s">
        <v>1254</v>
      </c>
      <c r="C598" s="27">
        <v>45090</v>
      </c>
      <c r="D598" s="25">
        <v>45113</v>
      </c>
      <c r="E598" t="s">
        <v>41</v>
      </c>
      <c r="F598">
        <v>37208</v>
      </c>
      <c r="G598">
        <v>949</v>
      </c>
      <c r="H598">
        <v>1585.1</v>
      </c>
      <c r="I598">
        <v>88</v>
      </c>
      <c r="J598" t="b">
        <v>0</v>
      </c>
      <c r="L598" t="s">
        <v>42</v>
      </c>
    </row>
    <row r="599" spans="1:12">
      <c r="A599" t="s">
        <v>1255</v>
      </c>
      <c r="B599" t="s">
        <v>1256</v>
      </c>
      <c r="C599" s="27">
        <v>45208</v>
      </c>
      <c r="D599" s="25">
        <v>45218</v>
      </c>
      <c r="E599" t="s">
        <v>23</v>
      </c>
      <c r="F599">
        <v>21150</v>
      </c>
      <c r="G599">
        <v>551</v>
      </c>
      <c r="H599">
        <v>1100.04</v>
      </c>
      <c r="I599">
        <v>67</v>
      </c>
      <c r="J599" t="s">
        <v>15</v>
      </c>
      <c r="L599" t="s">
        <v>25</v>
      </c>
    </row>
    <row r="600" spans="1:12">
      <c r="A600" t="s">
        <v>1257</v>
      </c>
      <c r="B600" t="s">
        <v>1258</v>
      </c>
      <c r="C600" s="27">
        <v>45007</v>
      </c>
      <c r="D600" s="25">
        <v>45031</v>
      </c>
      <c r="E600" t="s">
        <v>14</v>
      </c>
      <c r="F600">
        <v>72180</v>
      </c>
      <c r="G600">
        <v>3245</v>
      </c>
      <c r="H600">
        <v>2552.84</v>
      </c>
      <c r="I600">
        <v>635</v>
      </c>
      <c r="J600" t="b">
        <v>0</v>
      </c>
      <c r="L600" t="s">
        <v>16</v>
      </c>
    </row>
    <row r="601" spans="1:12">
      <c r="A601" t="s">
        <v>1259</v>
      </c>
      <c r="B601" t="s">
        <v>1260</v>
      </c>
      <c r="C601" s="27">
        <v>45253</v>
      </c>
      <c r="D601" s="25">
        <v>45269</v>
      </c>
      <c r="E601" t="s">
        <v>41</v>
      </c>
      <c r="F601">
        <v>44286</v>
      </c>
      <c r="G601">
        <v>1346</v>
      </c>
      <c r="H601" s="26">
        <v>1601.04</v>
      </c>
      <c r="I601">
        <v>68</v>
      </c>
      <c r="J601" t="b">
        <v>0</v>
      </c>
      <c r="L601" t="s">
        <v>42</v>
      </c>
    </row>
    <row r="602" spans="1:12">
      <c r="A602" t="s">
        <v>1261</v>
      </c>
      <c r="B602" t="s">
        <v>1262</v>
      </c>
      <c r="C602" s="27">
        <v>45041</v>
      </c>
      <c r="D602" s="25">
        <v>45048</v>
      </c>
      <c r="E602" t="s">
        <v>41</v>
      </c>
      <c r="F602">
        <v>69450</v>
      </c>
      <c r="G602">
        <v>2704</v>
      </c>
      <c r="H602">
        <v>3100.07</v>
      </c>
      <c r="I602">
        <v>302</v>
      </c>
      <c r="J602" t="s">
        <v>24</v>
      </c>
      <c r="L602" t="s">
        <v>42</v>
      </c>
    </row>
    <row r="603" spans="1:12">
      <c r="A603" t="s">
        <v>1263</v>
      </c>
      <c r="B603" t="s">
        <v>1264</v>
      </c>
      <c r="C603" s="27">
        <v>44998</v>
      </c>
      <c r="D603" s="25">
        <v>45024</v>
      </c>
      <c r="E603" t="s">
        <v>41</v>
      </c>
      <c r="F603">
        <v>22352</v>
      </c>
      <c r="G603">
        <v>316</v>
      </c>
      <c r="H603">
        <v>302.33</v>
      </c>
      <c r="I603">
        <v>20</v>
      </c>
      <c r="J603" t="b">
        <v>1</v>
      </c>
      <c r="L603" t="s">
        <v>42</v>
      </c>
    </row>
    <row r="604" spans="1:12">
      <c r="A604" t="s">
        <v>1265</v>
      </c>
      <c r="B604" t="s">
        <v>1266</v>
      </c>
      <c r="C604" s="27">
        <v>45111</v>
      </c>
      <c r="D604" s="25">
        <v>45120</v>
      </c>
      <c r="E604" t="s">
        <v>138</v>
      </c>
      <c r="F604">
        <v>56069</v>
      </c>
      <c r="G604">
        <v>1066</v>
      </c>
      <c r="H604">
        <v>849.75</v>
      </c>
      <c r="I604">
        <v>134</v>
      </c>
      <c r="J604">
        <v>1</v>
      </c>
      <c r="L604" t="s">
        <v>139</v>
      </c>
    </row>
    <row r="605" spans="1:12">
      <c r="A605" t="s">
        <v>1267</v>
      </c>
      <c r="B605" t="s">
        <v>1268</v>
      </c>
      <c r="C605" s="27">
        <v>45209</v>
      </c>
      <c r="D605" s="25">
        <v>45210</v>
      </c>
      <c r="E605" t="s">
        <v>14</v>
      </c>
      <c r="F605">
        <v>15397</v>
      </c>
      <c r="G605">
        <v>586</v>
      </c>
      <c r="H605">
        <v>350.74</v>
      </c>
      <c r="I605">
        <v>31</v>
      </c>
      <c r="J605">
        <v>1</v>
      </c>
      <c r="L605" t="s">
        <v>16</v>
      </c>
    </row>
    <row r="606" spans="1:12">
      <c r="A606" t="s">
        <v>1269</v>
      </c>
      <c r="B606" t="s">
        <v>1270</v>
      </c>
      <c r="C606" s="27">
        <v>44960</v>
      </c>
      <c r="D606" s="25">
        <v>44982</v>
      </c>
      <c r="E606" t="s">
        <v>23</v>
      </c>
      <c r="F606">
        <v>42555</v>
      </c>
      <c r="G606">
        <v>515</v>
      </c>
      <c r="H606">
        <v>-942.8</v>
      </c>
      <c r="I606">
        <v>57</v>
      </c>
      <c r="J606">
        <v>1</v>
      </c>
      <c r="L606" t="s">
        <v>25</v>
      </c>
    </row>
    <row r="607" spans="1:12">
      <c r="A607" t="s">
        <v>1271</v>
      </c>
      <c r="B607" t="s">
        <v>1272</v>
      </c>
      <c r="C607" s="27">
        <v>45172</v>
      </c>
      <c r="D607" s="25">
        <v>45181</v>
      </c>
      <c r="E607" t="s">
        <v>23</v>
      </c>
      <c r="F607">
        <v>47959</v>
      </c>
      <c r="G607">
        <v>1413</v>
      </c>
      <c r="H607">
        <v>1596.37</v>
      </c>
      <c r="I607">
        <v>117</v>
      </c>
      <c r="J607" t="b">
        <v>1</v>
      </c>
      <c r="L607" t="s">
        <v>25</v>
      </c>
    </row>
    <row r="608" spans="1:12">
      <c r="A608" t="s">
        <v>1273</v>
      </c>
      <c r="B608" t="s">
        <v>1274</v>
      </c>
      <c r="C608" t="s">
        <v>1275</v>
      </c>
      <c r="D608" s="25">
        <v>45249</v>
      </c>
      <c r="E608" t="s">
        <v>138</v>
      </c>
      <c r="F608">
        <v>1728</v>
      </c>
      <c r="G608">
        <v>58</v>
      </c>
      <c r="H608">
        <v>72.23</v>
      </c>
      <c r="I608">
        <v>7</v>
      </c>
      <c r="J608" t="s">
        <v>24</v>
      </c>
      <c r="L608" t="s">
        <v>139</v>
      </c>
    </row>
    <row r="609" spans="1:12">
      <c r="A609" t="s">
        <v>1276</v>
      </c>
      <c r="B609" t="s">
        <v>1277</v>
      </c>
      <c r="C609" s="27">
        <v>45089</v>
      </c>
      <c r="D609" s="25">
        <v>45096</v>
      </c>
      <c r="E609" t="s">
        <v>23</v>
      </c>
      <c r="F609">
        <v>51517</v>
      </c>
      <c r="G609">
        <v>1755</v>
      </c>
      <c r="H609">
        <v>3291.35</v>
      </c>
      <c r="I609">
        <v>349</v>
      </c>
      <c r="J609" t="s">
        <v>30</v>
      </c>
      <c r="L609" t="s">
        <v>25</v>
      </c>
    </row>
    <row r="610" spans="1:12">
      <c r="A610" t="s">
        <v>1278</v>
      </c>
      <c r="B610" t="s">
        <v>1279</v>
      </c>
      <c r="C610" s="27">
        <v>45275</v>
      </c>
      <c r="D610" s="25">
        <v>45283</v>
      </c>
      <c r="E610" t="s">
        <v>23</v>
      </c>
      <c r="F610">
        <v>67234</v>
      </c>
      <c r="G610">
        <v>734</v>
      </c>
      <c r="H610">
        <v>1221.7</v>
      </c>
      <c r="I610">
        <v>124</v>
      </c>
      <c r="J610" t="s">
        <v>30</v>
      </c>
      <c r="L610" t="s">
        <v>25</v>
      </c>
    </row>
    <row r="611" spans="1:12">
      <c r="A611" t="s">
        <v>1280</v>
      </c>
      <c r="B611" t="s">
        <v>1281</v>
      </c>
      <c r="C611" s="27">
        <v>45209</v>
      </c>
      <c r="D611" s="25">
        <v>45232</v>
      </c>
      <c r="E611" t="s">
        <v>14</v>
      </c>
      <c r="F611">
        <v>40954</v>
      </c>
      <c r="G611">
        <v>937</v>
      </c>
      <c r="H611" s="26">
        <v>651.92</v>
      </c>
      <c r="I611">
        <v>165</v>
      </c>
      <c r="J611" t="s">
        <v>24</v>
      </c>
      <c r="L611" t="s">
        <v>16</v>
      </c>
    </row>
    <row r="612" spans="1:12">
      <c r="A612" t="s">
        <v>1282</v>
      </c>
      <c r="B612" t="s">
        <v>1283</v>
      </c>
      <c r="C612" s="27">
        <v>44993</v>
      </c>
      <c r="D612" s="25">
        <v>45008</v>
      </c>
      <c r="E612" t="s">
        <v>23</v>
      </c>
      <c r="F612">
        <v>48280</v>
      </c>
      <c r="G612">
        <v>1711</v>
      </c>
      <c r="H612">
        <v>2306.65</v>
      </c>
      <c r="J612" t="s">
        <v>15</v>
      </c>
      <c r="L612" t="s">
        <v>68</v>
      </c>
    </row>
    <row r="613" spans="1:12">
      <c r="A613" t="s">
        <v>1284</v>
      </c>
      <c r="B613" t="s">
        <v>1285</v>
      </c>
      <c r="C613" s="27">
        <v>44955</v>
      </c>
      <c r="D613" s="25">
        <v>44981</v>
      </c>
      <c r="E613" t="s">
        <v>14</v>
      </c>
      <c r="F613">
        <v>80459</v>
      </c>
      <c r="G613">
        <v>1284</v>
      </c>
      <c r="H613">
        <v>1493.78</v>
      </c>
      <c r="I613">
        <v>72</v>
      </c>
      <c r="J613" t="s">
        <v>30</v>
      </c>
      <c r="L613" t="s">
        <v>16</v>
      </c>
    </row>
    <row r="614" spans="1:12">
      <c r="A614" t="s">
        <v>1286</v>
      </c>
      <c r="B614" t="s">
        <v>1287</v>
      </c>
      <c r="C614" s="27">
        <v>45082</v>
      </c>
      <c r="D614" s="25">
        <v>45083</v>
      </c>
      <c r="E614" t="s">
        <v>19</v>
      </c>
      <c r="F614">
        <v>17779</v>
      </c>
      <c r="G614">
        <v>672</v>
      </c>
      <c r="H614">
        <v>1139.59</v>
      </c>
      <c r="I614">
        <v>54</v>
      </c>
      <c r="J614" t="s">
        <v>24</v>
      </c>
      <c r="L614" t="s">
        <v>20</v>
      </c>
    </row>
    <row r="615" spans="1:12">
      <c r="A615" t="s">
        <v>1288</v>
      </c>
      <c r="B615" t="s">
        <v>1289</v>
      </c>
      <c r="C615" s="27">
        <v>45290</v>
      </c>
      <c r="D615" s="25">
        <v>45311</v>
      </c>
      <c r="E615" t="s">
        <v>41</v>
      </c>
      <c r="F615">
        <v>64932</v>
      </c>
      <c r="G615">
        <v>2586</v>
      </c>
      <c r="H615">
        <v>4102.3</v>
      </c>
      <c r="J615" t="s">
        <v>30</v>
      </c>
      <c r="L615" t="s">
        <v>42</v>
      </c>
    </row>
    <row r="616" spans="1:12">
      <c r="A616" t="s">
        <v>1290</v>
      </c>
      <c r="B616" t="s">
        <v>1291</v>
      </c>
      <c r="C616" s="27">
        <v>45192</v>
      </c>
      <c r="D616" s="25">
        <v>45194</v>
      </c>
      <c r="E616" t="s">
        <v>33</v>
      </c>
      <c r="F616">
        <v>73936</v>
      </c>
      <c r="G616">
        <v>3643</v>
      </c>
      <c r="H616">
        <v>5594.22</v>
      </c>
      <c r="I616">
        <v>382</v>
      </c>
      <c r="J616">
        <v>1</v>
      </c>
      <c r="L616" t="s">
        <v>34</v>
      </c>
    </row>
    <row r="617" spans="1:12">
      <c r="A617" t="s">
        <v>1292</v>
      </c>
      <c r="B617" t="s">
        <v>1293</v>
      </c>
      <c r="C617" s="27">
        <v>45055</v>
      </c>
      <c r="D617" s="25">
        <v>45083</v>
      </c>
      <c r="E617" t="s">
        <v>41</v>
      </c>
      <c r="F617">
        <v>25466</v>
      </c>
      <c r="G617">
        <v>468</v>
      </c>
      <c r="H617">
        <v>473.06</v>
      </c>
      <c r="I617">
        <v>30</v>
      </c>
      <c r="J617">
        <v>0</v>
      </c>
      <c r="L617" t="s">
        <v>42</v>
      </c>
    </row>
    <row r="618" spans="1:12">
      <c r="A618" t="s">
        <v>1294</v>
      </c>
      <c r="B618" t="s">
        <v>1295</v>
      </c>
      <c r="C618" s="27">
        <v>45067</v>
      </c>
      <c r="D618" s="25">
        <v>45086</v>
      </c>
      <c r="E618" t="s">
        <v>14</v>
      </c>
      <c r="F618">
        <v>37939</v>
      </c>
      <c r="G618">
        <v>1631</v>
      </c>
      <c r="H618">
        <v>2784.84</v>
      </c>
      <c r="I618">
        <v>253</v>
      </c>
      <c r="J618" t="s">
        <v>24</v>
      </c>
      <c r="L618" t="s">
        <v>16</v>
      </c>
    </row>
    <row r="619" spans="1:12">
      <c r="A619" t="s">
        <v>1296</v>
      </c>
      <c r="B619" t="s">
        <v>1297</v>
      </c>
      <c r="C619" s="25">
        <v>44936</v>
      </c>
      <c r="D619" s="25">
        <v>45227</v>
      </c>
      <c r="E619" t="s">
        <v>19</v>
      </c>
      <c r="F619">
        <v>70896</v>
      </c>
      <c r="G619">
        <v>2184</v>
      </c>
      <c r="H619">
        <v>1263.63</v>
      </c>
      <c r="I619">
        <v>207</v>
      </c>
      <c r="J619" t="b">
        <v>0</v>
      </c>
      <c r="L619" t="s">
        <v>20</v>
      </c>
    </row>
    <row r="620" spans="1:12">
      <c r="A620" t="s">
        <v>1298</v>
      </c>
      <c r="B620" t="s">
        <v>1299</v>
      </c>
      <c r="C620" s="27">
        <v>45255</v>
      </c>
      <c r="D620" s="25">
        <v>45283</v>
      </c>
      <c r="E620" t="s">
        <v>14</v>
      </c>
      <c r="F620">
        <v>36270</v>
      </c>
      <c r="G620">
        <v>904</v>
      </c>
      <c r="H620">
        <v>668.45</v>
      </c>
      <c r="I620">
        <v>81</v>
      </c>
      <c r="J620" t="s">
        <v>30</v>
      </c>
      <c r="L620" t="s">
        <v>16</v>
      </c>
    </row>
    <row r="621" spans="1:12">
      <c r="A621" t="s">
        <v>1300</v>
      </c>
      <c r="B621" t="s">
        <v>1301</v>
      </c>
      <c r="C621" s="27">
        <v>45005</v>
      </c>
      <c r="D621" s="25">
        <v>45019</v>
      </c>
      <c r="E621" t="s">
        <v>41</v>
      </c>
      <c r="F621">
        <v>60163</v>
      </c>
      <c r="G621">
        <v>896</v>
      </c>
      <c r="H621">
        <v>899.08</v>
      </c>
      <c r="J621" t="s">
        <v>30</v>
      </c>
      <c r="L621" t="s">
        <v>42</v>
      </c>
    </row>
    <row r="622" spans="1:12">
      <c r="A622" t="s">
        <v>1302</v>
      </c>
      <c r="B622" t="s">
        <v>1303</v>
      </c>
      <c r="C622" s="27">
        <v>45236</v>
      </c>
      <c r="D622" s="25">
        <v>45254</v>
      </c>
      <c r="E622" t="s">
        <v>41</v>
      </c>
      <c r="F622">
        <v>83637</v>
      </c>
      <c r="G622">
        <v>3296</v>
      </c>
      <c r="H622">
        <v>2027.74</v>
      </c>
      <c r="I622">
        <v>589</v>
      </c>
      <c r="J622" t="b">
        <v>1</v>
      </c>
      <c r="L622" t="s">
        <v>42</v>
      </c>
    </row>
    <row r="623" spans="1:12">
      <c r="A623" t="s">
        <v>1304</v>
      </c>
      <c r="B623" t="s">
        <v>1305</v>
      </c>
      <c r="C623" s="25">
        <v>44948</v>
      </c>
      <c r="D623" s="25">
        <v>44971</v>
      </c>
      <c r="E623" t="s">
        <v>33</v>
      </c>
      <c r="F623">
        <v>52934</v>
      </c>
      <c r="G623">
        <v>1028</v>
      </c>
      <c r="H623">
        <v>876.36</v>
      </c>
      <c r="I623">
        <v>114</v>
      </c>
      <c r="J623" t="s">
        <v>15</v>
      </c>
      <c r="L623" t="s">
        <v>68</v>
      </c>
    </row>
    <row r="624" spans="1:12">
      <c r="A624" t="s">
        <v>1306</v>
      </c>
      <c r="B624" t="s">
        <v>1307</v>
      </c>
      <c r="C624" s="27">
        <v>44950</v>
      </c>
      <c r="D624" s="25">
        <v>44966</v>
      </c>
      <c r="E624" t="s">
        <v>19</v>
      </c>
      <c r="F624">
        <v>65895</v>
      </c>
      <c r="G624">
        <v>1637</v>
      </c>
      <c r="H624">
        <v>2856.94</v>
      </c>
      <c r="I624">
        <v>322</v>
      </c>
      <c r="J624">
        <v>0</v>
      </c>
      <c r="L624" t="s">
        <v>20</v>
      </c>
    </row>
    <row r="625" spans="1:12">
      <c r="A625" t="s">
        <v>1308</v>
      </c>
      <c r="B625" t="s">
        <v>1309</v>
      </c>
      <c r="C625" s="27">
        <v>45062</v>
      </c>
      <c r="D625" s="25">
        <v>45088</v>
      </c>
      <c r="E625" t="s">
        <v>19</v>
      </c>
      <c r="F625">
        <v>33307</v>
      </c>
      <c r="G625">
        <v>416</v>
      </c>
      <c r="H625">
        <v>799.71</v>
      </c>
      <c r="I625">
        <v>61</v>
      </c>
      <c r="J625" t="b">
        <v>1</v>
      </c>
      <c r="L625" t="s">
        <v>20</v>
      </c>
    </row>
    <row r="626" spans="1:12">
      <c r="A626" t="s">
        <v>1310</v>
      </c>
      <c r="B626" t="s">
        <v>1311</v>
      </c>
      <c r="C626" s="25">
        <v>45140</v>
      </c>
      <c r="D626" s="25">
        <v>44973</v>
      </c>
      <c r="E626" t="s">
        <v>41</v>
      </c>
      <c r="F626">
        <v>55098</v>
      </c>
      <c r="G626">
        <v>2317</v>
      </c>
      <c r="H626">
        <v>2217.15</v>
      </c>
      <c r="J626">
        <v>1</v>
      </c>
      <c r="L626" t="s">
        <v>42</v>
      </c>
    </row>
    <row r="627" spans="1:12">
      <c r="A627" t="s">
        <v>1312</v>
      </c>
      <c r="B627" t="s">
        <v>1313</v>
      </c>
      <c r="C627" s="27">
        <v>45248</v>
      </c>
      <c r="D627" s="25">
        <v>45271</v>
      </c>
      <c r="E627" t="s">
        <v>23</v>
      </c>
      <c r="F627">
        <v>61921</v>
      </c>
      <c r="G627">
        <v>2517</v>
      </c>
      <c r="H627" s="26">
        <v>2257.18</v>
      </c>
      <c r="I627">
        <v>137</v>
      </c>
      <c r="J627" t="b">
        <v>0</v>
      </c>
      <c r="L627" t="s">
        <v>25</v>
      </c>
    </row>
    <row r="628" spans="1:12">
      <c r="A628" t="s">
        <v>1314</v>
      </c>
      <c r="B628" t="s">
        <v>1315</v>
      </c>
      <c r="C628" s="27">
        <v>45081</v>
      </c>
      <c r="D628" s="25">
        <v>45109</v>
      </c>
      <c r="E628" t="s">
        <v>14</v>
      </c>
      <c r="F628">
        <v>6486</v>
      </c>
      <c r="G628">
        <v>255</v>
      </c>
      <c r="H628">
        <v>234.56</v>
      </c>
      <c r="I628">
        <v>17</v>
      </c>
      <c r="J628" t="s">
        <v>15</v>
      </c>
      <c r="L628" t="s">
        <v>16</v>
      </c>
    </row>
    <row r="629" spans="1:12">
      <c r="A629" t="s">
        <v>1316</v>
      </c>
      <c r="B629" t="s">
        <v>1317</v>
      </c>
      <c r="C629" s="27">
        <v>45277</v>
      </c>
      <c r="D629" s="25">
        <v>45301</v>
      </c>
      <c r="E629" t="s">
        <v>19</v>
      </c>
      <c r="F629">
        <v>9335</v>
      </c>
      <c r="G629">
        <v>205</v>
      </c>
      <c r="H629">
        <v>187.9</v>
      </c>
      <c r="I629">
        <v>29</v>
      </c>
      <c r="J629" t="b">
        <v>1</v>
      </c>
      <c r="L629" t="s">
        <v>20</v>
      </c>
    </row>
    <row r="630" spans="1:12">
      <c r="A630" t="s">
        <v>1318</v>
      </c>
      <c r="B630" t="s">
        <v>1319</v>
      </c>
      <c r="C630" t="s">
        <v>1320</v>
      </c>
      <c r="D630" s="25">
        <v>45281</v>
      </c>
      <c r="E630" t="s">
        <v>41</v>
      </c>
      <c r="F630">
        <v>87900</v>
      </c>
      <c r="G630">
        <v>1488</v>
      </c>
      <c r="H630">
        <v>824.2</v>
      </c>
      <c r="I630">
        <v>275</v>
      </c>
      <c r="J630" t="s">
        <v>24</v>
      </c>
      <c r="L630" t="s">
        <v>42</v>
      </c>
    </row>
    <row r="631" spans="1:12">
      <c r="A631" t="s">
        <v>1321</v>
      </c>
      <c r="B631" t="s">
        <v>1322</v>
      </c>
      <c r="C631" s="27">
        <v>45152</v>
      </c>
      <c r="D631" s="25">
        <v>45162</v>
      </c>
      <c r="E631" t="s">
        <v>41</v>
      </c>
      <c r="F631">
        <v>90112</v>
      </c>
      <c r="G631">
        <v>3199</v>
      </c>
      <c r="H631" s="26">
        <v>6047.31</v>
      </c>
      <c r="I631">
        <v>459</v>
      </c>
      <c r="J631" t="s">
        <v>30</v>
      </c>
      <c r="L631" t="s">
        <v>42</v>
      </c>
    </row>
    <row r="632" spans="1:12">
      <c r="A632" t="s">
        <v>1323</v>
      </c>
      <c r="B632" t="s">
        <v>1324</v>
      </c>
      <c r="C632" s="27">
        <v>45101</v>
      </c>
      <c r="D632" s="25">
        <v>45113</v>
      </c>
      <c r="E632" t="s">
        <v>41</v>
      </c>
      <c r="F632">
        <v>98203</v>
      </c>
      <c r="G632">
        <v>2931</v>
      </c>
      <c r="H632" s="26">
        <v>2405.02</v>
      </c>
      <c r="I632">
        <v>205</v>
      </c>
      <c r="J632" t="s">
        <v>30</v>
      </c>
      <c r="L632" t="s">
        <v>42</v>
      </c>
    </row>
    <row r="633" spans="1:12">
      <c r="A633" t="s">
        <v>1325</v>
      </c>
      <c r="B633" t="s">
        <v>1326</v>
      </c>
      <c r="C633" s="27">
        <v>45090</v>
      </c>
      <c r="D633" s="25">
        <v>45093</v>
      </c>
      <c r="E633" t="s">
        <v>33</v>
      </c>
      <c r="F633">
        <v>12130</v>
      </c>
      <c r="G633">
        <v>207</v>
      </c>
      <c r="H633">
        <v>233.91</v>
      </c>
      <c r="I633">
        <v>13</v>
      </c>
      <c r="J633" t="s">
        <v>15</v>
      </c>
      <c r="L633" t="s">
        <v>34</v>
      </c>
    </row>
    <row r="634" spans="1:12">
      <c r="A634" t="s">
        <v>1327</v>
      </c>
      <c r="B634" t="s">
        <v>1328</v>
      </c>
      <c r="C634" s="27">
        <v>45131</v>
      </c>
      <c r="D634" s="25">
        <v>45151</v>
      </c>
      <c r="E634" t="s">
        <v>19</v>
      </c>
      <c r="F634">
        <v>88508</v>
      </c>
      <c r="G634">
        <v>3313</v>
      </c>
      <c r="H634">
        <v>1704.64</v>
      </c>
      <c r="I634">
        <v>585</v>
      </c>
      <c r="J634" t="s">
        <v>30</v>
      </c>
      <c r="L634" t="s">
        <v>20</v>
      </c>
    </row>
    <row r="635" spans="1:12">
      <c r="A635" t="s">
        <v>1329</v>
      </c>
      <c r="B635" t="s">
        <v>1330</v>
      </c>
      <c r="C635" s="27">
        <v>45214</v>
      </c>
      <c r="D635" s="25">
        <v>45226</v>
      </c>
      <c r="E635" t="s">
        <v>14</v>
      </c>
      <c r="F635">
        <v>61566</v>
      </c>
      <c r="G635">
        <v>3056</v>
      </c>
      <c r="H635">
        <v>5460.87</v>
      </c>
      <c r="I635">
        <v>216</v>
      </c>
      <c r="J635" t="s">
        <v>24</v>
      </c>
      <c r="L635" t="s">
        <v>16</v>
      </c>
    </row>
    <row r="636" spans="1:12">
      <c r="A636" t="s">
        <v>1331</v>
      </c>
      <c r="B636" t="s">
        <v>1332</v>
      </c>
      <c r="C636" s="27">
        <v>44989</v>
      </c>
      <c r="D636" s="25">
        <v>45004</v>
      </c>
      <c r="E636" t="s">
        <v>19</v>
      </c>
      <c r="F636">
        <v>67703</v>
      </c>
      <c r="G636">
        <v>2700</v>
      </c>
      <c r="H636" s="26">
        <v>4311.19</v>
      </c>
      <c r="I636">
        <v>345</v>
      </c>
      <c r="J636" t="b">
        <v>1</v>
      </c>
      <c r="L636" t="s">
        <v>20</v>
      </c>
    </row>
    <row r="637" spans="1:12">
      <c r="A637" t="s">
        <v>1333</v>
      </c>
      <c r="B637" t="s">
        <v>1334</v>
      </c>
      <c r="C637" t="s">
        <v>1335</v>
      </c>
      <c r="D637" s="25">
        <v>45003</v>
      </c>
      <c r="E637" t="s">
        <v>138</v>
      </c>
      <c r="F637">
        <v>28192</v>
      </c>
      <c r="G637">
        <v>1116</v>
      </c>
      <c r="H637">
        <v>2142.87</v>
      </c>
      <c r="I637">
        <v>62</v>
      </c>
      <c r="J637" t="b">
        <v>1</v>
      </c>
      <c r="L637" t="s">
        <v>139</v>
      </c>
    </row>
    <row r="638" spans="1:12">
      <c r="A638" t="s">
        <v>1336</v>
      </c>
      <c r="B638" t="s">
        <v>1337</v>
      </c>
      <c r="C638" s="27">
        <v>45123</v>
      </c>
      <c r="D638" s="25">
        <v>45139</v>
      </c>
      <c r="E638" t="s">
        <v>41</v>
      </c>
      <c r="F638">
        <v>2062</v>
      </c>
      <c r="G638">
        <v>99</v>
      </c>
      <c r="H638">
        <v>165.57</v>
      </c>
      <c r="I638">
        <v>6</v>
      </c>
      <c r="J638" t="s">
        <v>30</v>
      </c>
      <c r="L638" t="s">
        <v>42</v>
      </c>
    </row>
    <row r="639" spans="1:12">
      <c r="A639" t="s">
        <v>1338</v>
      </c>
      <c r="B639" t="s">
        <v>1339</v>
      </c>
      <c r="C639" s="27">
        <v>45008</v>
      </c>
      <c r="D639" s="25">
        <v>45026</v>
      </c>
      <c r="E639" t="s">
        <v>14</v>
      </c>
      <c r="F639">
        <v>85076</v>
      </c>
      <c r="G639">
        <v>1541</v>
      </c>
      <c r="H639">
        <v>1495.63</v>
      </c>
      <c r="I639">
        <v>232</v>
      </c>
      <c r="J639" t="s">
        <v>30</v>
      </c>
      <c r="L639" t="s">
        <v>16</v>
      </c>
    </row>
    <row r="640" spans="1:12">
      <c r="A640" t="s">
        <v>1340</v>
      </c>
      <c r="B640" t="s">
        <v>1341</v>
      </c>
      <c r="C640" s="27">
        <v>45087</v>
      </c>
      <c r="D640" s="25">
        <v>45093</v>
      </c>
      <c r="E640" t="s">
        <v>19</v>
      </c>
      <c r="F640">
        <v>90780</v>
      </c>
      <c r="G640">
        <v>2961</v>
      </c>
      <c r="H640">
        <v>2581.43</v>
      </c>
      <c r="I640">
        <v>454</v>
      </c>
      <c r="J640">
        <v>1</v>
      </c>
      <c r="L640" t="s">
        <v>20</v>
      </c>
    </row>
    <row r="641" spans="1:12">
      <c r="A641" t="s">
        <v>1342</v>
      </c>
      <c r="B641" t="s">
        <v>1343</v>
      </c>
      <c r="C641" s="27">
        <v>45190</v>
      </c>
      <c r="D641" s="25">
        <v>45202</v>
      </c>
      <c r="E641" t="s">
        <v>33</v>
      </c>
      <c r="F641">
        <v>22545</v>
      </c>
      <c r="G641">
        <v>1108</v>
      </c>
      <c r="H641">
        <v>1713.6</v>
      </c>
      <c r="I641">
        <v>112</v>
      </c>
      <c r="J641" t="b">
        <v>0</v>
      </c>
      <c r="L641" t="s">
        <v>34</v>
      </c>
    </row>
    <row r="642" spans="1:12">
      <c r="A642" t="s">
        <v>1344</v>
      </c>
      <c r="B642" t="s">
        <v>1345</v>
      </c>
      <c r="C642" s="25">
        <v>45269</v>
      </c>
      <c r="D642" s="25">
        <v>45203</v>
      </c>
      <c r="E642" t="s">
        <v>23</v>
      </c>
      <c r="F642">
        <v>22689</v>
      </c>
      <c r="G642">
        <v>376</v>
      </c>
      <c r="H642">
        <v>393.36</v>
      </c>
      <c r="I642">
        <v>30</v>
      </c>
      <c r="J642" t="s">
        <v>15</v>
      </c>
      <c r="L642" t="s">
        <v>25</v>
      </c>
    </row>
    <row r="643" spans="1:12">
      <c r="A643" t="s">
        <v>1346</v>
      </c>
      <c r="B643" t="s">
        <v>1347</v>
      </c>
      <c r="C643" s="27">
        <v>45128</v>
      </c>
      <c r="D643" s="25">
        <v>45123</v>
      </c>
      <c r="E643" t="s">
        <v>19</v>
      </c>
      <c r="F643">
        <v>12174</v>
      </c>
      <c r="G643">
        <v>462</v>
      </c>
      <c r="H643" s="26">
        <v>623.39</v>
      </c>
      <c r="I643">
        <v>79</v>
      </c>
      <c r="J643" t="b">
        <v>1</v>
      </c>
      <c r="L643" t="s">
        <v>20</v>
      </c>
    </row>
    <row r="644" spans="1:12">
      <c r="A644" t="s">
        <v>1348</v>
      </c>
      <c r="B644" t="s">
        <v>1349</v>
      </c>
      <c r="C644" s="25">
        <v>45037</v>
      </c>
      <c r="D644" s="25">
        <v>45049</v>
      </c>
      <c r="E644" t="s">
        <v>23</v>
      </c>
      <c r="F644">
        <v>89461</v>
      </c>
      <c r="G644">
        <v>2990</v>
      </c>
      <c r="H644">
        <v>1523.06</v>
      </c>
      <c r="I644">
        <v>246</v>
      </c>
      <c r="J644" t="s">
        <v>15</v>
      </c>
      <c r="L644" t="s">
        <v>25</v>
      </c>
    </row>
    <row r="645" spans="1:12">
      <c r="A645" t="s">
        <v>1350</v>
      </c>
      <c r="B645" t="s">
        <v>1351</v>
      </c>
      <c r="C645" s="27">
        <v>45071</v>
      </c>
      <c r="D645" s="25">
        <v>45095</v>
      </c>
      <c r="E645" t="s">
        <v>23</v>
      </c>
      <c r="F645">
        <v>10348</v>
      </c>
      <c r="G645">
        <v>346</v>
      </c>
      <c r="H645">
        <v>205.12</v>
      </c>
      <c r="I645">
        <v>45</v>
      </c>
      <c r="J645">
        <v>1</v>
      </c>
      <c r="L645" t="s">
        <v>25</v>
      </c>
    </row>
    <row r="646" spans="1:12">
      <c r="A646" t="s">
        <v>1352</v>
      </c>
      <c r="B646" t="s">
        <v>1353</v>
      </c>
      <c r="C646" s="27">
        <v>45261</v>
      </c>
      <c r="D646" s="25">
        <v>45279</v>
      </c>
      <c r="E646" t="s">
        <v>19</v>
      </c>
      <c r="F646">
        <v>24714</v>
      </c>
      <c r="G646">
        <v>936</v>
      </c>
      <c r="H646">
        <v>1219.66</v>
      </c>
      <c r="I646">
        <v>182</v>
      </c>
      <c r="J646" t="b">
        <v>1</v>
      </c>
      <c r="L646" t="s">
        <v>20</v>
      </c>
    </row>
    <row r="647" spans="1:12">
      <c r="A647" t="s">
        <v>1354</v>
      </c>
      <c r="B647" t="s">
        <v>1355</v>
      </c>
      <c r="C647" s="27">
        <v>44931</v>
      </c>
      <c r="D647" s="25">
        <v>44949</v>
      </c>
      <c r="E647" t="s">
        <v>19</v>
      </c>
      <c r="F647">
        <v>39102</v>
      </c>
      <c r="G647">
        <v>1845</v>
      </c>
      <c r="H647">
        <v>2489.1</v>
      </c>
      <c r="I647">
        <v>133</v>
      </c>
      <c r="J647">
        <v>1</v>
      </c>
      <c r="L647" t="s">
        <v>20</v>
      </c>
    </row>
    <row r="648" spans="1:12">
      <c r="A648" t="s">
        <v>1356</v>
      </c>
      <c r="B648" t="s">
        <v>1357</v>
      </c>
      <c r="C648" s="27">
        <v>45062</v>
      </c>
      <c r="D648" s="25">
        <v>45067</v>
      </c>
      <c r="E648" t="s">
        <v>41</v>
      </c>
      <c r="F648">
        <v>75460</v>
      </c>
      <c r="G648">
        <v>3116</v>
      </c>
      <c r="H648">
        <v>5070.29</v>
      </c>
      <c r="J648">
        <v>1</v>
      </c>
      <c r="L648" t="s">
        <v>42</v>
      </c>
    </row>
    <row r="649" spans="1:12">
      <c r="A649" t="s">
        <v>1358</v>
      </c>
      <c r="B649" t="s">
        <v>1359</v>
      </c>
      <c r="C649" s="25">
        <v>45114</v>
      </c>
      <c r="D649" s="25">
        <v>45125</v>
      </c>
      <c r="E649" t="s">
        <v>23</v>
      </c>
      <c r="F649">
        <v>90930</v>
      </c>
      <c r="G649">
        <v>1113</v>
      </c>
      <c r="H649">
        <v>776.82</v>
      </c>
      <c r="I649">
        <v>86</v>
      </c>
      <c r="J649">
        <v>0</v>
      </c>
      <c r="L649" t="s">
        <v>25</v>
      </c>
    </row>
    <row r="650" spans="1:12">
      <c r="A650" t="s">
        <v>1360</v>
      </c>
      <c r="B650" t="s">
        <v>1361</v>
      </c>
      <c r="C650" s="27">
        <v>44953</v>
      </c>
      <c r="D650" s="25">
        <v>44977</v>
      </c>
      <c r="E650" t="s">
        <v>33</v>
      </c>
      <c r="F650">
        <v>7801</v>
      </c>
      <c r="G650">
        <v>344</v>
      </c>
      <c r="H650">
        <v>436.8</v>
      </c>
      <c r="I650">
        <v>46</v>
      </c>
      <c r="J650" t="s">
        <v>30</v>
      </c>
      <c r="L650" t="s">
        <v>34</v>
      </c>
    </row>
    <row r="651" spans="1:12">
      <c r="A651" t="s">
        <v>1362</v>
      </c>
      <c r="B651" t="s">
        <v>1363</v>
      </c>
      <c r="C651" s="27">
        <v>45210</v>
      </c>
      <c r="D651" s="25">
        <v>45231</v>
      </c>
      <c r="E651" t="s">
        <v>33</v>
      </c>
      <c r="F651">
        <v>73267</v>
      </c>
      <c r="G651">
        <v>1393</v>
      </c>
      <c r="H651">
        <v>1102.8</v>
      </c>
      <c r="I651">
        <v>148</v>
      </c>
      <c r="J651" t="s">
        <v>24</v>
      </c>
      <c r="L651" t="s">
        <v>34</v>
      </c>
    </row>
    <row r="652" spans="1:12">
      <c r="A652" t="s">
        <v>1364</v>
      </c>
      <c r="B652" t="s">
        <v>1365</v>
      </c>
      <c r="C652" s="27">
        <v>45157</v>
      </c>
      <c r="D652" s="25">
        <v>45169</v>
      </c>
      <c r="E652" t="s">
        <v>33</v>
      </c>
      <c r="F652">
        <v>49136</v>
      </c>
      <c r="G652">
        <v>1232</v>
      </c>
      <c r="H652">
        <v>788.23</v>
      </c>
      <c r="I652">
        <v>239</v>
      </c>
      <c r="J652">
        <v>0</v>
      </c>
      <c r="L652" t="s">
        <v>34</v>
      </c>
    </row>
    <row r="653" spans="1:12">
      <c r="A653" t="s">
        <v>1366</v>
      </c>
      <c r="B653" t="s">
        <v>1367</v>
      </c>
      <c r="C653" s="27">
        <v>45246</v>
      </c>
      <c r="D653" s="25">
        <v>45260</v>
      </c>
      <c r="E653" t="s">
        <v>41</v>
      </c>
      <c r="F653">
        <v>24625</v>
      </c>
      <c r="G653">
        <v>701</v>
      </c>
      <c r="H653">
        <v>782.14</v>
      </c>
      <c r="I653">
        <v>63</v>
      </c>
      <c r="J653" t="s">
        <v>15</v>
      </c>
      <c r="L653" t="s">
        <v>42</v>
      </c>
    </row>
    <row r="654" spans="1:12">
      <c r="A654" t="s">
        <v>1368</v>
      </c>
      <c r="B654" t="s">
        <v>1369</v>
      </c>
      <c r="C654" s="27">
        <v>44976</v>
      </c>
      <c r="D654" s="25">
        <v>44982</v>
      </c>
      <c r="E654" t="s">
        <v>41</v>
      </c>
      <c r="F654">
        <v>83873</v>
      </c>
      <c r="G654">
        <v>2452</v>
      </c>
      <c r="H654">
        <v>1826.75</v>
      </c>
      <c r="I654">
        <v>269</v>
      </c>
      <c r="J654" t="s">
        <v>24</v>
      </c>
      <c r="L654" t="s">
        <v>42</v>
      </c>
    </row>
    <row r="655" spans="1:12">
      <c r="A655" t="s">
        <v>1370</v>
      </c>
      <c r="B655" t="s">
        <v>1371</v>
      </c>
      <c r="C655" s="27">
        <v>45100</v>
      </c>
      <c r="D655" s="25">
        <v>45119</v>
      </c>
      <c r="E655" t="s">
        <v>19</v>
      </c>
      <c r="F655">
        <v>73592</v>
      </c>
      <c r="G655">
        <v>2016</v>
      </c>
      <c r="H655">
        <v>1678.67</v>
      </c>
      <c r="I655">
        <v>398</v>
      </c>
      <c r="J655" t="s">
        <v>15</v>
      </c>
      <c r="L655" t="s">
        <v>20</v>
      </c>
    </row>
    <row r="656" spans="1:12">
      <c r="A656" t="s">
        <v>1372</v>
      </c>
      <c r="B656" t="s">
        <v>1373</v>
      </c>
      <c r="C656" s="27">
        <v>45000</v>
      </c>
      <c r="D656" s="25">
        <v>45013</v>
      </c>
      <c r="E656" t="s">
        <v>41</v>
      </c>
      <c r="F656">
        <v>78052</v>
      </c>
      <c r="G656">
        <v>3707</v>
      </c>
      <c r="H656">
        <v>3619.26</v>
      </c>
      <c r="I656">
        <v>483</v>
      </c>
      <c r="J656" t="s">
        <v>30</v>
      </c>
      <c r="L656" t="s">
        <v>42</v>
      </c>
    </row>
    <row r="657" spans="1:12">
      <c r="A657" t="s">
        <v>1374</v>
      </c>
      <c r="B657" t="s">
        <v>1375</v>
      </c>
      <c r="C657" t="s">
        <v>1376</v>
      </c>
      <c r="D657" s="25">
        <v>45195</v>
      </c>
      <c r="E657" t="s">
        <v>138</v>
      </c>
      <c r="F657">
        <v>45261</v>
      </c>
      <c r="G657">
        <v>1730</v>
      </c>
      <c r="H657">
        <v>1538.11</v>
      </c>
      <c r="I657">
        <v>216</v>
      </c>
      <c r="J657" t="s">
        <v>24</v>
      </c>
      <c r="L657" t="s">
        <v>139</v>
      </c>
    </row>
    <row r="658" spans="1:12">
      <c r="A658" t="s">
        <v>1377</v>
      </c>
      <c r="B658" t="s">
        <v>1378</v>
      </c>
      <c r="C658" s="27">
        <v>44946</v>
      </c>
      <c r="D658" s="25">
        <v>44961</v>
      </c>
      <c r="E658" t="s">
        <v>14</v>
      </c>
      <c r="F658">
        <v>2542</v>
      </c>
      <c r="G658">
        <v>89</v>
      </c>
      <c r="H658">
        <v>56.19</v>
      </c>
      <c r="I658">
        <v>7</v>
      </c>
      <c r="J658">
        <v>0</v>
      </c>
      <c r="L658" t="s">
        <v>16</v>
      </c>
    </row>
    <row r="659" spans="1:12">
      <c r="A659" t="s">
        <v>1379</v>
      </c>
      <c r="B659" t="s">
        <v>1380</v>
      </c>
      <c r="C659" s="27">
        <v>45169</v>
      </c>
      <c r="D659" s="25">
        <v>45181</v>
      </c>
      <c r="E659" t="s">
        <v>33</v>
      </c>
      <c r="F659">
        <v>22677</v>
      </c>
      <c r="G659">
        <v>271</v>
      </c>
      <c r="H659">
        <v>172.05</v>
      </c>
      <c r="I659">
        <v>42</v>
      </c>
      <c r="J659" t="s">
        <v>15</v>
      </c>
      <c r="L659" t="s">
        <v>34</v>
      </c>
    </row>
    <row r="660" spans="1:12">
      <c r="A660" t="s">
        <v>1381</v>
      </c>
      <c r="B660" t="s">
        <v>1382</v>
      </c>
      <c r="C660" s="27">
        <v>45190</v>
      </c>
      <c r="D660" s="25">
        <v>45215</v>
      </c>
      <c r="E660" t="s">
        <v>33</v>
      </c>
      <c r="F660">
        <v>47732</v>
      </c>
      <c r="G660">
        <v>2203</v>
      </c>
      <c r="H660">
        <v>1740.09</v>
      </c>
      <c r="I660">
        <v>114</v>
      </c>
      <c r="J660">
        <v>0</v>
      </c>
      <c r="L660" t="s">
        <v>34</v>
      </c>
    </row>
    <row r="661" spans="1:12">
      <c r="A661" t="s">
        <v>1383</v>
      </c>
      <c r="B661" t="s">
        <v>1384</v>
      </c>
      <c r="C661" s="27">
        <v>45090</v>
      </c>
      <c r="D661" s="25">
        <v>45100</v>
      </c>
      <c r="E661" t="s">
        <v>41</v>
      </c>
      <c r="F661">
        <v>51343</v>
      </c>
      <c r="G661">
        <v>2381</v>
      </c>
      <c r="H661">
        <v>1371.07</v>
      </c>
      <c r="I661">
        <v>136</v>
      </c>
      <c r="J661" t="s">
        <v>30</v>
      </c>
      <c r="L661" t="s">
        <v>42</v>
      </c>
    </row>
    <row r="662" spans="1:12">
      <c r="A662" t="s">
        <v>1385</v>
      </c>
      <c r="B662" t="s">
        <v>1386</v>
      </c>
      <c r="C662" s="27">
        <v>45080</v>
      </c>
      <c r="D662" s="25">
        <v>45085</v>
      </c>
      <c r="E662" t="s">
        <v>19</v>
      </c>
      <c r="F662">
        <v>40081</v>
      </c>
      <c r="G662">
        <v>1651</v>
      </c>
      <c r="H662">
        <v>2376.92</v>
      </c>
      <c r="I662">
        <v>230</v>
      </c>
      <c r="J662" t="s">
        <v>24</v>
      </c>
      <c r="L662" t="s">
        <v>20</v>
      </c>
    </row>
    <row r="663" spans="1:12">
      <c r="A663" t="s">
        <v>1387</v>
      </c>
      <c r="B663" t="s">
        <v>1388</v>
      </c>
      <c r="C663" s="27">
        <v>45187</v>
      </c>
      <c r="D663" s="25">
        <v>45214</v>
      </c>
      <c r="E663" t="s">
        <v>58</v>
      </c>
      <c r="F663">
        <v>63856</v>
      </c>
      <c r="G663">
        <v>656</v>
      </c>
      <c r="H663">
        <v>610.73</v>
      </c>
      <c r="J663" t="s">
        <v>24</v>
      </c>
      <c r="L663" t="s">
        <v>59</v>
      </c>
    </row>
    <row r="664" spans="1:12">
      <c r="A664" t="s">
        <v>1389</v>
      </c>
      <c r="B664" t="s">
        <v>1390</v>
      </c>
      <c r="C664" s="25">
        <v>45080</v>
      </c>
      <c r="D664" s="25">
        <v>45013</v>
      </c>
      <c r="E664" t="s">
        <v>19</v>
      </c>
      <c r="F664">
        <v>94105</v>
      </c>
      <c r="G664">
        <v>1156</v>
      </c>
      <c r="H664">
        <v>1063.08</v>
      </c>
      <c r="I664">
        <v>223</v>
      </c>
      <c r="J664" t="b">
        <v>1</v>
      </c>
      <c r="L664" t="s">
        <v>20</v>
      </c>
    </row>
    <row r="665" spans="1:12">
      <c r="A665" t="s">
        <v>1391</v>
      </c>
      <c r="B665" t="s">
        <v>1392</v>
      </c>
      <c r="C665" s="27">
        <v>45096</v>
      </c>
      <c r="D665" s="25">
        <v>45121</v>
      </c>
      <c r="E665" t="s">
        <v>138</v>
      </c>
      <c r="F665">
        <v>89858</v>
      </c>
      <c r="G665">
        <v>1708</v>
      </c>
      <c r="H665">
        <v>1704.58</v>
      </c>
      <c r="I665">
        <v>316</v>
      </c>
      <c r="J665">
        <v>1</v>
      </c>
      <c r="L665" t="s">
        <v>139</v>
      </c>
    </row>
    <row r="666" spans="1:12">
      <c r="A666" t="s">
        <v>1393</v>
      </c>
      <c r="B666" t="s">
        <v>1394</v>
      </c>
      <c r="C666" s="27">
        <v>45225</v>
      </c>
      <c r="D666" s="25">
        <v>45254</v>
      </c>
      <c r="E666" t="s">
        <v>14</v>
      </c>
      <c r="F666">
        <v>20065</v>
      </c>
      <c r="G666">
        <v>306</v>
      </c>
      <c r="H666" s="26">
        <v>457.22</v>
      </c>
      <c r="I666">
        <v>48</v>
      </c>
      <c r="J666">
        <v>1</v>
      </c>
      <c r="L666" t="s">
        <v>16</v>
      </c>
    </row>
    <row r="667" spans="1:12">
      <c r="A667" t="s">
        <v>1395</v>
      </c>
      <c r="B667" t="s">
        <v>1396</v>
      </c>
      <c r="C667" s="27">
        <v>45279</v>
      </c>
      <c r="D667" s="25">
        <v>45295</v>
      </c>
      <c r="E667" t="s">
        <v>41</v>
      </c>
      <c r="F667">
        <v>84460</v>
      </c>
      <c r="G667">
        <v>2192</v>
      </c>
      <c r="H667">
        <v>3958.64</v>
      </c>
      <c r="I667">
        <v>378</v>
      </c>
      <c r="J667">
        <v>0</v>
      </c>
      <c r="L667" t="s">
        <v>42</v>
      </c>
    </row>
    <row r="668" spans="1:12">
      <c r="A668" t="s">
        <v>1397</v>
      </c>
      <c r="B668" t="s">
        <v>1398</v>
      </c>
      <c r="C668" s="27">
        <v>45062</v>
      </c>
      <c r="D668" s="25">
        <v>45084</v>
      </c>
      <c r="E668" t="s">
        <v>19</v>
      </c>
      <c r="F668">
        <v>89092</v>
      </c>
      <c r="G668">
        <v>4178</v>
      </c>
      <c r="H668">
        <v>6846.2</v>
      </c>
      <c r="J668" t="s">
        <v>24</v>
      </c>
      <c r="L668" t="s">
        <v>20</v>
      </c>
    </row>
    <row r="669" spans="1:12">
      <c r="A669" t="s">
        <v>1399</v>
      </c>
      <c r="B669" t="s">
        <v>1400</v>
      </c>
      <c r="C669" s="27">
        <v>45223</v>
      </c>
      <c r="D669" s="25">
        <v>45241</v>
      </c>
      <c r="E669" t="s">
        <v>33</v>
      </c>
      <c r="F669">
        <v>55693</v>
      </c>
      <c r="G669">
        <v>1608</v>
      </c>
      <c r="H669">
        <v>2558.8</v>
      </c>
      <c r="I669">
        <v>110</v>
      </c>
      <c r="J669" t="s">
        <v>15</v>
      </c>
      <c r="L669" t="s">
        <v>34</v>
      </c>
    </row>
    <row r="670" spans="1:12">
      <c r="A670" t="s">
        <v>1401</v>
      </c>
      <c r="B670" t="s">
        <v>1402</v>
      </c>
      <c r="C670" s="27">
        <v>45225</v>
      </c>
      <c r="D670" s="25">
        <v>45239</v>
      </c>
      <c r="E670" t="s">
        <v>234</v>
      </c>
      <c r="F670">
        <v>27962</v>
      </c>
      <c r="G670">
        <v>294</v>
      </c>
      <c r="H670" s="26">
        <v>360.62</v>
      </c>
      <c r="I670">
        <v>48</v>
      </c>
      <c r="J670">
        <v>0</v>
      </c>
      <c r="L670" t="s">
        <v>16</v>
      </c>
    </row>
    <row r="671" spans="1:12">
      <c r="A671" t="s">
        <v>1403</v>
      </c>
      <c r="B671" t="s">
        <v>1404</v>
      </c>
      <c r="C671" s="27">
        <v>45244</v>
      </c>
      <c r="D671" s="25">
        <v>45256</v>
      </c>
      <c r="E671" t="s">
        <v>14</v>
      </c>
      <c r="F671">
        <v>29295</v>
      </c>
      <c r="G671">
        <v>624</v>
      </c>
      <c r="H671" s="26">
        <v>961.4</v>
      </c>
      <c r="I671">
        <v>50</v>
      </c>
      <c r="J671">
        <v>0</v>
      </c>
      <c r="L671" t="s">
        <v>16</v>
      </c>
    </row>
    <row r="672" spans="1:12">
      <c r="A672" t="s">
        <v>1405</v>
      </c>
      <c r="B672" t="s">
        <v>1406</v>
      </c>
      <c r="C672" s="27">
        <v>45275</v>
      </c>
      <c r="D672" s="25">
        <v>45289</v>
      </c>
      <c r="E672" t="s">
        <v>41</v>
      </c>
      <c r="F672">
        <v>14807</v>
      </c>
      <c r="G672">
        <v>174</v>
      </c>
      <c r="H672">
        <v>231.27</v>
      </c>
      <c r="I672">
        <v>17</v>
      </c>
      <c r="J672" t="b">
        <v>0</v>
      </c>
      <c r="L672" t="s">
        <v>42</v>
      </c>
    </row>
    <row r="673" spans="1:12">
      <c r="A673" t="s">
        <v>1407</v>
      </c>
      <c r="B673" t="s">
        <v>1408</v>
      </c>
      <c r="C673" s="25">
        <v>45285</v>
      </c>
      <c r="D673" s="25">
        <v>45288</v>
      </c>
      <c r="E673" t="s">
        <v>33</v>
      </c>
      <c r="F673">
        <v>43348</v>
      </c>
      <c r="G673">
        <v>496</v>
      </c>
      <c r="H673" s="26">
        <v>408.89</v>
      </c>
      <c r="I673">
        <v>85</v>
      </c>
      <c r="J673" t="s">
        <v>24</v>
      </c>
      <c r="L673" t="s">
        <v>34</v>
      </c>
    </row>
    <row r="674" spans="1:12">
      <c r="A674" t="s">
        <v>1409</v>
      </c>
      <c r="B674" t="s">
        <v>1410</v>
      </c>
      <c r="C674" s="27">
        <v>45087</v>
      </c>
      <c r="D674" s="25">
        <v>45107</v>
      </c>
      <c r="E674" t="s">
        <v>33</v>
      </c>
      <c r="F674">
        <v>27432</v>
      </c>
      <c r="G674">
        <v>576</v>
      </c>
      <c r="H674">
        <v>468.22</v>
      </c>
      <c r="I674">
        <v>75</v>
      </c>
      <c r="J674">
        <v>1</v>
      </c>
      <c r="L674" t="s">
        <v>34</v>
      </c>
    </row>
    <row r="675" spans="1:12">
      <c r="A675" t="s">
        <v>1411</v>
      </c>
      <c r="B675" t="s">
        <v>1412</v>
      </c>
      <c r="C675" s="27">
        <v>45031</v>
      </c>
      <c r="D675" s="25">
        <v>45040</v>
      </c>
      <c r="E675" t="s">
        <v>41</v>
      </c>
      <c r="F675">
        <v>84285</v>
      </c>
      <c r="G675">
        <v>1772</v>
      </c>
      <c r="H675">
        <v>1673.81</v>
      </c>
      <c r="I675">
        <v>317</v>
      </c>
      <c r="J675" t="s">
        <v>24</v>
      </c>
      <c r="L675" t="s">
        <v>42</v>
      </c>
    </row>
    <row r="676" spans="1:12">
      <c r="A676" t="s">
        <v>1413</v>
      </c>
      <c r="B676" t="s">
        <v>1414</v>
      </c>
      <c r="C676" s="27">
        <v>45168</v>
      </c>
      <c r="D676" s="25">
        <v>45197</v>
      </c>
      <c r="E676" t="s">
        <v>14</v>
      </c>
      <c r="F676">
        <v>92792</v>
      </c>
      <c r="G676">
        <v>3849</v>
      </c>
      <c r="H676" s="26">
        <v>7183.02</v>
      </c>
      <c r="I676">
        <v>315</v>
      </c>
      <c r="J676" t="s">
        <v>30</v>
      </c>
      <c r="L676" t="s">
        <v>16</v>
      </c>
    </row>
    <row r="677" spans="1:12">
      <c r="A677" t="s">
        <v>1415</v>
      </c>
      <c r="B677" t="s">
        <v>1416</v>
      </c>
      <c r="C677" s="27">
        <v>44958</v>
      </c>
      <c r="D677" s="25">
        <v>44963</v>
      </c>
      <c r="E677" t="s">
        <v>138</v>
      </c>
      <c r="F677">
        <v>58854</v>
      </c>
      <c r="G677">
        <v>2883</v>
      </c>
      <c r="H677">
        <v>3808.8</v>
      </c>
      <c r="I677">
        <v>406</v>
      </c>
      <c r="J677">
        <v>0</v>
      </c>
      <c r="L677" t="s">
        <v>139</v>
      </c>
    </row>
    <row r="678" spans="1:12">
      <c r="A678" t="s">
        <v>1417</v>
      </c>
      <c r="B678" t="s">
        <v>1418</v>
      </c>
      <c r="C678" s="27">
        <v>45214</v>
      </c>
      <c r="D678" s="25">
        <v>45225</v>
      </c>
      <c r="E678" t="s">
        <v>14</v>
      </c>
      <c r="F678">
        <v>41262</v>
      </c>
      <c r="G678">
        <v>1025</v>
      </c>
      <c r="H678">
        <v>-1640.88</v>
      </c>
      <c r="I678">
        <v>64</v>
      </c>
      <c r="J678" t="b">
        <v>0</v>
      </c>
      <c r="L678" t="s">
        <v>16</v>
      </c>
    </row>
    <row r="679" spans="1:12">
      <c r="A679" t="s">
        <v>1419</v>
      </c>
      <c r="B679" t="s">
        <v>1420</v>
      </c>
      <c r="C679" s="27">
        <v>45196</v>
      </c>
      <c r="D679" s="25">
        <v>45226</v>
      </c>
      <c r="E679" t="s">
        <v>14</v>
      </c>
      <c r="F679">
        <v>38080</v>
      </c>
      <c r="G679">
        <v>1034</v>
      </c>
      <c r="H679">
        <v>1054.51</v>
      </c>
      <c r="I679">
        <v>151</v>
      </c>
      <c r="J679" t="b">
        <v>0</v>
      </c>
      <c r="L679" t="s">
        <v>16</v>
      </c>
    </row>
    <row r="680" spans="1:12">
      <c r="A680" t="s">
        <v>1421</v>
      </c>
      <c r="B680" t="s">
        <v>1422</v>
      </c>
      <c r="C680" s="27">
        <v>45162</v>
      </c>
      <c r="D680" s="25">
        <v>45174</v>
      </c>
      <c r="E680" t="s">
        <v>41</v>
      </c>
      <c r="F680">
        <v>2324</v>
      </c>
      <c r="G680">
        <v>101</v>
      </c>
      <c r="H680">
        <v>112.27</v>
      </c>
      <c r="J680">
        <v>1</v>
      </c>
      <c r="L680" t="s">
        <v>42</v>
      </c>
    </row>
    <row r="681" spans="1:12">
      <c r="A681" t="s">
        <v>1423</v>
      </c>
      <c r="B681" t="s">
        <v>1424</v>
      </c>
      <c r="C681" s="27">
        <v>45108</v>
      </c>
      <c r="D681" s="25">
        <v>45129</v>
      </c>
      <c r="E681" t="s">
        <v>19</v>
      </c>
      <c r="F681">
        <v>92267</v>
      </c>
      <c r="G681">
        <v>1912</v>
      </c>
      <c r="H681" s="26">
        <v>1316.12</v>
      </c>
      <c r="I681">
        <v>263</v>
      </c>
      <c r="J681">
        <v>1</v>
      </c>
      <c r="L681" t="s">
        <v>20</v>
      </c>
    </row>
    <row r="682" spans="1:12">
      <c r="A682" t="s">
        <v>1425</v>
      </c>
      <c r="B682" t="s">
        <v>1426</v>
      </c>
      <c r="C682" s="27">
        <v>45275</v>
      </c>
      <c r="D682" s="25">
        <v>45290</v>
      </c>
      <c r="E682" t="s">
        <v>41</v>
      </c>
      <c r="F682">
        <v>36909</v>
      </c>
      <c r="G682">
        <v>599</v>
      </c>
      <c r="H682">
        <v>453.41</v>
      </c>
      <c r="I682">
        <v>53</v>
      </c>
      <c r="J682">
        <v>1</v>
      </c>
      <c r="L682" t="s">
        <v>42</v>
      </c>
    </row>
    <row r="683" spans="1:12">
      <c r="A683" t="s">
        <v>1427</v>
      </c>
      <c r="B683" t="s">
        <v>1428</v>
      </c>
      <c r="C683" s="27">
        <v>45239</v>
      </c>
      <c r="D683" s="25">
        <v>45254</v>
      </c>
      <c r="E683" t="s">
        <v>41</v>
      </c>
      <c r="F683">
        <v>90339</v>
      </c>
      <c r="G683">
        <v>3986</v>
      </c>
      <c r="H683">
        <v>6939.76</v>
      </c>
      <c r="I683">
        <v>218</v>
      </c>
      <c r="J683" t="s">
        <v>30</v>
      </c>
      <c r="L683" t="s">
        <v>42</v>
      </c>
    </row>
    <row r="684" spans="1:12">
      <c r="A684" t="s">
        <v>1429</v>
      </c>
      <c r="B684" t="s">
        <v>1430</v>
      </c>
      <c r="C684" s="27">
        <v>45069</v>
      </c>
      <c r="D684" s="25">
        <v>45094</v>
      </c>
      <c r="E684" t="s">
        <v>23</v>
      </c>
      <c r="F684">
        <v>20870</v>
      </c>
      <c r="G684">
        <v>247</v>
      </c>
      <c r="H684" s="26">
        <v>340.18</v>
      </c>
      <c r="I684">
        <v>16</v>
      </c>
      <c r="J684" t="b">
        <v>0</v>
      </c>
      <c r="L684" t="s">
        <v>25</v>
      </c>
    </row>
    <row r="685" spans="1:12">
      <c r="A685" t="s">
        <v>1431</v>
      </c>
      <c r="B685" t="s">
        <v>1432</v>
      </c>
      <c r="C685" s="27">
        <v>45079</v>
      </c>
      <c r="D685" s="25">
        <v>45097</v>
      </c>
      <c r="E685" t="s">
        <v>14</v>
      </c>
      <c r="F685">
        <v>35578</v>
      </c>
      <c r="G685">
        <v>1237</v>
      </c>
      <c r="H685">
        <v>1244.79</v>
      </c>
      <c r="I685">
        <v>177</v>
      </c>
      <c r="J685" t="s">
        <v>15</v>
      </c>
      <c r="L685" t="s">
        <v>16</v>
      </c>
    </row>
    <row r="686" spans="1:12">
      <c r="A686" t="s">
        <v>1433</v>
      </c>
      <c r="B686" t="s">
        <v>1434</v>
      </c>
      <c r="C686" s="27">
        <v>45280</v>
      </c>
      <c r="D686" s="25">
        <v>45308</v>
      </c>
      <c r="E686" t="s">
        <v>19</v>
      </c>
      <c r="F686">
        <v>73124</v>
      </c>
      <c r="G686">
        <v>2375</v>
      </c>
      <c r="H686">
        <v>4047.66</v>
      </c>
      <c r="I686">
        <v>451</v>
      </c>
      <c r="J686" t="s">
        <v>30</v>
      </c>
      <c r="L686" t="s">
        <v>20</v>
      </c>
    </row>
    <row r="687" spans="1:12">
      <c r="A687" t="s">
        <v>1435</v>
      </c>
      <c r="B687" t="s">
        <v>1436</v>
      </c>
      <c r="C687" s="27">
        <v>45105</v>
      </c>
      <c r="D687" s="25">
        <v>45127</v>
      </c>
      <c r="E687" t="s">
        <v>33</v>
      </c>
      <c r="F687">
        <v>27790</v>
      </c>
      <c r="G687">
        <v>662</v>
      </c>
      <c r="H687">
        <v>575.79</v>
      </c>
      <c r="I687">
        <v>53</v>
      </c>
      <c r="J687" t="b">
        <v>1</v>
      </c>
      <c r="L687" t="s">
        <v>34</v>
      </c>
    </row>
    <row r="688" spans="1:12">
      <c r="A688" t="s">
        <v>1437</v>
      </c>
      <c r="B688" t="s">
        <v>1438</v>
      </c>
      <c r="C688" s="27">
        <v>45067</v>
      </c>
      <c r="D688" s="25">
        <v>45073</v>
      </c>
      <c r="E688" t="s">
        <v>415</v>
      </c>
      <c r="F688">
        <v>26289</v>
      </c>
      <c r="G688">
        <v>594</v>
      </c>
      <c r="H688">
        <v>1166.65</v>
      </c>
      <c r="J688">
        <v>0</v>
      </c>
      <c r="L688" t="s">
        <v>34</v>
      </c>
    </row>
    <row r="689" spans="1:12">
      <c r="A689" t="s">
        <v>1439</v>
      </c>
      <c r="B689" t="s">
        <v>1440</v>
      </c>
      <c r="C689" s="27">
        <v>45205</v>
      </c>
      <c r="D689" s="25">
        <v>45234</v>
      </c>
      <c r="E689" t="s">
        <v>33</v>
      </c>
      <c r="F689">
        <v>56129</v>
      </c>
      <c r="G689">
        <v>2294</v>
      </c>
      <c r="H689">
        <v>2333.52</v>
      </c>
      <c r="I689">
        <v>412</v>
      </c>
      <c r="J689">
        <v>1</v>
      </c>
      <c r="L689" t="s">
        <v>34</v>
      </c>
    </row>
    <row r="690" spans="1:12">
      <c r="A690" t="s">
        <v>1441</v>
      </c>
      <c r="B690" t="s">
        <v>1442</v>
      </c>
      <c r="C690" s="27">
        <v>45103</v>
      </c>
      <c r="D690" s="25">
        <v>45105</v>
      </c>
      <c r="E690" t="s">
        <v>41</v>
      </c>
      <c r="F690">
        <v>94714</v>
      </c>
      <c r="G690">
        <v>1274</v>
      </c>
      <c r="H690">
        <v>1281.6</v>
      </c>
      <c r="I690">
        <v>163</v>
      </c>
      <c r="J690" t="b">
        <v>0</v>
      </c>
      <c r="L690" t="s">
        <v>42</v>
      </c>
    </row>
    <row r="691" spans="1:12">
      <c r="A691" t="s">
        <v>1443</v>
      </c>
      <c r="B691" t="s">
        <v>1444</v>
      </c>
      <c r="C691" t="s">
        <v>1445</v>
      </c>
      <c r="D691" s="25">
        <v>45086</v>
      </c>
      <c r="E691" t="s">
        <v>19</v>
      </c>
      <c r="F691">
        <v>95246</v>
      </c>
      <c r="G691">
        <v>1854</v>
      </c>
      <c r="H691">
        <v>1794.43</v>
      </c>
      <c r="I691">
        <v>278</v>
      </c>
      <c r="J691">
        <v>0</v>
      </c>
      <c r="L691" t="s">
        <v>20</v>
      </c>
    </row>
    <row r="692" spans="1:12">
      <c r="A692" t="s">
        <v>1446</v>
      </c>
      <c r="B692" t="s">
        <v>1447</v>
      </c>
      <c r="C692" s="25">
        <v>45292</v>
      </c>
      <c r="D692" s="25">
        <v>45309</v>
      </c>
      <c r="E692" t="s">
        <v>23</v>
      </c>
      <c r="F692">
        <v>16485</v>
      </c>
      <c r="G692">
        <v>647</v>
      </c>
      <c r="H692">
        <v>442.01</v>
      </c>
      <c r="I692">
        <v>111</v>
      </c>
      <c r="J692" t="s">
        <v>24</v>
      </c>
      <c r="L692" t="s">
        <v>25</v>
      </c>
    </row>
    <row r="693" spans="1:12">
      <c r="A693" t="s">
        <v>1448</v>
      </c>
      <c r="B693" t="s">
        <v>1449</v>
      </c>
      <c r="C693" s="27">
        <v>45153</v>
      </c>
      <c r="D693" s="25">
        <v>45183</v>
      </c>
      <c r="E693" t="s">
        <v>33</v>
      </c>
      <c r="F693">
        <v>45482</v>
      </c>
      <c r="G693">
        <v>1452</v>
      </c>
      <c r="H693">
        <v>968.06</v>
      </c>
      <c r="I693">
        <v>129</v>
      </c>
      <c r="J693" t="s">
        <v>30</v>
      </c>
      <c r="L693" t="s">
        <v>34</v>
      </c>
    </row>
    <row r="694" spans="1:12">
      <c r="A694" t="s">
        <v>1450</v>
      </c>
      <c r="B694" t="s">
        <v>1451</v>
      </c>
      <c r="C694" s="27">
        <v>45036</v>
      </c>
      <c r="D694" s="25">
        <v>45064</v>
      </c>
      <c r="E694" t="s">
        <v>138</v>
      </c>
      <c r="F694">
        <v>87188</v>
      </c>
      <c r="G694">
        <v>1318</v>
      </c>
      <c r="H694">
        <v>1940.3</v>
      </c>
      <c r="I694">
        <v>124</v>
      </c>
      <c r="J694" t="b">
        <v>1</v>
      </c>
      <c r="L694" t="s">
        <v>139</v>
      </c>
    </row>
    <row r="695" spans="1:12">
      <c r="A695" t="s">
        <v>1452</v>
      </c>
      <c r="B695" t="s">
        <v>1453</v>
      </c>
      <c r="C695" s="27">
        <v>45214</v>
      </c>
      <c r="D695" s="25">
        <v>45209</v>
      </c>
      <c r="E695" t="s">
        <v>41</v>
      </c>
      <c r="F695">
        <v>5748</v>
      </c>
      <c r="G695">
        <v>260</v>
      </c>
      <c r="H695">
        <v>471.3</v>
      </c>
      <c r="I695">
        <v>13</v>
      </c>
      <c r="J695" t="s">
        <v>24</v>
      </c>
      <c r="L695" t="s">
        <v>42</v>
      </c>
    </row>
    <row r="696" spans="1:12">
      <c r="A696" t="s">
        <v>1454</v>
      </c>
      <c r="B696" t="s">
        <v>1455</v>
      </c>
      <c r="C696" s="27">
        <v>45242</v>
      </c>
      <c r="D696" s="25">
        <v>45247</v>
      </c>
      <c r="E696" t="s">
        <v>33</v>
      </c>
      <c r="F696">
        <v>87769</v>
      </c>
      <c r="G696">
        <v>2258</v>
      </c>
      <c r="H696">
        <v>3806.49</v>
      </c>
      <c r="I696">
        <v>439</v>
      </c>
      <c r="J696" t="s">
        <v>30</v>
      </c>
      <c r="L696" t="s">
        <v>34</v>
      </c>
    </row>
    <row r="697" spans="1:12">
      <c r="A697" t="s">
        <v>1456</v>
      </c>
      <c r="B697" t="s">
        <v>1457</v>
      </c>
      <c r="C697" s="27">
        <v>44952</v>
      </c>
      <c r="D697" s="25">
        <v>44972</v>
      </c>
      <c r="E697" t="s">
        <v>138</v>
      </c>
      <c r="F697">
        <v>10435</v>
      </c>
      <c r="G697">
        <v>449</v>
      </c>
      <c r="H697">
        <v>319.54</v>
      </c>
      <c r="I697">
        <v>84</v>
      </c>
      <c r="J697" t="s">
        <v>30</v>
      </c>
      <c r="L697" t="s">
        <v>139</v>
      </c>
    </row>
    <row r="698" spans="1:12">
      <c r="A698" t="s">
        <v>1458</v>
      </c>
      <c r="B698" t="s">
        <v>1459</v>
      </c>
      <c r="C698" s="27">
        <v>45253</v>
      </c>
      <c r="D698" s="25">
        <v>45264</v>
      </c>
      <c r="E698" t="s">
        <v>41</v>
      </c>
      <c r="F698">
        <v>4709</v>
      </c>
      <c r="G698">
        <v>195</v>
      </c>
      <c r="H698">
        <v>257.08</v>
      </c>
      <c r="I698">
        <v>32</v>
      </c>
      <c r="J698" t="s">
        <v>15</v>
      </c>
      <c r="L698" t="s">
        <v>68</v>
      </c>
    </row>
    <row r="699" spans="1:12">
      <c r="A699" t="s">
        <v>1460</v>
      </c>
      <c r="B699" t="s">
        <v>1461</v>
      </c>
      <c r="C699" s="27">
        <v>45096</v>
      </c>
      <c r="D699" s="25">
        <v>45114</v>
      </c>
      <c r="E699" t="s">
        <v>14</v>
      </c>
      <c r="F699">
        <v>31355</v>
      </c>
      <c r="G699">
        <v>1096</v>
      </c>
      <c r="H699">
        <v>721.59</v>
      </c>
      <c r="I699">
        <v>67</v>
      </c>
      <c r="J699">
        <v>0</v>
      </c>
      <c r="L699" t="s">
        <v>16</v>
      </c>
    </row>
    <row r="700" spans="1:12">
      <c r="A700" t="s">
        <v>1462</v>
      </c>
      <c r="B700" t="s">
        <v>1463</v>
      </c>
      <c r="C700" s="25">
        <v>45263</v>
      </c>
      <c r="D700" s="25">
        <v>45018</v>
      </c>
      <c r="E700" t="s">
        <v>14</v>
      </c>
      <c r="F700">
        <v>56771</v>
      </c>
      <c r="G700">
        <v>1690</v>
      </c>
      <c r="H700">
        <v>959.82</v>
      </c>
      <c r="I700">
        <v>197</v>
      </c>
      <c r="J700" t="s">
        <v>15</v>
      </c>
      <c r="L700" t="s">
        <v>16</v>
      </c>
    </row>
    <row r="701" spans="1:12">
      <c r="A701" t="s">
        <v>1464</v>
      </c>
      <c r="B701" t="s">
        <v>1465</v>
      </c>
      <c r="C701" s="27">
        <v>45208</v>
      </c>
      <c r="D701" s="25">
        <v>45235</v>
      </c>
      <c r="E701" t="s">
        <v>23</v>
      </c>
      <c r="F701">
        <v>58799</v>
      </c>
      <c r="G701">
        <v>2891</v>
      </c>
      <c r="H701">
        <v>4291.92</v>
      </c>
      <c r="I701">
        <v>188</v>
      </c>
      <c r="J701" t="s">
        <v>30</v>
      </c>
      <c r="L701" t="s">
        <v>25</v>
      </c>
    </row>
    <row r="702" spans="1:12">
      <c r="A702" t="s">
        <v>1466</v>
      </c>
      <c r="B702" t="s">
        <v>1467</v>
      </c>
      <c r="C702" s="27">
        <v>45261</v>
      </c>
      <c r="D702" s="25">
        <v>45285</v>
      </c>
      <c r="E702" t="s">
        <v>19</v>
      </c>
      <c r="F702">
        <v>14116</v>
      </c>
      <c r="G702">
        <v>223</v>
      </c>
      <c r="H702">
        <v>290.51</v>
      </c>
      <c r="I702">
        <v>11</v>
      </c>
      <c r="J702" t="b">
        <v>1</v>
      </c>
      <c r="L702" t="s">
        <v>20</v>
      </c>
    </row>
    <row r="703" spans="1:12">
      <c r="A703" t="s">
        <v>1468</v>
      </c>
      <c r="B703" t="s">
        <v>1469</v>
      </c>
      <c r="C703" s="27">
        <v>45171</v>
      </c>
      <c r="D703" s="25">
        <v>45177</v>
      </c>
      <c r="E703" t="s">
        <v>23</v>
      </c>
      <c r="F703">
        <v>26470</v>
      </c>
      <c r="G703">
        <v>1032</v>
      </c>
      <c r="H703">
        <v>642.97</v>
      </c>
      <c r="I703">
        <v>146</v>
      </c>
      <c r="J703" t="b">
        <v>0</v>
      </c>
      <c r="L703" t="s">
        <v>25</v>
      </c>
    </row>
    <row r="704" spans="1:12">
      <c r="A704" t="s">
        <v>1470</v>
      </c>
      <c r="B704" t="s">
        <v>1471</v>
      </c>
      <c r="C704" s="27">
        <v>45074</v>
      </c>
      <c r="D704" s="25">
        <v>45102</v>
      </c>
      <c r="E704" t="s">
        <v>19</v>
      </c>
      <c r="F704">
        <v>43344</v>
      </c>
      <c r="G704">
        <v>764</v>
      </c>
      <c r="H704">
        <v>422.04</v>
      </c>
      <c r="I704">
        <v>148</v>
      </c>
      <c r="J704" t="b">
        <v>0</v>
      </c>
      <c r="L704" t="s">
        <v>20</v>
      </c>
    </row>
    <row r="705" spans="1:12">
      <c r="A705" t="s">
        <v>1472</v>
      </c>
      <c r="B705" t="s">
        <v>1473</v>
      </c>
      <c r="C705" s="27">
        <v>44972</v>
      </c>
      <c r="D705" s="25">
        <v>44998</v>
      </c>
      <c r="E705" t="s">
        <v>33</v>
      </c>
      <c r="F705">
        <v>43918</v>
      </c>
      <c r="G705">
        <v>1033</v>
      </c>
      <c r="H705">
        <v>2050.13</v>
      </c>
      <c r="J705" t="s">
        <v>24</v>
      </c>
      <c r="L705" t="s">
        <v>68</v>
      </c>
    </row>
    <row r="706" spans="1:12">
      <c r="A706" t="s">
        <v>1474</v>
      </c>
      <c r="B706" t="s">
        <v>1475</v>
      </c>
      <c r="C706" s="27">
        <v>44946</v>
      </c>
      <c r="D706" s="25">
        <v>44965</v>
      </c>
      <c r="E706" t="s">
        <v>415</v>
      </c>
      <c r="F706">
        <v>53224</v>
      </c>
      <c r="G706">
        <v>1189</v>
      </c>
      <c r="H706">
        <v>648.04</v>
      </c>
      <c r="I706">
        <v>183</v>
      </c>
      <c r="J706">
        <v>0</v>
      </c>
      <c r="L706" t="s">
        <v>34</v>
      </c>
    </row>
    <row r="707" spans="1:12">
      <c r="A707" t="s">
        <v>1476</v>
      </c>
      <c r="B707" t="s">
        <v>1477</v>
      </c>
      <c r="C707" s="25">
        <v>45017</v>
      </c>
      <c r="D707" s="25">
        <v>44935</v>
      </c>
      <c r="E707" t="s">
        <v>23</v>
      </c>
      <c r="F707">
        <v>40298</v>
      </c>
      <c r="G707">
        <v>1929</v>
      </c>
      <c r="H707">
        <v>2250.74</v>
      </c>
      <c r="I707">
        <v>124</v>
      </c>
      <c r="J707">
        <v>1</v>
      </c>
      <c r="L707" t="s">
        <v>25</v>
      </c>
    </row>
    <row r="708" spans="1:12">
      <c r="A708" t="s">
        <v>1478</v>
      </c>
      <c r="B708" t="s">
        <v>1479</v>
      </c>
      <c r="C708" s="27">
        <v>45130</v>
      </c>
      <c r="D708" s="25">
        <v>45157</v>
      </c>
      <c r="E708" t="s">
        <v>41</v>
      </c>
      <c r="F708">
        <v>81219</v>
      </c>
      <c r="G708">
        <v>3954</v>
      </c>
      <c r="H708">
        <v>4969.9</v>
      </c>
      <c r="I708">
        <v>360</v>
      </c>
      <c r="J708">
        <v>1</v>
      </c>
      <c r="L708" t="s">
        <v>42</v>
      </c>
    </row>
    <row r="709" spans="1:12">
      <c r="A709" t="s">
        <v>1480</v>
      </c>
      <c r="B709" t="s">
        <v>1481</v>
      </c>
      <c r="C709" s="25">
        <v>45075</v>
      </c>
      <c r="D709" s="25">
        <v>45101</v>
      </c>
      <c r="E709" t="s">
        <v>41</v>
      </c>
      <c r="F709">
        <v>62629</v>
      </c>
      <c r="G709">
        <v>1084</v>
      </c>
      <c r="H709">
        <v>732.7</v>
      </c>
      <c r="I709">
        <v>106</v>
      </c>
      <c r="J709" t="b">
        <v>0</v>
      </c>
      <c r="L709" t="s">
        <v>42</v>
      </c>
    </row>
    <row r="710" spans="1:12">
      <c r="A710" t="s">
        <v>1482</v>
      </c>
      <c r="B710" t="s">
        <v>1483</v>
      </c>
      <c r="C710" s="27">
        <v>45217</v>
      </c>
      <c r="D710" s="25">
        <v>45224</v>
      </c>
      <c r="E710" t="s">
        <v>23</v>
      </c>
      <c r="F710">
        <v>67040</v>
      </c>
      <c r="G710">
        <v>729</v>
      </c>
      <c r="H710">
        <v>549.37</v>
      </c>
      <c r="I710">
        <v>119</v>
      </c>
      <c r="J710" t="s">
        <v>30</v>
      </c>
      <c r="L710" t="s">
        <v>25</v>
      </c>
    </row>
    <row r="711" spans="1:12">
      <c r="A711" t="s">
        <v>1484</v>
      </c>
      <c r="B711" t="s">
        <v>1485</v>
      </c>
      <c r="C711" s="27">
        <v>45098</v>
      </c>
      <c r="D711" s="25">
        <v>45125</v>
      </c>
      <c r="E711" t="s">
        <v>23</v>
      </c>
      <c r="F711">
        <v>29016</v>
      </c>
      <c r="G711">
        <v>1125</v>
      </c>
      <c r="H711">
        <v>1156.17</v>
      </c>
      <c r="I711">
        <v>191</v>
      </c>
      <c r="J711" t="s">
        <v>30</v>
      </c>
      <c r="L711" t="s">
        <v>25</v>
      </c>
    </row>
    <row r="712" spans="1:12">
      <c r="A712" t="s">
        <v>1486</v>
      </c>
      <c r="B712" t="s">
        <v>1487</v>
      </c>
      <c r="C712" s="27">
        <v>45205</v>
      </c>
      <c r="D712" s="25">
        <v>45228</v>
      </c>
      <c r="E712" t="s">
        <v>14</v>
      </c>
      <c r="F712">
        <v>24960</v>
      </c>
      <c r="G712">
        <v>666</v>
      </c>
      <c r="H712">
        <v>1093.91</v>
      </c>
      <c r="I712">
        <v>71</v>
      </c>
      <c r="J712" t="s">
        <v>15</v>
      </c>
      <c r="L712" t="s">
        <v>16</v>
      </c>
    </row>
    <row r="713" spans="1:12">
      <c r="A713" t="s">
        <v>1488</v>
      </c>
      <c r="B713" t="s">
        <v>1489</v>
      </c>
      <c r="C713" s="27">
        <v>44995</v>
      </c>
      <c r="D713" s="25">
        <v>45008</v>
      </c>
      <c r="E713" t="s">
        <v>14</v>
      </c>
      <c r="F713">
        <v>34591</v>
      </c>
      <c r="G713">
        <v>468</v>
      </c>
      <c r="H713">
        <v>589.97</v>
      </c>
      <c r="I713">
        <v>52</v>
      </c>
      <c r="J713">
        <v>0</v>
      </c>
      <c r="L713" t="s">
        <v>16</v>
      </c>
    </row>
    <row r="714" spans="1:12">
      <c r="A714" t="s">
        <v>1490</v>
      </c>
      <c r="B714" t="s">
        <v>1491</v>
      </c>
      <c r="C714" s="27">
        <v>45025</v>
      </c>
      <c r="D714" s="25">
        <v>45028</v>
      </c>
      <c r="E714" t="s">
        <v>33</v>
      </c>
      <c r="F714">
        <v>83848</v>
      </c>
      <c r="G714">
        <v>3131</v>
      </c>
      <c r="H714" s="26">
        <v>4561.41</v>
      </c>
      <c r="I714">
        <v>177</v>
      </c>
      <c r="J714" t="s">
        <v>15</v>
      </c>
      <c r="L714" t="s">
        <v>34</v>
      </c>
    </row>
    <row r="715" spans="1:12">
      <c r="A715" t="s">
        <v>1492</v>
      </c>
      <c r="B715" t="s">
        <v>1493</v>
      </c>
      <c r="C715" s="27">
        <v>45161</v>
      </c>
      <c r="D715" s="25">
        <v>45188</v>
      </c>
      <c r="E715" t="s">
        <v>138</v>
      </c>
      <c r="F715">
        <v>68641</v>
      </c>
      <c r="G715">
        <v>2183</v>
      </c>
      <c r="H715">
        <v>4317.45</v>
      </c>
      <c r="I715">
        <v>203</v>
      </c>
      <c r="J715">
        <v>1</v>
      </c>
      <c r="L715" t="s">
        <v>68</v>
      </c>
    </row>
    <row r="716" spans="1:12">
      <c r="A716" t="s">
        <v>1494</v>
      </c>
      <c r="B716" t="s">
        <v>1495</v>
      </c>
      <c r="C716" s="27">
        <v>44934</v>
      </c>
      <c r="D716" s="25">
        <v>44948</v>
      </c>
      <c r="E716" t="s">
        <v>14</v>
      </c>
      <c r="F716">
        <v>37395</v>
      </c>
      <c r="G716">
        <v>1840</v>
      </c>
      <c r="H716">
        <v>3039.7</v>
      </c>
      <c r="I716">
        <v>216</v>
      </c>
      <c r="J716" t="b">
        <v>0</v>
      </c>
      <c r="K716">
        <v>37479</v>
      </c>
      <c r="L716" t="s">
        <v>16</v>
      </c>
    </row>
    <row r="717" spans="1:12">
      <c r="A717" t="s">
        <v>1496</v>
      </c>
      <c r="B717" t="s">
        <v>1497</v>
      </c>
      <c r="C717" s="27">
        <v>45217</v>
      </c>
      <c r="D717" s="25">
        <v>45246</v>
      </c>
      <c r="E717" t="s">
        <v>14</v>
      </c>
      <c r="F717">
        <v>23700</v>
      </c>
      <c r="G717">
        <v>452</v>
      </c>
      <c r="H717">
        <v>520.5</v>
      </c>
      <c r="I717">
        <v>30</v>
      </c>
      <c r="J717" t="s">
        <v>24</v>
      </c>
      <c r="L717" t="s">
        <v>16</v>
      </c>
    </row>
    <row r="718" spans="1:12">
      <c r="A718" t="s">
        <v>1498</v>
      </c>
      <c r="B718" t="s">
        <v>1499</v>
      </c>
      <c r="C718" s="27">
        <v>45239</v>
      </c>
      <c r="D718" s="25">
        <v>45243</v>
      </c>
      <c r="E718" t="s">
        <v>23</v>
      </c>
      <c r="F718">
        <v>35620</v>
      </c>
      <c r="G718">
        <v>931</v>
      </c>
      <c r="H718">
        <v>1088.96</v>
      </c>
      <c r="I718">
        <v>109</v>
      </c>
      <c r="J718" t="s">
        <v>30</v>
      </c>
      <c r="L718" t="s">
        <v>68</v>
      </c>
    </row>
    <row r="719" spans="1:12">
      <c r="A719" t="s">
        <v>1500</v>
      </c>
      <c r="B719" t="s">
        <v>1501</v>
      </c>
      <c r="C719" s="25">
        <v>45145</v>
      </c>
      <c r="D719" s="25">
        <v>45132</v>
      </c>
      <c r="E719" t="s">
        <v>41</v>
      </c>
      <c r="F719">
        <v>21559</v>
      </c>
      <c r="G719">
        <v>683</v>
      </c>
      <c r="H719">
        <v>975.43</v>
      </c>
      <c r="I719">
        <v>121</v>
      </c>
      <c r="J719" t="b">
        <v>0</v>
      </c>
      <c r="L719" t="s">
        <v>42</v>
      </c>
    </row>
    <row r="720" spans="1:12">
      <c r="A720" t="s">
        <v>1502</v>
      </c>
      <c r="B720" t="s">
        <v>1503</v>
      </c>
      <c r="C720" s="25">
        <v>45181</v>
      </c>
      <c r="D720" s="25">
        <v>45287</v>
      </c>
      <c r="E720" t="s">
        <v>33</v>
      </c>
      <c r="F720">
        <v>94045</v>
      </c>
      <c r="G720">
        <v>3918</v>
      </c>
      <c r="H720">
        <v>5869.35</v>
      </c>
      <c r="I720">
        <v>537</v>
      </c>
      <c r="J720" t="b">
        <v>1</v>
      </c>
      <c r="L720" t="s">
        <v>34</v>
      </c>
    </row>
    <row r="721" spans="1:12">
      <c r="A721" t="s">
        <v>1504</v>
      </c>
      <c r="B721" t="s">
        <v>1505</v>
      </c>
      <c r="C721" s="27">
        <v>44998</v>
      </c>
      <c r="D721" s="25">
        <v>45000</v>
      </c>
      <c r="E721" t="s">
        <v>14</v>
      </c>
      <c r="F721">
        <v>94396</v>
      </c>
      <c r="G721">
        <v>3016</v>
      </c>
      <c r="H721" s="26">
        <v>3773.22</v>
      </c>
      <c r="J721" t="b">
        <v>0</v>
      </c>
      <c r="L721" t="s">
        <v>16</v>
      </c>
    </row>
    <row r="722" spans="1:12">
      <c r="A722" t="s">
        <v>1506</v>
      </c>
      <c r="B722" t="s">
        <v>1507</v>
      </c>
      <c r="C722" s="27">
        <v>44930</v>
      </c>
      <c r="D722" s="25">
        <v>44947</v>
      </c>
      <c r="E722" t="s">
        <v>138</v>
      </c>
      <c r="F722">
        <v>62642</v>
      </c>
      <c r="G722">
        <v>2162</v>
      </c>
      <c r="H722">
        <v>3172.28</v>
      </c>
      <c r="I722">
        <v>170</v>
      </c>
      <c r="J722" t="b">
        <v>1</v>
      </c>
      <c r="L722" t="s">
        <v>139</v>
      </c>
    </row>
    <row r="723" spans="1:12">
      <c r="A723" t="s">
        <v>1508</v>
      </c>
      <c r="B723" t="s">
        <v>1509</v>
      </c>
      <c r="C723" s="27">
        <v>45063</v>
      </c>
      <c r="D723" s="25">
        <v>45067</v>
      </c>
      <c r="E723" t="s">
        <v>41</v>
      </c>
      <c r="F723">
        <v>77539</v>
      </c>
      <c r="G723">
        <v>1476</v>
      </c>
      <c r="H723">
        <v>790.1</v>
      </c>
      <c r="I723">
        <v>178</v>
      </c>
      <c r="J723" t="s">
        <v>15</v>
      </c>
      <c r="L723" t="s">
        <v>42</v>
      </c>
    </row>
    <row r="724" spans="1:12">
      <c r="A724" t="s">
        <v>1510</v>
      </c>
      <c r="B724" t="s">
        <v>1511</v>
      </c>
      <c r="C724" t="s">
        <v>1512</v>
      </c>
      <c r="D724" s="25">
        <v>45239</v>
      </c>
      <c r="E724" t="s">
        <v>14</v>
      </c>
      <c r="F724">
        <v>22732</v>
      </c>
      <c r="G724">
        <v>997</v>
      </c>
      <c r="H724">
        <v>1141</v>
      </c>
      <c r="I724">
        <v>103</v>
      </c>
      <c r="J724" t="s">
        <v>15</v>
      </c>
      <c r="L724" t="s">
        <v>16</v>
      </c>
    </row>
    <row r="725" spans="1:12">
      <c r="A725" t="s">
        <v>1513</v>
      </c>
      <c r="B725" t="s">
        <v>1514</v>
      </c>
      <c r="C725" s="27">
        <v>45261</v>
      </c>
      <c r="D725" s="25">
        <v>45262</v>
      </c>
      <c r="E725" t="s">
        <v>41</v>
      </c>
      <c r="F725">
        <v>92362</v>
      </c>
      <c r="G725">
        <v>2507</v>
      </c>
      <c r="H725" s="26">
        <v>2302.45</v>
      </c>
      <c r="I725">
        <v>260</v>
      </c>
      <c r="J725">
        <v>1</v>
      </c>
      <c r="L725" t="s">
        <v>42</v>
      </c>
    </row>
    <row r="726" spans="1:12">
      <c r="A726" t="s">
        <v>1515</v>
      </c>
      <c r="B726" t="s">
        <v>1516</v>
      </c>
      <c r="C726" s="27">
        <v>45268</v>
      </c>
      <c r="D726" s="25">
        <v>45277</v>
      </c>
      <c r="E726" t="s">
        <v>14</v>
      </c>
      <c r="F726">
        <v>31354</v>
      </c>
      <c r="G726">
        <v>490</v>
      </c>
      <c r="H726">
        <v>339.94</v>
      </c>
      <c r="I726">
        <v>63</v>
      </c>
      <c r="J726" t="b">
        <v>0</v>
      </c>
      <c r="L726" t="s">
        <v>16</v>
      </c>
    </row>
    <row r="727" spans="1:12">
      <c r="A727" t="s">
        <v>1517</v>
      </c>
      <c r="B727" t="s">
        <v>1518</v>
      </c>
      <c r="C727" s="27">
        <v>45134</v>
      </c>
      <c r="D727" s="25">
        <v>45164</v>
      </c>
      <c r="E727" t="s">
        <v>14</v>
      </c>
      <c r="F727">
        <v>14843</v>
      </c>
      <c r="G727">
        <v>542</v>
      </c>
      <c r="H727">
        <v>351.93</v>
      </c>
      <c r="I727">
        <v>74</v>
      </c>
      <c r="J727" t="b">
        <v>0</v>
      </c>
      <c r="L727" t="s">
        <v>16</v>
      </c>
    </row>
    <row r="728" spans="1:12">
      <c r="A728" t="s">
        <v>1519</v>
      </c>
      <c r="B728" t="s">
        <v>1520</v>
      </c>
      <c r="C728" s="27">
        <v>45287</v>
      </c>
      <c r="D728" s="25">
        <v>45305</v>
      </c>
      <c r="E728" t="s">
        <v>41</v>
      </c>
      <c r="F728">
        <v>72726</v>
      </c>
      <c r="G728">
        <v>1355</v>
      </c>
      <c r="H728" s="26">
        <v>1903.49</v>
      </c>
      <c r="I728">
        <v>229</v>
      </c>
      <c r="J728" t="b">
        <v>1</v>
      </c>
      <c r="L728" t="s">
        <v>42</v>
      </c>
    </row>
    <row r="729" spans="1:12">
      <c r="A729" t="s">
        <v>1521</v>
      </c>
      <c r="B729" t="s">
        <v>1522</v>
      </c>
      <c r="C729" s="27">
        <v>45254</v>
      </c>
      <c r="D729" s="25">
        <v>45276</v>
      </c>
      <c r="E729" t="s">
        <v>14</v>
      </c>
      <c r="F729">
        <v>18640</v>
      </c>
      <c r="G729">
        <v>259</v>
      </c>
      <c r="H729">
        <v>332.92</v>
      </c>
      <c r="I729">
        <v>26</v>
      </c>
      <c r="J729" t="s">
        <v>15</v>
      </c>
      <c r="L729" t="s">
        <v>16</v>
      </c>
    </row>
    <row r="730" spans="1:12">
      <c r="A730" t="s">
        <v>1523</v>
      </c>
      <c r="B730" t="s">
        <v>1524</v>
      </c>
      <c r="C730" s="27">
        <v>45241</v>
      </c>
      <c r="D730" s="25">
        <v>45247</v>
      </c>
      <c r="E730" t="s">
        <v>14</v>
      </c>
      <c r="F730">
        <v>53528</v>
      </c>
      <c r="G730">
        <v>2380</v>
      </c>
      <c r="H730">
        <v>2095.3</v>
      </c>
      <c r="I730">
        <v>406</v>
      </c>
      <c r="J730" t="b">
        <v>1</v>
      </c>
      <c r="L730" t="s">
        <v>16</v>
      </c>
    </row>
    <row r="731" spans="1:12">
      <c r="A731" t="s">
        <v>1525</v>
      </c>
      <c r="B731" t="s">
        <v>1526</v>
      </c>
      <c r="C731" s="27">
        <v>45171</v>
      </c>
      <c r="D731" s="25">
        <v>45195</v>
      </c>
      <c r="E731" t="s">
        <v>23</v>
      </c>
      <c r="F731">
        <v>39413</v>
      </c>
      <c r="G731">
        <v>1119</v>
      </c>
      <c r="H731">
        <v>1349.99</v>
      </c>
      <c r="I731">
        <v>112</v>
      </c>
      <c r="J731" t="s">
        <v>15</v>
      </c>
      <c r="L731" t="s">
        <v>68</v>
      </c>
    </row>
    <row r="732" spans="1:12">
      <c r="A732" t="s">
        <v>1527</v>
      </c>
      <c r="B732" t="s">
        <v>1528</v>
      </c>
      <c r="C732" s="27">
        <v>45237</v>
      </c>
      <c r="D732" s="25">
        <v>45245</v>
      </c>
      <c r="E732" t="s">
        <v>19</v>
      </c>
      <c r="F732">
        <v>53638</v>
      </c>
      <c r="G732">
        <v>2143</v>
      </c>
      <c r="H732">
        <v>2653.78</v>
      </c>
      <c r="I732">
        <v>124</v>
      </c>
      <c r="J732" t="b">
        <v>1</v>
      </c>
      <c r="L732" t="s">
        <v>20</v>
      </c>
    </row>
    <row r="733" spans="1:12">
      <c r="A733" t="s">
        <v>1529</v>
      </c>
      <c r="B733" t="s">
        <v>1530</v>
      </c>
      <c r="C733" s="27">
        <v>45168</v>
      </c>
      <c r="D733" s="25">
        <v>45190</v>
      </c>
      <c r="E733" t="s">
        <v>19</v>
      </c>
      <c r="F733">
        <v>53736</v>
      </c>
      <c r="G733">
        <v>1161</v>
      </c>
      <c r="H733">
        <v>920.11</v>
      </c>
      <c r="I733">
        <v>154</v>
      </c>
      <c r="J733" t="s">
        <v>15</v>
      </c>
      <c r="L733" t="s">
        <v>20</v>
      </c>
    </row>
    <row r="734" spans="1:12">
      <c r="A734" t="s">
        <v>1531</v>
      </c>
      <c r="B734" t="s">
        <v>1532</v>
      </c>
      <c r="C734" s="27">
        <v>45038</v>
      </c>
      <c r="D734" s="25">
        <v>45061</v>
      </c>
      <c r="E734" t="s">
        <v>33</v>
      </c>
      <c r="F734">
        <v>69866</v>
      </c>
      <c r="G734">
        <v>2897</v>
      </c>
      <c r="H734">
        <v>4282.17</v>
      </c>
      <c r="I734">
        <v>400</v>
      </c>
      <c r="J734" t="b">
        <v>1</v>
      </c>
      <c r="L734" t="s">
        <v>34</v>
      </c>
    </row>
    <row r="735" spans="1:12">
      <c r="A735" t="s">
        <v>1533</v>
      </c>
      <c r="B735" t="s">
        <v>1534</v>
      </c>
      <c r="C735" s="25">
        <v>45232</v>
      </c>
      <c r="D735" s="25">
        <v>44994</v>
      </c>
      <c r="E735" t="s">
        <v>41</v>
      </c>
      <c r="F735">
        <v>20087</v>
      </c>
      <c r="G735">
        <v>290</v>
      </c>
      <c r="H735">
        <v>484.7</v>
      </c>
      <c r="I735">
        <v>55</v>
      </c>
      <c r="J735" t="s">
        <v>24</v>
      </c>
      <c r="L735" t="s">
        <v>42</v>
      </c>
    </row>
    <row r="736" spans="1:12">
      <c r="A736" t="s">
        <v>1535</v>
      </c>
      <c r="B736" t="s">
        <v>1536</v>
      </c>
      <c r="C736" s="27">
        <v>45155</v>
      </c>
      <c r="D736" s="25">
        <v>45166</v>
      </c>
      <c r="E736" t="s">
        <v>23</v>
      </c>
      <c r="F736">
        <v>42430</v>
      </c>
      <c r="G736">
        <v>1028</v>
      </c>
      <c r="H736">
        <v>1734.44</v>
      </c>
      <c r="I736">
        <v>163</v>
      </c>
      <c r="J736" t="s">
        <v>15</v>
      </c>
      <c r="L736" t="s">
        <v>25</v>
      </c>
    </row>
    <row r="737" spans="1:12">
      <c r="A737" t="s">
        <v>1537</v>
      </c>
      <c r="B737" t="s">
        <v>1538</v>
      </c>
      <c r="C737" s="27">
        <v>45215</v>
      </c>
      <c r="D737" s="25">
        <v>45231</v>
      </c>
      <c r="E737" t="s">
        <v>266</v>
      </c>
      <c r="F737">
        <v>25504</v>
      </c>
      <c r="G737">
        <v>1252</v>
      </c>
      <c r="H737">
        <v>1757.44</v>
      </c>
      <c r="I737">
        <v>234</v>
      </c>
      <c r="J737">
        <v>0</v>
      </c>
      <c r="L737" t="s">
        <v>20</v>
      </c>
    </row>
    <row r="738" spans="1:12">
      <c r="A738" t="s">
        <v>1539</v>
      </c>
      <c r="B738" t="s">
        <v>1540</v>
      </c>
      <c r="C738" s="27">
        <v>45185</v>
      </c>
      <c r="D738" s="25">
        <v>45189</v>
      </c>
      <c r="E738" t="s">
        <v>23</v>
      </c>
      <c r="F738">
        <v>8114</v>
      </c>
      <c r="G738">
        <v>338</v>
      </c>
      <c r="H738" s="26">
        <v>428.4</v>
      </c>
      <c r="I738">
        <v>62</v>
      </c>
      <c r="J738" t="b">
        <v>1</v>
      </c>
      <c r="L738" t="s">
        <v>68</v>
      </c>
    </row>
    <row r="739" spans="1:12">
      <c r="A739" t="s">
        <v>1541</v>
      </c>
      <c r="B739" t="s">
        <v>1542</v>
      </c>
      <c r="C739" s="27">
        <v>45011</v>
      </c>
      <c r="D739" s="25">
        <v>45022</v>
      </c>
      <c r="E739" t="s">
        <v>41</v>
      </c>
      <c r="F739">
        <v>79859</v>
      </c>
      <c r="G739">
        <v>2387</v>
      </c>
      <c r="H739">
        <v>1411.94</v>
      </c>
      <c r="I739">
        <v>335</v>
      </c>
      <c r="J739" t="b">
        <v>0</v>
      </c>
      <c r="L739" t="s">
        <v>42</v>
      </c>
    </row>
    <row r="740" spans="1:12">
      <c r="A740" t="s">
        <v>1543</v>
      </c>
      <c r="B740" t="s">
        <v>1544</v>
      </c>
      <c r="C740" s="27">
        <v>44986</v>
      </c>
      <c r="D740" s="25">
        <v>45010</v>
      </c>
      <c r="E740" t="s">
        <v>41</v>
      </c>
      <c r="F740">
        <v>11975</v>
      </c>
      <c r="G740">
        <v>282</v>
      </c>
      <c r="H740">
        <v>262.75</v>
      </c>
      <c r="I740">
        <v>36</v>
      </c>
      <c r="J740">
        <v>1</v>
      </c>
      <c r="L740" t="s">
        <v>42</v>
      </c>
    </row>
    <row r="741" spans="1:12">
      <c r="A741" t="s">
        <v>1545</v>
      </c>
      <c r="B741" t="s">
        <v>1546</v>
      </c>
      <c r="C741" s="25">
        <v>45147</v>
      </c>
      <c r="D741" s="25">
        <v>45204</v>
      </c>
      <c r="E741" t="s">
        <v>58</v>
      </c>
      <c r="F741">
        <v>12023</v>
      </c>
      <c r="G741">
        <v>539</v>
      </c>
      <c r="H741">
        <v>344.91</v>
      </c>
      <c r="I741">
        <v>72</v>
      </c>
      <c r="J741">
        <v>0</v>
      </c>
      <c r="L741" t="s">
        <v>59</v>
      </c>
    </row>
    <row r="742" spans="1:12">
      <c r="A742" t="s">
        <v>1547</v>
      </c>
      <c r="B742" t="s">
        <v>1548</v>
      </c>
      <c r="C742" s="25">
        <v>45188</v>
      </c>
      <c r="D742" s="25">
        <v>45214</v>
      </c>
      <c r="E742" t="s">
        <v>33</v>
      </c>
      <c r="F742">
        <v>22447</v>
      </c>
      <c r="G742">
        <v>713</v>
      </c>
      <c r="H742">
        <v>1387.31</v>
      </c>
      <c r="I742">
        <v>140</v>
      </c>
      <c r="J742">
        <v>0</v>
      </c>
      <c r="L742" t="s">
        <v>34</v>
      </c>
    </row>
    <row r="743" spans="1:12">
      <c r="A743" t="s">
        <v>1549</v>
      </c>
      <c r="B743" t="s">
        <v>1550</v>
      </c>
      <c r="C743" s="27">
        <v>44994</v>
      </c>
      <c r="D743" s="25">
        <v>45006</v>
      </c>
      <c r="E743" t="s">
        <v>23</v>
      </c>
      <c r="F743">
        <v>91469</v>
      </c>
      <c r="G743">
        <v>3689</v>
      </c>
      <c r="H743">
        <v>2591.97</v>
      </c>
      <c r="I743">
        <v>612</v>
      </c>
      <c r="J743" t="b">
        <v>1</v>
      </c>
      <c r="L743" t="s">
        <v>25</v>
      </c>
    </row>
    <row r="744" spans="1:12">
      <c r="A744" t="s">
        <v>1551</v>
      </c>
      <c r="B744" t="s">
        <v>1552</v>
      </c>
      <c r="C744" s="27">
        <v>44956</v>
      </c>
      <c r="D744" s="25">
        <v>44974</v>
      </c>
      <c r="E744" t="s">
        <v>41</v>
      </c>
      <c r="F744">
        <v>24959</v>
      </c>
      <c r="G744">
        <v>1002</v>
      </c>
      <c r="H744">
        <v>729.12</v>
      </c>
      <c r="I744">
        <v>66</v>
      </c>
      <c r="J744">
        <v>1</v>
      </c>
      <c r="L744" t="s">
        <v>42</v>
      </c>
    </row>
    <row r="745" spans="1:12">
      <c r="A745" t="s">
        <v>1553</v>
      </c>
      <c r="B745" t="s">
        <v>1554</v>
      </c>
      <c r="C745" s="27">
        <v>45084</v>
      </c>
      <c r="D745" s="25">
        <v>45114</v>
      </c>
      <c r="E745" t="s">
        <v>33</v>
      </c>
      <c r="F745">
        <v>67203</v>
      </c>
      <c r="G745">
        <v>720</v>
      </c>
      <c r="H745">
        <v>1320.74</v>
      </c>
      <c r="I745">
        <v>120</v>
      </c>
      <c r="J745" t="b">
        <v>0</v>
      </c>
      <c r="L745" t="s">
        <v>34</v>
      </c>
    </row>
    <row r="746" spans="1:12">
      <c r="A746" t="s">
        <v>1555</v>
      </c>
      <c r="B746" t="s">
        <v>1556</v>
      </c>
      <c r="C746" s="27">
        <v>44928</v>
      </c>
      <c r="D746" s="25">
        <v>44941</v>
      </c>
      <c r="E746" t="s">
        <v>23</v>
      </c>
      <c r="F746">
        <v>30703</v>
      </c>
      <c r="G746">
        <v>462</v>
      </c>
      <c r="H746">
        <v>885.14</v>
      </c>
      <c r="I746">
        <v>34</v>
      </c>
      <c r="J746">
        <v>0</v>
      </c>
      <c r="L746" t="s">
        <v>25</v>
      </c>
    </row>
    <row r="747" spans="1:12">
      <c r="A747" t="s">
        <v>1557</v>
      </c>
      <c r="B747" t="s">
        <v>1558</v>
      </c>
      <c r="C747" s="27">
        <v>44950</v>
      </c>
      <c r="D747" s="25">
        <v>44967</v>
      </c>
      <c r="E747" t="s">
        <v>41</v>
      </c>
      <c r="F747">
        <v>10337</v>
      </c>
      <c r="G747">
        <v>376</v>
      </c>
      <c r="H747">
        <v>619.93</v>
      </c>
      <c r="I747">
        <v>44</v>
      </c>
      <c r="J747" t="b">
        <v>0</v>
      </c>
      <c r="L747" t="s">
        <v>42</v>
      </c>
    </row>
    <row r="748" spans="1:12">
      <c r="A748" t="s">
        <v>1559</v>
      </c>
      <c r="B748" t="s">
        <v>1560</v>
      </c>
      <c r="C748" s="27">
        <v>45204</v>
      </c>
      <c r="D748" s="25">
        <v>45226</v>
      </c>
      <c r="E748" t="s">
        <v>19</v>
      </c>
      <c r="F748">
        <v>47427</v>
      </c>
      <c r="G748">
        <v>780</v>
      </c>
      <c r="H748">
        <v>396.32</v>
      </c>
      <c r="I748">
        <v>63</v>
      </c>
      <c r="J748" t="s">
        <v>15</v>
      </c>
      <c r="L748" t="s">
        <v>20</v>
      </c>
    </row>
    <row r="749" spans="1:12">
      <c r="A749" t="s">
        <v>1561</v>
      </c>
      <c r="B749" t="s">
        <v>1562</v>
      </c>
      <c r="C749" s="27">
        <v>44962</v>
      </c>
      <c r="D749" s="25">
        <v>44989</v>
      </c>
      <c r="E749" t="s">
        <v>14</v>
      </c>
      <c r="F749">
        <v>62529</v>
      </c>
      <c r="G749">
        <v>1264</v>
      </c>
      <c r="H749">
        <v>634.55</v>
      </c>
      <c r="I749">
        <v>193</v>
      </c>
      <c r="J749" t="s">
        <v>24</v>
      </c>
      <c r="L749" t="s">
        <v>16</v>
      </c>
    </row>
    <row r="750" spans="1:12">
      <c r="A750" t="s">
        <v>1563</v>
      </c>
      <c r="B750" t="s">
        <v>1564</v>
      </c>
      <c r="C750" s="27">
        <v>45073</v>
      </c>
      <c r="D750" s="25">
        <v>45086</v>
      </c>
      <c r="E750" t="s">
        <v>41</v>
      </c>
      <c r="F750">
        <v>85665</v>
      </c>
      <c r="G750">
        <v>4100</v>
      </c>
      <c r="H750">
        <v>4375.32</v>
      </c>
      <c r="I750">
        <v>744</v>
      </c>
      <c r="J750">
        <v>1</v>
      </c>
      <c r="L750" t="s">
        <v>42</v>
      </c>
    </row>
    <row r="751" spans="1:12">
      <c r="A751" t="s">
        <v>1565</v>
      </c>
      <c r="B751" t="s">
        <v>1566</v>
      </c>
      <c r="C751" s="27">
        <v>45255</v>
      </c>
      <c r="D751" s="25">
        <v>45263</v>
      </c>
      <c r="E751" t="s">
        <v>14</v>
      </c>
      <c r="F751">
        <v>32921</v>
      </c>
      <c r="G751">
        <v>1066</v>
      </c>
      <c r="H751" s="26">
        <v>762.29</v>
      </c>
      <c r="I751">
        <v>99</v>
      </c>
      <c r="J751" t="s">
        <v>24</v>
      </c>
      <c r="L751" t="s">
        <v>16</v>
      </c>
    </row>
    <row r="752" spans="1:12">
      <c r="A752" t="s">
        <v>1567</v>
      </c>
      <c r="B752" t="s">
        <v>1568</v>
      </c>
      <c r="C752" s="27">
        <v>45142</v>
      </c>
      <c r="D752" s="25">
        <v>45161</v>
      </c>
      <c r="E752" t="s">
        <v>41</v>
      </c>
      <c r="F752">
        <v>34307</v>
      </c>
      <c r="G752">
        <v>1373</v>
      </c>
      <c r="H752" s="26">
        <v>724.37</v>
      </c>
      <c r="I752">
        <v>85</v>
      </c>
      <c r="J752" t="s">
        <v>30</v>
      </c>
      <c r="L752" t="s">
        <v>42</v>
      </c>
    </row>
    <row r="753" spans="1:12">
      <c r="A753" t="s">
        <v>1569</v>
      </c>
      <c r="B753" t="s">
        <v>1570</v>
      </c>
      <c r="C753" s="27">
        <v>45156</v>
      </c>
      <c r="D753" s="25">
        <v>45168</v>
      </c>
      <c r="E753" t="s">
        <v>41</v>
      </c>
      <c r="F753">
        <v>28355</v>
      </c>
      <c r="G753">
        <v>916</v>
      </c>
      <c r="H753">
        <v>1095.63</v>
      </c>
      <c r="I753">
        <v>86</v>
      </c>
      <c r="J753" t="s">
        <v>15</v>
      </c>
      <c r="L753" t="s">
        <v>42</v>
      </c>
    </row>
    <row r="754" spans="1:12">
      <c r="A754" t="s">
        <v>1571</v>
      </c>
      <c r="B754" t="s">
        <v>1572</v>
      </c>
      <c r="C754" s="25">
        <v>45267</v>
      </c>
      <c r="D754" s="25">
        <v>45143</v>
      </c>
      <c r="E754" t="s">
        <v>14</v>
      </c>
      <c r="F754">
        <v>5835</v>
      </c>
      <c r="G754">
        <v>187</v>
      </c>
      <c r="H754" s="26">
        <v>358.03</v>
      </c>
      <c r="I754">
        <v>28</v>
      </c>
      <c r="J754">
        <v>1</v>
      </c>
      <c r="L754" t="s">
        <v>16</v>
      </c>
    </row>
    <row r="755" spans="1:12">
      <c r="A755" t="s">
        <v>1573</v>
      </c>
      <c r="B755" t="s">
        <v>1574</v>
      </c>
      <c r="C755" s="27">
        <v>45265</v>
      </c>
      <c r="D755" s="25">
        <v>45279</v>
      </c>
      <c r="E755" t="s">
        <v>41</v>
      </c>
      <c r="F755">
        <v>21159</v>
      </c>
      <c r="G755">
        <v>291</v>
      </c>
      <c r="H755">
        <v>286.85</v>
      </c>
      <c r="I755">
        <v>28</v>
      </c>
      <c r="J755" t="b">
        <v>1</v>
      </c>
      <c r="L755" t="s">
        <v>68</v>
      </c>
    </row>
    <row r="756" spans="1:12">
      <c r="A756" t="s">
        <v>1575</v>
      </c>
      <c r="B756" t="s">
        <v>1576</v>
      </c>
      <c r="C756" s="27">
        <v>45105</v>
      </c>
      <c r="D756" s="25">
        <v>45128</v>
      </c>
      <c r="E756" t="s">
        <v>14</v>
      </c>
      <c r="F756">
        <v>48605</v>
      </c>
      <c r="G756">
        <v>1154</v>
      </c>
      <c r="H756">
        <v>1721.43</v>
      </c>
      <c r="I756">
        <v>105</v>
      </c>
      <c r="J756" t="s">
        <v>24</v>
      </c>
      <c r="L756" t="s">
        <v>16</v>
      </c>
    </row>
    <row r="757" spans="1:12">
      <c r="A757" t="s">
        <v>1577</v>
      </c>
      <c r="B757" t="s">
        <v>1578</v>
      </c>
      <c r="C757" s="27">
        <v>45128</v>
      </c>
      <c r="D757" s="25">
        <v>45153</v>
      </c>
      <c r="E757" t="s">
        <v>33</v>
      </c>
      <c r="F757">
        <v>39088</v>
      </c>
      <c r="G757">
        <v>832</v>
      </c>
      <c r="H757">
        <v>1229.99</v>
      </c>
      <c r="I757">
        <v>64</v>
      </c>
      <c r="J757" t="b">
        <v>1</v>
      </c>
      <c r="L757" t="s">
        <v>34</v>
      </c>
    </row>
    <row r="758" spans="1:12">
      <c r="A758" t="s">
        <v>1579</v>
      </c>
      <c r="B758" t="s">
        <v>1580</v>
      </c>
      <c r="C758" s="27">
        <v>45041</v>
      </c>
      <c r="D758" s="25">
        <v>45045</v>
      </c>
      <c r="E758" t="s">
        <v>14</v>
      </c>
      <c r="F758">
        <v>79752</v>
      </c>
      <c r="G758">
        <v>2043</v>
      </c>
      <c r="H758">
        <v>1790.93</v>
      </c>
      <c r="I758">
        <v>254</v>
      </c>
      <c r="J758" t="b">
        <v>0</v>
      </c>
      <c r="L758" t="s">
        <v>16</v>
      </c>
    </row>
    <row r="759" spans="1:12">
      <c r="A759" t="s">
        <v>1581</v>
      </c>
      <c r="B759" t="s">
        <v>1582</v>
      </c>
      <c r="C759" s="27">
        <v>45079</v>
      </c>
      <c r="D759" s="25">
        <v>45087</v>
      </c>
      <c r="E759" t="s">
        <v>33</v>
      </c>
      <c r="F759">
        <v>56284</v>
      </c>
      <c r="G759">
        <v>2360</v>
      </c>
      <c r="H759">
        <v>3482.51</v>
      </c>
      <c r="I759">
        <v>215</v>
      </c>
      <c r="J759">
        <v>0</v>
      </c>
      <c r="L759" t="s">
        <v>34</v>
      </c>
    </row>
    <row r="760" spans="1:12">
      <c r="A760" t="s">
        <v>1583</v>
      </c>
      <c r="B760" t="s">
        <v>1584</v>
      </c>
      <c r="C760" s="27">
        <v>45144</v>
      </c>
      <c r="D760" s="25">
        <v>45165</v>
      </c>
      <c r="E760" t="s">
        <v>415</v>
      </c>
      <c r="F760">
        <v>58043</v>
      </c>
      <c r="G760">
        <v>1443</v>
      </c>
      <c r="H760">
        <v>1181.1</v>
      </c>
      <c r="I760">
        <v>230</v>
      </c>
      <c r="J760" t="s">
        <v>24</v>
      </c>
      <c r="L760" t="s">
        <v>34</v>
      </c>
    </row>
    <row r="761" spans="1:12">
      <c r="A761" t="s">
        <v>1585</v>
      </c>
      <c r="B761" t="s">
        <v>1586</v>
      </c>
      <c r="C761" s="27">
        <v>45053</v>
      </c>
      <c r="D761" s="25">
        <v>45074</v>
      </c>
      <c r="E761" t="s">
        <v>138</v>
      </c>
      <c r="F761">
        <v>36547</v>
      </c>
      <c r="G761">
        <v>1025</v>
      </c>
      <c r="H761">
        <v>700.09</v>
      </c>
      <c r="J761" t="s">
        <v>30</v>
      </c>
      <c r="L761" t="s">
        <v>139</v>
      </c>
    </row>
    <row r="762" spans="1:12">
      <c r="A762" t="s">
        <v>1587</v>
      </c>
      <c r="B762" t="s">
        <v>1588</v>
      </c>
      <c r="C762" s="27">
        <v>45023</v>
      </c>
      <c r="D762" s="25">
        <v>45038</v>
      </c>
      <c r="E762" t="s">
        <v>14</v>
      </c>
      <c r="F762">
        <v>98007</v>
      </c>
      <c r="G762">
        <v>2537</v>
      </c>
      <c r="H762">
        <v>3937.61</v>
      </c>
      <c r="I762">
        <v>379</v>
      </c>
      <c r="J762" t="b">
        <v>1</v>
      </c>
      <c r="L762" t="s">
        <v>68</v>
      </c>
    </row>
    <row r="763" spans="1:12">
      <c r="A763" t="s">
        <v>1589</v>
      </c>
      <c r="B763" t="s">
        <v>1590</v>
      </c>
      <c r="C763" t="s">
        <v>1591</v>
      </c>
      <c r="D763" s="25">
        <v>44989</v>
      </c>
      <c r="E763" t="s">
        <v>234</v>
      </c>
      <c r="F763">
        <v>83844</v>
      </c>
      <c r="G763">
        <v>1151</v>
      </c>
      <c r="H763">
        <v>771.36</v>
      </c>
      <c r="I763">
        <v>98</v>
      </c>
      <c r="J763">
        <v>1</v>
      </c>
      <c r="L763" t="s">
        <v>16</v>
      </c>
    </row>
    <row r="764" spans="1:12">
      <c r="A764" t="s">
        <v>1592</v>
      </c>
      <c r="B764" t="s">
        <v>1593</v>
      </c>
      <c r="C764" s="27">
        <v>45265</v>
      </c>
      <c r="D764" s="25">
        <v>45292</v>
      </c>
      <c r="E764" t="s">
        <v>41</v>
      </c>
      <c r="F764">
        <v>28532</v>
      </c>
      <c r="G764">
        <v>788</v>
      </c>
      <c r="H764">
        <v>1572.35</v>
      </c>
      <c r="I764">
        <v>97</v>
      </c>
      <c r="J764" t="s">
        <v>24</v>
      </c>
      <c r="L764" t="s">
        <v>42</v>
      </c>
    </row>
    <row r="765" spans="1:12">
      <c r="A765" t="s">
        <v>1594</v>
      </c>
      <c r="B765" t="s">
        <v>1595</v>
      </c>
      <c r="C765" s="25">
        <v>44935</v>
      </c>
      <c r="D765" s="25">
        <v>45193</v>
      </c>
      <c r="E765" t="s">
        <v>23</v>
      </c>
      <c r="F765">
        <v>35349</v>
      </c>
      <c r="G765">
        <v>630</v>
      </c>
      <c r="H765">
        <v>488.36</v>
      </c>
      <c r="I765">
        <v>58</v>
      </c>
      <c r="J765" t="s">
        <v>24</v>
      </c>
      <c r="L765" t="s">
        <v>68</v>
      </c>
    </row>
    <row r="766" spans="1:12">
      <c r="A766" t="s">
        <v>1596</v>
      </c>
      <c r="B766" t="s">
        <v>1597</v>
      </c>
      <c r="C766" s="25">
        <v>44937</v>
      </c>
      <c r="D766" s="25">
        <v>45260</v>
      </c>
      <c r="E766" t="s">
        <v>14</v>
      </c>
      <c r="F766">
        <v>46445</v>
      </c>
      <c r="G766">
        <v>811</v>
      </c>
      <c r="H766">
        <v>1128.27</v>
      </c>
      <c r="I766">
        <v>128</v>
      </c>
      <c r="J766">
        <v>0</v>
      </c>
      <c r="L766" t="s">
        <v>16</v>
      </c>
    </row>
    <row r="767" spans="1:12">
      <c r="A767" t="s">
        <v>1598</v>
      </c>
      <c r="B767" t="s">
        <v>1599</v>
      </c>
      <c r="C767" s="27">
        <v>45233</v>
      </c>
      <c r="D767" s="25">
        <v>45258</v>
      </c>
      <c r="E767" t="s">
        <v>33</v>
      </c>
      <c r="F767">
        <v>6713</v>
      </c>
      <c r="G767">
        <v>92</v>
      </c>
      <c r="H767">
        <v>102.77</v>
      </c>
      <c r="I767">
        <v>17</v>
      </c>
      <c r="J767">
        <v>0</v>
      </c>
      <c r="L767" t="s">
        <v>34</v>
      </c>
    </row>
    <row r="768" spans="1:12">
      <c r="A768" t="s">
        <v>1600</v>
      </c>
      <c r="B768" t="s">
        <v>1601</v>
      </c>
      <c r="C768" s="27">
        <v>45052</v>
      </c>
      <c r="D768" s="25">
        <v>45059</v>
      </c>
      <c r="E768" t="s">
        <v>19</v>
      </c>
      <c r="F768">
        <v>57178</v>
      </c>
      <c r="G768">
        <v>1387</v>
      </c>
      <c r="H768">
        <v>956.45</v>
      </c>
      <c r="J768">
        <v>1</v>
      </c>
      <c r="L768" t="s">
        <v>20</v>
      </c>
    </row>
    <row r="769" spans="1:12">
      <c r="A769" t="s">
        <v>1602</v>
      </c>
      <c r="B769" t="s">
        <v>1603</v>
      </c>
      <c r="C769" s="27">
        <v>45046</v>
      </c>
      <c r="D769" s="25">
        <v>45069</v>
      </c>
      <c r="E769" t="s">
        <v>41</v>
      </c>
      <c r="F769">
        <v>50407</v>
      </c>
      <c r="G769">
        <v>2031</v>
      </c>
      <c r="H769">
        <v>1100.33</v>
      </c>
      <c r="I769">
        <v>279</v>
      </c>
      <c r="J769">
        <v>0</v>
      </c>
      <c r="L769" t="s">
        <v>42</v>
      </c>
    </row>
    <row r="770" spans="1:12">
      <c r="A770" t="s">
        <v>1604</v>
      </c>
      <c r="B770" t="s">
        <v>1605</v>
      </c>
      <c r="C770" s="27">
        <v>44955</v>
      </c>
      <c r="D770" s="25">
        <v>44956</v>
      </c>
      <c r="E770" t="s">
        <v>33</v>
      </c>
      <c r="F770">
        <v>71340</v>
      </c>
      <c r="G770">
        <v>1502</v>
      </c>
      <c r="H770">
        <v>2154.02</v>
      </c>
      <c r="J770" t="b">
        <v>1</v>
      </c>
      <c r="L770" t="s">
        <v>34</v>
      </c>
    </row>
    <row r="771" spans="1:12">
      <c r="A771" t="s">
        <v>1606</v>
      </c>
      <c r="B771" t="s">
        <v>1607</v>
      </c>
      <c r="C771" s="27">
        <v>45046</v>
      </c>
      <c r="D771" s="25">
        <v>45075</v>
      </c>
      <c r="E771" t="s">
        <v>41</v>
      </c>
      <c r="F771">
        <v>51990</v>
      </c>
      <c r="G771">
        <v>1169</v>
      </c>
      <c r="H771">
        <v>1999.15</v>
      </c>
      <c r="I771">
        <v>201</v>
      </c>
      <c r="J771">
        <v>1</v>
      </c>
      <c r="L771" t="s">
        <v>68</v>
      </c>
    </row>
    <row r="772" spans="1:12">
      <c r="A772" t="s">
        <v>1608</v>
      </c>
      <c r="B772" t="s">
        <v>1609</v>
      </c>
      <c r="C772" s="27">
        <v>45090</v>
      </c>
      <c r="D772" s="25">
        <v>45116</v>
      </c>
      <c r="E772" t="s">
        <v>23</v>
      </c>
      <c r="F772">
        <v>76672</v>
      </c>
      <c r="G772">
        <v>2737</v>
      </c>
      <c r="H772">
        <v>4825.4</v>
      </c>
      <c r="I772">
        <v>417</v>
      </c>
      <c r="J772">
        <v>1</v>
      </c>
      <c r="L772" t="s">
        <v>25</v>
      </c>
    </row>
    <row r="773" spans="1:12">
      <c r="A773" t="s">
        <v>1610</v>
      </c>
      <c r="B773" t="s">
        <v>1611</v>
      </c>
      <c r="C773" s="27">
        <v>45091</v>
      </c>
      <c r="D773" s="25">
        <v>45108</v>
      </c>
      <c r="E773" t="s">
        <v>19</v>
      </c>
      <c r="F773">
        <v>66545</v>
      </c>
      <c r="G773">
        <v>1186</v>
      </c>
      <c r="H773">
        <v>1451.75</v>
      </c>
      <c r="I773">
        <v>91</v>
      </c>
      <c r="J773" t="b">
        <v>0</v>
      </c>
      <c r="L773" t="s">
        <v>20</v>
      </c>
    </row>
    <row r="774" spans="1:12">
      <c r="A774" t="s">
        <v>1612</v>
      </c>
      <c r="B774" t="s">
        <v>1613</v>
      </c>
      <c r="C774" s="27">
        <v>45265</v>
      </c>
      <c r="D774" s="25">
        <v>45291</v>
      </c>
      <c r="E774" t="s">
        <v>23</v>
      </c>
      <c r="F774">
        <v>85791</v>
      </c>
      <c r="G774">
        <v>3935</v>
      </c>
      <c r="H774">
        <v>6556.43</v>
      </c>
      <c r="I774">
        <v>681</v>
      </c>
      <c r="J774" t="s">
        <v>30</v>
      </c>
      <c r="L774" t="s">
        <v>25</v>
      </c>
    </row>
    <row r="775" spans="1:12">
      <c r="A775" t="s">
        <v>1614</v>
      </c>
      <c r="B775" t="s">
        <v>1615</v>
      </c>
      <c r="C775" t="s">
        <v>1616</v>
      </c>
      <c r="D775" s="25">
        <v>45071</v>
      </c>
      <c r="E775" t="s">
        <v>19</v>
      </c>
      <c r="F775">
        <v>59141</v>
      </c>
      <c r="G775">
        <v>1821</v>
      </c>
      <c r="H775">
        <v>2748.38</v>
      </c>
      <c r="I775">
        <v>208</v>
      </c>
      <c r="J775" t="s">
        <v>24</v>
      </c>
      <c r="L775" t="s">
        <v>20</v>
      </c>
    </row>
    <row r="776" spans="1:12">
      <c r="A776" t="s">
        <v>1617</v>
      </c>
      <c r="B776" t="s">
        <v>1618</v>
      </c>
      <c r="C776" s="27">
        <v>45229</v>
      </c>
      <c r="D776" s="25">
        <v>45245</v>
      </c>
      <c r="E776" t="s">
        <v>14</v>
      </c>
      <c r="F776">
        <v>24793</v>
      </c>
      <c r="G776">
        <v>691</v>
      </c>
      <c r="H776">
        <v>1096.19</v>
      </c>
      <c r="I776">
        <v>54</v>
      </c>
      <c r="J776" t="b">
        <v>0</v>
      </c>
      <c r="L776" t="s">
        <v>16</v>
      </c>
    </row>
    <row r="777" spans="1:12">
      <c r="A777" t="s">
        <v>1619</v>
      </c>
      <c r="B777" t="s">
        <v>1620</v>
      </c>
      <c r="C777" s="27">
        <v>45247</v>
      </c>
      <c r="D777" s="25">
        <v>45252</v>
      </c>
      <c r="E777" t="s">
        <v>191</v>
      </c>
      <c r="F777">
        <v>57570</v>
      </c>
      <c r="G777">
        <v>1860</v>
      </c>
      <c r="H777">
        <v>2304.35</v>
      </c>
      <c r="I777">
        <v>171</v>
      </c>
      <c r="J777" t="s">
        <v>30</v>
      </c>
      <c r="L777" t="s">
        <v>42</v>
      </c>
    </row>
    <row r="778" spans="1:12">
      <c r="A778" t="s">
        <v>1621</v>
      </c>
      <c r="B778" t="s">
        <v>1622</v>
      </c>
      <c r="C778" s="27">
        <v>44951</v>
      </c>
      <c r="D778" s="25">
        <v>44981</v>
      </c>
      <c r="E778" t="s">
        <v>19</v>
      </c>
      <c r="F778">
        <v>96084</v>
      </c>
      <c r="G778">
        <v>1598</v>
      </c>
      <c r="H778">
        <v>2317.29</v>
      </c>
      <c r="I778">
        <v>144</v>
      </c>
      <c r="J778">
        <v>1</v>
      </c>
      <c r="L778" t="s">
        <v>20</v>
      </c>
    </row>
    <row r="779" spans="1:12">
      <c r="A779" t="s">
        <v>1623</v>
      </c>
      <c r="B779" t="s">
        <v>1624</v>
      </c>
      <c r="C779" s="27">
        <v>45270</v>
      </c>
      <c r="D779" s="25">
        <v>45273</v>
      </c>
      <c r="E779" t="s">
        <v>23</v>
      </c>
      <c r="F779">
        <v>38892</v>
      </c>
      <c r="G779">
        <v>1343</v>
      </c>
      <c r="H779">
        <v>2294.23</v>
      </c>
      <c r="J779" t="s">
        <v>24</v>
      </c>
      <c r="L779" t="s">
        <v>25</v>
      </c>
    </row>
    <row r="780" spans="1:12">
      <c r="A780" t="s">
        <v>1625</v>
      </c>
      <c r="B780" t="s">
        <v>1626</v>
      </c>
      <c r="C780" s="27">
        <v>45283</v>
      </c>
      <c r="D780" s="25">
        <v>45306</v>
      </c>
      <c r="E780" t="s">
        <v>19</v>
      </c>
      <c r="F780">
        <v>2015</v>
      </c>
      <c r="G780">
        <v>49</v>
      </c>
      <c r="H780">
        <v>53.74</v>
      </c>
      <c r="I780">
        <v>4</v>
      </c>
      <c r="J780">
        <v>0</v>
      </c>
      <c r="L780" t="s">
        <v>20</v>
      </c>
    </row>
    <row r="781" spans="1:12">
      <c r="A781" t="s">
        <v>1627</v>
      </c>
      <c r="B781" t="s">
        <v>1628</v>
      </c>
      <c r="C781" s="27">
        <v>45119</v>
      </c>
      <c r="D781" s="25">
        <v>45129</v>
      </c>
      <c r="E781" t="s">
        <v>415</v>
      </c>
      <c r="F781">
        <v>62813</v>
      </c>
      <c r="G781">
        <v>2882</v>
      </c>
      <c r="H781">
        <v>4925.25</v>
      </c>
      <c r="I781">
        <v>197</v>
      </c>
      <c r="J781" t="s">
        <v>30</v>
      </c>
      <c r="L781" t="s">
        <v>34</v>
      </c>
    </row>
    <row r="782" spans="1:12">
      <c r="A782" t="s">
        <v>1629</v>
      </c>
      <c r="B782" t="s">
        <v>1630</v>
      </c>
      <c r="C782" s="27">
        <v>45050</v>
      </c>
      <c r="D782" s="25">
        <v>45058</v>
      </c>
      <c r="E782" t="s">
        <v>138</v>
      </c>
      <c r="F782">
        <v>28712</v>
      </c>
      <c r="G782">
        <v>481</v>
      </c>
      <c r="H782">
        <v>667.64</v>
      </c>
      <c r="I782">
        <v>32</v>
      </c>
      <c r="J782">
        <v>1</v>
      </c>
      <c r="L782" t="s">
        <v>139</v>
      </c>
    </row>
    <row r="783" spans="1:12">
      <c r="A783" t="s">
        <v>1631</v>
      </c>
      <c r="B783" t="s">
        <v>1632</v>
      </c>
      <c r="C783" s="27">
        <v>45289</v>
      </c>
      <c r="D783" s="25">
        <v>45314</v>
      </c>
      <c r="E783" t="s">
        <v>14</v>
      </c>
      <c r="F783">
        <v>9415</v>
      </c>
      <c r="G783">
        <v>285</v>
      </c>
      <c r="H783" s="26">
        <v>213.42</v>
      </c>
      <c r="I783">
        <v>39</v>
      </c>
      <c r="J783">
        <v>1</v>
      </c>
      <c r="L783" t="s">
        <v>16</v>
      </c>
    </row>
    <row r="784" spans="1:12">
      <c r="A784" t="s">
        <v>1633</v>
      </c>
      <c r="B784" t="s">
        <v>1634</v>
      </c>
      <c r="C784" s="27">
        <v>44956</v>
      </c>
      <c r="D784" s="25">
        <v>44969</v>
      </c>
      <c r="E784" t="s">
        <v>41</v>
      </c>
      <c r="F784">
        <v>63292</v>
      </c>
      <c r="G784">
        <v>2147</v>
      </c>
      <c r="H784">
        <v>1153</v>
      </c>
      <c r="I784">
        <v>343</v>
      </c>
      <c r="J784" t="b">
        <v>0</v>
      </c>
      <c r="L784" t="s">
        <v>42</v>
      </c>
    </row>
    <row r="785" spans="1:12">
      <c r="A785" t="s">
        <v>1635</v>
      </c>
      <c r="B785" t="s">
        <v>1636</v>
      </c>
      <c r="C785" s="27">
        <v>45212</v>
      </c>
      <c r="D785" s="25">
        <v>45222</v>
      </c>
      <c r="E785" t="s">
        <v>19</v>
      </c>
      <c r="F785">
        <v>24833</v>
      </c>
      <c r="G785">
        <v>281</v>
      </c>
      <c r="H785">
        <v>293.4</v>
      </c>
      <c r="I785">
        <v>27</v>
      </c>
      <c r="J785" t="b">
        <v>0</v>
      </c>
      <c r="L785" t="s">
        <v>20</v>
      </c>
    </row>
    <row r="786" spans="1:12">
      <c r="A786" t="s">
        <v>1637</v>
      </c>
      <c r="B786" t="s">
        <v>1638</v>
      </c>
      <c r="C786" s="27">
        <v>45057</v>
      </c>
      <c r="D786" s="25">
        <v>45084</v>
      </c>
      <c r="E786" t="s">
        <v>19</v>
      </c>
      <c r="F786">
        <v>5158</v>
      </c>
      <c r="G786">
        <v>126</v>
      </c>
      <c r="H786">
        <v>166.33</v>
      </c>
      <c r="I786">
        <v>6</v>
      </c>
      <c r="J786">
        <v>0</v>
      </c>
      <c r="L786" t="s">
        <v>20</v>
      </c>
    </row>
    <row r="787" spans="1:12">
      <c r="A787" t="s">
        <v>1639</v>
      </c>
      <c r="B787" t="s">
        <v>1640</v>
      </c>
      <c r="C787" s="25">
        <v>45157</v>
      </c>
      <c r="D787" s="25">
        <v>45164</v>
      </c>
      <c r="E787" t="s">
        <v>14</v>
      </c>
      <c r="F787">
        <v>63680</v>
      </c>
      <c r="G787">
        <v>2502</v>
      </c>
      <c r="H787">
        <v>4402.85</v>
      </c>
      <c r="I787">
        <v>172</v>
      </c>
      <c r="J787" t="s">
        <v>15</v>
      </c>
      <c r="L787" t="s">
        <v>16</v>
      </c>
    </row>
    <row r="788" spans="1:12">
      <c r="A788" t="s">
        <v>1641</v>
      </c>
      <c r="B788" t="s">
        <v>1642</v>
      </c>
      <c r="C788" s="25">
        <v>45142</v>
      </c>
      <c r="D788" s="25">
        <v>45042</v>
      </c>
      <c r="E788" t="s">
        <v>23</v>
      </c>
      <c r="F788">
        <v>21309</v>
      </c>
      <c r="G788">
        <v>912</v>
      </c>
      <c r="H788">
        <v>630.4</v>
      </c>
      <c r="I788">
        <v>170</v>
      </c>
      <c r="J788" t="b">
        <v>1</v>
      </c>
      <c r="L788" t="s">
        <v>25</v>
      </c>
    </row>
    <row r="789" spans="1:12">
      <c r="A789" t="s">
        <v>1643</v>
      </c>
      <c r="B789" t="s">
        <v>1644</v>
      </c>
      <c r="C789" s="27">
        <v>45120</v>
      </c>
      <c r="D789" s="25">
        <v>45141</v>
      </c>
      <c r="E789" t="s">
        <v>19</v>
      </c>
      <c r="F789">
        <v>7970</v>
      </c>
      <c r="G789">
        <v>179</v>
      </c>
      <c r="H789">
        <v>304.36</v>
      </c>
      <c r="I789">
        <v>22</v>
      </c>
      <c r="J789" t="s">
        <v>15</v>
      </c>
      <c r="L789" t="s">
        <v>20</v>
      </c>
    </row>
    <row r="790" spans="1:12">
      <c r="A790" t="s">
        <v>1645</v>
      </c>
      <c r="B790" t="s">
        <v>1646</v>
      </c>
      <c r="C790" s="27">
        <v>44964</v>
      </c>
      <c r="D790" s="25">
        <v>44968</v>
      </c>
      <c r="E790" t="s">
        <v>41</v>
      </c>
      <c r="F790">
        <v>73474</v>
      </c>
      <c r="G790">
        <v>3081</v>
      </c>
      <c r="H790">
        <v>5528.9</v>
      </c>
      <c r="I790">
        <v>363</v>
      </c>
      <c r="J790" t="s">
        <v>15</v>
      </c>
      <c r="L790" t="s">
        <v>42</v>
      </c>
    </row>
    <row r="791" spans="1:12">
      <c r="A791" t="s">
        <v>1647</v>
      </c>
      <c r="B791" t="s">
        <v>1648</v>
      </c>
      <c r="C791" s="27">
        <v>45270</v>
      </c>
      <c r="D791" s="25">
        <v>45297</v>
      </c>
      <c r="E791" t="s">
        <v>19</v>
      </c>
      <c r="F791">
        <v>87704</v>
      </c>
      <c r="G791">
        <v>4272</v>
      </c>
      <c r="H791">
        <v>500000</v>
      </c>
      <c r="I791">
        <v>237</v>
      </c>
      <c r="J791" t="s">
        <v>24</v>
      </c>
      <c r="L791" t="s">
        <v>20</v>
      </c>
    </row>
    <row r="792" spans="1:12">
      <c r="A792" t="s">
        <v>1649</v>
      </c>
      <c r="B792" t="s">
        <v>1650</v>
      </c>
      <c r="C792" s="27">
        <v>45097</v>
      </c>
      <c r="D792" s="25">
        <v>45104</v>
      </c>
      <c r="E792" t="s">
        <v>23</v>
      </c>
      <c r="F792">
        <v>47540</v>
      </c>
      <c r="G792">
        <v>2104</v>
      </c>
      <c r="H792">
        <v>3739.63</v>
      </c>
      <c r="I792">
        <v>335</v>
      </c>
      <c r="J792" t="s">
        <v>24</v>
      </c>
      <c r="L792" t="s">
        <v>25</v>
      </c>
    </row>
    <row r="793" spans="1:12">
      <c r="A793" t="s">
        <v>1651</v>
      </c>
      <c r="B793" t="s">
        <v>1652</v>
      </c>
      <c r="C793" s="27">
        <v>45035</v>
      </c>
      <c r="D793" s="25">
        <v>45036</v>
      </c>
      <c r="E793" t="s">
        <v>14</v>
      </c>
      <c r="F793">
        <v>21384</v>
      </c>
      <c r="G793">
        <v>314</v>
      </c>
      <c r="H793" s="26">
        <v>623.97</v>
      </c>
      <c r="I793">
        <v>40</v>
      </c>
      <c r="J793">
        <v>0</v>
      </c>
      <c r="L793" t="s">
        <v>16</v>
      </c>
    </row>
    <row r="794" spans="1:12">
      <c r="A794" t="s">
        <v>1653</v>
      </c>
      <c r="B794" t="s">
        <v>1654</v>
      </c>
      <c r="C794" s="27">
        <v>44987</v>
      </c>
      <c r="D794" s="25">
        <v>44988</v>
      </c>
      <c r="E794" t="s">
        <v>41</v>
      </c>
      <c r="F794">
        <v>19017</v>
      </c>
      <c r="G794">
        <v>752</v>
      </c>
      <c r="H794">
        <v>1195.87</v>
      </c>
      <c r="I794">
        <v>60</v>
      </c>
      <c r="J794" t="s">
        <v>24</v>
      </c>
      <c r="L794" t="s">
        <v>42</v>
      </c>
    </row>
    <row r="795" spans="1:12">
      <c r="A795" t="s">
        <v>1655</v>
      </c>
      <c r="B795" t="s">
        <v>1656</v>
      </c>
      <c r="C795" s="27">
        <v>45051</v>
      </c>
      <c r="D795" s="25">
        <v>45052</v>
      </c>
      <c r="E795" t="s">
        <v>14</v>
      </c>
      <c r="F795">
        <v>76880</v>
      </c>
      <c r="G795">
        <v>1751</v>
      </c>
      <c r="H795">
        <v>2936.7</v>
      </c>
      <c r="I795">
        <v>116</v>
      </c>
      <c r="J795" t="s">
        <v>30</v>
      </c>
      <c r="L795" t="s">
        <v>16</v>
      </c>
    </row>
    <row r="796" spans="1:12">
      <c r="A796" t="s">
        <v>1657</v>
      </c>
      <c r="B796" t="s">
        <v>1658</v>
      </c>
      <c r="C796" s="27">
        <v>45130</v>
      </c>
      <c r="D796" s="25">
        <v>45140</v>
      </c>
      <c r="E796" t="s">
        <v>33</v>
      </c>
      <c r="F796">
        <v>9702</v>
      </c>
      <c r="G796">
        <v>480</v>
      </c>
      <c r="H796" s="26">
        <v>955.98</v>
      </c>
      <c r="I796">
        <v>51</v>
      </c>
      <c r="J796">
        <v>0</v>
      </c>
      <c r="L796" t="s">
        <v>34</v>
      </c>
    </row>
    <row r="797" spans="1:12">
      <c r="A797" t="s">
        <v>1659</v>
      </c>
      <c r="B797" t="s">
        <v>1660</v>
      </c>
      <c r="C797" s="27">
        <v>45071</v>
      </c>
      <c r="D797" s="25">
        <v>45075</v>
      </c>
      <c r="E797" t="s">
        <v>14</v>
      </c>
      <c r="F797">
        <v>1384</v>
      </c>
      <c r="G797">
        <v>40</v>
      </c>
      <c r="H797">
        <v>56.33</v>
      </c>
      <c r="I797">
        <v>7</v>
      </c>
      <c r="J797">
        <v>0</v>
      </c>
      <c r="L797" t="s">
        <v>16</v>
      </c>
    </row>
    <row r="798" spans="1:12">
      <c r="A798" t="s">
        <v>1661</v>
      </c>
      <c r="B798" t="s">
        <v>1662</v>
      </c>
      <c r="C798" s="27">
        <v>45110</v>
      </c>
      <c r="D798" s="25">
        <v>45117</v>
      </c>
      <c r="E798" t="s">
        <v>33</v>
      </c>
      <c r="F798">
        <v>1404</v>
      </c>
      <c r="G798">
        <v>20</v>
      </c>
      <c r="H798" s="26">
        <v>19.24</v>
      </c>
      <c r="I798">
        <v>3</v>
      </c>
      <c r="J798">
        <v>1</v>
      </c>
      <c r="L798" t="s">
        <v>34</v>
      </c>
    </row>
    <row r="799" spans="1:12">
      <c r="A799" t="s">
        <v>1663</v>
      </c>
      <c r="B799" t="s">
        <v>1664</v>
      </c>
      <c r="C799" s="27">
        <v>45181</v>
      </c>
      <c r="D799" s="25">
        <v>45187</v>
      </c>
      <c r="E799" t="s">
        <v>14</v>
      </c>
      <c r="F799">
        <v>41943</v>
      </c>
      <c r="G799">
        <v>1636</v>
      </c>
      <c r="H799">
        <v>2873.3</v>
      </c>
      <c r="I799">
        <v>229</v>
      </c>
      <c r="J799">
        <v>1</v>
      </c>
      <c r="L799" t="s">
        <v>16</v>
      </c>
    </row>
    <row r="800" spans="1:12">
      <c r="A800" t="s">
        <v>1665</v>
      </c>
      <c r="B800" t="s">
        <v>1666</v>
      </c>
      <c r="C800" s="27">
        <v>45167</v>
      </c>
      <c r="D800" s="25">
        <v>45194</v>
      </c>
      <c r="E800" t="s">
        <v>41</v>
      </c>
      <c r="F800">
        <v>48926</v>
      </c>
      <c r="G800">
        <v>1121</v>
      </c>
      <c r="H800">
        <v>1593.76</v>
      </c>
      <c r="I800">
        <v>178</v>
      </c>
      <c r="J800">
        <v>1</v>
      </c>
      <c r="L800" t="s">
        <v>42</v>
      </c>
    </row>
    <row r="801" spans="1:12">
      <c r="A801" t="s">
        <v>1667</v>
      </c>
      <c r="B801" t="s">
        <v>1668</v>
      </c>
      <c r="C801" s="27">
        <v>45031</v>
      </c>
      <c r="D801" s="25">
        <v>45056</v>
      </c>
      <c r="E801" t="s">
        <v>23</v>
      </c>
      <c r="F801">
        <v>30189</v>
      </c>
      <c r="G801">
        <v>1505</v>
      </c>
      <c r="H801">
        <v>2064.55</v>
      </c>
      <c r="I801">
        <v>101</v>
      </c>
      <c r="J801" t="b">
        <v>1</v>
      </c>
      <c r="L801" t="s">
        <v>25</v>
      </c>
    </row>
    <row r="802" spans="1:12">
      <c r="A802" t="s">
        <v>1669</v>
      </c>
      <c r="B802" t="s">
        <v>1670</v>
      </c>
      <c r="C802" s="27">
        <v>45215</v>
      </c>
      <c r="D802" s="25">
        <v>45237</v>
      </c>
      <c r="E802" t="s">
        <v>19</v>
      </c>
      <c r="F802">
        <v>13763</v>
      </c>
      <c r="G802">
        <v>677</v>
      </c>
      <c r="H802">
        <v>596.07</v>
      </c>
      <c r="I802">
        <v>93</v>
      </c>
      <c r="J802" t="s">
        <v>30</v>
      </c>
      <c r="L802" t="s">
        <v>20</v>
      </c>
    </row>
    <row r="803" spans="1:12">
      <c r="A803" t="s">
        <v>1671</v>
      </c>
      <c r="B803" t="s">
        <v>1672</v>
      </c>
      <c r="C803" s="27">
        <v>44935</v>
      </c>
      <c r="D803" s="25">
        <v>44938</v>
      </c>
      <c r="E803" t="s">
        <v>23</v>
      </c>
      <c r="F803">
        <v>19384</v>
      </c>
      <c r="G803">
        <v>702</v>
      </c>
      <c r="H803">
        <v>1147.42</v>
      </c>
      <c r="I803">
        <v>105</v>
      </c>
      <c r="J803" t="s">
        <v>30</v>
      </c>
      <c r="L803" t="s">
        <v>25</v>
      </c>
    </row>
    <row r="804" spans="1:12">
      <c r="A804" t="s">
        <v>1673</v>
      </c>
      <c r="B804" t="s">
        <v>1674</v>
      </c>
      <c r="C804" s="27">
        <v>45223</v>
      </c>
      <c r="D804" s="25">
        <v>45218</v>
      </c>
      <c r="E804" t="s">
        <v>14</v>
      </c>
      <c r="F804">
        <v>61100</v>
      </c>
      <c r="G804">
        <v>928</v>
      </c>
      <c r="H804">
        <v>577.68</v>
      </c>
      <c r="I804">
        <v>74</v>
      </c>
      <c r="J804">
        <v>1</v>
      </c>
      <c r="L804" t="s">
        <v>16</v>
      </c>
    </row>
    <row r="805" spans="1:12">
      <c r="A805" t="s">
        <v>1675</v>
      </c>
      <c r="B805" t="s">
        <v>1676</v>
      </c>
      <c r="C805" s="27">
        <v>45027</v>
      </c>
      <c r="D805" s="25">
        <v>45022</v>
      </c>
      <c r="E805" t="s">
        <v>14</v>
      </c>
      <c r="F805">
        <v>99142</v>
      </c>
      <c r="G805">
        <v>3715</v>
      </c>
      <c r="H805">
        <v>7008.09</v>
      </c>
      <c r="I805">
        <v>676</v>
      </c>
      <c r="J805" t="s">
        <v>15</v>
      </c>
      <c r="L805" t="s">
        <v>68</v>
      </c>
    </row>
    <row r="806" spans="1:12">
      <c r="A806" t="s">
        <v>1677</v>
      </c>
      <c r="B806" t="s">
        <v>1678</v>
      </c>
      <c r="C806" s="27">
        <v>45052</v>
      </c>
      <c r="D806" s="25">
        <v>45047</v>
      </c>
      <c r="E806" t="s">
        <v>138</v>
      </c>
      <c r="F806">
        <v>10860</v>
      </c>
      <c r="G806">
        <v>149</v>
      </c>
      <c r="H806">
        <v>147.32</v>
      </c>
      <c r="I806">
        <v>11</v>
      </c>
      <c r="J806" t="b">
        <v>1</v>
      </c>
      <c r="L806" t="s">
        <v>139</v>
      </c>
    </row>
    <row r="807" spans="1:12">
      <c r="A807" t="s">
        <v>1679</v>
      </c>
      <c r="B807" t="s">
        <v>1680</v>
      </c>
      <c r="C807" s="27">
        <v>45277</v>
      </c>
      <c r="D807" s="25">
        <v>45281</v>
      </c>
      <c r="E807" t="s">
        <v>14</v>
      </c>
      <c r="F807">
        <v>81642</v>
      </c>
      <c r="G807">
        <v>912</v>
      </c>
      <c r="H807">
        <v>630.8</v>
      </c>
      <c r="I807">
        <v>88</v>
      </c>
      <c r="J807" t="s">
        <v>15</v>
      </c>
      <c r="L807" t="s">
        <v>68</v>
      </c>
    </row>
    <row r="808" spans="1:12">
      <c r="A808" t="s">
        <v>1681</v>
      </c>
      <c r="B808" t="s">
        <v>1682</v>
      </c>
      <c r="C808" s="27">
        <v>45177</v>
      </c>
      <c r="D808" s="25">
        <v>45191</v>
      </c>
      <c r="E808" t="s">
        <v>23</v>
      </c>
      <c r="F808">
        <v>51612</v>
      </c>
      <c r="G808">
        <v>2215</v>
      </c>
      <c r="H808">
        <v>2577.26</v>
      </c>
      <c r="I808">
        <v>316</v>
      </c>
      <c r="J808" t="b">
        <v>0</v>
      </c>
      <c r="K808">
        <v>51694</v>
      </c>
      <c r="L808" t="s">
        <v>68</v>
      </c>
    </row>
    <row r="809" spans="1:12">
      <c r="A809" t="s">
        <v>1683</v>
      </c>
      <c r="B809" t="s">
        <v>1684</v>
      </c>
      <c r="C809" s="27">
        <v>45178</v>
      </c>
      <c r="D809" s="25">
        <v>45190</v>
      </c>
      <c r="E809" t="s">
        <v>14</v>
      </c>
      <c r="F809">
        <v>24574</v>
      </c>
      <c r="G809">
        <v>451</v>
      </c>
      <c r="H809">
        <v>254.23</v>
      </c>
      <c r="I809">
        <v>65</v>
      </c>
      <c r="J809" t="s">
        <v>30</v>
      </c>
      <c r="L809" t="s">
        <v>16</v>
      </c>
    </row>
    <row r="810" spans="1:12">
      <c r="A810" t="s">
        <v>1685</v>
      </c>
      <c r="B810" t="s">
        <v>1686</v>
      </c>
      <c r="C810" s="27">
        <v>45107</v>
      </c>
      <c r="D810" s="25">
        <v>45129</v>
      </c>
      <c r="E810" t="s">
        <v>23</v>
      </c>
      <c r="F810">
        <v>24524</v>
      </c>
      <c r="G810">
        <v>617</v>
      </c>
      <c r="H810">
        <v>942.12</v>
      </c>
      <c r="I810">
        <v>95</v>
      </c>
      <c r="J810" t="s">
        <v>30</v>
      </c>
      <c r="L810" t="s">
        <v>25</v>
      </c>
    </row>
    <row r="811" spans="1:12">
      <c r="A811" t="s">
        <v>1687</v>
      </c>
      <c r="B811" t="s">
        <v>1688</v>
      </c>
      <c r="C811" s="27">
        <v>45177</v>
      </c>
      <c r="D811" s="25">
        <v>45190</v>
      </c>
      <c r="E811" t="s">
        <v>138</v>
      </c>
      <c r="F811">
        <v>70172</v>
      </c>
      <c r="G811">
        <v>3434</v>
      </c>
      <c r="H811">
        <v>6366.84</v>
      </c>
      <c r="I811">
        <v>229</v>
      </c>
      <c r="J811" t="s">
        <v>15</v>
      </c>
      <c r="L811" t="s">
        <v>139</v>
      </c>
    </row>
    <row r="812" spans="1:12">
      <c r="A812" t="s">
        <v>1689</v>
      </c>
      <c r="B812" t="s">
        <v>1690</v>
      </c>
      <c r="C812" s="27">
        <v>45255</v>
      </c>
      <c r="D812" s="25">
        <v>45256</v>
      </c>
      <c r="E812" t="s">
        <v>33</v>
      </c>
      <c r="F812">
        <v>11916</v>
      </c>
      <c r="G812">
        <v>279</v>
      </c>
      <c r="H812">
        <v>489.89</v>
      </c>
      <c r="J812" t="b">
        <v>1</v>
      </c>
      <c r="L812" t="s">
        <v>68</v>
      </c>
    </row>
    <row r="813" spans="1:12">
      <c r="A813" t="s">
        <v>1691</v>
      </c>
      <c r="B813" t="s">
        <v>1692</v>
      </c>
      <c r="C813" s="27">
        <v>44965</v>
      </c>
      <c r="D813" s="25">
        <v>44988</v>
      </c>
      <c r="E813" t="s">
        <v>23</v>
      </c>
      <c r="F813">
        <v>5809</v>
      </c>
      <c r="G813">
        <v>126</v>
      </c>
      <c r="H813">
        <v>87.07</v>
      </c>
      <c r="I813">
        <v>16</v>
      </c>
      <c r="J813" t="s">
        <v>30</v>
      </c>
      <c r="L813" t="s">
        <v>25</v>
      </c>
    </row>
    <row r="814" spans="1:12">
      <c r="A814" t="s">
        <v>1693</v>
      </c>
      <c r="B814" t="s">
        <v>1694</v>
      </c>
      <c r="C814" s="27">
        <v>44930</v>
      </c>
      <c r="D814" s="25">
        <v>44950</v>
      </c>
      <c r="E814" t="s">
        <v>23</v>
      </c>
      <c r="F814">
        <v>33201</v>
      </c>
      <c r="G814">
        <v>1551</v>
      </c>
      <c r="H814">
        <v>1069.27</v>
      </c>
      <c r="I814">
        <v>187</v>
      </c>
      <c r="J814" t="s">
        <v>15</v>
      </c>
      <c r="L814" t="s">
        <v>25</v>
      </c>
    </row>
    <row r="815" spans="1:12">
      <c r="A815" t="s">
        <v>1695</v>
      </c>
      <c r="B815" t="s">
        <v>1696</v>
      </c>
      <c r="C815" t="s">
        <v>1697</v>
      </c>
      <c r="D815" s="25">
        <v>45055</v>
      </c>
      <c r="E815" t="s">
        <v>14</v>
      </c>
      <c r="F815">
        <v>54330</v>
      </c>
      <c r="G815">
        <v>783</v>
      </c>
      <c r="H815">
        <v>1346.88</v>
      </c>
      <c r="I815">
        <v>154</v>
      </c>
      <c r="J815">
        <v>0</v>
      </c>
      <c r="L815" t="s">
        <v>16</v>
      </c>
    </row>
    <row r="816" spans="1:12">
      <c r="A816" t="s">
        <v>1698</v>
      </c>
      <c r="B816" t="s">
        <v>1699</v>
      </c>
      <c r="C816" t="s">
        <v>1700</v>
      </c>
      <c r="D816" s="25">
        <v>45015</v>
      </c>
      <c r="E816" t="s">
        <v>14</v>
      </c>
      <c r="F816">
        <v>14456</v>
      </c>
      <c r="G816">
        <v>583</v>
      </c>
      <c r="H816">
        <v>1099.76</v>
      </c>
      <c r="I816">
        <v>93</v>
      </c>
      <c r="J816">
        <v>0</v>
      </c>
      <c r="L816" t="s">
        <v>16</v>
      </c>
    </row>
    <row r="817" spans="1:12">
      <c r="A817" t="s">
        <v>1701</v>
      </c>
      <c r="B817" t="s">
        <v>1702</v>
      </c>
      <c r="C817" s="25">
        <v>45185</v>
      </c>
      <c r="D817" s="25">
        <v>45198</v>
      </c>
      <c r="E817" t="s">
        <v>33</v>
      </c>
      <c r="F817">
        <v>57397</v>
      </c>
      <c r="G817">
        <v>2842</v>
      </c>
      <c r="H817">
        <v>3384.84</v>
      </c>
      <c r="I817">
        <v>192</v>
      </c>
      <c r="J817" t="s">
        <v>24</v>
      </c>
      <c r="L817" t="s">
        <v>34</v>
      </c>
    </row>
    <row r="818" spans="1:12">
      <c r="A818" t="s">
        <v>1703</v>
      </c>
      <c r="B818" t="s">
        <v>1704</v>
      </c>
      <c r="C818" s="27">
        <v>45253</v>
      </c>
      <c r="D818" s="25">
        <v>45265</v>
      </c>
      <c r="E818" t="s">
        <v>41</v>
      </c>
      <c r="F818">
        <v>39765</v>
      </c>
      <c r="G818">
        <v>1831</v>
      </c>
      <c r="H818">
        <v>2285.92</v>
      </c>
      <c r="I818">
        <v>299</v>
      </c>
      <c r="J818" t="b">
        <v>1</v>
      </c>
      <c r="L818" t="s">
        <v>42</v>
      </c>
    </row>
    <row r="819" spans="1:12">
      <c r="A819" t="s">
        <v>1705</v>
      </c>
      <c r="B819" t="s">
        <v>1706</v>
      </c>
      <c r="C819" s="25">
        <v>45174</v>
      </c>
      <c r="D819" s="25">
        <v>45062</v>
      </c>
      <c r="E819" t="s">
        <v>23</v>
      </c>
      <c r="F819">
        <v>35816</v>
      </c>
      <c r="G819">
        <v>1291</v>
      </c>
      <c r="H819">
        <v>-1261.81</v>
      </c>
      <c r="I819">
        <v>82</v>
      </c>
      <c r="J819" t="s">
        <v>15</v>
      </c>
      <c r="K819">
        <v>35860</v>
      </c>
      <c r="L819" t="s">
        <v>25</v>
      </c>
    </row>
    <row r="820" spans="1:12">
      <c r="A820" t="s">
        <v>1707</v>
      </c>
      <c r="B820" t="s">
        <v>1708</v>
      </c>
      <c r="C820" s="25">
        <v>45199</v>
      </c>
      <c r="D820" s="25">
        <v>45209</v>
      </c>
      <c r="E820" t="s">
        <v>58</v>
      </c>
      <c r="F820">
        <v>46106</v>
      </c>
      <c r="G820">
        <v>1040</v>
      </c>
      <c r="H820">
        <v>1915.05</v>
      </c>
      <c r="I820">
        <v>56</v>
      </c>
      <c r="J820" t="s">
        <v>24</v>
      </c>
      <c r="L820" t="s">
        <v>59</v>
      </c>
    </row>
    <row r="821" spans="1:12">
      <c r="A821" t="s">
        <v>1709</v>
      </c>
      <c r="B821" t="s">
        <v>1710</v>
      </c>
      <c r="C821" s="27">
        <v>45198</v>
      </c>
      <c r="D821" s="25">
        <v>45212</v>
      </c>
      <c r="E821" t="s">
        <v>19</v>
      </c>
      <c r="F821">
        <v>54932</v>
      </c>
      <c r="G821">
        <v>1108</v>
      </c>
      <c r="H821">
        <v>1625.83</v>
      </c>
      <c r="I821">
        <v>122</v>
      </c>
      <c r="J821">
        <v>0</v>
      </c>
      <c r="L821" t="s">
        <v>20</v>
      </c>
    </row>
    <row r="822" spans="1:12">
      <c r="A822" t="s">
        <v>1711</v>
      </c>
      <c r="B822" t="s">
        <v>1712</v>
      </c>
      <c r="C822" t="s">
        <v>1713</v>
      </c>
      <c r="D822" s="25">
        <v>45093</v>
      </c>
      <c r="E822" t="s">
        <v>23</v>
      </c>
      <c r="F822">
        <v>18100</v>
      </c>
      <c r="G822">
        <v>774</v>
      </c>
      <c r="H822">
        <v>721.66</v>
      </c>
      <c r="I822">
        <v>154</v>
      </c>
      <c r="J822" t="b">
        <v>1</v>
      </c>
      <c r="L822" t="s">
        <v>25</v>
      </c>
    </row>
    <row r="823" spans="1:12">
      <c r="A823" t="s">
        <v>1714</v>
      </c>
      <c r="B823" t="s">
        <v>1715</v>
      </c>
      <c r="C823" s="27">
        <v>45284</v>
      </c>
      <c r="D823" s="25">
        <v>45303</v>
      </c>
      <c r="E823" t="s">
        <v>14</v>
      </c>
      <c r="F823">
        <v>58091</v>
      </c>
      <c r="G823">
        <v>2625</v>
      </c>
      <c r="H823">
        <v>2488.96</v>
      </c>
      <c r="I823">
        <v>200</v>
      </c>
      <c r="J823" t="s">
        <v>24</v>
      </c>
      <c r="L823" t="s">
        <v>16</v>
      </c>
    </row>
    <row r="824" spans="1:12">
      <c r="A824" t="s">
        <v>1716</v>
      </c>
      <c r="B824" t="s">
        <v>1717</v>
      </c>
      <c r="C824" s="25">
        <v>45018</v>
      </c>
      <c r="D824" s="25">
        <v>44991</v>
      </c>
      <c r="E824" t="s">
        <v>14</v>
      </c>
      <c r="F824">
        <v>22949</v>
      </c>
      <c r="G824">
        <v>711</v>
      </c>
      <c r="H824">
        <v>1305.96</v>
      </c>
      <c r="I824">
        <v>107</v>
      </c>
      <c r="J824">
        <v>1</v>
      </c>
      <c r="L824" t="s">
        <v>16</v>
      </c>
    </row>
    <row r="825" spans="1:12">
      <c r="A825" t="s">
        <v>1718</v>
      </c>
      <c r="B825" t="s">
        <v>1719</v>
      </c>
      <c r="C825" s="27">
        <v>45003</v>
      </c>
      <c r="D825" s="25">
        <v>45019</v>
      </c>
      <c r="E825" t="s">
        <v>23</v>
      </c>
      <c r="F825">
        <v>71080</v>
      </c>
      <c r="G825">
        <v>1405</v>
      </c>
      <c r="H825">
        <v>731.23</v>
      </c>
      <c r="I825">
        <v>106</v>
      </c>
      <c r="J825" t="b">
        <v>1</v>
      </c>
      <c r="L825" t="s">
        <v>25</v>
      </c>
    </row>
    <row r="826" spans="1:12">
      <c r="A826" t="s">
        <v>1720</v>
      </c>
      <c r="B826" t="s">
        <v>1721</v>
      </c>
      <c r="C826" s="27">
        <v>45056</v>
      </c>
      <c r="D826" s="25">
        <v>45077</v>
      </c>
      <c r="E826" t="s">
        <v>41</v>
      </c>
      <c r="F826">
        <v>38744</v>
      </c>
      <c r="G826">
        <v>562</v>
      </c>
      <c r="H826">
        <v>553.06</v>
      </c>
      <c r="I826">
        <v>89</v>
      </c>
      <c r="J826" t="b">
        <v>0</v>
      </c>
      <c r="L826" t="s">
        <v>42</v>
      </c>
    </row>
    <row r="827" spans="1:12">
      <c r="A827" t="s">
        <v>1722</v>
      </c>
      <c r="B827" t="s">
        <v>1723</v>
      </c>
      <c r="C827" t="s">
        <v>1724</v>
      </c>
      <c r="D827" s="25">
        <v>45150</v>
      </c>
      <c r="E827" t="s">
        <v>19</v>
      </c>
      <c r="F827">
        <v>46543</v>
      </c>
      <c r="G827">
        <v>627</v>
      </c>
      <c r="H827">
        <v>834.87</v>
      </c>
      <c r="I827">
        <v>78</v>
      </c>
      <c r="J827">
        <v>1</v>
      </c>
      <c r="L827" t="s">
        <v>20</v>
      </c>
    </row>
    <row r="828" spans="1:12">
      <c r="A828" t="s">
        <v>1725</v>
      </c>
      <c r="B828" t="s">
        <v>1726</v>
      </c>
      <c r="C828" s="27">
        <v>45134</v>
      </c>
      <c r="D828" s="25">
        <v>45153</v>
      </c>
      <c r="E828" t="s">
        <v>19</v>
      </c>
      <c r="F828">
        <v>93193</v>
      </c>
      <c r="G828">
        <v>3612</v>
      </c>
      <c r="H828" s="26">
        <v>2609.04</v>
      </c>
      <c r="I828">
        <v>549</v>
      </c>
      <c r="J828" t="s">
        <v>24</v>
      </c>
      <c r="L828" t="s">
        <v>20</v>
      </c>
    </row>
    <row r="829" spans="1:12">
      <c r="A829" t="s">
        <v>1727</v>
      </c>
      <c r="B829" t="s">
        <v>1728</v>
      </c>
      <c r="C829" s="27">
        <v>45283</v>
      </c>
      <c r="D829" s="25">
        <v>45285</v>
      </c>
      <c r="E829" t="s">
        <v>14</v>
      </c>
      <c r="F829">
        <v>37187</v>
      </c>
      <c r="G829">
        <v>996</v>
      </c>
      <c r="H829">
        <v>635.6</v>
      </c>
      <c r="I829">
        <v>80</v>
      </c>
      <c r="J829" t="s">
        <v>15</v>
      </c>
      <c r="L829" t="s">
        <v>16</v>
      </c>
    </row>
    <row r="830" spans="1:12">
      <c r="A830" t="s">
        <v>1729</v>
      </c>
      <c r="B830" t="s">
        <v>1730</v>
      </c>
      <c r="C830" s="27">
        <v>44968</v>
      </c>
      <c r="D830" s="25">
        <v>44990</v>
      </c>
      <c r="E830" t="s">
        <v>33</v>
      </c>
      <c r="F830">
        <v>8239</v>
      </c>
      <c r="G830">
        <v>380</v>
      </c>
      <c r="H830">
        <v>654.71</v>
      </c>
      <c r="I830">
        <v>61</v>
      </c>
      <c r="J830">
        <v>1</v>
      </c>
      <c r="L830" t="s">
        <v>68</v>
      </c>
    </row>
    <row r="831" spans="1:12">
      <c r="A831" t="s">
        <v>1731</v>
      </c>
      <c r="B831" t="s">
        <v>1732</v>
      </c>
      <c r="C831" t="s">
        <v>1733</v>
      </c>
      <c r="D831" s="25">
        <v>44959</v>
      </c>
      <c r="E831" t="s">
        <v>19</v>
      </c>
      <c r="F831">
        <v>15489</v>
      </c>
      <c r="G831">
        <v>613</v>
      </c>
      <c r="H831">
        <v>1128.9</v>
      </c>
      <c r="J831">
        <v>1</v>
      </c>
      <c r="L831" t="s">
        <v>20</v>
      </c>
    </row>
    <row r="832" spans="1:12">
      <c r="A832" t="s">
        <v>1734</v>
      </c>
      <c r="B832" t="s">
        <v>1735</v>
      </c>
      <c r="C832" s="27">
        <v>45121</v>
      </c>
      <c r="D832" s="25">
        <v>45123</v>
      </c>
      <c r="E832" t="s">
        <v>41</v>
      </c>
      <c r="F832">
        <v>59017</v>
      </c>
      <c r="G832">
        <v>1041</v>
      </c>
      <c r="H832">
        <v>1806.56</v>
      </c>
      <c r="I832">
        <v>155</v>
      </c>
      <c r="J832" t="s">
        <v>24</v>
      </c>
      <c r="L832" t="s">
        <v>42</v>
      </c>
    </row>
    <row r="833" spans="1:12">
      <c r="A833" t="s">
        <v>1736</v>
      </c>
      <c r="B833" t="s">
        <v>1737</v>
      </c>
      <c r="C833" t="s">
        <v>1738</v>
      </c>
      <c r="D833" s="25">
        <v>45269</v>
      </c>
      <c r="E833" t="s">
        <v>14</v>
      </c>
      <c r="F833">
        <v>62877</v>
      </c>
      <c r="G833">
        <v>2172</v>
      </c>
      <c r="H833">
        <v>4014.25</v>
      </c>
      <c r="I833">
        <v>269</v>
      </c>
      <c r="J833" t="s">
        <v>15</v>
      </c>
      <c r="L833" t="s">
        <v>16</v>
      </c>
    </row>
    <row r="834" spans="1:12">
      <c r="A834" t="s">
        <v>1739</v>
      </c>
      <c r="B834" t="s">
        <v>1740</v>
      </c>
      <c r="C834" t="s">
        <v>1741</v>
      </c>
      <c r="D834" s="25">
        <v>45025</v>
      </c>
      <c r="E834" t="s">
        <v>14</v>
      </c>
      <c r="F834">
        <v>44125</v>
      </c>
      <c r="G834">
        <v>1209</v>
      </c>
      <c r="H834">
        <v>1607.57</v>
      </c>
      <c r="I834">
        <v>227</v>
      </c>
      <c r="J834" t="s">
        <v>15</v>
      </c>
      <c r="L834" t="s">
        <v>16</v>
      </c>
    </row>
    <row r="835" spans="1:12">
      <c r="A835" t="s">
        <v>1742</v>
      </c>
      <c r="B835" t="s">
        <v>1743</v>
      </c>
      <c r="C835" s="27">
        <v>45149</v>
      </c>
      <c r="D835" s="25">
        <v>45161</v>
      </c>
      <c r="E835" t="s">
        <v>41</v>
      </c>
      <c r="F835">
        <v>50922</v>
      </c>
      <c r="G835">
        <v>1685</v>
      </c>
      <c r="H835">
        <v>2895.48</v>
      </c>
      <c r="I835">
        <v>88</v>
      </c>
      <c r="J835">
        <v>0</v>
      </c>
      <c r="L835" t="s">
        <v>42</v>
      </c>
    </row>
    <row r="836" spans="1:12">
      <c r="A836" t="s">
        <v>1744</v>
      </c>
      <c r="B836" t="s">
        <v>1745</v>
      </c>
      <c r="C836" s="27">
        <v>44975</v>
      </c>
      <c r="D836" s="25">
        <v>44976</v>
      </c>
      <c r="E836" t="s">
        <v>33</v>
      </c>
      <c r="F836">
        <v>95074</v>
      </c>
      <c r="G836">
        <v>3757</v>
      </c>
      <c r="H836">
        <v>4042.77</v>
      </c>
      <c r="I836">
        <v>599</v>
      </c>
      <c r="J836" t="b">
        <v>0</v>
      </c>
      <c r="L836" t="s">
        <v>34</v>
      </c>
    </row>
    <row r="837" spans="1:12">
      <c r="A837" t="s">
        <v>1746</v>
      </c>
      <c r="B837" t="s">
        <v>1747</v>
      </c>
      <c r="C837" s="27">
        <v>45044</v>
      </c>
      <c r="D837" s="25">
        <v>45053</v>
      </c>
      <c r="E837" t="s">
        <v>19</v>
      </c>
      <c r="F837">
        <v>33049</v>
      </c>
      <c r="G837">
        <v>1396</v>
      </c>
      <c r="H837" s="26">
        <v>2093.16</v>
      </c>
      <c r="I837">
        <v>255</v>
      </c>
      <c r="J837" t="s">
        <v>15</v>
      </c>
      <c r="L837" t="s">
        <v>20</v>
      </c>
    </row>
    <row r="838" spans="1:12">
      <c r="A838" t="s">
        <v>1748</v>
      </c>
      <c r="B838" t="s">
        <v>1749</v>
      </c>
      <c r="C838" s="25">
        <v>45217</v>
      </c>
      <c r="D838" s="25">
        <v>45240</v>
      </c>
      <c r="E838" t="s">
        <v>23</v>
      </c>
      <c r="F838">
        <v>38131</v>
      </c>
      <c r="G838">
        <v>1668</v>
      </c>
      <c r="H838">
        <v>3308.07</v>
      </c>
      <c r="J838" t="s">
        <v>30</v>
      </c>
      <c r="L838" t="s">
        <v>25</v>
      </c>
    </row>
    <row r="839" spans="1:12">
      <c r="A839" t="s">
        <v>1750</v>
      </c>
      <c r="B839" t="s">
        <v>1751</v>
      </c>
      <c r="C839" s="27">
        <v>44965</v>
      </c>
      <c r="D839" s="25">
        <v>44981</v>
      </c>
      <c r="E839" t="s">
        <v>19</v>
      </c>
      <c r="F839">
        <v>43944</v>
      </c>
      <c r="G839">
        <v>885</v>
      </c>
      <c r="H839">
        <v>742.15</v>
      </c>
      <c r="I839">
        <v>103</v>
      </c>
      <c r="J839" t="s">
        <v>30</v>
      </c>
      <c r="L839" t="s">
        <v>20</v>
      </c>
    </row>
    <row r="840" spans="1:12">
      <c r="A840" t="s">
        <v>1752</v>
      </c>
      <c r="B840" t="s">
        <v>1753</v>
      </c>
      <c r="C840" s="25">
        <v>45205</v>
      </c>
      <c r="D840" s="25">
        <v>45115</v>
      </c>
      <c r="E840" t="s">
        <v>266</v>
      </c>
      <c r="F840">
        <v>74963</v>
      </c>
      <c r="G840">
        <v>842</v>
      </c>
      <c r="H840" s="26">
        <v>913.44</v>
      </c>
      <c r="I840">
        <v>67</v>
      </c>
      <c r="J840" t="b">
        <v>0</v>
      </c>
      <c r="L840" t="s">
        <v>20</v>
      </c>
    </row>
    <row r="841" spans="1:12">
      <c r="A841" t="s">
        <v>1754</v>
      </c>
      <c r="B841" t="s">
        <v>1755</v>
      </c>
      <c r="C841" s="25">
        <v>45236</v>
      </c>
      <c r="D841" s="25">
        <v>45114</v>
      </c>
      <c r="E841" t="s">
        <v>266</v>
      </c>
      <c r="F841">
        <v>25285</v>
      </c>
      <c r="G841">
        <v>1000</v>
      </c>
      <c r="H841">
        <v>1220.07</v>
      </c>
      <c r="J841" t="b">
        <v>1</v>
      </c>
      <c r="L841" t="s">
        <v>20</v>
      </c>
    </row>
    <row r="842" spans="1:12">
      <c r="A842" t="s">
        <v>1756</v>
      </c>
      <c r="B842" t="s">
        <v>1757</v>
      </c>
      <c r="C842" s="27">
        <v>45033</v>
      </c>
      <c r="D842" s="25">
        <v>45046</v>
      </c>
      <c r="E842" t="s">
        <v>14</v>
      </c>
      <c r="F842">
        <v>38626</v>
      </c>
      <c r="G842">
        <v>550</v>
      </c>
      <c r="H842">
        <v>388.86</v>
      </c>
      <c r="I842">
        <v>81</v>
      </c>
      <c r="J842" t="s">
        <v>24</v>
      </c>
      <c r="L842" t="s">
        <v>16</v>
      </c>
    </row>
    <row r="843" spans="1:12">
      <c r="A843" t="s">
        <v>1758</v>
      </c>
      <c r="B843" t="s">
        <v>1759</v>
      </c>
      <c r="C843" s="27">
        <v>45291</v>
      </c>
      <c r="D843" s="25">
        <v>45316</v>
      </c>
      <c r="E843" t="s">
        <v>14</v>
      </c>
      <c r="F843">
        <v>43808</v>
      </c>
      <c r="G843">
        <v>989</v>
      </c>
      <c r="H843" s="26">
        <v>614.72</v>
      </c>
      <c r="I843">
        <v>94</v>
      </c>
      <c r="J843" t="b">
        <v>1</v>
      </c>
      <c r="L843" t="s">
        <v>16</v>
      </c>
    </row>
    <row r="844" spans="1:12">
      <c r="A844" t="s">
        <v>1760</v>
      </c>
      <c r="B844" t="s">
        <v>1761</v>
      </c>
      <c r="C844" s="27">
        <v>45080</v>
      </c>
      <c r="D844" s="25">
        <v>45098</v>
      </c>
      <c r="E844" t="s">
        <v>23</v>
      </c>
      <c r="F844">
        <v>89464</v>
      </c>
      <c r="G844">
        <v>908</v>
      </c>
      <c r="H844">
        <v>1584.08</v>
      </c>
      <c r="I844">
        <v>108</v>
      </c>
      <c r="J844" t="s">
        <v>30</v>
      </c>
      <c r="L844" t="s">
        <v>25</v>
      </c>
    </row>
    <row r="845" spans="1:12">
      <c r="A845" t="s">
        <v>1762</v>
      </c>
      <c r="B845" t="s">
        <v>1763</v>
      </c>
      <c r="C845" s="27">
        <v>45126</v>
      </c>
      <c r="D845" s="25">
        <v>45151</v>
      </c>
      <c r="E845" t="s">
        <v>41</v>
      </c>
      <c r="F845">
        <v>54871</v>
      </c>
      <c r="G845">
        <v>2044</v>
      </c>
      <c r="H845">
        <v>4016.85</v>
      </c>
      <c r="J845" t="s">
        <v>15</v>
      </c>
      <c r="L845" t="s">
        <v>42</v>
      </c>
    </row>
    <row r="846" spans="1:12">
      <c r="A846" t="s">
        <v>1764</v>
      </c>
      <c r="B846" t="s">
        <v>1765</v>
      </c>
      <c r="C846" s="27">
        <v>45123</v>
      </c>
      <c r="D846" s="25">
        <v>45127</v>
      </c>
      <c r="E846" t="s">
        <v>23</v>
      </c>
      <c r="F846">
        <v>20198</v>
      </c>
      <c r="G846">
        <v>337</v>
      </c>
      <c r="H846">
        <v>373.09</v>
      </c>
      <c r="I846">
        <v>35</v>
      </c>
      <c r="J846" t="b">
        <v>0</v>
      </c>
      <c r="L846" t="s">
        <v>25</v>
      </c>
    </row>
    <row r="847" spans="1:12">
      <c r="A847" t="s">
        <v>1766</v>
      </c>
      <c r="B847" t="s">
        <v>1767</v>
      </c>
      <c r="C847" s="27">
        <v>45279</v>
      </c>
      <c r="D847" s="25">
        <v>45293</v>
      </c>
      <c r="E847" t="s">
        <v>14</v>
      </c>
      <c r="F847">
        <v>20758</v>
      </c>
      <c r="G847">
        <v>751</v>
      </c>
      <c r="H847">
        <v>474.24</v>
      </c>
      <c r="I847">
        <v>55</v>
      </c>
      <c r="J847" t="b">
        <v>1</v>
      </c>
      <c r="L847" t="s">
        <v>16</v>
      </c>
    </row>
    <row r="848" spans="1:12">
      <c r="A848" t="s">
        <v>1768</v>
      </c>
      <c r="B848" t="s">
        <v>1769</v>
      </c>
      <c r="C848" t="s">
        <v>1770</v>
      </c>
      <c r="D848" s="25">
        <v>45127</v>
      </c>
      <c r="E848" t="s">
        <v>19</v>
      </c>
      <c r="F848">
        <v>16254</v>
      </c>
      <c r="G848">
        <v>807</v>
      </c>
      <c r="H848">
        <v>483.17</v>
      </c>
      <c r="I848">
        <v>147</v>
      </c>
      <c r="J848" t="b">
        <v>1</v>
      </c>
      <c r="L848" t="s">
        <v>20</v>
      </c>
    </row>
    <row r="849" spans="1:12">
      <c r="A849" t="s">
        <v>1771</v>
      </c>
      <c r="B849" t="s">
        <v>1772</v>
      </c>
      <c r="C849" s="25">
        <v>45150</v>
      </c>
      <c r="D849" s="25">
        <v>45287</v>
      </c>
      <c r="E849" t="s">
        <v>19</v>
      </c>
      <c r="F849">
        <v>45238</v>
      </c>
      <c r="G849">
        <v>583</v>
      </c>
      <c r="H849">
        <v>1070.96</v>
      </c>
      <c r="I849">
        <v>30</v>
      </c>
      <c r="J849" t="s">
        <v>24</v>
      </c>
      <c r="L849" t="s">
        <v>20</v>
      </c>
    </row>
    <row r="850" spans="1:12">
      <c r="A850" t="s">
        <v>1773</v>
      </c>
      <c r="B850" t="s">
        <v>1774</v>
      </c>
      <c r="C850" s="27">
        <v>45236</v>
      </c>
      <c r="D850" s="25">
        <v>45256</v>
      </c>
      <c r="E850" t="s">
        <v>19</v>
      </c>
      <c r="F850">
        <v>2252</v>
      </c>
      <c r="G850">
        <v>29</v>
      </c>
      <c r="H850">
        <v>34.68</v>
      </c>
      <c r="I850">
        <v>5</v>
      </c>
      <c r="J850">
        <v>1</v>
      </c>
      <c r="L850" t="s">
        <v>20</v>
      </c>
    </row>
    <row r="851" spans="1:12">
      <c r="A851" t="s">
        <v>1775</v>
      </c>
      <c r="B851" t="s">
        <v>1776</v>
      </c>
      <c r="C851" s="27">
        <v>45130</v>
      </c>
      <c r="D851" s="25">
        <v>45159</v>
      </c>
      <c r="E851" t="s">
        <v>33</v>
      </c>
      <c r="F851">
        <v>40764</v>
      </c>
      <c r="G851">
        <v>962</v>
      </c>
      <c r="H851">
        <v>942.8</v>
      </c>
      <c r="I851">
        <v>130</v>
      </c>
      <c r="J851" t="s">
        <v>30</v>
      </c>
      <c r="L851" t="s">
        <v>68</v>
      </c>
    </row>
    <row r="852" spans="1:12">
      <c r="A852" t="s">
        <v>1777</v>
      </c>
      <c r="B852" t="s">
        <v>1778</v>
      </c>
      <c r="C852" s="27">
        <v>45251</v>
      </c>
      <c r="D852" s="25">
        <v>45263</v>
      </c>
      <c r="E852" t="s">
        <v>33</v>
      </c>
      <c r="F852">
        <v>78709</v>
      </c>
      <c r="G852">
        <v>3514</v>
      </c>
      <c r="H852">
        <v>4268.43</v>
      </c>
      <c r="J852" t="s">
        <v>15</v>
      </c>
      <c r="L852" t="s">
        <v>34</v>
      </c>
    </row>
    <row r="853" spans="1:12">
      <c r="A853" t="s">
        <v>1779</v>
      </c>
      <c r="B853" t="s">
        <v>1780</v>
      </c>
      <c r="C853" s="27">
        <v>45178</v>
      </c>
      <c r="D853" s="25">
        <v>45200</v>
      </c>
      <c r="E853" t="s">
        <v>33</v>
      </c>
      <c r="F853">
        <v>38441</v>
      </c>
      <c r="G853">
        <v>715</v>
      </c>
      <c r="H853" s="26">
        <v>698.88</v>
      </c>
      <c r="I853">
        <v>113</v>
      </c>
      <c r="J853" t="b">
        <v>0</v>
      </c>
      <c r="L853" t="s">
        <v>34</v>
      </c>
    </row>
    <row r="854" spans="1:12">
      <c r="A854" t="s">
        <v>1781</v>
      </c>
      <c r="B854" t="s">
        <v>1782</v>
      </c>
      <c r="C854" s="27">
        <v>45119</v>
      </c>
      <c r="D854" s="25">
        <v>45135</v>
      </c>
      <c r="E854" t="s">
        <v>14</v>
      </c>
      <c r="F854">
        <v>93234</v>
      </c>
      <c r="G854">
        <v>2276</v>
      </c>
      <c r="H854">
        <v>2807.57</v>
      </c>
      <c r="I854">
        <v>287</v>
      </c>
      <c r="J854" t="b">
        <v>1</v>
      </c>
      <c r="L854" t="s">
        <v>16</v>
      </c>
    </row>
    <row r="855" spans="1:12">
      <c r="A855" t="s">
        <v>1783</v>
      </c>
      <c r="B855" t="s">
        <v>1784</v>
      </c>
      <c r="C855" s="27">
        <v>45265</v>
      </c>
      <c r="D855" s="25">
        <v>45266</v>
      </c>
      <c r="E855" t="s">
        <v>23</v>
      </c>
      <c r="F855">
        <v>54682</v>
      </c>
      <c r="G855">
        <v>696</v>
      </c>
      <c r="H855" s="26">
        <v>1245.38</v>
      </c>
      <c r="I855">
        <v>86</v>
      </c>
      <c r="J855" t="s">
        <v>24</v>
      </c>
      <c r="L855" t="s">
        <v>25</v>
      </c>
    </row>
    <row r="856" spans="1:12">
      <c r="A856" t="s">
        <v>1785</v>
      </c>
      <c r="B856" t="s">
        <v>1786</v>
      </c>
      <c r="C856" s="27">
        <v>45078</v>
      </c>
      <c r="D856" s="25">
        <v>45091</v>
      </c>
      <c r="E856" t="s">
        <v>41</v>
      </c>
      <c r="F856">
        <v>60494</v>
      </c>
      <c r="G856">
        <v>2451</v>
      </c>
      <c r="H856">
        <v>3403.1</v>
      </c>
      <c r="I856">
        <v>163</v>
      </c>
      <c r="J856">
        <v>1</v>
      </c>
      <c r="L856" t="s">
        <v>42</v>
      </c>
    </row>
    <row r="857" spans="1:12">
      <c r="A857" t="s">
        <v>1787</v>
      </c>
      <c r="B857" t="s">
        <v>1788</v>
      </c>
      <c r="C857" s="27">
        <v>44969</v>
      </c>
      <c r="D857" s="25">
        <v>44971</v>
      </c>
      <c r="E857" t="s">
        <v>33</v>
      </c>
      <c r="F857">
        <v>82317</v>
      </c>
      <c r="G857">
        <v>2167</v>
      </c>
      <c r="H857">
        <v>3341.47</v>
      </c>
      <c r="I857">
        <v>234</v>
      </c>
      <c r="J857" t="s">
        <v>30</v>
      </c>
      <c r="L857" t="s">
        <v>34</v>
      </c>
    </row>
    <row r="858" spans="1:12">
      <c r="A858" t="s">
        <v>1789</v>
      </c>
      <c r="B858" t="s">
        <v>1790</v>
      </c>
      <c r="C858" s="27">
        <v>45251</v>
      </c>
      <c r="D858" s="25">
        <v>45267</v>
      </c>
      <c r="E858" t="s">
        <v>19</v>
      </c>
      <c r="F858">
        <v>66215</v>
      </c>
      <c r="G858">
        <v>2673</v>
      </c>
      <c r="H858" s="26">
        <v>2798.65</v>
      </c>
      <c r="I858">
        <v>230</v>
      </c>
      <c r="J858" t="s">
        <v>30</v>
      </c>
      <c r="L858" t="s">
        <v>20</v>
      </c>
    </row>
    <row r="859" spans="1:12">
      <c r="A859" t="s">
        <v>1791</v>
      </c>
      <c r="B859" t="s">
        <v>1792</v>
      </c>
      <c r="C859" s="25">
        <v>45111</v>
      </c>
      <c r="D859" s="25">
        <v>45048</v>
      </c>
      <c r="E859" t="s">
        <v>33</v>
      </c>
      <c r="F859">
        <v>79587</v>
      </c>
      <c r="G859">
        <v>3672</v>
      </c>
      <c r="H859">
        <v>5903.69</v>
      </c>
      <c r="I859">
        <v>192</v>
      </c>
      <c r="J859" t="s">
        <v>24</v>
      </c>
      <c r="L859" t="s">
        <v>34</v>
      </c>
    </row>
    <row r="860" spans="1:12">
      <c r="A860" t="s">
        <v>1793</v>
      </c>
      <c r="B860" t="s">
        <v>1794</v>
      </c>
      <c r="C860" s="27">
        <v>45084</v>
      </c>
      <c r="D860" s="25">
        <v>45113</v>
      </c>
      <c r="E860" t="s">
        <v>14</v>
      </c>
      <c r="F860">
        <v>7949</v>
      </c>
      <c r="G860">
        <v>153</v>
      </c>
      <c r="H860">
        <v>229.49</v>
      </c>
      <c r="I860">
        <v>15</v>
      </c>
      <c r="J860" t="b">
        <v>0</v>
      </c>
      <c r="L860" t="s">
        <v>16</v>
      </c>
    </row>
    <row r="861" spans="1:12">
      <c r="A861" t="s">
        <v>1795</v>
      </c>
      <c r="B861" t="s">
        <v>1796</v>
      </c>
      <c r="C861" s="27">
        <v>44979</v>
      </c>
      <c r="D861" s="25">
        <v>44982</v>
      </c>
      <c r="E861" t="s">
        <v>234</v>
      </c>
      <c r="F861">
        <v>56393</v>
      </c>
      <c r="G861">
        <v>2385</v>
      </c>
      <c r="H861">
        <v>1620.23</v>
      </c>
      <c r="I861">
        <v>151</v>
      </c>
      <c r="J861" t="b">
        <v>1</v>
      </c>
      <c r="L861" t="s">
        <v>16</v>
      </c>
    </row>
    <row r="862" spans="1:12">
      <c r="A862" t="s">
        <v>1797</v>
      </c>
      <c r="B862" t="s">
        <v>1798</v>
      </c>
      <c r="C862" s="27">
        <v>45156</v>
      </c>
      <c r="D862" s="25">
        <v>45172</v>
      </c>
      <c r="E862" t="s">
        <v>14</v>
      </c>
      <c r="F862">
        <v>74553</v>
      </c>
      <c r="G862">
        <v>921</v>
      </c>
      <c r="H862">
        <v>1251.61</v>
      </c>
      <c r="I862">
        <v>81</v>
      </c>
      <c r="J862" t="b">
        <v>0</v>
      </c>
      <c r="L862" t="s">
        <v>16</v>
      </c>
    </row>
    <row r="863" spans="1:12">
      <c r="A863" t="s">
        <v>1799</v>
      </c>
      <c r="B863" t="s">
        <v>1800</v>
      </c>
      <c r="C863" t="s">
        <v>47</v>
      </c>
      <c r="D863" s="25">
        <v>44974</v>
      </c>
      <c r="E863" t="s">
        <v>33</v>
      </c>
      <c r="F863">
        <v>7941</v>
      </c>
      <c r="G863">
        <v>364</v>
      </c>
      <c r="H863">
        <v>322.18</v>
      </c>
      <c r="I863">
        <v>23</v>
      </c>
      <c r="J863" t="s">
        <v>24</v>
      </c>
      <c r="L863" t="s">
        <v>34</v>
      </c>
    </row>
    <row r="864" spans="1:12">
      <c r="A864" t="s">
        <v>1801</v>
      </c>
      <c r="B864" t="s">
        <v>1802</v>
      </c>
      <c r="C864" s="27">
        <v>45108</v>
      </c>
      <c r="D864" s="25">
        <v>45126</v>
      </c>
      <c r="E864" t="s">
        <v>14</v>
      </c>
      <c r="F864">
        <v>26934</v>
      </c>
      <c r="G864">
        <v>970</v>
      </c>
      <c r="H864" s="26">
        <v>1654.96</v>
      </c>
      <c r="I864">
        <v>63</v>
      </c>
      <c r="J864" t="s">
        <v>24</v>
      </c>
      <c r="L864" t="s">
        <v>16</v>
      </c>
    </row>
    <row r="865" spans="1:12">
      <c r="A865" t="s">
        <v>1803</v>
      </c>
      <c r="B865" t="s">
        <v>1804</v>
      </c>
      <c r="C865" s="25">
        <v>45093</v>
      </c>
      <c r="D865" s="25">
        <v>45096</v>
      </c>
      <c r="E865" t="s">
        <v>19</v>
      </c>
      <c r="F865">
        <v>24386</v>
      </c>
      <c r="G865">
        <v>1096</v>
      </c>
      <c r="H865">
        <v>1248.24</v>
      </c>
      <c r="I865">
        <v>87</v>
      </c>
      <c r="J865" t="b">
        <v>0</v>
      </c>
      <c r="L865" t="s">
        <v>20</v>
      </c>
    </row>
    <row r="866" spans="1:12">
      <c r="A866" t="s">
        <v>1805</v>
      </c>
      <c r="B866" t="s">
        <v>1806</v>
      </c>
      <c r="C866" s="25">
        <v>45138</v>
      </c>
      <c r="D866" s="25">
        <v>45141</v>
      </c>
      <c r="E866" t="s">
        <v>14</v>
      </c>
      <c r="F866">
        <v>62886</v>
      </c>
      <c r="G866">
        <v>629</v>
      </c>
      <c r="H866">
        <v>1252.98</v>
      </c>
      <c r="I866">
        <v>125</v>
      </c>
      <c r="J866">
        <v>0</v>
      </c>
      <c r="L866" t="s">
        <v>16</v>
      </c>
    </row>
    <row r="867" spans="1:12">
      <c r="A867" t="s">
        <v>1807</v>
      </c>
      <c r="B867" t="s">
        <v>1808</v>
      </c>
      <c r="C867" s="27">
        <v>45213</v>
      </c>
      <c r="D867" s="25">
        <v>45208</v>
      </c>
      <c r="E867" t="s">
        <v>14</v>
      </c>
      <c r="F867">
        <v>76745</v>
      </c>
      <c r="G867">
        <v>1286</v>
      </c>
      <c r="H867">
        <v>821.43</v>
      </c>
      <c r="I867">
        <v>64</v>
      </c>
      <c r="J867">
        <v>1</v>
      </c>
      <c r="L867" t="s">
        <v>16</v>
      </c>
    </row>
    <row r="868" spans="1:12">
      <c r="A868" t="s">
        <v>1809</v>
      </c>
      <c r="B868" t="s">
        <v>1810</v>
      </c>
      <c r="C868" s="27">
        <v>45219</v>
      </c>
      <c r="D868" s="25">
        <v>45243</v>
      </c>
      <c r="E868" t="s">
        <v>23</v>
      </c>
      <c r="F868">
        <v>84251</v>
      </c>
      <c r="G868">
        <v>2156</v>
      </c>
      <c r="H868">
        <v>3601.64</v>
      </c>
      <c r="I868">
        <v>314</v>
      </c>
      <c r="J868" t="s">
        <v>30</v>
      </c>
      <c r="L868" t="s">
        <v>25</v>
      </c>
    </row>
    <row r="869" spans="1:12">
      <c r="A869" t="s">
        <v>1811</v>
      </c>
      <c r="B869" t="s">
        <v>1812</v>
      </c>
      <c r="C869" s="27">
        <v>45013</v>
      </c>
      <c r="D869" s="25">
        <v>45040</v>
      </c>
      <c r="E869" t="s">
        <v>191</v>
      </c>
      <c r="F869">
        <v>95456</v>
      </c>
      <c r="G869">
        <v>2403</v>
      </c>
      <c r="H869">
        <v>3629.86</v>
      </c>
      <c r="I869">
        <v>171</v>
      </c>
      <c r="J869">
        <v>0</v>
      </c>
      <c r="L869" t="s">
        <v>42</v>
      </c>
    </row>
    <row r="870" spans="1:12">
      <c r="A870" t="s">
        <v>1813</v>
      </c>
      <c r="B870" t="s">
        <v>1814</v>
      </c>
      <c r="C870" s="27">
        <v>45179</v>
      </c>
      <c r="D870" s="25">
        <v>45202</v>
      </c>
      <c r="E870" t="s">
        <v>14</v>
      </c>
      <c r="F870">
        <v>54413</v>
      </c>
      <c r="G870">
        <v>1037</v>
      </c>
      <c r="H870">
        <v>1712.34</v>
      </c>
      <c r="I870">
        <v>195</v>
      </c>
      <c r="J870" t="s">
        <v>15</v>
      </c>
      <c r="L870" t="s">
        <v>16</v>
      </c>
    </row>
    <row r="871" spans="1:12">
      <c r="A871" t="s">
        <v>1815</v>
      </c>
      <c r="B871" t="s">
        <v>1816</v>
      </c>
      <c r="C871" s="27">
        <v>45068</v>
      </c>
      <c r="D871" s="25">
        <v>45089</v>
      </c>
      <c r="E871" t="s">
        <v>23</v>
      </c>
      <c r="F871">
        <v>57800</v>
      </c>
      <c r="G871">
        <v>1460</v>
      </c>
      <c r="H871">
        <v>1403.49</v>
      </c>
      <c r="I871">
        <v>93</v>
      </c>
      <c r="J871" t="s">
        <v>30</v>
      </c>
      <c r="L871" t="s">
        <v>25</v>
      </c>
    </row>
    <row r="872" spans="1:12">
      <c r="A872" t="s">
        <v>1817</v>
      </c>
      <c r="B872" t="s">
        <v>1818</v>
      </c>
      <c r="C872" s="27">
        <v>44966</v>
      </c>
      <c r="D872" s="25">
        <v>44996</v>
      </c>
      <c r="E872" t="s">
        <v>14</v>
      </c>
      <c r="F872">
        <v>98239</v>
      </c>
      <c r="G872">
        <v>1488</v>
      </c>
      <c r="H872">
        <v>1842.27</v>
      </c>
      <c r="I872">
        <v>287</v>
      </c>
      <c r="J872" t="s">
        <v>30</v>
      </c>
      <c r="L872" t="s">
        <v>16</v>
      </c>
    </row>
    <row r="873" spans="1:12">
      <c r="A873" t="s">
        <v>1819</v>
      </c>
      <c r="B873" t="s">
        <v>1820</v>
      </c>
      <c r="C873" s="27">
        <v>45247</v>
      </c>
      <c r="D873" s="25">
        <v>45251</v>
      </c>
      <c r="E873" t="s">
        <v>19</v>
      </c>
      <c r="F873">
        <v>43318</v>
      </c>
      <c r="G873">
        <v>1148</v>
      </c>
      <c r="H873">
        <v>1945.59</v>
      </c>
      <c r="I873">
        <v>162</v>
      </c>
      <c r="J873">
        <v>1</v>
      </c>
      <c r="L873" t="s">
        <v>20</v>
      </c>
    </row>
    <row r="874" spans="1:12">
      <c r="A874" t="s">
        <v>1821</v>
      </c>
      <c r="B874" t="s">
        <v>1822</v>
      </c>
      <c r="C874" s="27">
        <v>45161</v>
      </c>
      <c r="D874" s="25">
        <v>45176</v>
      </c>
      <c r="E874" t="s">
        <v>14</v>
      </c>
      <c r="F874">
        <v>71173</v>
      </c>
      <c r="G874">
        <v>2995</v>
      </c>
      <c r="H874">
        <v>2542.19</v>
      </c>
      <c r="I874">
        <v>150</v>
      </c>
      <c r="J874" t="s">
        <v>15</v>
      </c>
      <c r="L874" t="s">
        <v>16</v>
      </c>
    </row>
    <row r="875" spans="1:12">
      <c r="A875" t="s">
        <v>1823</v>
      </c>
      <c r="B875" t="s">
        <v>1824</v>
      </c>
      <c r="C875" s="27">
        <v>45129</v>
      </c>
      <c r="D875" s="25">
        <v>45142</v>
      </c>
      <c r="E875" t="s">
        <v>23</v>
      </c>
      <c r="F875">
        <v>71390</v>
      </c>
      <c r="G875">
        <v>2081</v>
      </c>
      <c r="H875">
        <v>1746.06</v>
      </c>
      <c r="I875">
        <v>383</v>
      </c>
      <c r="J875" t="b">
        <v>1</v>
      </c>
      <c r="L875" t="s">
        <v>25</v>
      </c>
    </row>
    <row r="876" spans="1:12">
      <c r="A876" t="s">
        <v>1825</v>
      </c>
      <c r="B876" t="s">
        <v>1826</v>
      </c>
      <c r="C876" s="27">
        <v>45095</v>
      </c>
      <c r="D876" s="25">
        <v>45119</v>
      </c>
      <c r="E876" t="s">
        <v>14</v>
      </c>
      <c r="F876">
        <v>53329</v>
      </c>
      <c r="G876">
        <v>571</v>
      </c>
      <c r="H876">
        <v>757.48</v>
      </c>
      <c r="I876">
        <v>73</v>
      </c>
      <c r="J876" t="s">
        <v>15</v>
      </c>
      <c r="L876" t="s">
        <v>16</v>
      </c>
    </row>
    <row r="877" spans="1:12">
      <c r="A877" t="s">
        <v>1827</v>
      </c>
      <c r="B877" t="s">
        <v>1828</v>
      </c>
      <c r="C877" s="27">
        <v>45260</v>
      </c>
      <c r="D877" s="25">
        <v>45271</v>
      </c>
      <c r="E877" t="s">
        <v>19</v>
      </c>
      <c r="F877">
        <v>44088</v>
      </c>
      <c r="G877">
        <v>1184</v>
      </c>
      <c r="H877">
        <v>1521.85</v>
      </c>
      <c r="I877">
        <v>105</v>
      </c>
      <c r="J877" t="b">
        <v>1</v>
      </c>
      <c r="L877" t="s">
        <v>20</v>
      </c>
    </row>
    <row r="878" spans="1:12">
      <c r="A878" t="s">
        <v>1829</v>
      </c>
      <c r="B878" t="s">
        <v>1830</v>
      </c>
      <c r="C878" s="27">
        <v>45091</v>
      </c>
      <c r="D878" s="25">
        <v>45099</v>
      </c>
      <c r="E878" t="s">
        <v>41</v>
      </c>
      <c r="F878">
        <v>40811</v>
      </c>
      <c r="G878">
        <v>452</v>
      </c>
      <c r="H878">
        <v>417.37</v>
      </c>
      <c r="I878">
        <v>74</v>
      </c>
      <c r="J878" t="s">
        <v>15</v>
      </c>
      <c r="L878" t="s">
        <v>42</v>
      </c>
    </row>
    <row r="879" spans="1:12">
      <c r="A879" t="s">
        <v>1831</v>
      </c>
      <c r="B879" t="s">
        <v>1832</v>
      </c>
      <c r="C879" s="27">
        <v>45172</v>
      </c>
      <c r="D879" s="25">
        <v>45192</v>
      </c>
      <c r="E879" t="s">
        <v>234</v>
      </c>
      <c r="F879">
        <v>56479</v>
      </c>
      <c r="G879">
        <v>2747</v>
      </c>
      <c r="H879">
        <v>2601.72</v>
      </c>
      <c r="I879">
        <v>519</v>
      </c>
      <c r="J879" t="b">
        <v>0</v>
      </c>
      <c r="L879" t="s">
        <v>16</v>
      </c>
    </row>
    <row r="880" spans="1:12">
      <c r="A880" t="s">
        <v>1833</v>
      </c>
      <c r="B880" t="s">
        <v>1834</v>
      </c>
      <c r="C880" s="27">
        <v>45090</v>
      </c>
      <c r="D880" s="25">
        <v>45106</v>
      </c>
      <c r="E880" t="s">
        <v>41</v>
      </c>
      <c r="F880">
        <v>86392</v>
      </c>
      <c r="G880">
        <v>1304</v>
      </c>
      <c r="H880">
        <v>1195.47</v>
      </c>
      <c r="I880">
        <v>159</v>
      </c>
      <c r="J880" t="s">
        <v>24</v>
      </c>
      <c r="L880" t="s">
        <v>42</v>
      </c>
    </row>
    <row r="881" spans="1:12">
      <c r="A881" t="s">
        <v>1835</v>
      </c>
      <c r="B881" t="s">
        <v>1836</v>
      </c>
      <c r="C881" s="27">
        <v>45178</v>
      </c>
      <c r="D881" s="25">
        <v>45180</v>
      </c>
      <c r="E881" t="s">
        <v>14</v>
      </c>
      <c r="F881">
        <v>88369</v>
      </c>
      <c r="G881">
        <v>3385</v>
      </c>
      <c r="H881">
        <v>5609.85</v>
      </c>
      <c r="I881">
        <v>329</v>
      </c>
      <c r="J881" t="s">
        <v>15</v>
      </c>
      <c r="L881" t="s">
        <v>16</v>
      </c>
    </row>
    <row r="882" spans="1:12">
      <c r="A882" t="s">
        <v>1837</v>
      </c>
      <c r="B882" t="s">
        <v>1838</v>
      </c>
      <c r="C882" s="27">
        <v>45093</v>
      </c>
      <c r="D882" s="25">
        <v>45104</v>
      </c>
      <c r="E882" t="s">
        <v>33</v>
      </c>
      <c r="F882">
        <v>20963</v>
      </c>
      <c r="G882">
        <v>1025</v>
      </c>
      <c r="H882">
        <v>1514.8</v>
      </c>
      <c r="I882">
        <v>172</v>
      </c>
      <c r="J882">
        <v>0</v>
      </c>
      <c r="L882" t="s">
        <v>34</v>
      </c>
    </row>
    <row r="883" spans="1:12">
      <c r="A883" t="s">
        <v>1839</v>
      </c>
      <c r="B883" t="s">
        <v>1840</v>
      </c>
      <c r="C883" s="27">
        <v>45128</v>
      </c>
      <c r="D883" s="25">
        <v>45138</v>
      </c>
      <c r="E883" t="s">
        <v>23</v>
      </c>
      <c r="F883">
        <v>56123</v>
      </c>
      <c r="G883">
        <v>2415</v>
      </c>
      <c r="H883" s="26">
        <v>4222.93</v>
      </c>
      <c r="I883">
        <v>367</v>
      </c>
      <c r="J883">
        <v>0</v>
      </c>
      <c r="L883" t="s">
        <v>25</v>
      </c>
    </row>
    <row r="884" spans="1:12">
      <c r="A884" t="s">
        <v>1841</v>
      </c>
      <c r="B884" t="s">
        <v>1842</v>
      </c>
      <c r="C884" s="27">
        <v>45029</v>
      </c>
      <c r="D884" s="25">
        <v>45047</v>
      </c>
      <c r="E884" t="s">
        <v>41</v>
      </c>
      <c r="F884">
        <v>93705</v>
      </c>
      <c r="G884">
        <v>3558</v>
      </c>
      <c r="H884" s="26">
        <v>6985.1</v>
      </c>
      <c r="I884">
        <v>652</v>
      </c>
      <c r="J884">
        <v>1</v>
      </c>
      <c r="L884" t="s">
        <v>42</v>
      </c>
    </row>
    <row r="885" spans="1:12">
      <c r="A885" t="s">
        <v>1843</v>
      </c>
      <c r="B885" t="s">
        <v>1844</v>
      </c>
      <c r="C885" s="25">
        <v>45276</v>
      </c>
      <c r="D885" s="25">
        <v>45301</v>
      </c>
      <c r="E885" t="s">
        <v>14</v>
      </c>
      <c r="F885">
        <v>74477</v>
      </c>
      <c r="G885">
        <v>3245</v>
      </c>
      <c r="H885">
        <v>3930.49</v>
      </c>
      <c r="I885">
        <v>499</v>
      </c>
      <c r="J885" t="s">
        <v>24</v>
      </c>
      <c r="L885" t="s">
        <v>16</v>
      </c>
    </row>
    <row r="886" spans="1:12">
      <c r="A886" t="s">
        <v>1845</v>
      </c>
      <c r="B886" t="s">
        <v>1846</v>
      </c>
      <c r="C886" s="27">
        <v>45163</v>
      </c>
      <c r="D886" s="25">
        <v>45186</v>
      </c>
      <c r="E886" t="s">
        <v>41</v>
      </c>
      <c r="F886">
        <v>15388</v>
      </c>
      <c r="G886">
        <v>758</v>
      </c>
      <c r="H886">
        <v>454.83</v>
      </c>
      <c r="I886">
        <v>65</v>
      </c>
      <c r="J886" t="s">
        <v>24</v>
      </c>
      <c r="L886" t="s">
        <v>68</v>
      </c>
    </row>
    <row r="887" spans="1:12">
      <c r="A887" t="s">
        <v>1847</v>
      </c>
      <c r="B887" t="s">
        <v>1848</v>
      </c>
      <c r="C887" s="25">
        <v>45076</v>
      </c>
      <c r="D887" s="25">
        <v>45104</v>
      </c>
      <c r="E887" t="s">
        <v>14</v>
      </c>
      <c r="F887">
        <v>6569</v>
      </c>
      <c r="G887">
        <v>228</v>
      </c>
      <c r="H887">
        <v>130.45</v>
      </c>
      <c r="I887">
        <v>43</v>
      </c>
      <c r="J887" t="b">
        <v>1</v>
      </c>
      <c r="L887" t="s">
        <v>16</v>
      </c>
    </row>
    <row r="888" spans="1:12">
      <c r="A888" t="s">
        <v>1849</v>
      </c>
      <c r="B888" t="s">
        <v>1850</v>
      </c>
      <c r="C888" s="27">
        <v>45136</v>
      </c>
      <c r="D888" s="25">
        <v>45151</v>
      </c>
      <c r="E888" t="s">
        <v>41</v>
      </c>
      <c r="F888">
        <v>70836</v>
      </c>
      <c r="G888">
        <v>2292</v>
      </c>
      <c r="H888">
        <v>-2162.5</v>
      </c>
      <c r="I888">
        <v>150</v>
      </c>
      <c r="J888" t="s">
        <v>30</v>
      </c>
      <c r="L888" t="s">
        <v>42</v>
      </c>
    </row>
    <row r="889" spans="1:12">
      <c r="A889" t="s">
        <v>1851</v>
      </c>
      <c r="B889" t="s">
        <v>1852</v>
      </c>
      <c r="C889" s="27">
        <v>45082</v>
      </c>
      <c r="D889" s="25">
        <v>45089</v>
      </c>
      <c r="E889" t="s">
        <v>33</v>
      </c>
      <c r="F889">
        <v>37586</v>
      </c>
      <c r="G889">
        <v>1320</v>
      </c>
      <c r="H889">
        <v>2506.44</v>
      </c>
      <c r="I889">
        <v>119</v>
      </c>
      <c r="J889">
        <v>1</v>
      </c>
      <c r="L889" t="s">
        <v>34</v>
      </c>
    </row>
    <row r="890" spans="1:12">
      <c r="A890" t="s">
        <v>1853</v>
      </c>
      <c r="B890" t="s">
        <v>1854</v>
      </c>
      <c r="C890" s="25">
        <v>45143</v>
      </c>
      <c r="D890" s="25">
        <v>45074</v>
      </c>
      <c r="E890" t="s">
        <v>41</v>
      </c>
      <c r="F890">
        <v>13015</v>
      </c>
      <c r="G890">
        <v>407</v>
      </c>
      <c r="H890">
        <v>522.92</v>
      </c>
      <c r="I890">
        <v>52</v>
      </c>
      <c r="J890">
        <v>0</v>
      </c>
      <c r="K890">
        <v>13074</v>
      </c>
      <c r="L890" t="s">
        <v>42</v>
      </c>
    </row>
    <row r="891" spans="1:12">
      <c r="A891" t="s">
        <v>1855</v>
      </c>
      <c r="B891" t="s">
        <v>1856</v>
      </c>
      <c r="C891" s="27">
        <v>45233</v>
      </c>
      <c r="D891" s="25">
        <v>45247</v>
      </c>
      <c r="E891" t="s">
        <v>19</v>
      </c>
      <c r="F891">
        <v>46002</v>
      </c>
      <c r="G891">
        <v>1628</v>
      </c>
      <c r="H891" s="26">
        <v>1477.7</v>
      </c>
      <c r="I891">
        <v>219</v>
      </c>
      <c r="J891">
        <v>0</v>
      </c>
      <c r="L891" t="s">
        <v>20</v>
      </c>
    </row>
    <row r="892" spans="1:12">
      <c r="A892" t="s">
        <v>1857</v>
      </c>
      <c r="B892" t="s">
        <v>1858</v>
      </c>
      <c r="C892" s="27">
        <v>45186</v>
      </c>
      <c r="D892" s="25">
        <v>45190</v>
      </c>
      <c r="E892" t="s">
        <v>33</v>
      </c>
      <c r="F892">
        <v>7254</v>
      </c>
      <c r="G892">
        <v>203</v>
      </c>
      <c r="H892">
        <v>223.05</v>
      </c>
      <c r="I892">
        <v>10</v>
      </c>
      <c r="J892" t="b">
        <v>1</v>
      </c>
      <c r="L892" t="s">
        <v>34</v>
      </c>
    </row>
    <row r="893" spans="1:12">
      <c r="A893" t="s">
        <v>1859</v>
      </c>
      <c r="B893" t="s">
        <v>1860</v>
      </c>
      <c r="C893" s="27">
        <v>45141</v>
      </c>
      <c r="D893" s="25">
        <v>45142</v>
      </c>
      <c r="E893" t="s">
        <v>33</v>
      </c>
      <c r="F893">
        <v>18144</v>
      </c>
      <c r="G893">
        <v>339</v>
      </c>
      <c r="H893">
        <v>473.89</v>
      </c>
      <c r="I893">
        <v>56</v>
      </c>
      <c r="J893">
        <v>0</v>
      </c>
      <c r="L893" t="s">
        <v>34</v>
      </c>
    </row>
    <row r="894" spans="1:12">
      <c r="A894" t="s">
        <v>1861</v>
      </c>
      <c r="B894" t="s">
        <v>1862</v>
      </c>
      <c r="C894" s="27">
        <v>45111</v>
      </c>
      <c r="D894" s="25">
        <v>45133</v>
      </c>
      <c r="E894" t="s">
        <v>19</v>
      </c>
      <c r="F894">
        <v>25214</v>
      </c>
      <c r="G894">
        <v>373</v>
      </c>
      <c r="H894">
        <v>551.83</v>
      </c>
      <c r="I894">
        <v>38</v>
      </c>
      <c r="J894">
        <v>0</v>
      </c>
      <c r="L894" t="s">
        <v>20</v>
      </c>
    </row>
    <row r="895" spans="1:12">
      <c r="A895" t="s">
        <v>1863</v>
      </c>
      <c r="B895" t="s">
        <v>1864</v>
      </c>
      <c r="C895" s="25">
        <v>45231</v>
      </c>
      <c r="D895" s="25">
        <v>44942</v>
      </c>
      <c r="E895" t="s">
        <v>14</v>
      </c>
      <c r="F895">
        <v>81719</v>
      </c>
      <c r="G895">
        <v>1040</v>
      </c>
      <c r="H895">
        <v>760.11</v>
      </c>
      <c r="I895">
        <v>115</v>
      </c>
      <c r="J895" t="b">
        <v>1</v>
      </c>
      <c r="L895" t="s">
        <v>16</v>
      </c>
    </row>
    <row r="896" spans="1:12">
      <c r="A896" t="s">
        <v>1865</v>
      </c>
      <c r="B896" t="s">
        <v>1866</v>
      </c>
      <c r="C896" s="27">
        <v>45054</v>
      </c>
      <c r="D896" s="25">
        <v>45073</v>
      </c>
      <c r="E896" t="s">
        <v>33</v>
      </c>
      <c r="F896">
        <v>72774</v>
      </c>
      <c r="G896">
        <v>1494</v>
      </c>
      <c r="H896">
        <v>2936.53</v>
      </c>
      <c r="I896">
        <v>256</v>
      </c>
      <c r="J896">
        <v>0</v>
      </c>
      <c r="L896" t="s">
        <v>34</v>
      </c>
    </row>
    <row r="897" spans="1:12">
      <c r="A897" t="s">
        <v>1867</v>
      </c>
      <c r="B897" t="s">
        <v>1868</v>
      </c>
      <c r="C897" s="27">
        <v>45258</v>
      </c>
      <c r="D897" s="25">
        <v>45286</v>
      </c>
      <c r="E897" t="s">
        <v>19</v>
      </c>
      <c r="F897">
        <v>7090</v>
      </c>
      <c r="G897">
        <v>83</v>
      </c>
      <c r="H897">
        <v>109.32</v>
      </c>
      <c r="I897">
        <v>8</v>
      </c>
      <c r="J897" t="s">
        <v>30</v>
      </c>
      <c r="L897" t="s">
        <v>20</v>
      </c>
    </row>
    <row r="898" spans="1:12">
      <c r="A898" t="s">
        <v>1869</v>
      </c>
      <c r="B898" t="s">
        <v>1870</v>
      </c>
      <c r="C898" s="27">
        <v>45257</v>
      </c>
      <c r="D898" s="25">
        <v>45279</v>
      </c>
      <c r="E898" t="s">
        <v>41</v>
      </c>
      <c r="F898">
        <v>12637</v>
      </c>
      <c r="G898">
        <v>413</v>
      </c>
      <c r="H898">
        <v>290.56</v>
      </c>
      <c r="I898">
        <v>23</v>
      </c>
      <c r="J898" t="b">
        <v>0</v>
      </c>
      <c r="L898" t="s">
        <v>68</v>
      </c>
    </row>
    <row r="899" spans="1:12">
      <c r="A899" t="s">
        <v>1871</v>
      </c>
      <c r="B899" t="s">
        <v>1872</v>
      </c>
      <c r="C899" s="27">
        <v>45096</v>
      </c>
      <c r="D899" s="25">
        <v>45121</v>
      </c>
      <c r="E899" t="s">
        <v>33</v>
      </c>
      <c r="F899">
        <v>23415</v>
      </c>
      <c r="G899">
        <v>499</v>
      </c>
      <c r="H899">
        <v>918.39</v>
      </c>
      <c r="J899">
        <v>1</v>
      </c>
      <c r="L899" t="s">
        <v>34</v>
      </c>
    </row>
    <row r="900" spans="1:12">
      <c r="A900" t="s">
        <v>1873</v>
      </c>
      <c r="B900" t="s">
        <v>1874</v>
      </c>
      <c r="C900" s="25">
        <v>45078</v>
      </c>
      <c r="D900" s="25">
        <v>44933</v>
      </c>
      <c r="E900" t="s">
        <v>58</v>
      </c>
      <c r="F900">
        <v>25071</v>
      </c>
      <c r="G900">
        <v>1077</v>
      </c>
      <c r="H900">
        <v>659.08</v>
      </c>
      <c r="I900">
        <v>208</v>
      </c>
      <c r="J900" t="s">
        <v>30</v>
      </c>
      <c r="L900" t="s">
        <v>59</v>
      </c>
    </row>
    <row r="901" spans="1:12">
      <c r="A901" t="s">
        <v>1875</v>
      </c>
      <c r="B901" t="s">
        <v>1876</v>
      </c>
      <c r="C901" s="27">
        <v>45040</v>
      </c>
      <c r="D901" s="25">
        <v>45070</v>
      </c>
      <c r="E901" t="s">
        <v>19</v>
      </c>
      <c r="F901">
        <v>59243</v>
      </c>
      <c r="G901">
        <v>768</v>
      </c>
      <c r="H901">
        <v>1429.71</v>
      </c>
      <c r="I901">
        <v>46</v>
      </c>
      <c r="J901" t="s">
        <v>30</v>
      </c>
      <c r="L901" t="s">
        <v>20</v>
      </c>
    </row>
    <row r="902" spans="1:12">
      <c r="A902" t="s">
        <v>1877</v>
      </c>
      <c r="B902" t="s">
        <v>1878</v>
      </c>
      <c r="C902" s="27">
        <v>45224</v>
      </c>
      <c r="D902" s="25">
        <v>45241</v>
      </c>
      <c r="E902" t="s">
        <v>19</v>
      </c>
      <c r="F902">
        <v>42240</v>
      </c>
      <c r="G902">
        <v>804</v>
      </c>
      <c r="H902">
        <v>1603.86</v>
      </c>
      <c r="I902">
        <v>83</v>
      </c>
      <c r="J902" t="b">
        <v>0</v>
      </c>
      <c r="L902" t="s">
        <v>20</v>
      </c>
    </row>
    <row r="903" spans="1:12">
      <c r="A903" t="s">
        <v>1879</v>
      </c>
      <c r="B903" t="s">
        <v>1880</v>
      </c>
      <c r="C903" s="27">
        <v>45118</v>
      </c>
      <c r="D903" s="25">
        <v>45133</v>
      </c>
      <c r="E903" t="s">
        <v>19</v>
      </c>
      <c r="F903">
        <v>84807</v>
      </c>
      <c r="G903">
        <v>3325</v>
      </c>
      <c r="H903" s="26">
        <v>5155.9</v>
      </c>
      <c r="I903">
        <v>417</v>
      </c>
      <c r="J903" t="s">
        <v>24</v>
      </c>
      <c r="L903" t="s">
        <v>20</v>
      </c>
    </row>
    <row r="904" spans="1:12">
      <c r="A904" t="s">
        <v>1881</v>
      </c>
      <c r="B904" t="s">
        <v>1882</v>
      </c>
      <c r="C904" s="27">
        <v>45228</v>
      </c>
      <c r="D904" s="25">
        <v>45231</v>
      </c>
      <c r="E904" t="s">
        <v>14</v>
      </c>
      <c r="F904">
        <v>34434</v>
      </c>
      <c r="G904">
        <v>1169</v>
      </c>
      <c r="H904">
        <v>1935.48</v>
      </c>
      <c r="I904">
        <v>144</v>
      </c>
      <c r="J904">
        <v>1</v>
      </c>
      <c r="L904" t="s">
        <v>16</v>
      </c>
    </row>
    <row r="905" spans="1:12">
      <c r="A905" t="s">
        <v>1883</v>
      </c>
      <c r="B905" t="s">
        <v>1884</v>
      </c>
      <c r="C905" s="27">
        <v>44939</v>
      </c>
      <c r="D905" s="25">
        <v>44956</v>
      </c>
      <c r="E905" t="s">
        <v>41</v>
      </c>
      <c r="F905">
        <v>70724</v>
      </c>
      <c r="G905">
        <v>889</v>
      </c>
      <c r="H905">
        <v>894.29</v>
      </c>
      <c r="I905">
        <v>44</v>
      </c>
      <c r="J905" t="s">
        <v>30</v>
      </c>
      <c r="L905" t="s">
        <v>42</v>
      </c>
    </row>
    <row r="906" spans="1:12">
      <c r="A906" t="s">
        <v>1885</v>
      </c>
      <c r="B906" t="s">
        <v>1886</v>
      </c>
      <c r="C906" s="27">
        <v>44970</v>
      </c>
      <c r="D906" s="25">
        <v>44976</v>
      </c>
      <c r="E906" t="s">
        <v>19</v>
      </c>
      <c r="F906">
        <v>76697</v>
      </c>
      <c r="G906">
        <v>3458</v>
      </c>
      <c r="H906">
        <v>6612.96</v>
      </c>
      <c r="I906">
        <v>432</v>
      </c>
      <c r="J906">
        <v>0</v>
      </c>
      <c r="L906" t="s">
        <v>20</v>
      </c>
    </row>
    <row r="907" spans="1:12">
      <c r="A907" t="s">
        <v>1887</v>
      </c>
      <c r="B907" t="s">
        <v>1888</v>
      </c>
      <c r="C907" s="27">
        <v>44999</v>
      </c>
      <c r="D907" s="25">
        <v>45014</v>
      </c>
      <c r="E907" t="s">
        <v>23</v>
      </c>
      <c r="F907">
        <v>29732</v>
      </c>
      <c r="G907">
        <v>1340</v>
      </c>
      <c r="H907">
        <v>1734.73</v>
      </c>
      <c r="I907">
        <v>144</v>
      </c>
      <c r="J907" t="b">
        <v>0</v>
      </c>
      <c r="L907" t="s">
        <v>25</v>
      </c>
    </row>
    <row r="908" spans="1:12">
      <c r="A908" t="s">
        <v>1889</v>
      </c>
      <c r="B908" t="s">
        <v>1890</v>
      </c>
      <c r="C908" s="27">
        <v>45032</v>
      </c>
      <c r="D908" s="25">
        <v>45041</v>
      </c>
      <c r="E908" t="s">
        <v>138</v>
      </c>
      <c r="F908">
        <v>12314</v>
      </c>
      <c r="G908">
        <v>285</v>
      </c>
      <c r="H908">
        <v>455.6</v>
      </c>
      <c r="I908">
        <v>55</v>
      </c>
      <c r="J908" t="s">
        <v>24</v>
      </c>
      <c r="L908" t="s">
        <v>139</v>
      </c>
    </row>
    <row r="909" spans="1:12">
      <c r="A909" t="s">
        <v>1891</v>
      </c>
      <c r="B909" t="s">
        <v>1892</v>
      </c>
      <c r="C909" s="27">
        <v>44976</v>
      </c>
      <c r="D909" s="25">
        <v>44999</v>
      </c>
      <c r="E909" t="s">
        <v>23</v>
      </c>
      <c r="F909">
        <v>24954</v>
      </c>
      <c r="G909">
        <v>589</v>
      </c>
      <c r="H909">
        <v>1110.95</v>
      </c>
      <c r="I909">
        <v>43</v>
      </c>
      <c r="J909">
        <v>1</v>
      </c>
      <c r="L909" t="s">
        <v>25</v>
      </c>
    </row>
    <row r="910" spans="1:12">
      <c r="A910" t="s">
        <v>1893</v>
      </c>
      <c r="B910" t="s">
        <v>1894</v>
      </c>
      <c r="C910" t="s">
        <v>1895</v>
      </c>
      <c r="D910" s="25">
        <v>45109</v>
      </c>
      <c r="E910" t="s">
        <v>19</v>
      </c>
      <c r="F910">
        <v>58108</v>
      </c>
      <c r="G910">
        <v>2879</v>
      </c>
      <c r="H910">
        <v>5650.81</v>
      </c>
      <c r="I910">
        <v>296</v>
      </c>
      <c r="J910" t="s">
        <v>15</v>
      </c>
      <c r="L910" t="s">
        <v>20</v>
      </c>
    </row>
    <row r="911" spans="1:12">
      <c r="A911" t="s">
        <v>1896</v>
      </c>
      <c r="B911" t="s">
        <v>1897</v>
      </c>
      <c r="C911" s="27">
        <v>44949</v>
      </c>
      <c r="D911" s="25">
        <v>44962</v>
      </c>
      <c r="E911" t="s">
        <v>138</v>
      </c>
      <c r="F911">
        <v>88044</v>
      </c>
      <c r="G911">
        <v>3085</v>
      </c>
      <c r="H911" s="26">
        <v>5398.15</v>
      </c>
      <c r="I911">
        <v>348</v>
      </c>
      <c r="J911" t="b">
        <v>1</v>
      </c>
      <c r="L911" t="s">
        <v>139</v>
      </c>
    </row>
    <row r="912" spans="1:12">
      <c r="A912" t="s">
        <v>1898</v>
      </c>
      <c r="B912" t="s">
        <v>1899</v>
      </c>
      <c r="C912" s="27">
        <v>45102</v>
      </c>
      <c r="D912" s="25">
        <v>45128</v>
      </c>
      <c r="E912" t="s">
        <v>19</v>
      </c>
      <c r="F912">
        <v>88505</v>
      </c>
      <c r="G912">
        <v>2766</v>
      </c>
      <c r="H912">
        <v>2640.22</v>
      </c>
      <c r="I912">
        <v>300</v>
      </c>
      <c r="J912">
        <v>0</v>
      </c>
      <c r="L912" t="s">
        <v>20</v>
      </c>
    </row>
    <row r="913" spans="1:12">
      <c r="A913" t="s">
        <v>1900</v>
      </c>
      <c r="B913" t="s">
        <v>1901</v>
      </c>
      <c r="C913" s="27">
        <v>45011</v>
      </c>
      <c r="D913" s="25">
        <v>45041</v>
      </c>
      <c r="E913" t="s">
        <v>23</v>
      </c>
      <c r="F913">
        <v>37668</v>
      </c>
      <c r="G913">
        <v>1639</v>
      </c>
      <c r="H913" s="26">
        <v>3195.76</v>
      </c>
      <c r="I913">
        <v>245</v>
      </c>
      <c r="J913" t="b">
        <v>0</v>
      </c>
      <c r="L913" t="s">
        <v>25</v>
      </c>
    </row>
    <row r="914" spans="1:12">
      <c r="A914" t="s">
        <v>1902</v>
      </c>
      <c r="B914" t="s">
        <v>1903</v>
      </c>
      <c r="C914" s="27">
        <v>45191</v>
      </c>
      <c r="D914" s="25">
        <v>45209</v>
      </c>
      <c r="E914" t="s">
        <v>19</v>
      </c>
      <c r="F914">
        <v>24061</v>
      </c>
      <c r="G914">
        <v>515</v>
      </c>
      <c r="H914">
        <v>742.72</v>
      </c>
      <c r="I914">
        <v>42</v>
      </c>
      <c r="J914" t="b">
        <v>1</v>
      </c>
      <c r="L914" t="s">
        <v>20</v>
      </c>
    </row>
    <row r="915" spans="1:12">
      <c r="A915" t="s">
        <v>1904</v>
      </c>
      <c r="B915" t="s">
        <v>1905</v>
      </c>
      <c r="C915" s="27">
        <v>45213</v>
      </c>
      <c r="D915" s="25">
        <v>45234</v>
      </c>
      <c r="E915" t="s">
        <v>19</v>
      </c>
      <c r="F915">
        <v>80252</v>
      </c>
      <c r="G915">
        <v>2180</v>
      </c>
      <c r="H915">
        <v>4133.2</v>
      </c>
      <c r="I915">
        <v>181</v>
      </c>
      <c r="J915" t="s">
        <v>24</v>
      </c>
      <c r="L915" t="s">
        <v>20</v>
      </c>
    </row>
    <row r="916" spans="1:12">
      <c r="A916" t="s">
        <v>1906</v>
      </c>
      <c r="B916" t="s">
        <v>1907</v>
      </c>
      <c r="C916" s="27">
        <v>45134</v>
      </c>
      <c r="D916" s="25">
        <v>45158</v>
      </c>
      <c r="E916" t="s">
        <v>33</v>
      </c>
      <c r="F916">
        <v>40749</v>
      </c>
      <c r="G916">
        <v>843</v>
      </c>
      <c r="H916">
        <v>1276.43</v>
      </c>
      <c r="J916" t="s">
        <v>24</v>
      </c>
      <c r="L916" t="s">
        <v>68</v>
      </c>
    </row>
    <row r="917" spans="1:12">
      <c r="A917" t="s">
        <v>1908</v>
      </c>
      <c r="B917" t="s">
        <v>1909</v>
      </c>
      <c r="C917" s="25">
        <v>45263</v>
      </c>
      <c r="D917" s="25">
        <v>44999</v>
      </c>
      <c r="E917" t="s">
        <v>33</v>
      </c>
      <c r="F917">
        <v>17907</v>
      </c>
      <c r="G917">
        <v>744</v>
      </c>
      <c r="H917">
        <v>714.88</v>
      </c>
      <c r="I917">
        <v>93</v>
      </c>
      <c r="J917" t="s">
        <v>15</v>
      </c>
      <c r="L917" t="s">
        <v>34</v>
      </c>
    </row>
    <row r="918" spans="1:12">
      <c r="A918" t="s">
        <v>1910</v>
      </c>
      <c r="B918" t="s">
        <v>1911</v>
      </c>
      <c r="C918" s="27">
        <v>45241</v>
      </c>
      <c r="D918" s="25">
        <v>45250</v>
      </c>
      <c r="E918" t="s">
        <v>33</v>
      </c>
      <c r="F918">
        <v>19777</v>
      </c>
      <c r="G918">
        <v>651</v>
      </c>
      <c r="H918">
        <v>686.83</v>
      </c>
      <c r="I918">
        <v>73</v>
      </c>
      <c r="J918" t="s">
        <v>30</v>
      </c>
      <c r="L918" t="s">
        <v>34</v>
      </c>
    </row>
    <row r="919" spans="1:12">
      <c r="A919" t="s">
        <v>1912</v>
      </c>
      <c r="B919" t="s">
        <v>1913</v>
      </c>
      <c r="C919" s="27">
        <v>45146</v>
      </c>
      <c r="D919" s="25">
        <v>45165</v>
      </c>
      <c r="E919" t="s">
        <v>14</v>
      </c>
      <c r="F919">
        <v>94229</v>
      </c>
      <c r="G919">
        <v>3425</v>
      </c>
      <c r="H919" s="26">
        <v>4540.55</v>
      </c>
      <c r="I919">
        <v>258</v>
      </c>
      <c r="J919" t="s">
        <v>30</v>
      </c>
      <c r="L919" t="s">
        <v>16</v>
      </c>
    </row>
    <row r="920" spans="1:12">
      <c r="A920" t="s">
        <v>1914</v>
      </c>
      <c r="B920" t="s">
        <v>1915</v>
      </c>
      <c r="C920" s="27">
        <v>45032</v>
      </c>
      <c r="D920" s="25">
        <v>45036</v>
      </c>
      <c r="E920" t="s">
        <v>14</v>
      </c>
      <c r="F920">
        <v>52745</v>
      </c>
      <c r="G920">
        <v>1059</v>
      </c>
      <c r="H920">
        <v>1784.44</v>
      </c>
      <c r="I920">
        <v>82</v>
      </c>
      <c r="J920">
        <v>1</v>
      </c>
      <c r="L920" t="s">
        <v>16</v>
      </c>
    </row>
    <row r="921" spans="1:12">
      <c r="A921" t="s">
        <v>1916</v>
      </c>
      <c r="B921" t="s">
        <v>1917</v>
      </c>
      <c r="C921" s="27">
        <v>44959</v>
      </c>
      <c r="D921" s="25">
        <v>44982</v>
      </c>
      <c r="E921" t="s">
        <v>19</v>
      </c>
      <c r="F921">
        <v>92865</v>
      </c>
      <c r="G921">
        <v>1746</v>
      </c>
      <c r="H921" s="26">
        <v>1705.8</v>
      </c>
      <c r="J921" t="b">
        <v>0</v>
      </c>
      <c r="L921" t="s">
        <v>20</v>
      </c>
    </row>
    <row r="922" spans="1:12">
      <c r="A922" t="s">
        <v>1918</v>
      </c>
      <c r="B922" t="s">
        <v>1919</v>
      </c>
      <c r="C922" s="27">
        <v>45201</v>
      </c>
      <c r="D922" s="25">
        <v>45218</v>
      </c>
      <c r="E922" t="s">
        <v>41</v>
      </c>
      <c r="F922">
        <v>82818</v>
      </c>
      <c r="G922">
        <v>2446</v>
      </c>
      <c r="H922">
        <v>3350.03</v>
      </c>
      <c r="I922">
        <v>155</v>
      </c>
      <c r="J922" t="b">
        <v>0</v>
      </c>
      <c r="L922" t="s">
        <v>42</v>
      </c>
    </row>
    <row r="923" spans="1:12">
      <c r="A923" t="s">
        <v>1920</v>
      </c>
      <c r="B923" t="s">
        <v>1921</v>
      </c>
      <c r="C923" s="27">
        <v>45161</v>
      </c>
      <c r="D923" s="25">
        <v>45177</v>
      </c>
      <c r="E923" t="s">
        <v>33</v>
      </c>
      <c r="F923">
        <v>24624</v>
      </c>
      <c r="G923">
        <v>972</v>
      </c>
      <c r="H923">
        <v>989.92</v>
      </c>
      <c r="I923">
        <v>129</v>
      </c>
      <c r="J923" t="s">
        <v>24</v>
      </c>
      <c r="L923" t="s">
        <v>68</v>
      </c>
    </row>
    <row r="924" spans="1:12">
      <c r="A924" t="s">
        <v>1922</v>
      </c>
      <c r="B924" t="s">
        <v>1923</v>
      </c>
      <c r="C924" s="27">
        <v>45177</v>
      </c>
      <c r="D924" s="25">
        <v>45183</v>
      </c>
      <c r="E924" t="s">
        <v>33</v>
      </c>
      <c r="F924">
        <v>24321</v>
      </c>
      <c r="G924">
        <v>754</v>
      </c>
      <c r="H924">
        <v>1299.64</v>
      </c>
      <c r="I924">
        <v>138</v>
      </c>
      <c r="J924">
        <v>1</v>
      </c>
      <c r="L924" t="s">
        <v>34</v>
      </c>
    </row>
    <row r="925" spans="1:12">
      <c r="A925" t="s">
        <v>1924</v>
      </c>
      <c r="B925" t="s">
        <v>1925</v>
      </c>
      <c r="C925" s="27">
        <v>45232</v>
      </c>
      <c r="D925" s="25">
        <v>45261</v>
      </c>
      <c r="E925" t="s">
        <v>14</v>
      </c>
      <c r="F925">
        <v>11488</v>
      </c>
      <c r="G925">
        <v>129</v>
      </c>
      <c r="H925" s="26">
        <v>154.81</v>
      </c>
      <c r="I925">
        <v>12</v>
      </c>
      <c r="J925" t="b">
        <v>1</v>
      </c>
      <c r="L925" t="s">
        <v>68</v>
      </c>
    </row>
    <row r="926" spans="1:12">
      <c r="A926" t="s">
        <v>1926</v>
      </c>
      <c r="B926" t="s">
        <v>1927</v>
      </c>
      <c r="C926" s="27">
        <v>44985</v>
      </c>
      <c r="D926" s="25">
        <v>45000</v>
      </c>
      <c r="E926" t="s">
        <v>19</v>
      </c>
      <c r="F926">
        <v>23574</v>
      </c>
      <c r="G926">
        <v>1054</v>
      </c>
      <c r="H926">
        <v>-648.3</v>
      </c>
      <c r="I926">
        <v>104</v>
      </c>
      <c r="J926" t="s">
        <v>30</v>
      </c>
      <c r="L926" t="s">
        <v>20</v>
      </c>
    </row>
    <row r="927" spans="1:12">
      <c r="A927" t="s">
        <v>1928</v>
      </c>
      <c r="B927" t="s">
        <v>1929</v>
      </c>
      <c r="C927" s="27">
        <v>45243</v>
      </c>
      <c r="D927" s="25">
        <v>45253</v>
      </c>
      <c r="E927" t="s">
        <v>14</v>
      </c>
      <c r="F927">
        <v>6240</v>
      </c>
      <c r="G927">
        <v>78</v>
      </c>
      <c r="H927">
        <v>58.43</v>
      </c>
      <c r="J927" t="s">
        <v>30</v>
      </c>
      <c r="L927" t="s">
        <v>16</v>
      </c>
    </row>
    <row r="928" spans="1:12">
      <c r="A928" t="s">
        <v>1930</v>
      </c>
      <c r="B928" t="s">
        <v>1931</v>
      </c>
      <c r="C928" s="27">
        <v>45079</v>
      </c>
      <c r="D928" s="25">
        <v>45107</v>
      </c>
      <c r="E928" t="s">
        <v>23</v>
      </c>
      <c r="F928">
        <v>44221</v>
      </c>
      <c r="G928">
        <v>2132</v>
      </c>
      <c r="H928">
        <v>1261.41</v>
      </c>
      <c r="I928">
        <v>230</v>
      </c>
      <c r="J928" t="s">
        <v>24</v>
      </c>
      <c r="L928" t="s">
        <v>25</v>
      </c>
    </row>
    <row r="929" spans="1:12">
      <c r="A929" t="s">
        <v>1932</v>
      </c>
      <c r="B929" t="s">
        <v>1933</v>
      </c>
      <c r="C929" s="27">
        <v>45271</v>
      </c>
      <c r="D929" s="25">
        <v>45277</v>
      </c>
      <c r="E929" t="s">
        <v>41</v>
      </c>
      <c r="F929">
        <v>11478</v>
      </c>
      <c r="G929">
        <v>126</v>
      </c>
      <c r="H929" s="26">
        <v>157.37</v>
      </c>
      <c r="I929">
        <v>7</v>
      </c>
      <c r="J929" t="b">
        <v>0</v>
      </c>
      <c r="L929" t="s">
        <v>42</v>
      </c>
    </row>
    <row r="930" spans="1:12">
      <c r="A930" t="s">
        <v>1934</v>
      </c>
      <c r="B930" t="s">
        <v>1935</v>
      </c>
      <c r="C930" s="27">
        <v>45083</v>
      </c>
      <c r="D930" s="25">
        <v>45085</v>
      </c>
      <c r="E930" t="s">
        <v>14</v>
      </c>
      <c r="F930">
        <v>56645</v>
      </c>
      <c r="G930">
        <v>2139</v>
      </c>
      <c r="H930">
        <v>1410.68</v>
      </c>
      <c r="I930">
        <v>401</v>
      </c>
      <c r="J930" t="s">
        <v>24</v>
      </c>
      <c r="L930" t="s">
        <v>16</v>
      </c>
    </row>
    <row r="931" spans="1:12">
      <c r="A931" t="s">
        <v>1936</v>
      </c>
      <c r="B931" t="s">
        <v>1937</v>
      </c>
      <c r="C931" s="27">
        <v>44999</v>
      </c>
      <c r="D931" s="25">
        <v>45009</v>
      </c>
      <c r="E931" t="s">
        <v>33</v>
      </c>
      <c r="F931">
        <v>20262</v>
      </c>
      <c r="G931">
        <v>269</v>
      </c>
      <c r="H931">
        <v>180.56</v>
      </c>
      <c r="I931">
        <v>40</v>
      </c>
      <c r="J931" t="b">
        <v>0</v>
      </c>
      <c r="L931" t="s">
        <v>34</v>
      </c>
    </row>
    <row r="932" spans="1:12">
      <c r="A932" t="s">
        <v>1938</v>
      </c>
      <c r="B932" t="s">
        <v>1939</v>
      </c>
      <c r="C932" s="27">
        <v>44997</v>
      </c>
      <c r="D932" s="25">
        <v>45017</v>
      </c>
      <c r="E932" t="s">
        <v>23</v>
      </c>
      <c r="F932">
        <v>53796</v>
      </c>
      <c r="G932">
        <v>2497</v>
      </c>
      <c r="H932">
        <v>4773.2</v>
      </c>
      <c r="I932">
        <v>495</v>
      </c>
      <c r="J932">
        <v>1</v>
      </c>
      <c r="L932" t="s">
        <v>25</v>
      </c>
    </row>
    <row r="933" spans="1:12">
      <c r="A933" t="s">
        <v>1940</v>
      </c>
      <c r="B933" t="s">
        <v>1941</v>
      </c>
      <c r="C933" s="27">
        <v>45176</v>
      </c>
      <c r="D933" s="25">
        <v>45187</v>
      </c>
      <c r="E933" t="s">
        <v>33</v>
      </c>
      <c r="F933">
        <v>5432</v>
      </c>
      <c r="G933">
        <v>155</v>
      </c>
      <c r="H933">
        <v>280.39</v>
      </c>
      <c r="I933">
        <v>28</v>
      </c>
      <c r="J933" t="s">
        <v>15</v>
      </c>
      <c r="L933" t="s">
        <v>34</v>
      </c>
    </row>
    <row r="934" spans="1:12">
      <c r="A934" t="s">
        <v>1942</v>
      </c>
      <c r="B934" t="s">
        <v>1943</v>
      </c>
      <c r="C934" s="27">
        <v>45257</v>
      </c>
      <c r="D934" s="25">
        <v>45252</v>
      </c>
      <c r="E934" t="s">
        <v>14</v>
      </c>
      <c r="F934">
        <v>96257</v>
      </c>
      <c r="G934">
        <v>1492</v>
      </c>
      <c r="H934">
        <v>1757.77</v>
      </c>
      <c r="J934" t="b">
        <v>1</v>
      </c>
      <c r="L934" t="s">
        <v>16</v>
      </c>
    </row>
    <row r="935" spans="1:12">
      <c r="A935" t="s">
        <v>1944</v>
      </c>
      <c r="B935" t="s">
        <v>1945</v>
      </c>
      <c r="C935" s="27">
        <v>45012</v>
      </c>
      <c r="D935" s="25">
        <v>45016</v>
      </c>
      <c r="E935" t="s">
        <v>14</v>
      </c>
      <c r="F935">
        <v>65291</v>
      </c>
      <c r="G935">
        <v>1542</v>
      </c>
      <c r="H935">
        <v>3051.17</v>
      </c>
      <c r="I935">
        <v>197</v>
      </c>
      <c r="J935">
        <v>0</v>
      </c>
      <c r="L935" t="s">
        <v>16</v>
      </c>
    </row>
    <row r="936" spans="1:12">
      <c r="A936" t="s">
        <v>1946</v>
      </c>
      <c r="B936" t="s">
        <v>1947</v>
      </c>
      <c r="C936" s="27">
        <v>45088</v>
      </c>
      <c r="D936" s="25">
        <v>45110</v>
      </c>
      <c r="E936" t="s">
        <v>23</v>
      </c>
      <c r="F936">
        <v>80104</v>
      </c>
      <c r="G936">
        <v>1329</v>
      </c>
      <c r="H936">
        <v>664.87</v>
      </c>
      <c r="I936">
        <v>104</v>
      </c>
      <c r="J936" t="s">
        <v>15</v>
      </c>
      <c r="L936" t="s">
        <v>25</v>
      </c>
    </row>
    <row r="937" spans="1:12">
      <c r="A937" t="s">
        <v>1948</v>
      </c>
      <c r="B937" t="s">
        <v>1949</v>
      </c>
      <c r="C937" s="27">
        <v>45110</v>
      </c>
      <c r="D937" s="25">
        <v>45115</v>
      </c>
      <c r="E937" t="s">
        <v>41</v>
      </c>
      <c r="F937">
        <v>60399</v>
      </c>
      <c r="G937">
        <v>1016</v>
      </c>
      <c r="H937">
        <v>1443.7</v>
      </c>
      <c r="I937">
        <v>121</v>
      </c>
      <c r="J937" t="s">
        <v>15</v>
      </c>
      <c r="L937" t="s">
        <v>42</v>
      </c>
    </row>
    <row r="938" spans="1:12">
      <c r="A938" t="s">
        <v>1950</v>
      </c>
      <c r="B938" t="s">
        <v>1951</v>
      </c>
      <c r="C938" s="27">
        <v>45026</v>
      </c>
      <c r="D938" s="25">
        <v>45053</v>
      </c>
      <c r="E938" t="s">
        <v>14</v>
      </c>
      <c r="F938">
        <v>80714</v>
      </c>
      <c r="G938">
        <v>3868</v>
      </c>
      <c r="H938">
        <v>5510.52</v>
      </c>
      <c r="I938">
        <v>717</v>
      </c>
      <c r="J938" t="b">
        <v>0</v>
      </c>
      <c r="L938" t="s">
        <v>16</v>
      </c>
    </row>
    <row r="939" spans="1:12">
      <c r="A939" t="s">
        <v>1952</v>
      </c>
      <c r="B939" t="s">
        <v>1953</v>
      </c>
      <c r="C939" s="27">
        <v>45185</v>
      </c>
      <c r="D939" s="25">
        <v>45188</v>
      </c>
      <c r="E939" t="s">
        <v>19</v>
      </c>
      <c r="F939">
        <v>51428</v>
      </c>
      <c r="G939">
        <v>1430</v>
      </c>
      <c r="H939">
        <v>1696.22</v>
      </c>
      <c r="I939">
        <v>82</v>
      </c>
      <c r="J939" t="b">
        <v>0</v>
      </c>
      <c r="L939" t="s">
        <v>68</v>
      </c>
    </row>
    <row r="940" spans="1:12">
      <c r="A940" t="s">
        <v>1954</v>
      </c>
      <c r="B940" t="s">
        <v>1955</v>
      </c>
      <c r="C940" s="27">
        <v>45178</v>
      </c>
      <c r="D940" s="25">
        <v>45185</v>
      </c>
      <c r="E940" t="s">
        <v>23</v>
      </c>
      <c r="F940">
        <v>88731</v>
      </c>
      <c r="G940">
        <v>3686</v>
      </c>
      <c r="H940">
        <v>4037.73</v>
      </c>
      <c r="I940">
        <v>661</v>
      </c>
      <c r="J940" t="b">
        <v>0</v>
      </c>
      <c r="L940" t="s">
        <v>25</v>
      </c>
    </row>
    <row r="941" spans="1:12">
      <c r="A941" t="s">
        <v>1956</v>
      </c>
      <c r="B941" t="s">
        <v>1957</v>
      </c>
      <c r="C941" s="27">
        <v>45177</v>
      </c>
      <c r="D941" s="25">
        <v>45193</v>
      </c>
      <c r="E941" t="s">
        <v>19</v>
      </c>
      <c r="F941">
        <v>1302</v>
      </c>
      <c r="G941">
        <v>46</v>
      </c>
      <c r="H941">
        <v>54.42</v>
      </c>
      <c r="I941">
        <v>4</v>
      </c>
      <c r="J941" t="s">
        <v>15</v>
      </c>
      <c r="L941" t="s">
        <v>20</v>
      </c>
    </row>
    <row r="942" spans="1:12">
      <c r="A942" t="s">
        <v>1958</v>
      </c>
      <c r="B942" t="s">
        <v>1959</v>
      </c>
      <c r="C942" s="27">
        <v>45039</v>
      </c>
      <c r="D942" s="25">
        <v>45055</v>
      </c>
      <c r="E942" t="s">
        <v>14</v>
      </c>
      <c r="F942">
        <v>83558</v>
      </c>
      <c r="G942">
        <v>3096</v>
      </c>
      <c r="H942">
        <v>3475.08</v>
      </c>
      <c r="I942">
        <v>572</v>
      </c>
      <c r="J942" t="s">
        <v>24</v>
      </c>
      <c r="L942" t="s">
        <v>16</v>
      </c>
    </row>
    <row r="943" spans="1:12">
      <c r="A943" t="s">
        <v>1960</v>
      </c>
      <c r="B943" t="s">
        <v>1961</v>
      </c>
      <c r="C943" s="27">
        <v>45202</v>
      </c>
      <c r="D943" s="25">
        <v>45210</v>
      </c>
      <c r="E943" t="s">
        <v>33</v>
      </c>
      <c r="F943">
        <v>1055</v>
      </c>
      <c r="G943">
        <v>16</v>
      </c>
      <c r="H943">
        <v>25.53</v>
      </c>
      <c r="I943">
        <v>3</v>
      </c>
      <c r="J943" t="b">
        <v>1</v>
      </c>
      <c r="L943" t="s">
        <v>68</v>
      </c>
    </row>
    <row r="944" spans="1:12">
      <c r="A944" t="s">
        <v>1962</v>
      </c>
      <c r="B944" t="s">
        <v>1963</v>
      </c>
      <c r="C944" s="27">
        <v>45216</v>
      </c>
      <c r="D944" s="25">
        <v>45217</v>
      </c>
      <c r="E944" t="s">
        <v>14</v>
      </c>
      <c r="F944">
        <v>9717</v>
      </c>
      <c r="G944">
        <v>188</v>
      </c>
      <c r="H944">
        <v>132.17</v>
      </c>
      <c r="I944">
        <v>28</v>
      </c>
      <c r="J944" t="s">
        <v>24</v>
      </c>
      <c r="L944" t="s">
        <v>16</v>
      </c>
    </row>
    <row r="945" spans="1:12">
      <c r="A945" t="s">
        <v>1964</v>
      </c>
      <c r="B945" t="s">
        <v>1965</v>
      </c>
      <c r="C945" s="27">
        <v>45208</v>
      </c>
      <c r="D945" s="25">
        <v>45221</v>
      </c>
      <c r="E945" t="s">
        <v>33</v>
      </c>
      <c r="F945">
        <v>29699</v>
      </c>
      <c r="G945">
        <v>1231</v>
      </c>
      <c r="H945">
        <v>980.44</v>
      </c>
      <c r="I945">
        <v>184</v>
      </c>
      <c r="J945" t="b">
        <v>0</v>
      </c>
      <c r="L945" t="s">
        <v>34</v>
      </c>
    </row>
    <row r="946" spans="1:12">
      <c r="A946" t="s">
        <v>1966</v>
      </c>
      <c r="B946" t="s">
        <v>1967</v>
      </c>
      <c r="C946" s="27">
        <v>45064</v>
      </c>
      <c r="D946" s="25">
        <v>45089</v>
      </c>
      <c r="E946" t="s">
        <v>138</v>
      </c>
      <c r="F946">
        <v>74686</v>
      </c>
      <c r="G946">
        <v>3646</v>
      </c>
      <c r="H946">
        <v>2810.25</v>
      </c>
      <c r="I946">
        <v>429</v>
      </c>
      <c r="J946" t="s">
        <v>30</v>
      </c>
      <c r="L946" t="s">
        <v>139</v>
      </c>
    </row>
    <row r="947" spans="1:12">
      <c r="A947" t="s">
        <v>1968</v>
      </c>
      <c r="B947" t="s">
        <v>1969</v>
      </c>
      <c r="C947" s="27">
        <v>45114</v>
      </c>
      <c r="D947" s="25">
        <v>45138</v>
      </c>
      <c r="E947" t="s">
        <v>23</v>
      </c>
      <c r="F947">
        <v>68661</v>
      </c>
      <c r="G947">
        <v>1408</v>
      </c>
      <c r="H947" s="26">
        <v>1258.34</v>
      </c>
      <c r="I947">
        <v>246</v>
      </c>
      <c r="J947" t="s">
        <v>24</v>
      </c>
      <c r="L947" t="s">
        <v>25</v>
      </c>
    </row>
    <row r="948" spans="1:12">
      <c r="A948" t="s">
        <v>1970</v>
      </c>
      <c r="B948" t="s">
        <v>1971</v>
      </c>
      <c r="C948" s="27">
        <v>45152</v>
      </c>
      <c r="D948" s="25">
        <v>45178</v>
      </c>
      <c r="E948" t="s">
        <v>14</v>
      </c>
      <c r="F948">
        <v>45247</v>
      </c>
      <c r="G948">
        <v>943</v>
      </c>
      <c r="H948" s="26">
        <v>1214.48</v>
      </c>
      <c r="I948">
        <v>183</v>
      </c>
      <c r="J948" t="b">
        <v>1</v>
      </c>
      <c r="L948" t="s">
        <v>16</v>
      </c>
    </row>
    <row r="949" spans="1:12">
      <c r="A949" t="s">
        <v>1972</v>
      </c>
      <c r="B949" t="s">
        <v>1973</v>
      </c>
      <c r="C949" s="27">
        <v>44979</v>
      </c>
      <c r="D949" s="25">
        <v>45000</v>
      </c>
      <c r="E949" t="s">
        <v>23</v>
      </c>
      <c r="F949">
        <v>17748</v>
      </c>
      <c r="G949">
        <v>513</v>
      </c>
      <c r="H949">
        <v>342.08</v>
      </c>
      <c r="I949">
        <v>85</v>
      </c>
      <c r="J949" t="s">
        <v>30</v>
      </c>
      <c r="L949" t="s">
        <v>25</v>
      </c>
    </row>
    <row r="950" spans="1:12">
      <c r="A950" t="s">
        <v>1974</v>
      </c>
      <c r="B950" t="s">
        <v>1975</v>
      </c>
      <c r="C950" s="27">
        <v>45053</v>
      </c>
      <c r="D950" s="25">
        <v>45082</v>
      </c>
      <c r="E950" t="s">
        <v>41</v>
      </c>
      <c r="F950">
        <v>5621</v>
      </c>
      <c r="G950">
        <v>277</v>
      </c>
      <c r="H950">
        <v>499.22</v>
      </c>
      <c r="I950">
        <v>39</v>
      </c>
      <c r="J950" t="b">
        <v>1</v>
      </c>
      <c r="L950" t="s">
        <v>42</v>
      </c>
    </row>
    <row r="951" spans="1:12">
      <c r="A951" t="s">
        <v>1976</v>
      </c>
      <c r="B951" t="s">
        <v>1977</v>
      </c>
      <c r="C951" s="27">
        <v>45157</v>
      </c>
      <c r="D951" s="25">
        <v>45163</v>
      </c>
      <c r="E951" t="s">
        <v>19</v>
      </c>
      <c r="F951">
        <v>16034</v>
      </c>
      <c r="G951">
        <v>332</v>
      </c>
      <c r="H951">
        <v>314.09</v>
      </c>
      <c r="I951">
        <v>46</v>
      </c>
      <c r="J951" t="b">
        <v>0</v>
      </c>
      <c r="L951" t="s">
        <v>20</v>
      </c>
    </row>
    <row r="952" spans="1:12">
      <c r="A952" t="s">
        <v>1978</v>
      </c>
      <c r="B952" t="s">
        <v>1979</v>
      </c>
      <c r="C952" s="27">
        <v>44971</v>
      </c>
      <c r="D952" s="25">
        <v>44996</v>
      </c>
      <c r="E952" t="s">
        <v>23</v>
      </c>
      <c r="F952">
        <v>6126</v>
      </c>
      <c r="G952">
        <v>160</v>
      </c>
      <c r="H952">
        <v>119.01</v>
      </c>
      <c r="I952">
        <v>28</v>
      </c>
      <c r="J952" t="s">
        <v>24</v>
      </c>
      <c r="L952" t="s">
        <v>25</v>
      </c>
    </row>
    <row r="953" spans="1:12">
      <c r="A953" t="s">
        <v>1980</v>
      </c>
      <c r="B953" t="s">
        <v>1981</v>
      </c>
      <c r="C953" s="27">
        <v>45048</v>
      </c>
      <c r="D953" s="25">
        <v>45061</v>
      </c>
      <c r="E953" t="s">
        <v>33</v>
      </c>
      <c r="F953">
        <v>6122</v>
      </c>
      <c r="G953">
        <v>279</v>
      </c>
      <c r="H953">
        <v>422.25</v>
      </c>
      <c r="I953">
        <v>36</v>
      </c>
      <c r="J953">
        <v>0</v>
      </c>
      <c r="L953" t="s">
        <v>34</v>
      </c>
    </row>
    <row r="954" spans="1:12">
      <c r="A954" t="s">
        <v>1982</v>
      </c>
      <c r="B954" t="s">
        <v>1983</v>
      </c>
      <c r="C954" s="27">
        <v>45279</v>
      </c>
      <c r="D954" s="25">
        <v>45281</v>
      </c>
      <c r="E954" t="s">
        <v>14</v>
      </c>
      <c r="F954">
        <v>19030</v>
      </c>
      <c r="G954">
        <v>192</v>
      </c>
      <c r="H954">
        <v>106.97</v>
      </c>
      <c r="I954">
        <v>32</v>
      </c>
      <c r="J954">
        <v>1</v>
      </c>
      <c r="L954" t="s">
        <v>16</v>
      </c>
    </row>
    <row r="955" spans="1:12">
      <c r="A955" t="s">
        <v>1984</v>
      </c>
      <c r="B955" t="s">
        <v>1985</v>
      </c>
      <c r="C955" s="27">
        <v>45250</v>
      </c>
      <c r="D955" s="25">
        <v>45260</v>
      </c>
      <c r="E955" t="s">
        <v>23</v>
      </c>
      <c r="F955">
        <v>83838</v>
      </c>
      <c r="G955">
        <v>971</v>
      </c>
      <c r="H955">
        <v>1388.48</v>
      </c>
      <c r="I955">
        <v>122</v>
      </c>
      <c r="J955" t="b">
        <v>0</v>
      </c>
      <c r="L955" t="s">
        <v>25</v>
      </c>
    </row>
    <row r="956" spans="1:12">
      <c r="A956" t="s">
        <v>1986</v>
      </c>
      <c r="B956" t="s">
        <v>1987</v>
      </c>
      <c r="C956" s="27">
        <v>45032</v>
      </c>
      <c r="D956" s="25">
        <v>45038</v>
      </c>
      <c r="E956" t="s">
        <v>23</v>
      </c>
      <c r="F956">
        <v>85717</v>
      </c>
      <c r="G956">
        <v>2928</v>
      </c>
      <c r="H956">
        <v>4530.49</v>
      </c>
      <c r="I956">
        <v>173</v>
      </c>
      <c r="J956" t="s">
        <v>15</v>
      </c>
      <c r="L956" t="s">
        <v>25</v>
      </c>
    </row>
    <row r="957" spans="1:12">
      <c r="A957" t="s">
        <v>1988</v>
      </c>
      <c r="B957" t="s">
        <v>1989</v>
      </c>
      <c r="C957" s="27">
        <v>45218</v>
      </c>
      <c r="D957" s="25">
        <v>45226</v>
      </c>
      <c r="E957" t="s">
        <v>41</v>
      </c>
      <c r="F957">
        <v>56658</v>
      </c>
      <c r="G957">
        <v>2622</v>
      </c>
      <c r="H957">
        <v>2156.27</v>
      </c>
      <c r="I957">
        <v>282</v>
      </c>
      <c r="J957">
        <v>0</v>
      </c>
      <c r="L957" t="s">
        <v>42</v>
      </c>
    </row>
    <row r="958" spans="1:12">
      <c r="A958" t="s">
        <v>1990</v>
      </c>
      <c r="B958" t="s">
        <v>1991</v>
      </c>
      <c r="C958" s="27">
        <v>45202</v>
      </c>
      <c r="D958" s="25">
        <v>45213</v>
      </c>
      <c r="E958" t="s">
        <v>14</v>
      </c>
      <c r="F958">
        <v>39638</v>
      </c>
      <c r="G958">
        <v>775</v>
      </c>
      <c r="H958">
        <v>436.28</v>
      </c>
      <c r="I958">
        <v>90</v>
      </c>
      <c r="J958" t="s">
        <v>15</v>
      </c>
      <c r="L958" t="s">
        <v>16</v>
      </c>
    </row>
    <row r="959" spans="1:12">
      <c r="A959" t="s">
        <v>1992</v>
      </c>
      <c r="B959" t="s">
        <v>1993</v>
      </c>
      <c r="C959" s="27">
        <v>45076</v>
      </c>
      <c r="D959" s="25">
        <v>45104</v>
      </c>
      <c r="E959" t="s">
        <v>41</v>
      </c>
      <c r="F959">
        <v>68067</v>
      </c>
      <c r="G959">
        <v>1959</v>
      </c>
      <c r="H959">
        <v>2048.07</v>
      </c>
      <c r="I959">
        <v>139</v>
      </c>
      <c r="J959" t="b">
        <v>1</v>
      </c>
      <c r="L959" t="s">
        <v>42</v>
      </c>
    </row>
    <row r="960" spans="1:12">
      <c r="A960" t="s">
        <v>1994</v>
      </c>
      <c r="B960" t="s">
        <v>1995</v>
      </c>
      <c r="C960" s="27">
        <v>45190</v>
      </c>
      <c r="D960" s="25">
        <v>45212</v>
      </c>
      <c r="E960" t="s">
        <v>23</v>
      </c>
      <c r="F960">
        <v>89869</v>
      </c>
      <c r="G960">
        <v>2518</v>
      </c>
      <c r="H960">
        <v>1631.39</v>
      </c>
      <c r="I960">
        <v>164</v>
      </c>
      <c r="J960" t="s">
        <v>15</v>
      </c>
      <c r="L960" t="s">
        <v>25</v>
      </c>
    </row>
    <row r="961" spans="1:12">
      <c r="A961" t="s">
        <v>1996</v>
      </c>
      <c r="B961" t="s">
        <v>1997</v>
      </c>
      <c r="C961" s="27">
        <v>44975</v>
      </c>
      <c r="D961" s="25">
        <v>44994</v>
      </c>
      <c r="E961" t="s">
        <v>33</v>
      </c>
      <c r="F961">
        <v>35674</v>
      </c>
      <c r="G961">
        <v>1031</v>
      </c>
      <c r="H961">
        <v>695.63</v>
      </c>
      <c r="I961">
        <v>134</v>
      </c>
      <c r="J961">
        <v>0</v>
      </c>
      <c r="L961" t="s">
        <v>34</v>
      </c>
    </row>
    <row r="962" spans="1:12">
      <c r="A962" t="s">
        <v>1998</v>
      </c>
      <c r="B962" t="s">
        <v>1999</v>
      </c>
      <c r="C962" s="27">
        <v>45137</v>
      </c>
      <c r="D962" s="25">
        <v>45132</v>
      </c>
      <c r="E962" t="s">
        <v>138</v>
      </c>
      <c r="F962">
        <v>36854</v>
      </c>
      <c r="G962">
        <v>1286</v>
      </c>
      <c r="H962">
        <v>1133.47</v>
      </c>
      <c r="I962">
        <v>80</v>
      </c>
      <c r="J962">
        <v>0</v>
      </c>
      <c r="L962" t="s">
        <v>139</v>
      </c>
    </row>
    <row r="963" spans="1:12">
      <c r="A963" t="s">
        <v>2000</v>
      </c>
      <c r="B963" t="s">
        <v>2001</v>
      </c>
      <c r="C963" s="27">
        <v>45262</v>
      </c>
      <c r="D963" s="25">
        <v>45278</v>
      </c>
      <c r="E963" t="s">
        <v>19</v>
      </c>
      <c r="F963">
        <v>47271</v>
      </c>
      <c r="G963">
        <v>1360</v>
      </c>
      <c r="H963" s="26">
        <v>1282.75</v>
      </c>
      <c r="I963">
        <v>129</v>
      </c>
      <c r="J963" t="b">
        <v>0</v>
      </c>
      <c r="L963" t="s">
        <v>20</v>
      </c>
    </row>
    <row r="964" spans="1:12">
      <c r="A964" t="s">
        <v>2002</v>
      </c>
      <c r="B964" t="s">
        <v>2003</v>
      </c>
      <c r="C964" s="27">
        <v>45054</v>
      </c>
      <c r="D964" s="25">
        <v>45062</v>
      </c>
      <c r="E964" t="s">
        <v>41</v>
      </c>
      <c r="F964">
        <v>74688</v>
      </c>
      <c r="G964">
        <v>2083</v>
      </c>
      <c r="H964">
        <v>2697.39</v>
      </c>
      <c r="I964">
        <v>336</v>
      </c>
      <c r="J964" t="s">
        <v>30</v>
      </c>
      <c r="L964" t="s">
        <v>42</v>
      </c>
    </row>
    <row r="965" spans="1:12">
      <c r="A965" t="s">
        <v>2004</v>
      </c>
      <c r="B965" t="s">
        <v>2005</v>
      </c>
      <c r="C965" s="27">
        <v>45053</v>
      </c>
      <c r="D965" s="25">
        <v>45076</v>
      </c>
      <c r="E965" t="s">
        <v>415</v>
      </c>
      <c r="F965">
        <v>39518</v>
      </c>
      <c r="G965">
        <v>1144</v>
      </c>
      <c r="H965">
        <v>1736.12</v>
      </c>
      <c r="I965">
        <v>222</v>
      </c>
      <c r="J965" t="b">
        <v>0</v>
      </c>
      <c r="L965" t="s">
        <v>34</v>
      </c>
    </row>
    <row r="966" spans="1:12">
      <c r="A966" t="s">
        <v>2006</v>
      </c>
      <c r="B966" t="s">
        <v>2007</v>
      </c>
      <c r="C966" s="27">
        <v>45177</v>
      </c>
      <c r="D966" s="25">
        <v>45192</v>
      </c>
      <c r="E966" t="s">
        <v>23</v>
      </c>
      <c r="F966">
        <v>11267</v>
      </c>
      <c r="G966">
        <v>378</v>
      </c>
      <c r="H966">
        <v>525.1</v>
      </c>
      <c r="J966" t="b">
        <v>1</v>
      </c>
      <c r="L966" t="s">
        <v>25</v>
      </c>
    </row>
    <row r="967" spans="1:12">
      <c r="A967" t="s">
        <v>2008</v>
      </c>
      <c r="B967" t="s">
        <v>2009</v>
      </c>
      <c r="C967" s="27">
        <v>45248</v>
      </c>
      <c r="D967" s="25">
        <v>45274</v>
      </c>
      <c r="E967" t="s">
        <v>33</v>
      </c>
      <c r="F967">
        <v>91825</v>
      </c>
      <c r="G967">
        <v>2890</v>
      </c>
      <c r="H967">
        <v>2088.14</v>
      </c>
      <c r="I967">
        <v>574</v>
      </c>
      <c r="J967" t="s">
        <v>15</v>
      </c>
      <c r="L967" t="s">
        <v>34</v>
      </c>
    </row>
    <row r="968" spans="1:12">
      <c r="A968" t="s">
        <v>2010</v>
      </c>
      <c r="B968" t="s">
        <v>2011</v>
      </c>
      <c r="C968" s="27">
        <v>45251</v>
      </c>
      <c r="D968" s="25">
        <v>45274</v>
      </c>
      <c r="E968" t="s">
        <v>41</v>
      </c>
      <c r="F968">
        <v>2062</v>
      </c>
      <c r="G968">
        <v>91</v>
      </c>
      <c r="H968">
        <v>68.99</v>
      </c>
      <c r="I968">
        <v>14</v>
      </c>
      <c r="J968" t="s">
        <v>30</v>
      </c>
      <c r="L968" t="s">
        <v>42</v>
      </c>
    </row>
    <row r="969" spans="1:12">
      <c r="A969" t="s">
        <v>2012</v>
      </c>
      <c r="B969" t="s">
        <v>2013</v>
      </c>
      <c r="C969" s="27">
        <v>45133</v>
      </c>
      <c r="D969" s="25">
        <v>45163</v>
      </c>
      <c r="E969" t="s">
        <v>23</v>
      </c>
      <c r="F969">
        <v>51448</v>
      </c>
      <c r="G969">
        <v>616</v>
      </c>
      <c r="H969">
        <v>1119.98</v>
      </c>
      <c r="I969">
        <v>57</v>
      </c>
      <c r="J969" t="s">
        <v>24</v>
      </c>
      <c r="L969" t="s">
        <v>25</v>
      </c>
    </row>
    <row r="970" spans="1:12">
      <c r="A970" t="s">
        <v>2014</v>
      </c>
      <c r="B970" t="s">
        <v>2015</v>
      </c>
      <c r="C970" s="27">
        <v>45115</v>
      </c>
      <c r="D970" s="25">
        <v>45119</v>
      </c>
      <c r="E970" t="s">
        <v>19</v>
      </c>
      <c r="F970">
        <v>96462</v>
      </c>
      <c r="G970">
        <v>4179</v>
      </c>
      <c r="H970">
        <v>5589.53</v>
      </c>
      <c r="I970">
        <v>630</v>
      </c>
      <c r="J970">
        <v>1</v>
      </c>
      <c r="L970" t="s">
        <v>20</v>
      </c>
    </row>
    <row r="971" spans="1:12">
      <c r="A971" t="s">
        <v>2016</v>
      </c>
      <c r="B971" t="s">
        <v>2017</v>
      </c>
      <c r="C971" t="s">
        <v>2018</v>
      </c>
      <c r="D971" s="25">
        <v>45228</v>
      </c>
      <c r="E971" t="s">
        <v>41</v>
      </c>
      <c r="F971">
        <v>7229</v>
      </c>
      <c r="G971">
        <v>316</v>
      </c>
      <c r="H971">
        <v>570.35</v>
      </c>
      <c r="I971">
        <v>49</v>
      </c>
      <c r="J971">
        <v>0</v>
      </c>
      <c r="L971" t="s">
        <v>42</v>
      </c>
    </row>
    <row r="972" spans="1:12">
      <c r="A972" t="s">
        <v>2019</v>
      </c>
      <c r="B972" t="s">
        <v>2020</v>
      </c>
      <c r="C972" s="27">
        <v>44974</v>
      </c>
      <c r="D972" s="25">
        <v>44980</v>
      </c>
      <c r="E972" t="s">
        <v>41</v>
      </c>
      <c r="F972">
        <v>57793</v>
      </c>
      <c r="G972">
        <v>1236</v>
      </c>
      <c r="H972">
        <v>1306.85</v>
      </c>
      <c r="I972">
        <v>130</v>
      </c>
      <c r="J972" t="s">
        <v>30</v>
      </c>
      <c r="K972">
        <v>57876</v>
      </c>
      <c r="L972" t="s">
        <v>42</v>
      </c>
    </row>
    <row r="973" spans="1:12">
      <c r="A973" t="s">
        <v>2021</v>
      </c>
      <c r="B973" t="s">
        <v>2022</v>
      </c>
      <c r="C973" s="27">
        <v>45267</v>
      </c>
      <c r="D973" s="25">
        <v>45272</v>
      </c>
      <c r="E973" t="s">
        <v>19</v>
      </c>
      <c r="F973">
        <v>48915</v>
      </c>
      <c r="G973">
        <v>1394</v>
      </c>
      <c r="H973" s="26">
        <v>1981.71</v>
      </c>
      <c r="I973">
        <v>73</v>
      </c>
      <c r="J973" t="s">
        <v>24</v>
      </c>
      <c r="L973" t="s">
        <v>20</v>
      </c>
    </row>
    <row r="974" spans="1:12">
      <c r="A974" t="s">
        <v>2023</v>
      </c>
      <c r="B974" t="s">
        <v>2024</v>
      </c>
      <c r="C974" s="27">
        <v>45200</v>
      </c>
      <c r="D974" s="25">
        <v>45205</v>
      </c>
      <c r="E974" t="s">
        <v>23</v>
      </c>
      <c r="F974">
        <v>5632</v>
      </c>
      <c r="G974">
        <v>155</v>
      </c>
      <c r="H974">
        <v>199.25</v>
      </c>
      <c r="J974" t="s">
        <v>30</v>
      </c>
      <c r="L974" t="s">
        <v>25</v>
      </c>
    </row>
    <row r="975" spans="1:12">
      <c r="A975" t="s">
        <v>2025</v>
      </c>
      <c r="B975" t="s">
        <v>2026</v>
      </c>
      <c r="C975" s="27">
        <v>45035</v>
      </c>
      <c r="D975" s="25">
        <v>45059</v>
      </c>
      <c r="E975" t="s">
        <v>14</v>
      </c>
      <c r="F975">
        <v>4596</v>
      </c>
      <c r="G975">
        <v>86</v>
      </c>
      <c r="H975">
        <v>84.17</v>
      </c>
      <c r="I975">
        <v>4</v>
      </c>
      <c r="J975" t="b">
        <v>0</v>
      </c>
      <c r="L975" t="s">
        <v>16</v>
      </c>
    </row>
    <row r="976" spans="1:12">
      <c r="A976" t="s">
        <v>2027</v>
      </c>
      <c r="B976" t="s">
        <v>2028</v>
      </c>
      <c r="C976" s="27">
        <v>45072</v>
      </c>
      <c r="D976" s="25">
        <v>45092</v>
      </c>
      <c r="E976" t="s">
        <v>33</v>
      </c>
      <c r="F976">
        <v>7168</v>
      </c>
      <c r="G976">
        <v>185</v>
      </c>
      <c r="H976">
        <v>222.9</v>
      </c>
      <c r="I976">
        <v>26</v>
      </c>
      <c r="J976" t="s">
        <v>24</v>
      </c>
      <c r="L976" t="s">
        <v>34</v>
      </c>
    </row>
    <row r="977" spans="1:12">
      <c r="A977" t="s">
        <v>2029</v>
      </c>
      <c r="B977" t="s">
        <v>2030</v>
      </c>
      <c r="C977" s="27">
        <v>45216</v>
      </c>
      <c r="D977" s="25">
        <v>45211</v>
      </c>
      <c r="E977" t="s">
        <v>23</v>
      </c>
      <c r="F977">
        <v>8561</v>
      </c>
      <c r="G977">
        <v>100</v>
      </c>
      <c r="H977">
        <v>125.37</v>
      </c>
      <c r="I977">
        <v>7</v>
      </c>
      <c r="J977">
        <v>1</v>
      </c>
      <c r="L977" t="s">
        <v>25</v>
      </c>
    </row>
    <row r="978" spans="1:12">
      <c r="A978" t="s">
        <v>2031</v>
      </c>
      <c r="B978" t="s">
        <v>2032</v>
      </c>
      <c r="C978" s="25">
        <v>45276</v>
      </c>
      <c r="D978" s="25">
        <v>45277</v>
      </c>
      <c r="E978" t="s">
        <v>23</v>
      </c>
      <c r="F978">
        <v>74794</v>
      </c>
      <c r="G978">
        <v>1579</v>
      </c>
      <c r="H978">
        <v>1265.03</v>
      </c>
      <c r="I978">
        <v>212</v>
      </c>
      <c r="J978">
        <v>0</v>
      </c>
      <c r="L978" t="s">
        <v>25</v>
      </c>
    </row>
    <row r="979" spans="1:12">
      <c r="A979" t="s">
        <v>2033</v>
      </c>
      <c r="B979" t="s">
        <v>2034</v>
      </c>
      <c r="C979" s="27">
        <v>45247</v>
      </c>
      <c r="D979" s="25">
        <v>45262</v>
      </c>
      <c r="E979" t="s">
        <v>33</v>
      </c>
      <c r="F979">
        <v>83152</v>
      </c>
      <c r="G979">
        <v>3547</v>
      </c>
      <c r="H979" s="26">
        <v>3449.51</v>
      </c>
      <c r="I979">
        <v>445</v>
      </c>
      <c r="J979" t="b">
        <v>1</v>
      </c>
      <c r="L979" t="s">
        <v>34</v>
      </c>
    </row>
    <row r="980" spans="1:12">
      <c r="A980" t="s">
        <v>2035</v>
      </c>
      <c r="B980" t="s">
        <v>2036</v>
      </c>
      <c r="C980" s="27">
        <v>44990</v>
      </c>
      <c r="D980" s="25">
        <v>45006</v>
      </c>
      <c r="E980" t="s">
        <v>41</v>
      </c>
      <c r="F980">
        <v>27734</v>
      </c>
      <c r="G980">
        <v>593</v>
      </c>
      <c r="H980">
        <v>1000.46</v>
      </c>
      <c r="I980">
        <v>30</v>
      </c>
      <c r="J980" t="b">
        <v>1</v>
      </c>
      <c r="L980" t="s">
        <v>42</v>
      </c>
    </row>
    <row r="981" spans="1:12">
      <c r="A981" t="s">
        <v>2037</v>
      </c>
      <c r="B981" t="s">
        <v>2038</v>
      </c>
      <c r="C981" t="s">
        <v>677</v>
      </c>
      <c r="D981" s="25">
        <v>45172</v>
      </c>
      <c r="E981" t="s">
        <v>23</v>
      </c>
      <c r="F981">
        <v>7371</v>
      </c>
      <c r="G981">
        <v>314</v>
      </c>
      <c r="H981">
        <v>588.34</v>
      </c>
      <c r="I981">
        <v>32</v>
      </c>
      <c r="J981" t="s">
        <v>30</v>
      </c>
      <c r="L981" t="s">
        <v>25</v>
      </c>
    </row>
    <row r="982" spans="1:12">
      <c r="A982" t="s">
        <v>2039</v>
      </c>
      <c r="B982" t="s">
        <v>2040</v>
      </c>
      <c r="C982" s="27">
        <v>45146</v>
      </c>
      <c r="D982" s="25">
        <v>45172</v>
      </c>
      <c r="E982" t="s">
        <v>14</v>
      </c>
      <c r="F982">
        <v>27069</v>
      </c>
      <c r="G982">
        <v>846</v>
      </c>
      <c r="H982">
        <v>879.58</v>
      </c>
      <c r="I982">
        <v>118</v>
      </c>
      <c r="J982" t="s">
        <v>24</v>
      </c>
      <c r="L982" t="s">
        <v>16</v>
      </c>
    </row>
    <row r="983" spans="1:12">
      <c r="A983" t="s">
        <v>2041</v>
      </c>
      <c r="B983" t="s">
        <v>2042</v>
      </c>
      <c r="C983" s="27">
        <v>44994</v>
      </c>
      <c r="D983" s="25">
        <v>45017</v>
      </c>
      <c r="E983" t="s">
        <v>33</v>
      </c>
      <c r="F983">
        <v>80905</v>
      </c>
      <c r="G983">
        <v>3656</v>
      </c>
      <c r="H983">
        <v>3511.44</v>
      </c>
      <c r="J983" t="s">
        <v>30</v>
      </c>
      <c r="L983" t="s">
        <v>34</v>
      </c>
    </row>
    <row r="984" spans="1:12">
      <c r="A984" t="s">
        <v>2043</v>
      </c>
      <c r="B984" t="s">
        <v>2044</v>
      </c>
      <c r="C984" t="s">
        <v>1616</v>
      </c>
      <c r="D984" s="25">
        <v>45081</v>
      </c>
      <c r="E984" t="s">
        <v>23</v>
      </c>
      <c r="F984">
        <v>13910</v>
      </c>
      <c r="G984">
        <v>458</v>
      </c>
      <c r="H984" s="26">
        <v>363.1</v>
      </c>
      <c r="I984">
        <v>83</v>
      </c>
      <c r="J984" t="s">
        <v>15</v>
      </c>
      <c r="L984" t="s">
        <v>25</v>
      </c>
    </row>
    <row r="985" spans="1:12">
      <c r="A985" t="s">
        <v>2045</v>
      </c>
      <c r="B985" t="s">
        <v>2046</v>
      </c>
      <c r="C985" s="27">
        <v>45111</v>
      </c>
      <c r="D985" s="25">
        <v>45112</v>
      </c>
      <c r="E985" t="s">
        <v>41</v>
      </c>
      <c r="F985">
        <v>74479</v>
      </c>
      <c r="G985">
        <v>833</v>
      </c>
      <c r="H985">
        <v>1264.27</v>
      </c>
      <c r="I985">
        <v>102</v>
      </c>
      <c r="J985">
        <v>1</v>
      </c>
      <c r="L985" t="s">
        <v>42</v>
      </c>
    </row>
    <row r="986" spans="1:12">
      <c r="A986" t="s">
        <v>2047</v>
      </c>
      <c r="B986" t="s">
        <v>2048</v>
      </c>
      <c r="C986" s="27">
        <v>45259</v>
      </c>
      <c r="D986" s="25">
        <v>45282</v>
      </c>
      <c r="E986" t="s">
        <v>33</v>
      </c>
      <c r="F986">
        <v>78735</v>
      </c>
      <c r="G986">
        <v>2914</v>
      </c>
      <c r="H986">
        <v>2869.27</v>
      </c>
      <c r="I986">
        <v>464</v>
      </c>
      <c r="J986">
        <v>0</v>
      </c>
      <c r="L986" t="s">
        <v>34</v>
      </c>
    </row>
    <row r="987" spans="1:12">
      <c r="A987" t="s">
        <v>2049</v>
      </c>
      <c r="B987" t="s">
        <v>2050</v>
      </c>
      <c r="C987" s="27">
        <v>45083</v>
      </c>
      <c r="D987" s="25">
        <v>45078</v>
      </c>
      <c r="E987" t="s">
        <v>14</v>
      </c>
      <c r="F987">
        <v>82264</v>
      </c>
      <c r="G987">
        <v>970</v>
      </c>
      <c r="H987">
        <v>1922.18</v>
      </c>
      <c r="I987">
        <v>94</v>
      </c>
      <c r="J987" t="s">
        <v>30</v>
      </c>
      <c r="L987" t="s">
        <v>16</v>
      </c>
    </row>
    <row r="988" spans="1:12">
      <c r="A988" t="s">
        <v>2051</v>
      </c>
      <c r="B988" t="s">
        <v>2052</v>
      </c>
      <c r="C988" s="27">
        <v>45146</v>
      </c>
      <c r="D988" s="25">
        <v>45175</v>
      </c>
      <c r="E988" t="s">
        <v>19</v>
      </c>
      <c r="F988">
        <v>24275</v>
      </c>
      <c r="G988">
        <v>680</v>
      </c>
      <c r="H988">
        <v>672.2</v>
      </c>
      <c r="I988">
        <v>68</v>
      </c>
      <c r="J988" t="s">
        <v>15</v>
      </c>
      <c r="L988" t="s">
        <v>20</v>
      </c>
    </row>
    <row r="989" spans="1:12">
      <c r="A989" t="s">
        <v>2053</v>
      </c>
      <c r="B989" t="s">
        <v>2054</v>
      </c>
      <c r="C989" s="25">
        <v>44927</v>
      </c>
      <c r="D989" s="25">
        <v>44950</v>
      </c>
      <c r="E989" t="s">
        <v>33</v>
      </c>
      <c r="F989">
        <v>73274</v>
      </c>
      <c r="G989">
        <v>3456</v>
      </c>
      <c r="H989">
        <v>3771.2</v>
      </c>
      <c r="I989">
        <v>273</v>
      </c>
      <c r="J989" t="s">
        <v>24</v>
      </c>
      <c r="L989" t="s">
        <v>34</v>
      </c>
    </row>
    <row r="990" spans="1:12">
      <c r="A990" t="s">
        <v>2055</v>
      </c>
      <c r="B990" t="s">
        <v>2056</v>
      </c>
      <c r="C990" s="27">
        <v>45230</v>
      </c>
      <c r="D990" s="25">
        <v>45242</v>
      </c>
      <c r="E990" t="s">
        <v>14</v>
      </c>
      <c r="F990">
        <v>82449</v>
      </c>
      <c r="G990">
        <v>1369</v>
      </c>
      <c r="H990">
        <v>1923.45</v>
      </c>
      <c r="I990">
        <v>183</v>
      </c>
      <c r="J990">
        <v>1</v>
      </c>
      <c r="L990" t="s">
        <v>16</v>
      </c>
    </row>
    <row r="991" spans="1:12">
      <c r="A991" t="s">
        <v>2057</v>
      </c>
      <c r="B991" t="s">
        <v>2058</v>
      </c>
      <c r="C991" s="25">
        <v>45047</v>
      </c>
      <c r="D991" s="25">
        <v>44952</v>
      </c>
      <c r="E991" t="s">
        <v>23</v>
      </c>
      <c r="F991">
        <v>61004</v>
      </c>
      <c r="G991">
        <v>1561</v>
      </c>
      <c r="H991">
        <v>2657.64</v>
      </c>
      <c r="I991">
        <v>151</v>
      </c>
      <c r="J991">
        <v>0</v>
      </c>
      <c r="L991" t="s">
        <v>25</v>
      </c>
    </row>
    <row r="992" spans="1:12">
      <c r="A992" t="s">
        <v>2059</v>
      </c>
      <c r="B992" t="s">
        <v>2060</v>
      </c>
      <c r="C992" s="27">
        <v>45102</v>
      </c>
      <c r="D992" s="25">
        <v>45120</v>
      </c>
      <c r="E992" t="s">
        <v>23</v>
      </c>
      <c r="F992">
        <v>63981</v>
      </c>
      <c r="G992">
        <v>2507</v>
      </c>
      <c r="H992">
        <v>3019.12</v>
      </c>
      <c r="I992">
        <v>157</v>
      </c>
      <c r="J992" t="b">
        <v>1</v>
      </c>
      <c r="L992" t="s">
        <v>25</v>
      </c>
    </row>
    <row r="993" spans="1:12">
      <c r="A993" t="s">
        <v>2061</v>
      </c>
      <c r="B993" t="s">
        <v>2062</v>
      </c>
      <c r="C993" s="27">
        <v>45143</v>
      </c>
      <c r="D993" s="25">
        <v>45147</v>
      </c>
      <c r="E993" t="s">
        <v>14</v>
      </c>
      <c r="F993">
        <v>85659</v>
      </c>
      <c r="G993">
        <v>3879</v>
      </c>
      <c r="H993" s="26">
        <v>4398.72</v>
      </c>
      <c r="I993">
        <v>592</v>
      </c>
      <c r="J993" t="s">
        <v>15</v>
      </c>
      <c r="L993" t="s">
        <v>16</v>
      </c>
    </row>
    <row r="994" spans="1:12">
      <c r="A994" t="s">
        <v>2063</v>
      </c>
      <c r="B994" t="s">
        <v>2064</v>
      </c>
      <c r="C994" s="27">
        <v>45044</v>
      </c>
      <c r="D994" s="25">
        <v>45058</v>
      </c>
      <c r="E994" t="s">
        <v>23</v>
      </c>
      <c r="F994">
        <v>55553</v>
      </c>
      <c r="G994">
        <v>2046</v>
      </c>
      <c r="H994">
        <v>4078.61</v>
      </c>
      <c r="I994">
        <v>319</v>
      </c>
      <c r="J994" t="s">
        <v>24</v>
      </c>
      <c r="L994" t="s">
        <v>25</v>
      </c>
    </row>
    <row r="995" spans="1:12">
      <c r="A995" t="s">
        <v>2065</v>
      </c>
      <c r="B995" t="s">
        <v>2066</v>
      </c>
      <c r="C995" s="27">
        <v>44979</v>
      </c>
      <c r="D995" s="25">
        <v>44995</v>
      </c>
      <c r="E995" t="s">
        <v>14</v>
      </c>
      <c r="F995">
        <v>49447</v>
      </c>
      <c r="G995">
        <v>1005</v>
      </c>
      <c r="H995">
        <v>518.32</v>
      </c>
      <c r="I995">
        <v>104</v>
      </c>
      <c r="J995">
        <v>1</v>
      </c>
      <c r="L995" t="s">
        <v>16</v>
      </c>
    </row>
    <row r="996" spans="1:12">
      <c r="A996" t="s">
        <v>2067</v>
      </c>
      <c r="B996" t="s">
        <v>2068</v>
      </c>
      <c r="C996" s="27">
        <v>45080</v>
      </c>
      <c r="D996" s="25">
        <v>45082</v>
      </c>
      <c r="E996" t="s">
        <v>14</v>
      </c>
      <c r="F996">
        <v>35529</v>
      </c>
      <c r="G996">
        <v>1314</v>
      </c>
      <c r="H996" s="26">
        <v>2421.17</v>
      </c>
      <c r="I996">
        <v>80</v>
      </c>
      <c r="J996" t="s">
        <v>15</v>
      </c>
      <c r="L996" t="s">
        <v>16</v>
      </c>
    </row>
    <row r="997" spans="1:12">
      <c r="A997" t="s">
        <v>2069</v>
      </c>
      <c r="B997" t="s">
        <v>2070</v>
      </c>
      <c r="C997" s="27">
        <v>44995</v>
      </c>
      <c r="D997" s="25">
        <v>45004</v>
      </c>
      <c r="E997" t="s">
        <v>14</v>
      </c>
      <c r="F997">
        <v>76703</v>
      </c>
      <c r="G997">
        <v>1677</v>
      </c>
      <c r="H997">
        <v>1213.66</v>
      </c>
      <c r="I997">
        <v>191</v>
      </c>
      <c r="J997" t="s">
        <v>30</v>
      </c>
      <c r="L997" t="s">
        <v>16</v>
      </c>
    </row>
    <row r="998" spans="1:12">
      <c r="A998" t="s">
        <v>2071</v>
      </c>
      <c r="B998" t="s">
        <v>2072</v>
      </c>
      <c r="C998" s="25">
        <v>44962</v>
      </c>
      <c r="D998" s="25">
        <v>45062</v>
      </c>
      <c r="E998" t="s">
        <v>33</v>
      </c>
      <c r="F998">
        <v>77090</v>
      </c>
      <c r="G998">
        <v>2986</v>
      </c>
      <c r="H998">
        <v>5013.16</v>
      </c>
      <c r="I998">
        <v>347</v>
      </c>
      <c r="J998" t="b">
        <v>0</v>
      </c>
      <c r="L998" t="s">
        <v>34</v>
      </c>
    </row>
    <row r="999" spans="1:12">
      <c r="A999" t="s">
        <v>2073</v>
      </c>
      <c r="B999" t="s">
        <v>2074</v>
      </c>
      <c r="C999" s="27">
        <v>45259</v>
      </c>
      <c r="D999" s="25">
        <v>45277</v>
      </c>
      <c r="E999" t="s">
        <v>14</v>
      </c>
      <c r="F999">
        <v>18260</v>
      </c>
      <c r="G999">
        <v>879</v>
      </c>
      <c r="H999">
        <v>1254.24</v>
      </c>
      <c r="I999">
        <v>132</v>
      </c>
      <c r="J999" t="b">
        <v>1</v>
      </c>
      <c r="L999" t="s">
        <v>16</v>
      </c>
    </row>
    <row r="1000" spans="1:12">
      <c r="A1000" t="s">
        <v>2075</v>
      </c>
      <c r="B1000" t="s">
        <v>2076</v>
      </c>
      <c r="C1000" s="27">
        <v>45036</v>
      </c>
      <c r="D1000" s="25">
        <v>45059</v>
      </c>
      <c r="E1000" t="s">
        <v>33</v>
      </c>
      <c r="F1000">
        <v>4812</v>
      </c>
      <c r="G1000">
        <v>186</v>
      </c>
      <c r="H1000">
        <v>188.38</v>
      </c>
      <c r="I1000">
        <v>18</v>
      </c>
      <c r="J1000" t="s">
        <v>30</v>
      </c>
      <c r="L1000" t="s">
        <v>34</v>
      </c>
    </row>
    <row r="1001" spans="1:12">
      <c r="A1001" t="s">
        <v>2077</v>
      </c>
      <c r="B1001" t="s">
        <v>2078</v>
      </c>
      <c r="C1001" s="27">
        <v>45137</v>
      </c>
      <c r="D1001" s="25">
        <v>45151</v>
      </c>
      <c r="E1001" t="s">
        <v>23</v>
      </c>
      <c r="F1001">
        <v>29024</v>
      </c>
      <c r="G1001">
        <v>1292</v>
      </c>
      <c r="H1001">
        <v>2339.57</v>
      </c>
      <c r="I1001">
        <v>196</v>
      </c>
      <c r="J1001" t="s">
        <v>30</v>
      </c>
      <c r="L1001" t="s">
        <v>25</v>
      </c>
    </row>
    <row r="1002" spans="1:12">
      <c r="A1002" t="s">
        <v>2079</v>
      </c>
      <c r="B1002" t="s">
        <v>2080</v>
      </c>
      <c r="C1002" t="s">
        <v>2081</v>
      </c>
      <c r="D1002" s="25">
        <v>45041</v>
      </c>
      <c r="E1002" t="s">
        <v>19</v>
      </c>
      <c r="F1002">
        <v>59656</v>
      </c>
      <c r="G1002">
        <v>601</v>
      </c>
      <c r="H1002">
        <v>312.14</v>
      </c>
      <c r="I1002">
        <v>108</v>
      </c>
      <c r="J1002" t="s">
        <v>24</v>
      </c>
      <c r="L1002" t="s">
        <v>20</v>
      </c>
    </row>
    <row r="1003" spans="1:12">
      <c r="A1003" t="s">
        <v>2082</v>
      </c>
      <c r="B1003" t="s">
        <v>2083</v>
      </c>
      <c r="C1003" s="27">
        <v>44978</v>
      </c>
      <c r="D1003" s="25">
        <v>44981</v>
      </c>
      <c r="E1003" t="s">
        <v>14</v>
      </c>
      <c r="F1003">
        <v>28285</v>
      </c>
      <c r="G1003">
        <v>1094</v>
      </c>
      <c r="H1003">
        <v>919</v>
      </c>
      <c r="I1003">
        <v>93</v>
      </c>
      <c r="J1003" t="s">
        <v>24</v>
      </c>
      <c r="K1003">
        <v>28352</v>
      </c>
      <c r="L1003" t="s">
        <v>16</v>
      </c>
    </row>
    <row r="1004" spans="1:12">
      <c r="A1004" t="s">
        <v>2084</v>
      </c>
      <c r="B1004" t="s">
        <v>2085</v>
      </c>
      <c r="C1004" s="27">
        <v>45123</v>
      </c>
      <c r="D1004" s="25">
        <v>45126</v>
      </c>
      <c r="E1004" t="s">
        <v>33</v>
      </c>
      <c r="F1004">
        <v>93436</v>
      </c>
      <c r="G1004">
        <v>4034</v>
      </c>
      <c r="H1004" s="26">
        <v>5447.27</v>
      </c>
      <c r="I1004">
        <v>794</v>
      </c>
      <c r="J1004">
        <v>1</v>
      </c>
      <c r="L1004" t="s">
        <v>34</v>
      </c>
    </row>
    <row r="1005" spans="1:12">
      <c r="A1005" t="s">
        <v>2086</v>
      </c>
      <c r="B1005" t="s">
        <v>2087</v>
      </c>
      <c r="C1005" s="27">
        <v>44998</v>
      </c>
      <c r="D1005" s="25">
        <v>45007</v>
      </c>
      <c r="E1005" t="s">
        <v>41</v>
      </c>
      <c r="F1005">
        <v>2605</v>
      </c>
      <c r="G1005">
        <v>30</v>
      </c>
      <c r="H1005">
        <v>30.82</v>
      </c>
      <c r="I1005">
        <v>3</v>
      </c>
      <c r="J1005" t="s">
        <v>24</v>
      </c>
      <c r="L1005" t="s">
        <v>42</v>
      </c>
    </row>
    <row r="1006" spans="1:12">
      <c r="A1006" t="s">
        <v>2088</v>
      </c>
      <c r="B1006" t="s">
        <v>2089</v>
      </c>
      <c r="C1006" s="27">
        <v>45054</v>
      </c>
      <c r="D1006" s="25">
        <v>45083</v>
      </c>
      <c r="E1006" t="s">
        <v>19</v>
      </c>
      <c r="F1006">
        <v>72158</v>
      </c>
      <c r="G1006">
        <v>3237</v>
      </c>
      <c r="H1006">
        <v>4582.19</v>
      </c>
      <c r="I1006">
        <v>291</v>
      </c>
      <c r="J1006" t="s">
        <v>15</v>
      </c>
      <c r="L1006" t="s">
        <v>20</v>
      </c>
    </row>
    <row r="1007" spans="1:12">
      <c r="A1007" t="s">
        <v>2090</v>
      </c>
      <c r="B1007" t="s">
        <v>2091</v>
      </c>
      <c r="C1007" s="27">
        <v>45238</v>
      </c>
      <c r="D1007" s="25">
        <v>45260</v>
      </c>
      <c r="E1007" t="s">
        <v>14</v>
      </c>
      <c r="F1007">
        <v>73303</v>
      </c>
      <c r="G1007">
        <v>1485</v>
      </c>
      <c r="H1007">
        <v>796.21</v>
      </c>
      <c r="I1007">
        <v>168</v>
      </c>
      <c r="J1007" t="b">
        <v>1</v>
      </c>
      <c r="L1007" t="s">
        <v>16</v>
      </c>
    </row>
    <row r="1008" spans="1:12">
      <c r="A1008" t="s">
        <v>2092</v>
      </c>
      <c r="B1008" t="s">
        <v>2093</v>
      </c>
      <c r="C1008" s="27">
        <v>44940</v>
      </c>
      <c r="D1008" s="25">
        <v>44952</v>
      </c>
      <c r="E1008" t="s">
        <v>41</v>
      </c>
      <c r="F1008">
        <v>28139</v>
      </c>
      <c r="G1008">
        <v>1030</v>
      </c>
      <c r="H1008">
        <v>694.93</v>
      </c>
      <c r="I1008">
        <v>66</v>
      </c>
      <c r="J1008" t="s">
        <v>30</v>
      </c>
      <c r="K1008">
        <v>28220</v>
      </c>
      <c r="L1008" t="s">
        <v>42</v>
      </c>
    </row>
    <row r="1009" spans="1:12">
      <c r="A1009" t="s">
        <v>2094</v>
      </c>
      <c r="B1009" t="s">
        <v>2095</v>
      </c>
      <c r="C1009" s="27">
        <v>45081</v>
      </c>
      <c r="D1009" s="25">
        <v>45097</v>
      </c>
      <c r="E1009" t="s">
        <v>19</v>
      </c>
      <c r="F1009">
        <v>78149</v>
      </c>
      <c r="G1009">
        <v>3283</v>
      </c>
      <c r="H1009">
        <v>2267.39</v>
      </c>
      <c r="I1009">
        <v>226</v>
      </c>
      <c r="J1009">
        <v>1</v>
      </c>
      <c r="L1009" t="s">
        <v>20</v>
      </c>
    </row>
    <row r="1010" spans="1:12">
      <c r="A1010" t="s">
        <v>2096</v>
      </c>
      <c r="B1010" t="s">
        <v>2097</v>
      </c>
      <c r="C1010" s="27">
        <v>45023</v>
      </c>
      <c r="D1010" s="25">
        <v>45036</v>
      </c>
      <c r="E1010" t="s">
        <v>19</v>
      </c>
      <c r="F1010">
        <v>57138</v>
      </c>
      <c r="G1010">
        <v>2085</v>
      </c>
      <c r="H1010">
        <v>1634.48</v>
      </c>
      <c r="J1010" t="b">
        <v>1</v>
      </c>
      <c r="L1010" t="s">
        <v>20</v>
      </c>
    </row>
    <row r="1011" spans="1:12">
      <c r="A1011" t="s">
        <v>2098</v>
      </c>
      <c r="B1011" t="s">
        <v>2099</v>
      </c>
      <c r="C1011" s="27">
        <v>44954</v>
      </c>
      <c r="D1011" s="25">
        <v>44971</v>
      </c>
      <c r="E1011" t="s">
        <v>41</v>
      </c>
      <c r="F1011">
        <v>77125</v>
      </c>
      <c r="G1011">
        <v>1055</v>
      </c>
      <c r="H1011" s="26">
        <v>1254.39</v>
      </c>
      <c r="I1011">
        <v>173</v>
      </c>
      <c r="J1011" t="s">
        <v>24</v>
      </c>
      <c r="L1011" t="s">
        <v>42</v>
      </c>
    </row>
    <row r="1012" spans="1:12">
      <c r="A1012" t="s">
        <v>2100</v>
      </c>
      <c r="B1012" t="s">
        <v>2101</v>
      </c>
      <c r="C1012" s="27">
        <v>45049</v>
      </c>
      <c r="D1012" s="25">
        <v>45079</v>
      </c>
      <c r="E1012" t="s">
        <v>234</v>
      </c>
      <c r="F1012">
        <v>14918</v>
      </c>
      <c r="G1012">
        <v>505</v>
      </c>
      <c r="H1012">
        <v>822.24</v>
      </c>
      <c r="I1012">
        <v>93</v>
      </c>
      <c r="J1012" t="s">
        <v>24</v>
      </c>
      <c r="L1012" t="s">
        <v>16</v>
      </c>
    </row>
    <row r="1013" spans="1:12">
      <c r="A1013" t="s">
        <v>2102</v>
      </c>
      <c r="B1013" t="s">
        <v>2103</v>
      </c>
      <c r="C1013" s="25">
        <v>45182</v>
      </c>
      <c r="D1013" s="25">
        <v>45190</v>
      </c>
      <c r="E1013" t="s">
        <v>33</v>
      </c>
      <c r="F1013">
        <v>86655</v>
      </c>
      <c r="G1013">
        <v>2771</v>
      </c>
      <c r="H1013" s="26">
        <v>5149.37</v>
      </c>
      <c r="I1013">
        <v>414</v>
      </c>
      <c r="J1013" t="s">
        <v>15</v>
      </c>
      <c r="L1013" t="s">
        <v>34</v>
      </c>
    </row>
    <row r="1014" spans="1:12">
      <c r="A1014" t="s">
        <v>2104</v>
      </c>
      <c r="B1014" t="s">
        <v>2105</v>
      </c>
      <c r="C1014" s="27">
        <v>44933</v>
      </c>
      <c r="D1014" s="25">
        <v>44963</v>
      </c>
      <c r="E1014" t="s">
        <v>23</v>
      </c>
      <c r="F1014">
        <v>28446</v>
      </c>
      <c r="G1014">
        <v>1308</v>
      </c>
      <c r="H1014">
        <v>2293</v>
      </c>
      <c r="I1014">
        <v>86</v>
      </c>
      <c r="J1014" t="s">
        <v>24</v>
      </c>
      <c r="L1014" t="s">
        <v>25</v>
      </c>
    </row>
    <row r="1015" spans="1:12">
      <c r="A1015" t="s">
        <v>2106</v>
      </c>
      <c r="B1015" t="s">
        <v>2107</v>
      </c>
      <c r="C1015" s="27">
        <v>44994</v>
      </c>
      <c r="D1015" s="25">
        <v>45024</v>
      </c>
      <c r="E1015" t="s">
        <v>41</v>
      </c>
      <c r="F1015">
        <v>14046</v>
      </c>
      <c r="G1015">
        <v>367</v>
      </c>
      <c r="H1015">
        <v>291.89</v>
      </c>
      <c r="I1015">
        <v>55</v>
      </c>
      <c r="J1015" t="s">
        <v>30</v>
      </c>
      <c r="L1015" t="s">
        <v>42</v>
      </c>
    </row>
    <row r="1016" spans="1:12">
      <c r="A1016" t="s">
        <v>2108</v>
      </c>
      <c r="B1016" t="s">
        <v>2109</v>
      </c>
      <c r="C1016" s="27">
        <v>45142</v>
      </c>
      <c r="D1016" s="25">
        <v>45137</v>
      </c>
      <c r="E1016" t="s">
        <v>33</v>
      </c>
      <c r="F1016">
        <v>25818</v>
      </c>
      <c r="G1016">
        <v>589</v>
      </c>
      <c r="H1016">
        <v>684.26</v>
      </c>
      <c r="I1016">
        <v>85</v>
      </c>
      <c r="J1016">
        <v>0</v>
      </c>
      <c r="L1016" t="s">
        <v>34</v>
      </c>
    </row>
    <row r="1017" spans="1:12">
      <c r="A1017" t="s">
        <v>2110</v>
      </c>
      <c r="B1017" t="s">
        <v>2111</v>
      </c>
      <c r="C1017" s="27">
        <v>45168</v>
      </c>
      <c r="D1017" s="25">
        <v>45173</v>
      </c>
      <c r="E1017" t="s">
        <v>234</v>
      </c>
      <c r="F1017">
        <v>5324</v>
      </c>
      <c r="G1017">
        <v>212</v>
      </c>
      <c r="H1017">
        <v>169.41</v>
      </c>
      <c r="I1017">
        <v>36</v>
      </c>
      <c r="J1017" t="s">
        <v>30</v>
      </c>
      <c r="L1017" t="s">
        <v>16</v>
      </c>
    </row>
    <row r="1018" spans="1:12">
      <c r="A1018" t="s">
        <v>2112</v>
      </c>
      <c r="B1018" t="s">
        <v>2113</v>
      </c>
      <c r="C1018" s="25">
        <v>44935</v>
      </c>
      <c r="D1018" s="25">
        <v>45174</v>
      </c>
      <c r="E1018" t="s">
        <v>23</v>
      </c>
      <c r="F1018">
        <v>77323</v>
      </c>
      <c r="G1018">
        <v>2049</v>
      </c>
      <c r="H1018">
        <v>1837.35</v>
      </c>
      <c r="J1018" t="s">
        <v>30</v>
      </c>
      <c r="L1018" t="s">
        <v>25</v>
      </c>
    </row>
    <row r="1019" spans="1:12">
      <c r="A1019" t="s">
        <v>2114</v>
      </c>
      <c r="B1019" t="s">
        <v>2115</v>
      </c>
      <c r="C1019" t="s">
        <v>2116</v>
      </c>
      <c r="D1019" s="25">
        <v>45038</v>
      </c>
      <c r="E1019" t="s">
        <v>19</v>
      </c>
      <c r="F1019">
        <v>10111</v>
      </c>
      <c r="G1019">
        <v>362</v>
      </c>
      <c r="H1019">
        <v>454.43</v>
      </c>
      <c r="I1019">
        <v>65</v>
      </c>
      <c r="J1019" t="s">
        <v>24</v>
      </c>
      <c r="L1019" t="s">
        <v>20</v>
      </c>
    </row>
    <row r="1020" spans="1:12">
      <c r="A1020" t="s">
        <v>2117</v>
      </c>
      <c r="B1020" t="s">
        <v>2118</v>
      </c>
      <c r="C1020" s="27">
        <v>44957</v>
      </c>
      <c r="D1020" s="25">
        <v>44963</v>
      </c>
      <c r="E1020" t="s">
        <v>138</v>
      </c>
      <c r="F1020">
        <v>39110</v>
      </c>
      <c r="G1020">
        <v>1402</v>
      </c>
      <c r="H1020">
        <v>844.23</v>
      </c>
      <c r="I1020">
        <v>157</v>
      </c>
      <c r="J1020" t="b">
        <v>1</v>
      </c>
      <c r="L1020" t="s">
        <v>139</v>
      </c>
    </row>
    <row r="1021" spans="1:12">
      <c r="A1021" t="s">
        <v>2119</v>
      </c>
      <c r="B1021" t="s">
        <v>2120</v>
      </c>
      <c r="C1021" s="27">
        <v>45073</v>
      </c>
      <c r="D1021" s="25">
        <v>45076</v>
      </c>
      <c r="E1021" t="s">
        <v>14</v>
      </c>
      <c r="F1021">
        <v>17389</v>
      </c>
      <c r="G1021">
        <v>791</v>
      </c>
      <c r="H1021">
        <v>654.36</v>
      </c>
      <c r="I1021">
        <v>122</v>
      </c>
      <c r="J1021" t="s">
        <v>24</v>
      </c>
      <c r="L1021" t="s">
        <v>16</v>
      </c>
    </row>
    <row r="1022" spans="1:12">
      <c r="A1022" t="s">
        <v>2121</v>
      </c>
      <c r="B1022" t="s">
        <v>2122</v>
      </c>
      <c r="C1022" s="27">
        <v>45139</v>
      </c>
      <c r="D1022" s="25">
        <v>45158</v>
      </c>
      <c r="E1022" t="s">
        <v>14</v>
      </c>
      <c r="F1022">
        <v>42427</v>
      </c>
      <c r="G1022">
        <v>1440</v>
      </c>
      <c r="H1022">
        <v>2740.42</v>
      </c>
      <c r="J1022" t="b">
        <v>1</v>
      </c>
      <c r="L1022" t="s">
        <v>16</v>
      </c>
    </row>
    <row r="1023" spans="1:12">
      <c r="A1023" t="s">
        <v>2123</v>
      </c>
      <c r="B1023" t="s">
        <v>2124</v>
      </c>
      <c r="C1023" s="27">
        <v>45254</v>
      </c>
      <c r="D1023" s="25">
        <v>45249</v>
      </c>
      <c r="E1023" t="s">
        <v>23</v>
      </c>
      <c r="F1023">
        <v>80579</v>
      </c>
      <c r="G1023">
        <v>2424</v>
      </c>
      <c r="H1023">
        <v>2906.8</v>
      </c>
      <c r="I1023">
        <v>484</v>
      </c>
      <c r="J1023" t="b">
        <v>1</v>
      </c>
      <c r="L1023" t="s">
        <v>25</v>
      </c>
    </row>
    <row r="1024" spans="1:12">
      <c r="A1024" t="s">
        <v>2125</v>
      </c>
      <c r="B1024" t="s">
        <v>2126</v>
      </c>
      <c r="C1024" t="s">
        <v>2127</v>
      </c>
      <c r="D1024" s="25">
        <v>45091</v>
      </c>
      <c r="E1024" t="s">
        <v>33</v>
      </c>
      <c r="F1024">
        <v>29746</v>
      </c>
      <c r="G1024">
        <v>462</v>
      </c>
      <c r="H1024" s="26">
        <v>539.65</v>
      </c>
      <c r="I1024">
        <v>35</v>
      </c>
      <c r="J1024" t="b">
        <v>1</v>
      </c>
      <c r="L1024" t="s">
        <v>34</v>
      </c>
    </row>
    <row r="1025" spans="1:12">
      <c r="A1025" t="s">
        <v>2128</v>
      </c>
      <c r="B1025" t="s">
        <v>2129</v>
      </c>
      <c r="C1025" s="27">
        <v>44967</v>
      </c>
      <c r="D1025" s="25">
        <v>44974</v>
      </c>
      <c r="E1025" t="s">
        <v>14</v>
      </c>
      <c r="F1025">
        <v>88886</v>
      </c>
      <c r="G1025">
        <v>1300</v>
      </c>
      <c r="H1025">
        <v>678.41</v>
      </c>
      <c r="I1025">
        <v>66</v>
      </c>
      <c r="J1025">
        <v>1</v>
      </c>
      <c r="L1025" t="s">
        <v>16</v>
      </c>
    </row>
    <row r="1026" spans="1:12">
      <c r="A1026" t="s">
        <v>2130</v>
      </c>
      <c r="B1026" t="s">
        <v>2131</v>
      </c>
      <c r="C1026" s="27">
        <v>45006</v>
      </c>
      <c r="D1026" s="25">
        <v>45021</v>
      </c>
      <c r="E1026" t="s">
        <v>14</v>
      </c>
      <c r="F1026">
        <v>1117</v>
      </c>
      <c r="G1026">
        <v>18</v>
      </c>
      <c r="H1026">
        <v>15.68</v>
      </c>
      <c r="I1026">
        <v>1</v>
      </c>
      <c r="J1026" t="b">
        <v>0</v>
      </c>
      <c r="L1026" t="s">
        <v>16</v>
      </c>
    </row>
    <row r="1027" spans="1:12">
      <c r="A1027" t="s">
        <v>2132</v>
      </c>
      <c r="B1027" t="s">
        <v>2133</v>
      </c>
      <c r="C1027" s="27">
        <v>45251</v>
      </c>
      <c r="D1027" s="25">
        <v>45273</v>
      </c>
      <c r="E1027" t="s">
        <v>41</v>
      </c>
      <c r="F1027">
        <v>85471</v>
      </c>
      <c r="G1027">
        <v>1442</v>
      </c>
      <c r="H1027">
        <v>2594.79</v>
      </c>
      <c r="I1027">
        <v>239</v>
      </c>
      <c r="J1027" t="s">
        <v>24</v>
      </c>
      <c r="L1027" t="s">
        <v>42</v>
      </c>
    </row>
    <row r="1028" spans="1:12">
      <c r="A1028" t="s">
        <v>2134</v>
      </c>
      <c r="B1028" t="s">
        <v>2135</v>
      </c>
      <c r="C1028" t="s">
        <v>2136</v>
      </c>
      <c r="D1028" s="25">
        <v>45274</v>
      </c>
      <c r="E1028" t="s">
        <v>23</v>
      </c>
      <c r="F1028">
        <v>14234</v>
      </c>
      <c r="G1028">
        <v>505</v>
      </c>
      <c r="H1028" s="26">
        <v>377.21</v>
      </c>
      <c r="I1028">
        <v>59</v>
      </c>
      <c r="J1028">
        <v>1</v>
      </c>
      <c r="L1028" t="s">
        <v>25</v>
      </c>
    </row>
    <row r="1029" spans="1:12">
      <c r="A1029" t="s">
        <v>2137</v>
      </c>
      <c r="B1029" t="s">
        <v>2138</v>
      </c>
      <c r="C1029" s="27">
        <v>45284</v>
      </c>
      <c r="D1029" s="25">
        <v>45296</v>
      </c>
      <c r="E1029" t="s">
        <v>14</v>
      </c>
      <c r="F1029">
        <v>54441</v>
      </c>
      <c r="G1029">
        <v>2158</v>
      </c>
      <c r="H1029" s="26">
        <v>2422.76</v>
      </c>
      <c r="I1029">
        <v>252</v>
      </c>
      <c r="J1029" t="s">
        <v>30</v>
      </c>
      <c r="L1029" t="s">
        <v>16</v>
      </c>
    </row>
    <row r="1030" spans="1:12">
      <c r="A1030" t="s">
        <v>2139</v>
      </c>
      <c r="B1030" t="s">
        <v>2140</v>
      </c>
      <c r="C1030" s="25">
        <v>44990</v>
      </c>
      <c r="D1030" s="25">
        <v>44985</v>
      </c>
      <c r="E1030" t="s">
        <v>14</v>
      </c>
      <c r="F1030">
        <v>1846</v>
      </c>
      <c r="G1030">
        <v>57</v>
      </c>
      <c r="H1030">
        <v>29.73</v>
      </c>
      <c r="J1030">
        <v>1</v>
      </c>
      <c r="L1030" t="s">
        <v>16</v>
      </c>
    </row>
    <row r="1031" spans="1:12">
      <c r="A1031" t="s">
        <v>2141</v>
      </c>
      <c r="B1031" t="s">
        <v>2142</v>
      </c>
      <c r="C1031" s="27">
        <v>44971</v>
      </c>
      <c r="D1031" s="25">
        <v>44980</v>
      </c>
      <c r="E1031" t="s">
        <v>19</v>
      </c>
      <c r="F1031">
        <v>11954</v>
      </c>
      <c r="G1031">
        <v>515</v>
      </c>
      <c r="H1031">
        <v>627.01</v>
      </c>
      <c r="I1031">
        <v>96</v>
      </c>
      <c r="J1031" t="s">
        <v>15</v>
      </c>
      <c r="L1031" t="s">
        <v>20</v>
      </c>
    </row>
    <row r="1032" spans="1:12">
      <c r="A1032" t="s">
        <v>2143</v>
      </c>
      <c r="B1032" t="s">
        <v>2144</v>
      </c>
      <c r="C1032" s="27">
        <v>45240</v>
      </c>
      <c r="D1032" s="25">
        <v>45256</v>
      </c>
      <c r="E1032" t="s">
        <v>14</v>
      </c>
      <c r="F1032">
        <v>80239</v>
      </c>
      <c r="G1032">
        <v>3983</v>
      </c>
      <c r="H1032">
        <v>2117.09</v>
      </c>
      <c r="I1032">
        <v>385</v>
      </c>
      <c r="J1032">
        <v>0</v>
      </c>
      <c r="L1032" t="s">
        <v>16</v>
      </c>
    </row>
    <row r="1033" spans="1:12">
      <c r="A1033" t="s">
        <v>2145</v>
      </c>
      <c r="B1033" t="s">
        <v>2146</v>
      </c>
      <c r="C1033" s="27">
        <v>45263</v>
      </c>
      <c r="D1033" s="25">
        <v>45266</v>
      </c>
      <c r="E1033" t="s">
        <v>19</v>
      </c>
      <c r="F1033">
        <v>47514</v>
      </c>
      <c r="G1033">
        <v>2033</v>
      </c>
      <c r="H1033">
        <v>3515.9</v>
      </c>
      <c r="I1033">
        <v>165</v>
      </c>
      <c r="J1033" t="b">
        <v>1</v>
      </c>
      <c r="L1033" t="s">
        <v>20</v>
      </c>
    </row>
    <row r="1034" spans="1:12">
      <c r="A1034" t="s">
        <v>2147</v>
      </c>
      <c r="B1034" t="s">
        <v>2148</v>
      </c>
      <c r="C1034" s="25">
        <v>45289</v>
      </c>
      <c r="D1034" s="25">
        <v>45315</v>
      </c>
      <c r="E1034" t="s">
        <v>19</v>
      </c>
      <c r="F1034">
        <v>89236</v>
      </c>
      <c r="G1034">
        <v>3372</v>
      </c>
      <c r="H1034">
        <v>5858.11</v>
      </c>
      <c r="I1034">
        <v>597</v>
      </c>
      <c r="J1034" t="s">
        <v>24</v>
      </c>
      <c r="L1034" t="s">
        <v>20</v>
      </c>
    </row>
    <row r="1035" spans="1:12">
      <c r="A1035" t="s">
        <v>2149</v>
      </c>
      <c r="B1035" t="s">
        <v>2150</v>
      </c>
      <c r="C1035" s="27">
        <v>45181</v>
      </c>
      <c r="D1035" s="25">
        <v>45203</v>
      </c>
      <c r="E1035" t="s">
        <v>41</v>
      </c>
      <c r="F1035">
        <v>98579</v>
      </c>
      <c r="G1035">
        <v>3085</v>
      </c>
      <c r="H1035">
        <v>5187.78</v>
      </c>
      <c r="I1035">
        <v>573</v>
      </c>
      <c r="J1035" t="s">
        <v>15</v>
      </c>
      <c r="L1035" t="s">
        <v>42</v>
      </c>
    </row>
    <row r="1036" spans="1:12">
      <c r="A1036" t="s">
        <v>2151</v>
      </c>
      <c r="B1036" t="s">
        <v>2152</v>
      </c>
      <c r="C1036" s="27">
        <v>45059</v>
      </c>
      <c r="D1036" s="25">
        <v>45065</v>
      </c>
      <c r="E1036" t="s">
        <v>19</v>
      </c>
      <c r="F1036">
        <v>7469</v>
      </c>
      <c r="G1036">
        <v>208</v>
      </c>
      <c r="H1036">
        <v>192.41</v>
      </c>
      <c r="I1036">
        <v>27</v>
      </c>
      <c r="J1036" t="s">
        <v>24</v>
      </c>
      <c r="K1036">
        <v>7539</v>
      </c>
      <c r="L1036" t="s">
        <v>20</v>
      </c>
    </row>
    <row r="1037" spans="1:12">
      <c r="A1037" t="s">
        <v>2153</v>
      </c>
      <c r="B1037" t="s">
        <v>2154</v>
      </c>
      <c r="C1037" s="27">
        <v>45064</v>
      </c>
      <c r="D1037" s="25">
        <v>45083</v>
      </c>
      <c r="E1037" t="s">
        <v>19</v>
      </c>
      <c r="F1037">
        <v>31105</v>
      </c>
      <c r="G1037">
        <v>416</v>
      </c>
      <c r="H1037">
        <v>730.44</v>
      </c>
      <c r="I1037">
        <v>60</v>
      </c>
      <c r="J1037">
        <v>0</v>
      </c>
      <c r="L1037" t="s">
        <v>20</v>
      </c>
    </row>
    <row r="1038" spans="1:12">
      <c r="A1038" t="s">
        <v>2155</v>
      </c>
      <c r="B1038" t="s">
        <v>2156</v>
      </c>
      <c r="C1038" s="27">
        <v>44942</v>
      </c>
      <c r="D1038" s="25">
        <v>44956</v>
      </c>
      <c r="E1038" t="s">
        <v>23</v>
      </c>
      <c r="F1038">
        <v>43101</v>
      </c>
      <c r="G1038">
        <v>1119</v>
      </c>
      <c r="H1038">
        <v>1470.92</v>
      </c>
      <c r="I1038">
        <v>99</v>
      </c>
      <c r="J1038" t="s">
        <v>15</v>
      </c>
      <c r="L1038" t="s">
        <v>25</v>
      </c>
    </row>
    <row r="1039" spans="1:12">
      <c r="A1039" t="s">
        <v>2157</v>
      </c>
      <c r="B1039" t="s">
        <v>2158</v>
      </c>
      <c r="C1039" t="s">
        <v>2159</v>
      </c>
      <c r="D1039" s="25">
        <v>45199</v>
      </c>
      <c r="E1039" t="s">
        <v>19</v>
      </c>
      <c r="F1039">
        <v>65323</v>
      </c>
      <c r="G1039">
        <v>3031</v>
      </c>
      <c r="H1039">
        <v>3215.02</v>
      </c>
      <c r="I1039">
        <v>515</v>
      </c>
      <c r="J1039" t="s">
        <v>24</v>
      </c>
      <c r="L1039" t="s">
        <v>20</v>
      </c>
    </row>
    <row r="1040" spans="1:12">
      <c r="A1040" t="s">
        <v>2160</v>
      </c>
      <c r="B1040" t="s">
        <v>2161</v>
      </c>
      <c r="C1040" s="27">
        <v>45291</v>
      </c>
      <c r="D1040" s="25">
        <v>45309</v>
      </c>
      <c r="E1040" t="s">
        <v>23</v>
      </c>
      <c r="F1040">
        <v>92922</v>
      </c>
      <c r="G1040">
        <v>3932</v>
      </c>
      <c r="H1040">
        <v>5654.2</v>
      </c>
      <c r="I1040">
        <v>569</v>
      </c>
      <c r="J1040" t="s">
        <v>30</v>
      </c>
      <c r="L1040" t="s">
        <v>25</v>
      </c>
    </row>
    <row r="1041" spans="1:12">
      <c r="A1041" t="s">
        <v>2162</v>
      </c>
      <c r="B1041" t="s">
        <v>2163</v>
      </c>
      <c r="C1041" s="27">
        <v>45181</v>
      </c>
      <c r="D1041" s="25">
        <v>45183</v>
      </c>
      <c r="E1041" t="s">
        <v>14</v>
      </c>
      <c r="F1041">
        <v>59067</v>
      </c>
      <c r="G1041">
        <v>1101</v>
      </c>
      <c r="H1041">
        <v>570.88</v>
      </c>
      <c r="I1041">
        <v>138</v>
      </c>
      <c r="J1041" t="b">
        <v>1</v>
      </c>
      <c r="L1041" t="s">
        <v>16</v>
      </c>
    </row>
    <row r="1042" spans="1:12">
      <c r="A1042" t="s">
        <v>2164</v>
      </c>
      <c r="B1042" t="s">
        <v>2165</v>
      </c>
      <c r="C1042" s="27">
        <v>45182</v>
      </c>
      <c r="D1042" s="25">
        <v>45190</v>
      </c>
      <c r="E1042" t="s">
        <v>19</v>
      </c>
      <c r="F1042">
        <v>50376</v>
      </c>
      <c r="G1042">
        <v>1443</v>
      </c>
      <c r="H1042">
        <v>1030.94</v>
      </c>
      <c r="I1042">
        <v>85</v>
      </c>
      <c r="J1042" t="s">
        <v>15</v>
      </c>
      <c r="L1042" t="s">
        <v>20</v>
      </c>
    </row>
    <row r="1043" spans="1:12">
      <c r="A1043" t="s">
        <v>2166</v>
      </c>
      <c r="B1043" t="s">
        <v>2167</v>
      </c>
      <c r="C1043" s="27">
        <v>45007</v>
      </c>
      <c r="D1043" s="25">
        <v>45014</v>
      </c>
      <c r="E1043" t="s">
        <v>23</v>
      </c>
      <c r="F1043">
        <v>46587</v>
      </c>
      <c r="G1043">
        <v>1987</v>
      </c>
      <c r="H1043">
        <v>3205.91</v>
      </c>
      <c r="I1043">
        <v>372</v>
      </c>
      <c r="J1043" t="s">
        <v>30</v>
      </c>
      <c r="L1043" t="s">
        <v>25</v>
      </c>
    </row>
    <row r="1044" spans="1:12">
      <c r="A1044" t="s">
        <v>2168</v>
      </c>
      <c r="B1044" t="s">
        <v>2169</v>
      </c>
      <c r="C1044" s="27">
        <v>45220</v>
      </c>
      <c r="D1044" s="25">
        <v>45225</v>
      </c>
      <c r="E1044" t="s">
        <v>138</v>
      </c>
      <c r="F1044">
        <v>37976</v>
      </c>
      <c r="G1044">
        <v>482</v>
      </c>
      <c r="H1044">
        <v>417.53</v>
      </c>
      <c r="I1044">
        <v>68</v>
      </c>
      <c r="J1044" t="b">
        <v>1</v>
      </c>
      <c r="L1044" t="s">
        <v>139</v>
      </c>
    </row>
    <row r="1045" spans="1:12">
      <c r="A1045" t="s">
        <v>2170</v>
      </c>
      <c r="B1045" t="s">
        <v>2171</v>
      </c>
      <c r="C1045" t="s">
        <v>2172</v>
      </c>
      <c r="D1045" s="25">
        <v>45197</v>
      </c>
      <c r="E1045" t="s">
        <v>33</v>
      </c>
      <c r="F1045">
        <v>68584</v>
      </c>
      <c r="G1045">
        <v>1748</v>
      </c>
      <c r="H1045">
        <v>2441.98</v>
      </c>
      <c r="I1045">
        <v>137</v>
      </c>
      <c r="J1045" t="b">
        <v>0</v>
      </c>
      <c r="L1045" t="s">
        <v>34</v>
      </c>
    </row>
    <row r="1046" spans="1:12">
      <c r="A1046" t="s">
        <v>2173</v>
      </c>
      <c r="B1046" t="s">
        <v>2174</v>
      </c>
      <c r="C1046" s="27">
        <v>44933</v>
      </c>
      <c r="D1046" s="25">
        <v>44938</v>
      </c>
      <c r="E1046" t="s">
        <v>23</v>
      </c>
      <c r="F1046">
        <v>79477</v>
      </c>
      <c r="G1046">
        <v>3502</v>
      </c>
      <c r="H1046" s="26">
        <v>3773.94</v>
      </c>
      <c r="I1046">
        <v>493</v>
      </c>
      <c r="J1046" t="s">
        <v>30</v>
      </c>
      <c r="L1046" t="s">
        <v>25</v>
      </c>
    </row>
    <row r="1047" spans="1:12">
      <c r="A1047" t="s">
        <v>2175</v>
      </c>
      <c r="B1047" t="s">
        <v>2176</v>
      </c>
      <c r="C1047" s="27">
        <v>45123</v>
      </c>
      <c r="D1047" s="25">
        <v>45147</v>
      </c>
      <c r="E1047" t="s">
        <v>23</v>
      </c>
      <c r="F1047">
        <v>43533</v>
      </c>
      <c r="G1047">
        <v>1138</v>
      </c>
      <c r="H1047">
        <v>2028.15</v>
      </c>
      <c r="I1047">
        <v>172</v>
      </c>
      <c r="J1047">
        <v>1</v>
      </c>
      <c r="K1047">
        <v>43575</v>
      </c>
      <c r="L1047" t="s">
        <v>25</v>
      </c>
    </row>
    <row r="1048" spans="1:12">
      <c r="A1048" t="s">
        <v>2177</v>
      </c>
      <c r="B1048" t="s">
        <v>2178</v>
      </c>
      <c r="C1048" s="27">
        <v>44945</v>
      </c>
      <c r="D1048" s="25">
        <v>44968</v>
      </c>
      <c r="E1048" t="s">
        <v>14</v>
      </c>
      <c r="F1048">
        <v>2828</v>
      </c>
      <c r="G1048">
        <v>37</v>
      </c>
      <c r="H1048" s="26">
        <v>71.36</v>
      </c>
      <c r="I1048">
        <v>4</v>
      </c>
      <c r="J1048" t="s">
        <v>24</v>
      </c>
      <c r="L1048" t="s">
        <v>16</v>
      </c>
    </row>
    <row r="1049" spans="1:12">
      <c r="A1049" t="s">
        <v>2179</v>
      </c>
      <c r="B1049" t="s">
        <v>2180</v>
      </c>
      <c r="C1049" s="27">
        <v>45262</v>
      </c>
      <c r="D1049" s="25">
        <v>45275</v>
      </c>
      <c r="E1049" t="s">
        <v>14</v>
      </c>
      <c r="F1049">
        <v>2917</v>
      </c>
      <c r="G1049">
        <v>92</v>
      </c>
      <c r="H1049">
        <v>167.93</v>
      </c>
      <c r="I1049">
        <v>14</v>
      </c>
      <c r="J1049" t="b">
        <v>1</v>
      </c>
      <c r="L1049" t="s">
        <v>16</v>
      </c>
    </row>
    <row r="1050" spans="1:12">
      <c r="A1050" t="s">
        <v>2181</v>
      </c>
      <c r="B1050" t="s">
        <v>2182</v>
      </c>
      <c r="C1050" s="27">
        <v>45140</v>
      </c>
      <c r="D1050" s="25">
        <v>45141</v>
      </c>
      <c r="E1050" t="s">
        <v>19</v>
      </c>
      <c r="F1050">
        <v>21618</v>
      </c>
      <c r="G1050">
        <v>961</v>
      </c>
      <c r="H1050">
        <v>870.6</v>
      </c>
      <c r="I1050">
        <v>131</v>
      </c>
      <c r="J1050" t="s">
        <v>15</v>
      </c>
      <c r="L1050" t="s">
        <v>20</v>
      </c>
    </row>
    <row r="1051" spans="1:12">
      <c r="A1051" t="s">
        <v>2183</v>
      </c>
      <c r="B1051" t="s">
        <v>2184</v>
      </c>
      <c r="C1051" s="27">
        <v>44966</v>
      </c>
      <c r="D1051" s="25">
        <v>44978</v>
      </c>
      <c r="E1051" t="s">
        <v>33</v>
      </c>
      <c r="F1051">
        <v>33254</v>
      </c>
      <c r="G1051">
        <v>1117</v>
      </c>
      <c r="H1051">
        <v>883.82</v>
      </c>
      <c r="I1051">
        <v>214</v>
      </c>
      <c r="J1051">
        <v>0</v>
      </c>
      <c r="L1051" t="s">
        <v>34</v>
      </c>
    </row>
    <row r="1052" spans="1:12">
      <c r="A1052" t="s">
        <v>2185</v>
      </c>
      <c r="B1052" t="s">
        <v>2186</v>
      </c>
      <c r="C1052" s="27">
        <v>45271</v>
      </c>
      <c r="D1052" s="25">
        <v>45273</v>
      </c>
      <c r="E1052" t="s">
        <v>23</v>
      </c>
      <c r="F1052">
        <v>48362</v>
      </c>
      <c r="G1052">
        <v>921</v>
      </c>
      <c r="H1052" s="26">
        <v>1115.93</v>
      </c>
      <c r="I1052">
        <v>53</v>
      </c>
      <c r="J1052" t="s">
        <v>15</v>
      </c>
      <c r="L1052" t="s">
        <v>25</v>
      </c>
    </row>
    <row r="1053" spans="1:12">
      <c r="A1053" t="s">
        <v>2187</v>
      </c>
      <c r="B1053" t="s">
        <v>2188</v>
      </c>
      <c r="C1053" s="27">
        <v>45191</v>
      </c>
      <c r="D1053" s="25">
        <v>45208</v>
      </c>
      <c r="E1053" t="s">
        <v>41</v>
      </c>
      <c r="F1053">
        <v>21128</v>
      </c>
      <c r="G1053">
        <v>536</v>
      </c>
      <c r="H1053">
        <v>273.9</v>
      </c>
      <c r="I1053">
        <v>35</v>
      </c>
      <c r="J1053">
        <v>1</v>
      </c>
      <c r="L1053" t="s">
        <v>42</v>
      </c>
    </row>
    <row r="1054" spans="1:12">
      <c r="A1054" t="s">
        <v>2189</v>
      </c>
      <c r="B1054" t="s">
        <v>2190</v>
      </c>
      <c r="C1054" s="27">
        <v>44962</v>
      </c>
      <c r="D1054" s="25">
        <v>44988</v>
      </c>
      <c r="E1054" t="s">
        <v>19</v>
      </c>
      <c r="F1054">
        <v>60383</v>
      </c>
      <c r="G1054">
        <v>1691</v>
      </c>
      <c r="H1054">
        <v>910.97</v>
      </c>
      <c r="I1054">
        <v>128</v>
      </c>
      <c r="J1054" t="s">
        <v>24</v>
      </c>
      <c r="L1054" t="s">
        <v>20</v>
      </c>
    </row>
    <row r="1055" spans="1:12">
      <c r="A1055" t="s">
        <v>2191</v>
      </c>
      <c r="B1055" t="s">
        <v>2192</v>
      </c>
      <c r="C1055" s="27">
        <v>45086</v>
      </c>
      <c r="D1055" s="25">
        <v>45087</v>
      </c>
      <c r="E1055" t="s">
        <v>41</v>
      </c>
      <c r="F1055">
        <v>66545</v>
      </c>
      <c r="G1055">
        <v>2207</v>
      </c>
      <c r="H1055">
        <v>2935.17</v>
      </c>
      <c r="I1055">
        <v>338</v>
      </c>
      <c r="J1055">
        <v>1</v>
      </c>
      <c r="L1055" t="s">
        <v>42</v>
      </c>
    </row>
    <row r="1056" spans="1:12">
      <c r="A1056" t="s">
        <v>2193</v>
      </c>
      <c r="B1056" t="s">
        <v>2194</v>
      </c>
      <c r="C1056" s="27">
        <v>44931</v>
      </c>
      <c r="D1056" s="25">
        <v>44935</v>
      </c>
      <c r="E1056" t="s">
        <v>41</v>
      </c>
      <c r="F1056">
        <v>83180</v>
      </c>
      <c r="G1056">
        <v>3358</v>
      </c>
      <c r="H1056" s="26">
        <v>4300.5</v>
      </c>
      <c r="I1056">
        <v>493</v>
      </c>
      <c r="J1056" t="s">
        <v>15</v>
      </c>
      <c r="L1056" t="s">
        <v>42</v>
      </c>
    </row>
    <row r="1057" spans="1:12">
      <c r="A1057" t="s">
        <v>2195</v>
      </c>
      <c r="B1057" t="s">
        <v>2196</v>
      </c>
      <c r="C1057" s="27">
        <v>45082</v>
      </c>
      <c r="D1057" s="25">
        <v>45099</v>
      </c>
      <c r="E1057" t="s">
        <v>33</v>
      </c>
      <c r="F1057">
        <v>88958</v>
      </c>
      <c r="G1057">
        <v>1241</v>
      </c>
      <c r="H1057">
        <v>2471.91</v>
      </c>
      <c r="I1057">
        <v>228</v>
      </c>
      <c r="J1057" t="s">
        <v>24</v>
      </c>
      <c r="L1057" t="s">
        <v>34</v>
      </c>
    </row>
    <row r="1058" spans="1:12">
      <c r="A1058" t="s">
        <v>2197</v>
      </c>
      <c r="B1058" t="s">
        <v>2198</v>
      </c>
      <c r="C1058" s="27">
        <v>45115</v>
      </c>
      <c r="D1058" s="25">
        <v>45137</v>
      </c>
      <c r="E1058" t="s">
        <v>14</v>
      </c>
      <c r="F1058">
        <v>10865</v>
      </c>
      <c r="G1058">
        <v>495</v>
      </c>
      <c r="H1058" s="26">
        <v>397.37</v>
      </c>
      <c r="I1058">
        <v>79</v>
      </c>
      <c r="J1058">
        <v>0</v>
      </c>
      <c r="L1058" t="s">
        <v>16</v>
      </c>
    </row>
    <row r="1059" spans="1:12">
      <c r="A1059" t="s">
        <v>2199</v>
      </c>
      <c r="B1059" t="s">
        <v>2200</v>
      </c>
      <c r="C1059" s="27">
        <v>45027</v>
      </c>
      <c r="D1059" s="25">
        <v>45036</v>
      </c>
      <c r="E1059" t="s">
        <v>19</v>
      </c>
      <c r="F1059">
        <v>3219</v>
      </c>
      <c r="G1059">
        <v>33</v>
      </c>
      <c r="H1059">
        <v>29.28</v>
      </c>
      <c r="I1059">
        <v>4</v>
      </c>
      <c r="J1059" t="b">
        <v>1</v>
      </c>
      <c r="L1059" t="s">
        <v>20</v>
      </c>
    </row>
    <row r="1060" spans="1:12">
      <c r="A1060" t="s">
        <v>2201</v>
      </c>
      <c r="B1060" t="s">
        <v>2202</v>
      </c>
      <c r="C1060" s="27">
        <v>45052</v>
      </c>
      <c r="D1060" s="25">
        <v>45071</v>
      </c>
      <c r="E1060" t="s">
        <v>41</v>
      </c>
      <c r="F1060">
        <v>40809</v>
      </c>
      <c r="G1060">
        <v>1012</v>
      </c>
      <c r="H1060">
        <v>678.35</v>
      </c>
      <c r="I1060">
        <v>201</v>
      </c>
      <c r="J1060" t="s">
        <v>24</v>
      </c>
      <c r="L1060" t="s">
        <v>42</v>
      </c>
    </row>
    <row r="1061" spans="1:12">
      <c r="A1061" t="s">
        <v>2203</v>
      </c>
      <c r="B1061" t="s">
        <v>2204</v>
      </c>
      <c r="C1061" s="27">
        <v>44939</v>
      </c>
      <c r="D1061" s="25">
        <v>44956</v>
      </c>
      <c r="E1061" t="s">
        <v>19</v>
      </c>
      <c r="F1061">
        <v>6287</v>
      </c>
      <c r="G1061">
        <v>69</v>
      </c>
      <c r="H1061">
        <v>129.47</v>
      </c>
      <c r="I1061">
        <v>6</v>
      </c>
      <c r="J1061" t="s">
        <v>30</v>
      </c>
      <c r="L1061" t="s">
        <v>20</v>
      </c>
    </row>
    <row r="1062" spans="1:12">
      <c r="A1062" t="s">
        <v>2205</v>
      </c>
      <c r="B1062" t="s">
        <v>2206</v>
      </c>
      <c r="C1062" s="27">
        <v>45282</v>
      </c>
      <c r="D1062" s="25">
        <v>45283</v>
      </c>
      <c r="E1062" t="s">
        <v>19</v>
      </c>
      <c r="F1062">
        <v>35387</v>
      </c>
      <c r="G1062">
        <v>910</v>
      </c>
      <c r="H1062">
        <v>1516.71</v>
      </c>
      <c r="I1062">
        <v>159</v>
      </c>
      <c r="J1062" t="s">
        <v>24</v>
      </c>
      <c r="L1062" t="s">
        <v>20</v>
      </c>
    </row>
    <row r="1063" spans="1:12">
      <c r="A1063" t="s">
        <v>2207</v>
      </c>
      <c r="B1063" t="s">
        <v>2208</v>
      </c>
      <c r="C1063" s="27">
        <v>44927</v>
      </c>
      <c r="D1063" s="25">
        <v>44937</v>
      </c>
      <c r="E1063" t="s">
        <v>14</v>
      </c>
      <c r="F1063">
        <v>9512</v>
      </c>
      <c r="G1063">
        <v>295</v>
      </c>
      <c r="H1063">
        <v>511.39</v>
      </c>
      <c r="I1063">
        <v>33</v>
      </c>
      <c r="J1063">
        <v>1</v>
      </c>
      <c r="L1063" t="s">
        <v>16</v>
      </c>
    </row>
    <row r="1064" spans="1:12">
      <c r="A1064" t="s">
        <v>2209</v>
      </c>
      <c r="B1064" t="s">
        <v>2210</v>
      </c>
      <c r="C1064" s="27">
        <v>45084</v>
      </c>
      <c r="D1064" s="25">
        <v>45113</v>
      </c>
      <c r="E1064" t="s">
        <v>41</v>
      </c>
      <c r="F1064">
        <v>2342</v>
      </c>
      <c r="G1064">
        <v>71</v>
      </c>
      <c r="H1064">
        <v>131.64</v>
      </c>
      <c r="I1064">
        <v>10</v>
      </c>
      <c r="J1064">
        <v>1</v>
      </c>
      <c r="L1064" t="s">
        <v>42</v>
      </c>
    </row>
    <row r="1065" spans="1:12">
      <c r="A1065" t="s">
        <v>2211</v>
      </c>
      <c r="B1065" t="s">
        <v>2212</v>
      </c>
      <c r="C1065" s="27">
        <v>45048</v>
      </c>
      <c r="D1065" s="25">
        <v>45074</v>
      </c>
      <c r="E1065" t="s">
        <v>19</v>
      </c>
      <c r="F1065">
        <v>64076</v>
      </c>
      <c r="G1065">
        <v>1065</v>
      </c>
      <c r="H1065">
        <v>1371.03</v>
      </c>
      <c r="I1065">
        <v>169</v>
      </c>
      <c r="J1065">
        <v>1</v>
      </c>
      <c r="L1065" t="s">
        <v>20</v>
      </c>
    </row>
    <row r="1066" spans="1:12">
      <c r="A1066" t="s">
        <v>2213</v>
      </c>
      <c r="B1066" t="s">
        <v>2214</v>
      </c>
      <c r="C1066" s="25">
        <v>44999</v>
      </c>
      <c r="D1066" s="25">
        <v>45004</v>
      </c>
      <c r="E1066" t="s">
        <v>33</v>
      </c>
      <c r="F1066">
        <v>20216</v>
      </c>
      <c r="G1066">
        <v>724</v>
      </c>
      <c r="H1066" s="26">
        <v>852</v>
      </c>
      <c r="I1066">
        <v>105</v>
      </c>
      <c r="J1066">
        <v>0</v>
      </c>
      <c r="L1066" t="s">
        <v>34</v>
      </c>
    </row>
    <row r="1067" spans="1:12">
      <c r="A1067" t="s">
        <v>2215</v>
      </c>
      <c r="B1067" t="s">
        <v>2216</v>
      </c>
      <c r="C1067" s="27">
        <v>45045</v>
      </c>
      <c r="D1067" s="25">
        <v>45056</v>
      </c>
      <c r="E1067" t="s">
        <v>23</v>
      </c>
      <c r="F1067">
        <v>94070</v>
      </c>
      <c r="G1067">
        <v>1109</v>
      </c>
      <c r="H1067">
        <v>1104.11</v>
      </c>
      <c r="I1067">
        <v>78</v>
      </c>
      <c r="J1067" t="s">
        <v>24</v>
      </c>
      <c r="L1067" t="s">
        <v>25</v>
      </c>
    </row>
    <row r="1068" spans="1:12">
      <c r="A1068" t="s">
        <v>2217</v>
      </c>
      <c r="B1068" t="s">
        <v>2218</v>
      </c>
      <c r="C1068" s="27">
        <v>45285</v>
      </c>
      <c r="D1068" s="25">
        <v>45315</v>
      </c>
      <c r="E1068" t="s">
        <v>23</v>
      </c>
      <c r="F1068">
        <v>80767</v>
      </c>
      <c r="G1068">
        <v>3269</v>
      </c>
      <c r="H1068">
        <v>4523.71</v>
      </c>
      <c r="I1068">
        <v>380</v>
      </c>
      <c r="J1068" t="s">
        <v>24</v>
      </c>
      <c r="L1068" t="s">
        <v>25</v>
      </c>
    </row>
    <row r="1069" spans="1:12">
      <c r="A1069" t="s">
        <v>2219</v>
      </c>
      <c r="B1069" t="s">
        <v>2220</v>
      </c>
      <c r="C1069" s="27">
        <v>44970</v>
      </c>
      <c r="D1069" s="25">
        <v>44978</v>
      </c>
      <c r="E1069" t="s">
        <v>14</v>
      </c>
      <c r="F1069">
        <v>98829</v>
      </c>
      <c r="G1069">
        <v>4730</v>
      </c>
      <c r="H1069">
        <v>5588.11</v>
      </c>
      <c r="I1069">
        <v>634</v>
      </c>
      <c r="J1069" t="b">
        <v>0</v>
      </c>
      <c r="L1069" t="s">
        <v>16</v>
      </c>
    </row>
    <row r="1070" spans="1:12">
      <c r="A1070" t="s">
        <v>2221</v>
      </c>
      <c r="B1070" t="s">
        <v>2222</v>
      </c>
      <c r="C1070" s="25">
        <v>45253</v>
      </c>
      <c r="D1070" s="25">
        <v>45281</v>
      </c>
      <c r="E1070" t="s">
        <v>41</v>
      </c>
      <c r="F1070">
        <v>27614</v>
      </c>
      <c r="G1070">
        <v>651</v>
      </c>
      <c r="H1070">
        <v>766.45</v>
      </c>
      <c r="I1070">
        <v>115</v>
      </c>
      <c r="J1070">
        <v>0</v>
      </c>
      <c r="L1070" t="s">
        <v>42</v>
      </c>
    </row>
    <row r="1071" spans="1:12">
      <c r="A1071" t="s">
        <v>2223</v>
      </c>
      <c r="B1071" t="s">
        <v>2224</v>
      </c>
      <c r="C1071" t="s">
        <v>2225</v>
      </c>
      <c r="D1071" s="25">
        <v>45233</v>
      </c>
      <c r="E1071" t="s">
        <v>14</v>
      </c>
      <c r="F1071">
        <v>37258</v>
      </c>
      <c r="G1071">
        <v>1143</v>
      </c>
      <c r="H1071">
        <v>2177.86</v>
      </c>
      <c r="I1071">
        <v>133</v>
      </c>
      <c r="J1071" t="b">
        <v>1</v>
      </c>
      <c r="L1071" t="s">
        <v>16</v>
      </c>
    </row>
    <row r="1072" spans="1:12">
      <c r="A1072" t="s">
        <v>2226</v>
      </c>
      <c r="B1072" t="s">
        <v>2227</v>
      </c>
      <c r="C1072" s="27">
        <v>45266</v>
      </c>
      <c r="D1072" s="25">
        <v>45292</v>
      </c>
      <c r="E1072" t="s">
        <v>19</v>
      </c>
      <c r="F1072">
        <v>94789</v>
      </c>
      <c r="G1072">
        <v>2384</v>
      </c>
      <c r="H1072">
        <v>4710.9</v>
      </c>
      <c r="I1072">
        <v>447</v>
      </c>
      <c r="J1072" t="b">
        <v>1</v>
      </c>
      <c r="L1072" t="s">
        <v>20</v>
      </c>
    </row>
    <row r="1073" spans="1:12">
      <c r="A1073" t="s">
        <v>2228</v>
      </c>
      <c r="B1073" t="s">
        <v>2229</v>
      </c>
      <c r="C1073" s="27">
        <v>45060</v>
      </c>
      <c r="D1073" s="25">
        <v>45067</v>
      </c>
      <c r="E1073" t="s">
        <v>14</v>
      </c>
      <c r="F1073">
        <v>43078</v>
      </c>
      <c r="G1073">
        <v>442</v>
      </c>
      <c r="H1073">
        <v>749.07</v>
      </c>
      <c r="I1073">
        <v>51</v>
      </c>
      <c r="J1073" t="b">
        <v>1</v>
      </c>
      <c r="L1073" t="s">
        <v>16</v>
      </c>
    </row>
    <row r="1074" spans="1:12">
      <c r="A1074" t="s">
        <v>2230</v>
      </c>
      <c r="B1074" t="s">
        <v>2231</v>
      </c>
      <c r="C1074" s="27">
        <v>45128</v>
      </c>
      <c r="D1074" s="25">
        <v>45135</v>
      </c>
      <c r="E1074" t="s">
        <v>19</v>
      </c>
      <c r="F1074">
        <v>84524</v>
      </c>
      <c r="G1074">
        <v>2149</v>
      </c>
      <c r="H1074">
        <v>3513.91</v>
      </c>
      <c r="I1074">
        <v>284</v>
      </c>
      <c r="J1074" t="b">
        <v>1</v>
      </c>
      <c r="L1074" t="s">
        <v>20</v>
      </c>
    </row>
    <row r="1075" spans="1:12">
      <c r="A1075" t="s">
        <v>2232</v>
      </c>
      <c r="B1075" t="s">
        <v>2233</v>
      </c>
      <c r="C1075" s="27">
        <v>45089</v>
      </c>
      <c r="D1075" s="25">
        <v>45111</v>
      </c>
      <c r="E1075" t="s">
        <v>138</v>
      </c>
      <c r="F1075">
        <v>97573</v>
      </c>
      <c r="G1075">
        <v>4065</v>
      </c>
      <c r="H1075">
        <v>6182.2</v>
      </c>
      <c r="I1075">
        <v>688</v>
      </c>
      <c r="J1075" t="b">
        <v>1</v>
      </c>
      <c r="L1075" t="s">
        <v>68</v>
      </c>
    </row>
    <row r="1076" spans="1:12">
      <c r="A1076" t="s">
        <v>2234</v>
      </c>
      <c r="B1076" t="s">
        <v>2235</v>
      </c>
      <c r="C1076" s="27">
        <v>45030</v>
      </c>
      <c r="D1076" s="25">
        <v>45046</v>
      </c>
      <c r="E1076" t="s">
        <v>33</v>
      </c>
      <c r="F1076">
        <v>13219</v>
      </c>
      <c r="G1076">
        <v>447</v>
      </c>
      <c r="H1076" s="26">
        <v>334.85</v>
      </c>
      <c r="I1076">
        <v>61</v>
      </c>
      <c r="J1076" t="s">
        <v>15</v>
      </c>
      <c r="L1076" t="s">
        <v>34</v>
      </c>
    </row>
    <row r="1077" spans="1:12">
      <c r="A1077" t="s">
        <v>2236</v>
      </c>
      <c r="B1077" t="s">
        <v>2237</v>
      </c>
      <c r="C1077" s="27">
        <v>44982</v>
      </c>
      <c r="D1077" s="25">
        <v>44998</v>
      </c>
      <c r="E1077" t="s">
        <v>33</v>
      </c>
      <c r="F1077">
        <v>1235</v>
      </c>
      <c r="G1077">
        <v>17</v>
      </c>
      <c r="H1077">
        <v>10.01</v>
      </c>
      <c r="I1077">
        <v>3</v>
      </c>
      <c r="J1077">
        <v>1</v>
      </c>
      <c r="L1077" t="s">
        <v>34</v>
      </c>
    </row>
    <row r="1078" spans="1:12">
      <c r="A1078" t="s">
        <v>2238</v>
      </c>
      <c r="B1078" t="s">
        <v>2239</v>
      </c>
      <c r="C1078" s="27">
        <v>45165</v>
      </c>
      <c r="D1078" s="25">
        <v>45181</v>
      </c>
      <c r="E1078" t="s">
        <v>14</v>
      </c>
      <c r="F1078">
        <v>43929</v>
      </c>
      <c r="G1078">
        <v>1927</v>
      </c>
      <c r="H1078">
        <v>2960.04</v>
      </c>
      <c r="I1078">
        <v>287</v>
      </c>
      <c r="J1078">
        <v>0</v>
      </c>
      <c r="L1078" t="s">
        <v>16</v>
      </c>
    </row>
    <row r="1079" spans="1:12">
      <c r="A1079" t="s">
        <v>2240</v>
      </c>
      <c r="B1079" t="s">
        <v>2241</v>
      </c>
      <c r="C1079" s="27">
        <v>45110</v>
      </c>
      <c r="D1079" s="25">
        <v>45117</v>
      </c>
      <c r="E1079" t="s">
        <v>23</v>
      </c>
      <c r="F1079">
        <v>68444</v>
      </c>
      <c r="G1079">
        <v>2138</v>
      </c>
      <c r="H1079">
        <v>3406.22</v>
      </c>
      <c r="I1079">
        <v>274</v>
      </c>
      <c r="J1079" t="s">
        <v>15</v>
      </c>
      <c r="L1079" t="s">
        <v>25</v>
      </c>
    </row>
    <row r="1080" spans="1:12">
      <c r="A1080" t="s">
        <v>2242</v>
      </c>
      <c r="B1080" t="s">
        <v>2243</v>
      </c>
      <c r="C1080" s="27">
        <v>45084</v>
      </c>
      <c r="D1080" s="25">
        <v>45088</v>
      </c>
      <c r="E1080" t="s">
        <v>33</v>
      </c>
      <c r="F1080">
        <v>9567</v>
      </c>
      <c r="G1080">
        <v>417</v>
      </c>
      <c r="H1080">
        <v>237.88</v>
      </c>
      <c r="I1080">
        <v>22</v>
      </c>
      <c r="J1080">
        <v>0</v>
      </c>
      <c r="L1080" t="s">
        <v>34</v>
      </c>
    </row>
    <row r="1081" spans="1:12">
      <c r="A1081" t="s">
        <v>2244</v>
      </c>
      <c r="B1081" t="s">
        <v>2245</v>
      </c>
      <c r="C1081" s="27">
        <v>44973</v>
      </c>
      <c r="D1081" s="25">
        <v>44979</v>
      </c>
      <c r="E1081" t="s">
        <v>33</v>
      </c>
      <c r="F1081">
        <v>71792</v>
      </c>
      <c r="G1081">
        <v>2384</v>
      </c>
      <c r="H1081" s="26">
        <v>4510.71</v>
      </c>
      <c r="I1081">
        <v>267</v>
      </c>
      <c r="J1081" t="b">
        <v>0</v>
      </c>
      <c r="L1081" t="s">
        <v>34</v>
      </c>
    </row>
    <row r="1082" spans="1:12">
      <c r="A1082" t="s">
        <v>2246</v>
      </c>
      <c r="B1082" t="s">
        <v>2247</v>
      </c>
      <c r="C1082" s="25">
        <v>45287</v>
      </c>
      <c r="D1082" s="25">
        <v>45300</v>
      </c>
      <c r="E1082" t="s">
        <v>23</v>
      </c>
      <c r="F1082">
        <v>66441</v>
      </c>
      <c r="G1082">
        <v>2151</v>
      </c>
      <c r="H1082">
        <v>1369.57</v>
      </c>
      <c r="I1082">
        <v>204</v>
      </c>
      <c r="J1082" t="s">
        <v>24</v>
      </c>
      <c r="L1082" t="s">
        <v>25</v>
      </c>
    </row>
    <row r="1083" spans="1:12">
      <c r="A1083" t="s">
        <v>2248</v>
      </c>
      <c r="B1083" t="s">
        <v>2249</v>
      </c>
      <c r="C1083" s="27">
        <v>45094</v>
      </c>
      <c r="D1083" s="25">
        <v>45112</v>
      </c>
      <c r="E1083" t="s">
        <v>23</v>
      </c>
      <c r="F1083">
        <v>85555</v>
      </c>
      <c r="G1083">
        <v>1215</v>
      </c>
      <c r="H1083">
        <v>1128.55</v>
      </c>
      <c r="J1083" t="s">
        <v>30</v>
      </c>
      <c r="L1083" t="s">
        <v>25</v>
      </c>
    </row>
    <row r="1084" spans="1:12">
      <c r="A1084" t="s">
        <v>2250</v>
      </c>
      <c r="B1084" t="s">
        <v>2251</v>
      </c>
      <c r="C1084" s="25">
        <v>45109</v>
      </c>
      <c r="D1084" s="25">
        <v>44985</v>
      </c>
      <c r="E1084" t="s">
        <v>19</v>
      </c>
      <c r="F1084">
        <v>74698</v>
      </c>
      <c r="G1084">
        <v>1247</v>
      </c>
      <c r="H1084" s="26">
        <v>1881.21</v>
      </c>
      <c r="I1084">
        <v>101</v>
      </c>
      <c r="J1084">
        <v>1</v>
      </c>
      <c r="L1084" t="s">
        <v>20</v>
      </c>
    </row>
    <row r="1085" spans="1:12">
      <c r="A1085" t="s">
        <v>2252</v>
      </c>
      <c r="B1085" t="s">
        <v>2253</v>
      </c>
      <c r="C1085" s="27">
        <v>45080</v>
      </c>
      <c r="D1085" s="25">
        <v>45101</v>
      </c>
      <c r="E1085" t="s">
        <v>23</v>
      </c>
      <c r="F1085">
        <v>6415</v>
      </c>
      <c r="G1085">
        <v>313</v>
      </c>
      <c r="H1085">
        <v>236.26</v>
      </c>
      <c r="I1085">
        <v>25</v>
      </c>
      <c r="J1085" t="b">
        <v>0</v>
      </c>
      <c r="L1085" t="s">
        <v>25</v>
      </c>
    </row>
    <row r="1086" spans="1:12">
      <c r="A1086" t="s">
        <v>2254</v>
      </c>
      <c r="B1086" t="s">
        <v>2255</v>
      </c>
      <c r="C1086" s="27">
        <v>44942</v>
      </c>
      <c r="D1086" s="25">
        <v>44937</v>
      </c>
      <c r="E1086" t="s">
        <v>415</v>
      </c>
      <c r="F1086">
        <v>37159</v>
      </c>
      <c r="G1086">
        <v>711</v>
      </c>
      <c r="H1086">
        <v>414.6</v>
      </c>
      <c r="I1086">
        <v>55</v>
      </c>
      <c r="J1086" t="s">
        <v>15</v>
      </c>
      <c r="L1086" t="s">
        <v>34</v>
      </c>
    </row>
    <row r="1087" spans="1:12">
      <c r="A1087" t="s">
        <v>2256</v>
      </c>
      <c r="B1087" t="s">
        <v>2257</v>
      </c>
      <c r="C1087" s="27">
        <v>45211</v>
      </c>
      <c r="D1087" s="25">
        <v>45239</v>
      </c>
      <c r="E1087" t="s">
        <v>14</v>
      </c>
      <c r="F1087">
        <v>44925</v>
      </c>
      <c r="G1087">
        <v>2205</v>
      </c>
      <c r="H1087">
        <v>2197.77</v>
      </c>
      <c r="I1087">
        <v>151</v>
      </c>
      <c r="J1087" t="s">
        <v>30</v>
      </c>
      <c r="L1087" t="s">
        <v>16</v>
      </c>
    </row>
    <row r="1088" spans="1:12">
      <c r="A1088" t="s">
        <v>2258</v>
      </c>
      <c r="B1088" t="s">
        <v>2259</v>
      </c>
      <c r="C1088" s="27">
        <v>45163</v>
      </c>
      <c r="D1088" s="25">
        <v>45189</v>
      </c>
      <c r="E1088" t="s">
        <v>41</v>
      </c>
      <c r="F1088">
        <v>6951</v>
      </c>
      <c r="G1088">
        <v>217</v>
      </c>
      <c r="H1088">
        <v>357.82</v>
      </c>
      <c r="I1088">
        <v>20</v>
      </c>
      <c r="J1088" t="s">
        <v>24</v>
      </c>
      <c r="L1088" t="s">
        <v>42</v>
      </c>
    </row>
    <row r="1089" spans="1:12">
      <c r="A1089" t="s">
        <v>2260</v>
      </c>
      <c r="B1089" t="s">
        <v>2261</v>
      </c>
      <c r="C1089" s="25">
        <v>45019</v>
      </c>
      <c r="D1089" s="25">
        <v>44992</v>
      </c>
      <c r="E1089" t="s">
        <v>14</v>
      </c>
      <c r="F1089">
        <v>88388</v>
      </c>
      <c r="G1089">
        <v>1363</v>
      </c>
      <c r="H1089">
        <v>1527.27</v>
      </c>
      <c r="I1089">
        <v>249</v>
      </c>
      <c r="J1089" t="b">
        <v>0</v>
      </c>
      <c r="L1089" t="s">
        <v>16</v>
      </c>
    </row>
    <row r="1090" spans="1:12">
      <c r="A1090" t="s">
        <v>2262</v>
      </c>
      <c r="B1090" t="s">
        <v>2263</v>
      </c>
      <c r="C1090" s="27">
        <v>45040</v>
      </c>
      <c r="D1090" s="25">
        <v>45045</v>
      </c>
      <c r="E1090" t="s">
        <v>33</v>
      </c>
      <c r="F1090">
        <v>9007</v>
      </c>
      <c r="G1090">
        <v>125</v>
      </c>
      <c r="H1090">
        <v>184.93</v>
      </c>
      <c r="I1090">
        <v>20</v>
      </c>
      <c r="J1090" t="s">
        <v>24</v>
      </c>
      <c r="L1090" t="s">
        <v>34</v>
      </c>
    </row>
    <row r="1091" spans="1:12">
      <c r="A1091" t="s">
        <v>2264</v>
      </c>
      <c r="B1091" t="s">
        <v>2265</v>
      </c>
      <c r="C1091" s="27">
        <v>45117</v>
      </c>
      <c r="D1091" s="25">
        <v>45139</v>
      </c>
      <c r="E1091" t="s">
        <v>23</v>
      </c>
      <c r="F1091">
        <v>42832</v>
      </c>
      <c r="G1091">
        <v>786</v>
      </c>
      <c r="H1091">
        <v>1076.37</v>
      </c>
      <c r="I1091">
        <v>125</v>
      </c>
      <c r="J1091" t="s">
        <v>24</v>
      </c>
      <c r="L1091" t="s">
        <v>25</v>
      </c>
    </row>
    <row r="1092" spans="1:12">
      <c r="A1092" t="s">
        <v>2266</v>
      </c>
      <c r="B1092" t="s">
        <v>2267</v>
      </c>
      <c r="C1092" s="27">
        <v>44970</v>
      </c>
      <c r="D1092" s="25">
        <v>44975</v>
      </c>
      <c r="E1092" t="s">
        <v>33</v>
      </c>
      <c r="F1092">
        <v>59596</v>
      </c>
      <c r="G1092">
        <v>2802</v>
      </c>
      <c r="H1092">
        <v>1494.38</v>
      </c>
      <c r="I1092">
        <v>475</v>
      </c>
      <c r="J1092">
        <v>0</v>
      </c>
      <c r="L1092" t="s">
        <v>34</v>
      </c>
    </row>
    <row r="1093" spans="1:12">
      <c r="A1093" t="s">
        <v>2268</v>
      </c>
      <c r="B1093" t="s">
        <v>2269</v>
      </c>
      <c r="C1093" s="25">
        <v>45140</v>
      </c>
      <c r="D1093" s="25">
        <v>44993</v>
      </c>
      <c r="E1093" t="s">
        <v>23</v>
      </c>
      <c r="F1093">
        <v>31523</v>
      </c>
      <c r="G1093">
        <v>837</v>
      </c>
      <c r="H1093">
        <v>1659.61</v>
      </c>
      <c r="I1093">
        <v>75</v>
      </c>
      <c r="J1093" t="s">
        <v>30</v>
      </c>
      <c r="L1093" t="s">
        <v>25</v>
      </c>
    </row>
    <row r="1094" spans="1:12">
      <c r="A1094" t="s">
        <v>2270</v>
      </c>
      <c r="B1094" t="s">
        <v>2271</v>
      </c>
      <c r="C1094" s="27">
        <v>44960</v>
      </c>
      <c r="D1094" s="25">
        <v>44977</v>
      </c>
      <c r="E1094" t="s">
        <v>19</v>
      </c>
      <c r="F1094">
        <v>89861</v>
      </c>
      <c r="G1094">
        <v>2319</v>
      </c>
      <c r="H1094">
        <v>1303.61</v>
      </c>
      <c r="I1094">
        <v>424</v>
      </c>
      <c r="J1094">
        <v>0</v>
      </c>
      <c r="L1094" t="s">
        <v>20</v>
      </c>
    </row>
    <row r="1095" spans="1:12">
      <c r="A1095" t="s">
        <v>2272</v>
      </c>
      <c r="B1095" t="s">
        <v>2273</v>
      </c>
      <c r="C1095" s="25">
        <v>45110</v>
      </c>
      <c r="D1095" s="25">
        <v>44997</v>
      </c>
      <c r="E1095" t="s">
        <v>19</v>
      </c>
      <c r="F1095">
        <v>87740</v>
      </c>
      <c r="G1095">
        <v>1976</v>
      </c>
      <c r="H1095" s="26">
        <v>3856.57</v>
      </c>
      <c r="I1095">
        <v>139</v>
      </c>
      <c r="J1095" t="s">
        <v>24</v>
      </c>
      <c r="L1095" t="s">
        <v>20</v>
      </c>
    </row>
    <row r="1096" spans="1:12">
      <c r="A1096" t="s">
        <v>2274</v>
      </c>
      <c r="B1096" t="s">
        <v>2275</v>
      </c>
      <c r="C1096" s="27">
        <v>45096</v>
      </c>
      <c r="D1096" s="25">
        <v>45124</v>
      </c>
      <c r="E1096" t="s">
        <v>23</v>
      </c>
      <c r="F1096">
        <v>16524</v>
      </c>
      <c r="G1096">
        <v>262</v>
      </c>
      <c r="H1096">
        <v>347.1</v>
      </c>
      <c r="I1096">
        <v>26</v>
      </c>
      <c r="J1096" t="b">
        <v>0</v>
      </c>
      <c r="L1096" t="s">
        <v>25</v>
      </c>
    </row>
    <row r="1097" spans="1:12">
      <c r="A1097" t="s">
        <v>2276</v>
      </c>
      <c r="B1097" t="s">
        <v>2277</v>
      </c>
      <c r="C1097" s="27">
        <v>44952</v>
      </c>
      <c r="D1097" s="25">
        <v>44977</v>
      </c>
      <c r="E1097" t="s">
        <v>14</v>
      </c>
      <c r="F1097">
        <v>20282</v>
      </c>
      <c r="G1097">
        <v>598</v>
      </c>
      <c r="H1097" s="26">
        <v>1162.95</v>
      </c>
      <c r="J1097" t="s">
        <v>24</v>
      </c>
      <c r="L1097" t="s">
        <v>68</v>
      </c>
    </row>
    <row r="1098" spans="1:12">
      <c r="A1098" t="s">
        <v>2278</v>
      </c>
      <c r="B1098" t="s">
        <v>2279</v>
      </c>
      <c r="C1098" s="27">
        <v>45129</v>
      </c>
      <c r="D1098" s="25">
        <v>45132</v>
      </c>
      <c r="E1098" t="s">
        <v>23</v>
      </c>
      <c r="F1098">
        <v>24930</v>
      </c>
      <c r="G1098">
        <v>378</v>
      </c>
      <c r="H1098">
        <v>254.07</v>
      </c>
      <c r="I1098">
        <v>24</v>
      </c>
      <c r="J1098" t="s">
        <v>15</v>
      </c>
      <c r="L1098" t="s">
        <v>25</v>
      </c>
    </row>
    <row r="1099" spans="1:12">
      <c r="A1099" t="s">
        <v>2280</v>
      </c>
      <c r="B1099" t="s">
        <v>2281</v>
      </c>
      <c r="C1099" s="27">
        <v>45145</v>
      </c>
      <c r="D1099" s="25">
        <v>45161</v>
      </c>
      <c r="E1099" t="s">
        <v>41</v>
      </c>
      <c r="F1099">
        <v>1077</v>
      </c>
      <c r="G1099">
        <v>46</v>
      </c>
      <c r="H1099">
        <v>56.84</v>
      </c>
      <c r="J1099" t="s">
        <v>24</v>
      </c>
      <c r="L1099" t="s">
        <v>42</v>
      </c>
    </row>
    <row r="1100" spans="1:12">
      <c r="A1100" t="s">
        <v>2282</v>
      </c>
      <c r="B1100" t="s">
        <v>2283</v>
      </c>
      <c r="C1100" s="27">
        <v>45022</v>
      </c>
      <c r="D1100" s="25">
        <v>45039</v>
      </c>
      <c r="E1100" t="s">
        <v>41</v>
      </c>
      <c r="F1100">
        <v>21611</v>
      </c>
      <c r="G1100">
        <v>536</v>
      </c>
      <c r="H1100">
        <v>404.28</v>
      </c>
      <c r="J1100">
        <v>0</v>
      </c>
      <c r="L1100" t="s">
        <v>42</v>
      </c>
    </row>
    <row r="1101" spans="1:12">
      <c r="A1101" t="s">
        <v>2284</v>
      </c>
      <c r="B1101" t="s">
        <v>2285</v>
      </c>
      <c r="C1101" t="s">
        <v>2286</v>
      </c>
      <c r="D1101" s="25">
        <v>45006</v>
      </c>
      <c r="E1101" t="s">
        <v>14</v>
      </c>
      <c r="F1101">
        <v>17984</v>
      </c>
      <c r="G1101">
        <v>449</v>
      </c>
      <c r="H1101" s="26">
        <v>258.83</v>
      </c>
      <c r="I1101">
        <v>75</v>
      </c>
      <c r="J1101" t="s">
        <v>30</v>
      </c>
      <c r="K1101">
        <v>18015</v>
      </c>
      <c r="L1101" t="s">
        <v>16</v>
      </c>
    </row>
    <row r="1102" spans="1:12">
      <c r="A1102" t="s">
        <v>2287</v>
      </c>
      <c r="B1102" t="s">
        <v>2288</v>
      </c>
      <c r="C1102" s="27">
        <v>45244</v>
      </c>
      <c r="D1102" s="25">
        <v>45263</v>
      </c>
      <c r="E1102" t="s">
        <v>41</v>
      </c>
      <c r="F1102">
        <v>15060</v>
      </c>
      <c r="G1102">
        <v>436</v>
      </c>
      <c r="H1102">
        <v>621.86</v>
      </c>
      <c r="I1102">
        <v>54</v>
      </c>
      <c r="J1102" t="b">
        <v>0</v>
      </c>
      <c r="L1102" t="s">
        <v>42</v>
      </c>
    </row>
    <row r="1103" spans="1:12">
      <c r="A1103" t="s">
        <v>2289</v>
      </c>
      <c r="B1103" t="s">
        <v>2290</v>
      </c>
      <c r="C1103" s="27">
        <v>45182</v>
      </c>
      <c r="D1103" s="25">
        <v>45188</v>
      </c>
      <c r="E1103" t="s">
        <v>14</v>
      </c>
      <c r="F1103">
        <v>83985</v>
      </c>
      <c r="G1103">
        <v>2331</v>
      </c>
      <c r="H1103">
        <v>1892.01</v>
      </c>
      <c r="J1103">
        <v>0</v>
      </c>
      <c r="L1103" t="s">
        <v>16</v>
      </c>
    </row>
    <row r="1104" spans="1:12">
      <c r="A1104" t="s">
        <v>2291</v>
      </c>
      <c r="B1104" t="s">
        <v>2292</v>
      </c>
      <c r="C1104" s="25">
        <v>44928</v>
      </c>
      <c r="D1104" s="25">
        <v>44966</v>
      </c>
      <c r="E1104" t="s">
        <v>191</v>
      </c>
      <c r="F1104">
        <v>85056</v>
      </c>
      <c r="G1104">
        <v>4235</v>
      </c>
      <c r="H1104">
        <v>5850.85</v>
      </c>
      <c r="I1104">
        <v>678</v>
      </c>
      <c r="J1104" t="s">
        <v>24</v>
      </c>
      <c r="L1104" t="s">
        <v>42</v>
      </c>
    </row>
    <row r="1105" spans="1:12">
      <c r="A1105" t="s">
        <v>2293</v>
      </c>
      <c r="B1105" t="s">
        <v>2294</v>
      </c>
      <c r="C1105" s="27">
        <v>45123</v>
      </c>
      <c r="D1105" s="25">
        <v>45144</v>
      </c>
      <c r="E1105" t="s">
        <v>33</v>
      </c>
      <c r="F1105">
        <v>44303</v>
      </c>
      <c r="G1105">
        <v>1409</v>
      </c>
      <c r="H1105" s="26">
        <v>941.98</v>
      </c>
      <c r="J1105" t="s">
        <v>15</v>
      </c>
      <c r="L1105" t="s">
        <v>34</v>
      </c>
    </row>
    <row r="1106" spans="1:12">
      <c r="A1106" t="s">
        <v>2295</v>
      </c>
      <c r="B1106" t="s">
        <v>2296</v>
      </c>
      <c r="C1106" s="27">
        <v>45196</v>
      </c>
      <c r="D1106" s="25">
        <v>45221</v>
      </c>
      <c r="E1106" t="s">
        <v>19</v>
      </c>
      <c r="F1106">
        <v>60207</v>
      </c>
      <c r="G1106">
        <v>814</v>
      </c>
      <c r="H1106">
        <v>812.36</v>
      </c>
      <c r="I1106">
        <v>100</v>
      </c>
      <c r="J1106">
        <v>1</v>
      </c>
      <c r="L1106" t="s">
        <v>20</v>
      </c>
    </row>
    <row r="1107" spans="1:12">
      <c r="A1107" t="s">
        <v>2297</v>
      </c>
      <c r="B1107" t="s">
        <v>2298</v>
      </c>
      <c r="C1107" s="27">
        <v>45205</v>
      </c>
      <c r="D1107" s="25">
        <v>45219</v>
      </c>
      <c r="E1107" t="s">
        <v>19</v>
      </c>
      <c r="F1107">
        <v>76046</v>
      </c>
      <c r="G1107">
        <v>2606</v>
      </c>
      <c r="H1107">
        <v>4358.4</v>
      </c>
      <c r="I1107">
        <v>159</v>
      </c>
      <c r="J1107" t="s">
        <v>15</v>
      </c>
      <c r="L1107" t="s">
        <v>20</v>
      </c>
    </row>
    <row r="1108" spans="1:12">
      <c r="A1108" t="s">
        <v>2299</v>
      </c>
      <c r="B1108" t="s">
        <v>2300</v>
      </c>
      <c r="C1108" s="27">
        <v>45292</v>
      </c>
      <c r="D1108" s="25">
        <v>45319</v>
      </c>
      <c r="E1108" t="s">
        <v>33</v>
      </c>
      <c r="F1108">
        <v>30287</v>
      </c>
      <c r="G1108">
        <v>486</v>
      </c>
      <c r="H1108" s="26">
        <v>561.61</v>
      </c>
      <c r="I1108">
        <v>69</v>
      </c>
      <c r="J1108" t="s">
        <v>24</v>
      </c>
      <c r="L1108" t="s">
        <v>34</v>
      </c>
    </row>
    <row r="1109" spans="1:12">
      <c r="A1109" t="s">
        <v>2301</v>
      </c>
      <c r="B1109" t="s">
        <v>2302</v>
      </c>
      <c r="C1109" s="27">
        <v>45175</v>
      </c>
      <c r="D1109" s="25">
        <v>45196</v>
      </c>
      <c r="E1109" t="s">
        <v>14</v>
      </c>
      <c r="F1109">
        <v>94709</v>
      </c>
      <c r="G1109">
        <v>1064</v>
      </c>
      <c r="H1109" s="26">
        <v>1533.88</v>
      </c>
      <c r="I1109">
        <v>159</v>
      </c>
      <c r="J1109" t="s">
        <v>15</v>
      </c>
      <c r="L1109" t="s">
        <v>16</v>
      </c>
    </row>
    <row r="1110" spans="1:12">
      <c r="A1110" t="s">
        <v>2303</v>
      </c>
      <c r="B1110" t="s">
        <v>2304</v>
      </c>
      <c r="C1110" s="27">
        <v>45091</v>
      </c>
      <c r="D1110" s="25">
        <v>45103</v>
      </c>
      <c r="E1110" t="s">
        <v>23</v>
      </c>
      <c r="F1110">
        <v>40711</v>
      </c>
      <c r="G1110">
        <v>1987</v>
      </c>
      <c r="H1110">
        <v>2923.25</v>
      </c>
      <c r="I1110">
        <v>212</v>
      </c>
      <c r="J1110">
        <v>1</v>
      </c>
      <c r="L1110" t="s">
        <v>25</v>
      </c>
    </row>
    <row r="1111" spans="1:12">
      <c r="A1111" t="s">
        <v>2305</v>
      </c>
      <c r="B1111" t="s">
        <v>2306</v>
      </c>
      <c r="C1111" s="25">
        <v>45090</v>
      </c>
      <c r="D1111" s="25">
        <v>45085</v>
      </c>
      <c r="E1111" t="s">
        <v>19</v>
      </c>
      <c r="F1111">
        <v>12954</v>
      </c>
      <c r="G1111">
        <v>530</v>
      </c>
      <c r="H1111">
        <v>935.79</v>
      </c>
      <c r="I1111">
        <v>102</v>
      </c>
      <c r="J1111" t="s">
        <v>15</v>
      </c>
      <c r="L1111" t="s">
        <v>20</v>
      </c>
    </row>
    <row r="1112" spans="1:12">
      <c r="A1112" t="s">
        <v>2307</v>
      </c>
      <c r="B1112" t="s">
        <v>2308</v>
      </c>
      <c r="C1112" t="s">
        <v>806</v>
      </c>
      <c r="D1112" s="25">
        <v>45097</v>
      </c>
      <c r="E1112" t="s">
        <v>14</v>
      </c>
      <c r="F1112">
        <v>74340</v>
      </c>
      <c r="G1112">
        <v>3657</v>
      </c>
      <c r="H1112">
        <v>3610.86</v>
      </c>
      <c r="I1112">
        <v>662</v>
      </c>
      <c r="J1112">
        <v>1</v>
      </c>
      <c r="L1112" t="s">
        <v>16</v>
      </c>
    </row>
    <row r="1113" spans="1:12">
      <c r="A1113" t="s">
        <v>2309</v>
      </c>
      <c r="B1113" t="s">
        <v>2310</v>
      </c>
      <c r="C1113" s="27">
        <v>45168</v>
      </c>
      <c r="D1113" s="25">
        <v>45177</v>
      </c>
      <c r="E1113" t="s">
        <v>41</v>
      </c>
      <c r="F1113">
        <v>73101</v>
      </c>
      <c r="G1113">
        <v>2128</v>
      </c>
      <c r="H1113">
        <v>3257.85</v>
      </c>
      <c r="I1113">
        <v>332</v>
      </c>
      <c r="J1113" t="s">
        <v>24</v>
      </c>
      <c r="K1113">
        <v>73116</v>
      </c>
      <c r="L1113" t="s">
        <v>42</v>
      </c>
    </row>
    <row r="1114" spans="1:12">
      <c r="A1114" t="s">
        <v>2311</v>
      </c>
      <c r="B1114" t="s">
        <v>2312</v>
      </c>
      <c r="C1114" s="27">
        <v>45046</v>
      </c>
      <c r="D1114" s="25">
        <v>45060</v>
      </c>
      <c r="E1114" t="s">
        <v>14</v>
      </c>
      <c r="F1114">
        <v>72520</v>
      </c>
      <c r="G1114">
        <v>2269</v>
      </c>
      <c r="H1114">
        <v>4407.36</v>
      </c>
      <c r="I1114">
        <v>356</v>
      </c>
      <c r="J1114">
        <v>1</v>
      </c>
      <c r="L1114" t="s">
        <v>16</v>
      </c>
    </row>
    <row r="1115" spans="1:12">
      <c r="A1115" t="s">
        <v>2313</v>
      </c>
      <c r="B1115" t="s">
        <v>2314</v>
      </c>
      <c r="C1115" s="27">
        <v>45263</v>
      </c>
      <c r="D1115" s="25">
        <v>45265</v>
      </c>
      <c r="E1115" t="s">
        <v>41</v>
      </c>
      <c r="F1115">
        <v>88062</v>
      </c>
      <c r="G1115">
        <v>1473</v>
      </c>
      <c r="H1115">
        <v>2349.97</v>
      </c>
      <c r="I1115">
        <v>129</v>
      </c>
      <c r="J1115">
        <v>0</v>
      </c>
      <c r="L1115" t="s">
        <v>42</v>
      </c>
    </row>
    <row r="1116" spans="1:12">
      <c r="A1116" t="s">
        <v>2315</v>
      </c>
      <c r="B1116" t="s">
        <v>2316</v>
      </c>
      <c r="C1116" s="27">
        <v>44955</v>
      </c>
      <c r="D1116" s="25">
        <v>44980</v>
      </c>
      <c r="E1116" t="s">
        <v>19</v>
      </c>
      <c r="F1116">
        <v>19574</v>
      </c>
      <c r="G1116">
        <v>389</v>
      </c>
      <c r="H1116">
        <v>480.34</v>
      </c>
      <c r="I1116">
        <v>57</v>
      </c>
      <c r="J1116">
        <v>0</v>
      </c>
      <c r="L1116" t="s">
        <v>20</v>
      </c>
    </row>
    <row r="1117" spans="1:12">
      <c r="A1117" t="s">
        <v>2317</v>
      </c>
      <c r="B1117" t="s">
        <v>2318</v>
      </c>
      <c r="C1117" s="27">
        <v>45221</v>
      </c>
      <c r="D1117" s="25">
        <v>45235</v>
      </c>
      <c r="E1117" t="s">
        <v>41</v>
      </c>
      <c r="F1117">
        <v>10184</v>
      </c>
      <c r="G1117">
        <v>443</v>
      </c>
      <c r="H1117">
        <v>640.61</v>
      </c>
      <c r="J1117">
        <v>1</v>
      </c>
      <c r="L1117" t="s">
        <v>42</v>
      </c>
    </row>
    <row r="1118" spans="1:12">
      <c r="A1118" t="s">
        <v>2319</v>
      </c>
      <c r="B1118" t="s">
        <v>2320</v>
      </c>
      <c r="C1118" s="27">
        <v>45108</v>
      </c>
      <c r="D1118" s="25">
        <v>45110</v>
      </c>
      <c r="E1118" t="s">
        <v>234</v>
      </c>
      <c r="F1118">
        <v>20096</v>
      </c>
      <c r="G1118">
        <v>487</v>
      </c>
      <c r="H1118">
        <v>783.84</v>
      </c>
      <c r="I1118">
        <v>34</v>
      </c>
      <c r="J1118" t="b">
        <v>0</v>
      </c>
      <c r="L1118" t="s">
        <v>16</v>
      </c>
    </row>
    <row r="1119" spans="1:12">
      <c r="A1119" t="s">
        <v>2321</v>
      </c>
      <c r="B1119" t="s">
        <v>2322</v>
      </c>
      <c r="C1119" s="27">
        <v>45015</v>
      </c>
      <c r="D1119" s="25">
        <v>45043</v>
      </c>
      <c r="E1119" t="s">
        <v>19</v>
      </c>
      <c r="F1119">
        <v>68728</v>
      </c>
      <c r="G1119">
        <v>2960</v>
      </c>
      <c r="H1119">
        <v>4198.5</v>
      </c>
      <c r="I1119">
        <v>591</v>
      </c>
      <c r="J1119" t="s">
        <v>30</v>
      </c>
      <c r="L1119" t="s">
        <v>20</v>
      </c>
    </row>
    <row r="1120" spans="1:12">
      <c r="A1120" t="s">
        <v>2323</v>
      </c>
      <c r="B1120" t="s">
        <v>2324</v>
      </c>
      <c r="C1120" s="27">
        <v>45284</v>
      </c>
      <c r="D1120" s="25">
        <v>45295</v>
      </c>
      <c r="E1120" t="s">
        <v>41</v>
      </c>
      <c r="F1120">
        <v>35016</v>
      </c>
      <c r="G1120">
        <v>1343</v>
      </c>
      <c r="H1120">
        <v>705.09</v>
      </c>
      <c r="I1120">
        <v>192</v>
      </c>
      <c r="J1120" t="b">
        <v>0</v>
      </c>
      <c r="L1120" t="s">
        <v>42</v>
      </c>
    </row>
    <row r="1121" spans="1:12">
      <c r="A1121" t="s">
        <v>2325</v>
      </c>
      <c r="B1121" t="s">
        <v>2326</v>
      </c>
      <c r="C1121" s="27">
        <v>45287</v>
      </c>
      <c r="D1121" s="25">
        <v>45312</v>
      </c>
      <c r="E1121" t="s">
        <v>23</v>
      </c>
      <c r="F1121">
        <v>12246</v>
      </c>
      <c r="G1121">
        <v>209</v>
      </c>
      <c r="H1121" s="26">
        <v>165.56</v>
      </c>
      <c r="I1121">
        <v>23</v>
      </c>
      <c r="J1121">
        <v>1</v>
      </c>
      <c r="L1121" t="s">
        <v>25</v>
      </c>
    </row>
    <row r="1122" spans="1:12">
      <c r="A1122" t="s">
        <v>2327</v>
      </c>
      <c r="B1122" t="s">
        <v>2328</v>
      </c>
      <c r="C1122" s="27">
        <v>45215</v>
      </c>
      <c r="D1122" s="25">
        <v>45228</v>
      </c>
      <c r="E1122" t="s">
        <v>33</v>
      </c>
      <c r="F1122">
        <v>46558</v>
      </c>
      <c r="G1122">
        <v>1410</v>
      </c>
      <c r="H1122">
        <v>2419.14</v>
      </c>
      <c r="I1122">
        <v>131</v>
      </c>
      <c r="J1122" t="s">
        <v>30</v>
      </c>
      <c r="L1122" t="s">
        <v>34</v>
      </c>
    </row>
    <row r="1123" spans="1:12">
      <c r="A1123" t="s">
        <v>2329</v>
      </c>
      <c r="B1123" t="s">
        <v>2330</v>
      </c>
      <c r="C1123" s="27">
        <v>45179</v>
      </c>
      <c r="D1123" s="25">
        <v>45180</v>
      </c>
      <c r="E1123" t="s">
        <v>14</v>
      </c>
      <c r="F1123">
        <v>19381</v>
      </c>
      <c r="G1123">
        <v>718</v>
      </c>
      <c r="H1123" s="26">
        <v>652.64</v>
      </c>
      <c r="I1123">
        <v>100</v>
      </c>
      <c r="J1123">
        <v>0</v>
      </c>
      <c r="L1123" t="s">
        <v>16</v>
      </c>
    </row>
    <row r="1124" spans="1:12">
      <c r="A1124" t="s">
        <v>2331</v>
      </c>
      <c r="B1124" t="s">
        <v>2332</v>
      </c>
      <c r="C1124" t="s">
        <v>2333</v>
      </c>
      <c r="D1124" s="25">
        <v>44953</v>
      </c>
      <c r="E1124" t="s">
        <v>19</v>
      </c>
      <c r="F1124">
        <v>37455</v>
      </c>
      <c r="G1124">
        <v>726</v>
      </c>
      <c r="H1124">
        <v>1159.67</v>
      </c>
      <c r="I1124">
        <v>41</v>
      </c>
      <c r="J1124" t="s">
        <v>30</v>
      </c>
      <c r="L1124" t="s">
        <v>20</v>
      </c>
    </row>
    <row r="1125" spans="1:12">
      <c r="A1125" t="s">
        <v>2334</v>
      </c>
      <c r="B1125" t="s">
        <v>2335</v>
      </c>
      <c r="C1125" s="25">
        <v>45046</v>
      </c>
      <c r="D1125" s="25">
        <v>45068</v>
      </c>
      <c r="E1125" t="s">
        <v>23</v>
      </c>
      <c r="F1125">
        <v>93263</v>
      </c>
      <c r="G1125">
        <v>4031</v>
      </c>
      <c r="H1125" s="26">
        <v>4265.52</v>
      </c>
      <c r="I1125">
        <v>258</v>
      </c>
      <c r="J1125">
        <v>1</v>
      </c>
      <c r="L1125" t="s">
        <v>25</v>
      </c>
    </row>
    <row r="1126" spans="1:12">
      <c r="A1126" t="s">
        <v>2336</v>
      </c>
      <c r="B1126" t="s">
        <v>2337</v>
      </c>
      <c r="C1126" s="25">
        <v>44966</v>
      </c>
      <c r="D1126" s="25">
        <v>45195</v>
      </c>
      <c r="E1126" t="s">
        <v>33</v>
      </c>
      <c r="F1126">
        <v>5018</v>
      </c>
      <c r="G1126">
        <v>159</v>
      </c>
      <c r="H1126">
        <v>203.97</v>
      </c>
      <c r="I1126">
        <v>8</v>
      </c>
      <c r="J1126">
        <v>0</v>
      </c>
      <c r="L1126" t="s">
        <v>34</v>
      </c>
    </row>
    <row r="1127" spans="1:12">
      <c r="A1127" t="s">
        <v>2338</v>
      </c>
      <c r="B1127" t="s">
        <v>2339</v>
      </c>
      <c r="C1127" s="27">
        <v>45241</v>
      </c>
      <c r="D1127" s="25">
        <v>45271</v>
      </c>
      <c r="E1127" t="s">
        <v>14</v>
      </c>
      <c r="F1127">
        <v>12302</v>
      </c>
      <c r="G1127">
        <v>204</v>
      </c>
      <c r="H1127">
        <v>-122.8</v>
      </c>
      <c r="I1127">
        <v>25</v>
      </c>
      <c r="J1127" t="s">
        <v>30</v>
      </c>
      <c r="L1127" t="s">
        <v>16</v>
      </c>
    </row>
    <row r="1128" spans="1:12">
      <c r="A1128" t="s">
        <v>2340</v>
      </c>
      <c r="B1128" t="s">
        <v>2341</v>
      </c>
      <c r="C1128" s="27">
        <v>45017</v>
      </c>
      <c r="D1128" s="25">
        <v>45029</v>
      </c>
      <c r="E1128" t="s">
        <v>41</v>
      </c>
      <c r="F1128">
        <v>68506</v>
      </c>
      <c r="G1128">
        <v>2282</v>
      </c>
      <c r="H1128">
        <v>1761.34</v>
      </c>
      <c r="I1128">
        <v>319</v>
      </c>
      <c r="J1128" t="s">
        <v>30</v>
      </c>
      <c r="L1128" t="s">
        <v>42</v>
      </c>
    </row>
    <row r="1129" spans="1:12">
      <c r="A1129" t="s">
        <v>2342</v>
      </c>
      <c r="B1129" t="s">
        <v>2343</v>
      </c>
      <c r="C1129" t="s">
        <v>2344</v>
      </c>
      <c r="D1129" s="25">
        <v>45105</v>
      </c>
      <c r="E1129" t="s">
        <v>14</v>
      </c>
      <c r="F1129">
        <v>42157</v>
      </c>
      <c r="G1129">
        <v>2107</v>
      </c>
      <c r="H1129">
        <v>4078.72</v>
      </c>
      <c r="I1129">
        <v>125</v>
      </c>
      <c r="J1129" t="b">
        <v>0</v>
      </c>
      <c r="L1129" t="s">
        <v>16</v>
      </c>
    </row>
    <row r="1130" spans="1:12">
      <c r="A1130" t="s">
        <v>2345</v>
      </c>
      <c r="B1130" t="s">
        <v>2346</v>
      </c>
      <c r="C1130" s="27">
        <v>45002</v>
      </c>
      <c r="D1130" s="25">
        <v>45017</v>
      </c>
      <c r="E1130" t="s">
        <v>33</v>
      </c>
      <c r="F1130">
        <v>55917</v>
      </c>
      <c r="G1130">
        <v>895</v>
      </c>
      <c r="H1130">
        <v>1642.51</v>
      </c>
      <c r="I1130">
        <v>141</v>
      </c>
      <c r="J1130" t="s">
        <v>30</v>
      </c>
      <c r="L1130" t="s">
        <v>34</v>
      </c>
    </row>
    <row r="1131" spans="1:12">
      <c r="A1131" t="s">
        <v>2347</v>
      </c>
      <c r="B1131" t="s">
        <v>2348</v>
      </c>
      <c r="C1131" s="27">
        <v>44983</v>
      </c>
      <c r="D1131" s="25">
        <v>45003</v>
      </c>
      <c r="E1131" t="s">
        <v>23</v>
      </c>
      <c r="F1131">
        <v>93738</v>
      </c>
      <c r="G1131">
        <v>3999</v>
      </c>
      <c r="H1131">
        <v>5912.17</v>
      </c>
      <c r="I1131">
        <v>338</v>
      </c>
      <c r="J1131" t="s">
        <v>24</v>
      </c>
      <c r="L1131" t="s">
        <v>25</v>
      </c>
    </row>
    <row r="1132" spans="1:12">
      <c r="A1132" t="s">
        <v>2349</v>
      </c>
      <c r="B1132" t="s">
        <v>2350</v>
      </c>
      <c r="C1132" s="27">
        <v>44964</v>
      </c>
      <c r="D1132" s="25">
        <v>44991</v>
      </c>
      <c r="E1132" t="s">
        <v>23</v>
      </c>
      <c r="F1132">
        <v>97646</v>
      </c>
      <c r="G1132">
        <v>1786</v>
      </c>
      <c r="H1132">
        <v>2124.39</v>
      </c>
      <c r="I1132">
        <v>272</v>
      </c>
      <c r="J1132">
        <v>1</v>
      </c>
      <c r="L1132" t="s">
        <v>25</v>
      </c>
    </row>
    <row r="1133" spans="1:12">
      <c r="A1133" t="s">
        <v>2351</v>
      </c>
      <c r="B1133" t="s">
        <v>2352</v>
      </c>
      <c r="C1133" s="27">
        <v>45129</v>
      </c>
      <c r="D1133" s="25">
        <v>45157</v>
      </c>
      <c r="E1133" t="s">
        <v>19</v>
      </c>
      <c r="F1133">
        <v>84122</v>
      </c>
      <c r="G1133">
        <v>3473</v>
      </c>
      <c r="H1133">
        <v>5256.88</v>
      </c>
      <c r="I1133">
        <v>685</v>
      </c>
      <c r="J1133" t="b">
        <v>1</v>
      </c>
      <c r="L1133" t="s">
        <v>20</v>
      </c>
    </row>
    <row r="1134" spans="1:12">
      <c r="A1134" t="s">
        <v>2353</v>
      </c>
      <c r="B1134" t="s">
        <v>2354</v>
      </c>
      <c r="C1134" s="27">
        <v>45092</v>
      </c>
      <c r="D1134" s="25">
        <v>45100</v>
      </c>
      <c r="E1134" t="s">
        <v>19</v>
      </c>
      <c r="F1134">
        <v>25519</v>
      </c>
      <c r="G1134">
        <v>1005</v>
      </c>
      <c r="H1134">
        <v>1435.06</v>
      </c>
      <c r="I1134">
        <v>154</v>
      </c>
      <c r="J1134" t="b">
        <v>1</v>
      </c>
      <c r="L1134" t="s">
        <v>20</v>
      </c>
    </row>
    <row r="1135" spans="1:12">
      <c r="A1135" t="s">
        <v>2355</v>
      </c>
      <c r="B1135" t="s">
        <v>2356</v>
      </c>
      <c r="C1135" s="27">
        <v>45150</v>
      </c>
      <c r="D1135" s="25">
        <v>45174</v>
      </c>
      <c r="E1135" t="s">
        <v>23</v>
      </c>
      <c r="F1135">
        <v>97809</v>
      </c>
      <c r="G1135">
        <v>2153</v>
      </c>
      <c r="H1135">
        <v>2912.64</v>
      </c>
      <c r="I1135">
        <v>392</v>
      </c>
      <c r="J1135" t="b">
        <v>1</v>
      </c>
      <c r="L1135" t="s">
        <v>25</v>
      </c>
    </row>
    <row r="1136" spans="1:12">
      <c r="A1136" t="s">
        <v>2357</v>
      </c>
      <c r="B1136" t="s">
        <v>2358</v>
      </c>
      <c r="C1136" s="27">
        <v>45259</v>
      </c>
      <c r="D1136" s="25">
        <v>45289</v>
      </c>
      <c r="E1136" t="s">
        <v>23</v>
      </c>
      <c r="F1136">
        <v>88487</v>
      </c>
      <c r="G1136">
        <v>2038</v>
      </c>
      <c r="H1136">
        <v>1199.9</v>
      </c>
      <c r="I1136">
        <v>391</v>
      </c>
      <c r="J1136">
        <v>1</v>
      </c>
      <c r="L1136" t="s">
        <v>25</v>
      </c>
    </row>
    <row r="1137" spans="1:12">
      <c r="A1137" t="s">
        <v>2359</v>
      </c>
      <c r="B1137" t="s">
        <v>2360</v>
      </c>
      <c r="C1137" s="27">
        <v>45214</v>
      </c>
      <c r="D1137" s="25">
        <v>45219</v>
      </c>
      <c r="E1137" t="s">
        <v>41</v>
      </c>
      <c r="F1137">
        <v>57819</v>
      </c>
      <c r="G1137">
        <v>2411</v>
      </c>
      <c r="H1137">
        <v>3494.03</v>
      </c>
      <c r="I1137">
        <v>296</v>
      </c>
      <c r="J1137" t="b">
        <v>1</v>
      </c>
      <c r="L1137" t="s">
        <v>42</v>
      </c>
    </row>
    <row r="1138" spans="1:12">
      <c r="A1138" t="s">
        <v>2361</v>
      </c>
      <c r="B1138" t="s">
        <v>2362</v>
      </c>
      <c r="C1138" s="27">
        <v>45109</v>
      </c>
      <c r="D1138" s="25">
        <v>45125</v>
      </c>
      <c r="E1138" t="s">
        <v>19</v>
      </c>
      <c r="F1138">
        <v>81910</v>
      </c>
      <c r="G1138">
        <v>2330</v>
      </c>
      <c r="H1138" s="26">
        <v>3852.38</v>
      </c>
      <c r="I1138">
        <v>361</v>
      </c>
      <c r="J1138" t="b">
        <v>0</v>
      </c>
      <c r="L1138" t="s">
        <v>20</v>
      </c>
    </row>
    <row r="1139" spans="1:12">
      <c r="A1139" t="s">
        <v>2363</v>
      </c>
      <c r="B1139" t="s">
        <v>2364</v>
      </c>
      <c r="C1139" s="27">
        <v>45016</v>
      </c>
      <c r="D1139" s="25">
        <v>45036</v>
      </c>
      <c r="E1139" t="s">
        <v>23</v>
      </c>
      <c r="F1139">
        <v>72324</v>
      </c>
      <c r="G1139">
        <v>2837</v>
      </c>
      <c r="H1139">
        <v>5648.81</v>
      </c>
      <c r="I1139">
        <v>504</v>
      </c>
      <c r="J1139">
        <v>1</v>
      </c>
      <c r="L1139" t="s">
        <v>25</v>
      </c>
    </row>
    <row r="1140" spans="1:12">
      <c r="A1140" t="s">
        <v>2365</v>
      </c>
      <c r="B1140" t="s">
        <v>2366</v>
      </c>
      <c r="C1140" s="27">
        <v>45077</v>
      </c>
      <c r="D1140" s="25">
        <v>45103</v>
      </c>
      <c r="E1140" t="s">
        <v>23</v>
      </c>
      <c r="F1140">
        <v>6408</v>
      </c>
      <c r="G1140">
        <v>102</v>
      </c>
      <c r="H1140">
        <v>52.7</v>
      </c>
      <c r="J1140" t="s">
        <v>24</v>
      </c>
      <c r="L1140" t="s">
        <v>25</v>
      </c>
    </row>
    <row r="1141" spans="1:12">
      <c r="A1141" t="s">
        <v>2367</v>
      </c>
      <c r="B1141" t="s">
        <v>2368</v>
      </c>
      <c r="C1141" s="27">
        <v>45286</v>
      </c>
      <c r="D1141" s="25">
        <v>45303</v>
      </c>
      <c r="E1141" t="s">
        <v>19</v>
      </c>
      <c r="F1141">
        <v>60379</v>
      </c>
      <c r="G1141">
        <v>2662</v>
      </c>
      <c r="H1141">
        <v>4246.58</v>
      </c>
      <c r="I1141">
        <v>237</v>
      </c>
      <c r="J1141">
        <v>0</v>
      </c>
      <c r="L1141" t="s">
        <v>20</v>
      </c>
    </row>
    <row r="1142" spans="1:12">
      <c r="A1142" t="s">
        <v>2369</v>
      </c>
      <c r="B1142" t="s">
        <v>2370</v>
      </c>
      <c r="C1142" t="s">
        <v>2225</v>
      </c>
      <c r="D1142" s="25">
        <v>45246</v>
      </c>
      <c r="E1142" t="s">
        <v>19</v>
      </c>
      <c r="F1142">
        <v>26053</v>
      </c>
      <c r="G1142">
        <v>1001</v>
      </c>
      <c r="H1142" s="26">
        <v>1359.04</v>
      </c>
      <c r="I1142">
        <v>192</v>
      </c>
      <c r="J1142" t="s">
        <v>24</v>
      </c>
      <c r="L1142" t="s">
        <v>20</v>
      </c>
    </row>
    <row r="1143" spans="1:12">
      <c r="A1143" t="s">
        <v>2371</v>
      </c>
      <c r="B1143" t="s">
        <v>2372</v>
      </c>
      <c r="C1143" s="27">
        <v>45235</v>
      </c>
      <c r="D1143" s="25">
        <v>45249</v>
      </c>
      <c r="E1143" t="s">
        <v>41</v>
      </c>
      <c r="F1143">
        <v>10446</v>
      </c>
      <c r="G1143">
        <v>483</v>
      </c>
      <c r="H1143">
        <v>555.97</v>
      </c>
      <c r="J1143">
        <v>1</v>
      </c>
      <c r="L1143" t="s">
        <v>42</v>
      </c>
    </row>
    <row r="1144" spans="1:12">
      <c r="A1144" t="s">
        <v>2373</v>
      </c>
      <c r="B1144" t="s">
        <v>2374</v>
      </c>
      <c r="C1144" s="27">
        <v>45240</v>
      </c>
      <c r="D1144" s="25">
        <v>45261</v>
      </c>
      <c r="E1144" t="s">
        <v>138</v>
      </c>
      <c r="F1144">
        <v>1922</v>
      </c>
      <c r="G1144">
        <v>29</v>
      </c>
      <c r="H1144">
        <v>-20.05</v>
      </c>
      <c r="I1144">
        <v>2</v>
      </c>
      <c r="J1144">
        <v>1</v>
      </c>
      <c r="L1144" t="s">
        <v>139</v>
      </c>
    </row>
    <row r="1145" spans="1:12">
      <c r="A1145" t="s">
        <v>2375</v>
      </c>
      <c r="B1145" t="s">
        <v>2376</v>
      </c>
      <c r="C1145" s="27">
        <v>45181</v>
      </c>
      <c r="D1145" s="25">
        <v>45209</v>
      </c>
      <c r="E1145" t="s">
        <v>23</v>
      </c>
      <c r="F1145">
        <v>99723</v>
      </c>
      <c r="G1145">
        <v>3362</v>
      </c>
      <c r="H1145">
        <v>3744.02</v>
      </c>
      <c r="I1145">
        <v>394</v>
      </c>
      <c r="J1145" t="s">
        <v>30</v>
      </c>
      <c r="L1145" t="s">
        <v>25</v>
      </c>
    </row>
    <row r="1146" spans="1:12">
      <c r="A1146" t="s">
        <v>2377</v>
      </c>
      <c r="B1146" t="s">
        <v>2378</v>
      </c>
      <c r="C1146" s="27">
        <v>45048</v>
      </c>
      <c r="D1146" s="25">
        <v>45073</v>
      </c>
      <c r="E1146" t="s">
        <v>41</v>
      </c>
      <c r="F1146">
        <v>52356</v>
      </c>
      <c r="G1146">
        <v>1778</v>
      </c>
      <c r="H1146">
        <v>1834.12</v>
      </c>
      <c r="I1146">
        <v>301</v>
      </c>
      <c r="J1146" t="s">
        <v>30</v>
      </c>
      <c r="L1146" t="s">
        <v>42</v>
      </c>
    </row>
    <row r="1147" spans="1:12">
      <c r="A1147" t="s">
        <v>2379</v>
      </c>
      <c r="B1147" t="s">
        <v>2380</v>
      </c>
      <c r="C1147" s="25">
        <v>45252</v>
      </c>
      <c r="D1147" s="25">
        <v>45273</v>
      </c>
      <c r="E1147" t="s">
        <v>19</v>
      </c>
      <c r="F1147">
        <v>11789</v>
      </c>
      <c r="G1147">
        <v>284</v>
      </c>
      <c r="H1147">
        <v>271.01</v>
      </c>
      <c r="I1147">
        <v>37</v>
      </c>
      <c r="J1147" t="s">
        <v>30</v>
      </c>
      <c r="L1147" t="s">
        <v>20</v>
      </c>
    </row>
    <row r="1148" spans="1:12">
      <c r="A1148" t="s">
        <v>2381</v>
      </c>
      <c r="B1148" t="s">
        <v>2382</v>
      </c>
      <c r="C1148" s="27">
        <v>45289</v>
      </c>
      <c r="D1148" s="25">
        <v>45295</v>
      </c>
      <c r="E1148" t="s">
        <v>415</v>
      </c>
      <c r="F1148">
        <v>98720</v>
      </c>
      <c r="G1148">
        <v>2797</v>
      </c>
      <c r="H1148">
        <v>4464.91</v>
      </c>
      <c r="I1148">
        <v>412</v>
      </c>
      <c r="J1148" t="s">
        <v>15</v>
      </c>
      <c r="L1148" t="s">
        <v>34</v>
      </c>
    </row>
    <row r="1149" spans="1:12">
      <c r="A1149" t="s">
        <v>2383</v>
      </c>
      <c r="B1149" t="s">
        <v>2384</v>
      </c>
      <c r="C1149" s="27">
        <v>45098</v>
      </c>
      <c r="D1149" s="25">
        <v>45106</v>
      </c>
      <c r="E1149" t="s">
        <v>14</v>
      </c>
      <c r="F1149">
        <v>67656</v>
      </c>
      <c r="G1149">
        <v>779</v>
      </c>
      <c r="H1149">
        <v>1208.3</v>
      </c>
      <c r="I1149">
        <v>127</v>
      </c>
      <c r="J1149" t="b">
        <v>0</v>
      </c>
      <c r="L1149" t="s">
        <v>16</v>
      </c>
    </row>
    <row r="1150" spans="1:12">
      <c r="A1150" t="s">
        <v>2385</v>
      </c>
      <c r="B1150" t="s">
        <v>2386</v>
      </c>
      <c r="C1150" s="27">
        <v>45054</v>
      </c>
      <c r="D1150" s="25">
        <v>45074</v>
      </c>
      <c r="E1150" t="s">
        <v>191</v>
      </c>
      <c r="F1150">
        <v>45028</v>
      </c>
      <c r="G1150">
        <v>1793</v>
      </c>
      <c r="H1150">
        <v>2480.67</v>
      </c>
      <c r="I1150">
        <v>256</v>
      </c>
      <c r="J1150">
        <v>1</v>
      </c>
      <c r="L1150" t="s">
        <v>42</v>
      </c>
    </row>
    <row r="1151" spans="1:12">
      <c r="A1151" t="s">
        <v>2387</v>
      </c>
      <c r="B1151" t="s">
        <v>2388</v>
      </c>
      <c r="C1151" s="25">
        <v>44982</v>
      </c>
      <c r="D1151" s="25">
        <v>44999</v>
      </c>
      <c r="E1151" t="s">
        <v>33</v>
      </c>
      <c r="F1151">
        <v>65484</v>
      </c>
      <c r="G1151">
        <v>2093</v>
      </c>
      <c r="H1151">
        <v>3993.44</v>
      </c>
      <c r="I1151">
        <v>274</v>
      </c>
      <c r="J1151" t="s">
        <v>24</v>
      </c>
      <c r="L1151" t="s">
        <v>34</v>
      </c>
    </row>
    <row r="1152" spans="1:12">
      <c r="A1152" t="s">
        <v>2389</v>
      </c>
      <c r="B1152" t="s">
        <v>2390</v>
      </c>
      <c r="C1152" s="27">
        <v>45151</v>
      </c>
      <c r="D1152" s="25">
        <v>45161</v>
      </c>
      <c r="E1152" t="s">
        <v>23</v>
      </c>
      <c r="F1152">
        <v>33154</v>
      </c>
      <c r="G1152">
        <v>408</v>
      </c>
      <c r="H1152">
        <v>418.11</v>
      </c>
      <c r="J1152">
        <v>1</v>
      </c>
      <c r="L1152" t="s">
        <v>25</v>
      </c>
    </row>
    <row r="1153" spans="1:12">
      <c r="A1153" t="s">
        <v>2391</v>
      </c>
      <c r="B1153" t="s">
        <v>2392</v>
      </c>
      <c r="C1153" s="27">
        <v>45138</v>
      </c>
      <c r="D1153" s="25">
        <v>45154</v>
      </c>
      <c r="E1153" t="s">
        <v>33</v>
      </c>
      <c r="F1153">
        <v>83870</v>
      </c>
      <c r="G1153">
        <v>3122</v>
      </c>
      <c r="H1153">
        <v>2702.72</v>
      </c>
      <c r="J1153" t="s">
        <v>30</v>
      </c>
      <c r="L1153" t="s">
        <v>34</v>
      </c>
    </row>
    <row r="1154" spans="1:12">
      <c r="A1154" t="s">
        <v>2393</v>
      </c>
      <c r="B1154" t="s">
        <v>2394</v>
      </c>
      <c r="C1154" s="27">
        <v>45206</v>
      </c>
      <c r="D1154" s="25">
        <v>45231</v>
      </c>
      <c r="E1154" t="s">
        <v>14</v>
      </c>
      <c r="F1154">
        <v>3336</v>
      </c>
      <c r="G1154">
        <v>95</v>
      </c>
      <c r="H1154">
        <v>140.97</v>
      </c>
      <c r="I1154">
        <v>13</v>
      </c>
      <c r="J1154">
        <v>1</v>
      </c>
      <c r="L1154" t="s">
        <v>16</v>
      </c>
    </row>
    <row r="1155" spans="1:12">
      <c r="A1155" t="s">
        <v>2395</v>
      </c>
      <c r="B1155" t="s">
        <v>2396</v>
      </c>
      <c r="C1155" s="27">
        <v>45222</v>
      </c>
      <c r="D1155" s="25">
        <v>45225</v>
      </c>
      <c r="E1155" t="s">
        <v>33</v>
      </c>
      <c r="F1155">
        <v>68779</v>
      </c>
      <c r="G1155">
        <v>782</v>
      </c>
      <c r="H1155">
        <v>624.21</v>
      </c>
      <c r="I1155">
        <v>81</v>
      </c>
      <c r="J1155">
        <v>0</v>
      </c>
      <c r="K1155">
        <v>68831</v>
      </c>
      <c r="L1155" t="s">
        <v>34</v>
      </c>
    </row>
    <row r="1156" spans="1:12">
      <c r="A1156" t="s">
        <v>2397</v>
      </c>
      <c r="B1156" t="s">
        <v>2398</v>
      </c>
      <c r="C1156" s="27">
        <v>45010</v>
      </c>
      <c r="D1156" s="25">
        <v>45024</v>
      </c>
      <c r="E1156" t="s">
        <v>41</v>
      </c>
      <c r="F1156">
        <v>20029</v>
      </c>
      <c r="G1156">
        <v>977</v>
      </c>
      <c r="H1156">
        <v>950.15</v>
      </c>
      <c r="I1156">
        <v>108</v>
      </c>
      <c r="J1156">
        <v>1</v>
      </c>
      <c r="L1156" t="s">
        <v>42</v>
      </c>
    </row>
    <row r="1157" spans="1:12">
      <c r="A1157" t="s">
        <v>2399</v>
      </c>
      <c r="B1157" t="s">
        <v>2400</v>
      </c>
      <c r="C1157" s="27">
        <v>44944</v>
      </c>
      <c r="D1157" s="25">
        <v>44964</v>
      </c>
      <c r="E1157" t="s">
        <v>266</v>
      </c>
      <c r="F1157">
        <v>60201</v>
      </c>
      <c r="G1157">
        <v>2887</v>
      </c>
      <c r="H1157">
        <v>2416.14</v>
      </c>
      <c r="I1157">
        <v>564</v>
      </c>
      <c r="J1157" t="s">
        <v>24</v>
      </c>
      <c r="L1157" t="s">
        <v>20</v>
      </c>
    </row>
    <row r="1158" spans="1:12">
      <c r="A1158" t="s">
        <v>2401</v>
      </c>
      <c r="B1158" t="s">
        <v>2402</v>
      </c>
      <c r="C1158" t="s">
        <v>2403</v>
      </c>
      <c r="D1158" s="25">
        <v>44981</v>
      </c>
      <c r="E1158" t="s">
        <v>14</v>
      </c>
      <c r="F1158">
        <v>33265</v>
      </c>
      <c r="G1158">
        <v>1015</v>
      </c>
      <c r="H1158">
        <v>612.79</v>
      </c>
      <c r="I1158">
        <v>67</v>
      </c>
      <c r="J1158" t="b">
        <v>1</v>
      </c>
      <c r="L1158" t="s">
        <v>16</v>
      </c>
    </row>
    <row r="1159" spans="1:12">
      <c r="A1159" t="s">
        <v>2404</v>
      </c>
      <c r="B1159" t="s">
        <v>2405</v>
      </c>
      <c r="C1159" s="27">
        <v>45014</v>
      </c>
      <c r="D1159" s="25">
        <v>45028</v>
      </c>
      <c r="E1159" t="s">
        <v>23</v>
      </c>
      <c r="F1159">
        <v>44872</v>
      </c>
      <c r="G1159">
        <v>616</v>
      </c>
      <c r="H1159">
        <v>1072.61</v>
      </c>
      <c r="J1159">
        <v>0</v>
      </c>
      <c r="L1159" t="s">
        <v>68</v>
      </c>
    </row>
    <row r="1160" spans="1:12">
      <c r="A1160" t="s">
        <v>2406</v>
      </c>
      <c r="B1160" t="s">
        <v>2407</v>
      </c>
      <c r="C1160" s="27">
        <v>44965</v>
      </c>
      <c r="D1160" s="25">
        <v>44968</v>
      </c>
      <c r="E1160" t="s">
        <v>41</v>
      </c>
      <c r="F1160">
        <v>47197</v>
      </c>
      <c r="G1160">
        <v>1896</v>
      </c>
      <c r="H1160">
        <v>1671.91</v>
      </c>
      <c r="I1160">
        <v>234</v>
      </c>
      <c r="J1160">
        <v>0</v>
      </c>
      <c r="L1160" t="s">
        <v>42</v>
      </c>
    </row>
    <row r="1161" spans="1:12">
      <c r="A1161" t="s">
        <v>2408</v>
      </c>
      <c r="B1161" t="s">
        <v>2409</v>
      </c>
      <c r="C1161" s="27">
        <v>44974</v>
      </c>
      <c r="D1161" s="25">
        <v>44992</v>
      </c>
      <c r="E1161" t="s">
        <v>33</v>
      </c>
      <c r="F1161">
        <v>56180</v>
      </c>
      <c r="G1161">
        <v>1667</v>
      </c>
      <c r="H1161">
        <v>2016.31</v>
      </c>
      <c r="I1161">
        <v>292</v>
      </c>
      <c r="J1161">
        <v>1</v>
      </c>
      <c r="L1161" t="s">
        <v>34</v>
      </c>
    </row>
    <row r="1162" spans="1:12">
      <c r="A1162" t="s">
        <v>2410</v>
      </c>
      <c r="B1162" t="s">
        <v>2411</v>
      </c>
      <c r="C1162" s="27">
        <v>45174</v>
      </c>
      <c r="D1162" s="25">
        <v>45177</v>
      </c>
      <c r="E1162" t="s">
        <v>33</v>
      </c>
      <c r="F1162">
        <v>24710</v>
      </c>
      <c r="G1162">
        <v>546</v>
      </c>
      <c r="H1162">
        <v>308.48</v>
      </c>
      <c r="I1162">
        <v>40</v>
      </c>
      <c r="J1162" t="s">
        <v>15</v>
      </c>
      <c r="L1162" t="s">
        <v>34</v>
      </c>
    </row>
    <row r="1163" spans="1:12">
      <c r="A1163" t="s">
        <v>2412</v>
      </c>
      <c r="B1163" t="s">
        <v>2413</v>
      </c>
      <c r="C1163" s="27">
        <v>45261</v>
      </c>
      <c r="D1163" s="25">
        <v>45284</v>
      </c>
      <c r="E1163" t="s">
        <v>19</v>
      </c>
      <c r="F1163">
        <v>30486</v>
      </c>
      <c r="G1163">
        <v>904</v>
      </c>
      <c r="H1163" s="26">
        <v>1400.3</v>
      </c>
      <c r="I1163">
        <v>82</v>
      </c>
      <c r="J1163" t="s">
        <v>30</v>
      </c>
      <c r="L1163" t="s">
        <v>20</v>
      </c>
    </row>
    <row r="1164" spans="1:12">
      <c r="A1164" t="s">
        <v>2414</v>
      </c>
      <c r="B1164" t="s">
        <v>2415</v>
      </c>
      <c r="C1164" t="s">
        <v>722</v>
      </c>
      <c r="D1164" s="25">
        <v>45036</v>
      </c>
      <c r="E1164" t="s">
        <v>23</v>
      </c>
      <c r="F1164">
        <v>72907</v>
      </c>
      <c r="G1164">
        <v>2252</v>
      </c>
      <c r="H1164" s="26">
        <v>2242.64</v>
      </c>
      <c r="J1164" t="b">
        <v>0</v>
      </c>
      <c r="L1164" t="s">
        <v>25</v>
      </c>
    </row>
    <row r="1165" spans="1:12">
      <c r="A1165" t="s">
        <v>2416</v>
      </c>
      <c r="B1165" t="s">
        <v>2417</v>
      </c>
      <c r="C1165" s="27">
        <v>45096</v>
      </c>
      <c r="D1165" s="25">
        <v>45121</v>
      </c>
      <c r="E1165" t="s">
        <v>19</v>
      </c>
      <c r="F1165">
        <v>72895</v>
      </c>
      <c r="G1165">
        <v>2369</v>
      </c>
      <c r="H1165" s="26">
        <v>3830.92</v>
      </c>
      <c r="I1165">
        <v>369</v>
      </c>
      <c r="J1165" t="b">
        <v>0</v>
      </c>
      <c r="L1165" t="s">
        <v>20</v>
      </c>
    </row>
    <row r="1166" spans="1:12">
      <c r="A1166" t="s">
        <v>2418</v>
      </c>
      <c r="B1166" t="s">
        <v>2419</v>
      </c>
      <c r="C1166" s="27">
        <v>45283</v>
      </c>
      <c r="D1166" s="25">
        <v>45288</v>
      </c>
      <c r="E1166" t="s">
        <v>23</v>
      </c>
      <c r="F1166">
        <v>65435</v>
      </c>
      <c r="G1166">
        <v>1809</v>
      </c>
      <c r="H1166">
        <v>2023.56</v>
      </c>
      <c r="I1166">
        <v>155</v>
      </c>
      <c r="J1166" t="b">
        <v>1</v>
      </c>
      <c r="L1166" t="s">
        <v>25</v>
      </c>
    </row>
    <row r="1167" spans="1:12">
      <c r="A1167" t="s">
        <v>2420</v>
      </c>
      <c r="B1167" t="s">
        <v>2421</v>
      </c>
      <c r="C1167" s="27">
        <v>45203</v>
      </c>
      <c r="D1167" s="25">
        <v>45228</v>
      </c>
      <c r="E1167" t="s">
        <v>19</v>
      </c>
      <c r="F1167">
        <v>41631</v>
      </c>
      <c r="G1167">
        <v>1425</v>
      </c>
      <c r="H1167" s="26">
        <v>1130.93</v>
      </c>
      <c r="I1167">
        <v>154</v>
      </c>
      <c r="J1167" t="b">
        <v>0</v>
      </c>
      <c r="L1167" t="s">
        <v>20</v>
      </c>
    </row>
    <row r="1168" spans="1:12">
      <c r="A1168" t="s">
        <v>2422</v>
      </c>
      <c r="B1168" t="s">
        <v>2423</v>
      </c>
      <c r="C1168" s="25">
        <v>44962</v>
      </c>
      <c r="D1168" s="25">
        <v>45069</v>
      </c>
      <c r="E1168" t="s">
        <v>23</v>
      </c>
      <c r="F1168">
        <v>21103</v>
      </c>
      <c r="G1168">
        <v>986</v>
      </c>
      <c r="H1168">
        <v>1251.99</v>
      </c>
      <c r="I1168">
        <v>114</v>
      </c>
      <c r="J1168" t="b">
        <v>0</v>
      </c>
      <c r="L1168" t="s">
        <v>25</v>
      </c>
    </row>
    <row r="1169" spans="1:12">
      <c r="A1169" t="s">
        <v>2424</v>
      </c>
      <c r="B1169" t="s">
        <v>2425</v>
      </c>
      <c r="C1169" s="27">
        <v>45128</v>
      </c>
      <c r="D1169" s="25">
        <v>45130</v>
      </c>
      <c r="E1169" t="s">
        <v>19</v>
      </c>
      <c r="F1169">
        <v>65772</v>
      </c>
      <c r="G1169">
        <v>1610</v>
      </c>
      <c r="H1169">
        <v>1120.17</v>
      </c>
      <c r="I1169">
        <v>295</v>
      </c>
      <c r="J1169" t="s">
        <v>30</v>
      </c>
      <c r="L1169" t="s">
        <v>20</v>
      </c>
    </row>
    <row r="1170" spans="1:12">
      <c r="A1170" t="s">
        <v>2426</v>
      </c>
      <c r="B1170" t="s">
        <v>2427</v>
      </c>
      <c r="C1170" t="s">
        <v>2428</v>
      </c>
      <c r="D1170" s="25">
        <v>45017</v>
      </c>
      <c r="E1170" t="s">
        <v>14</v>
      </c>
      <c r="F1170">
        <v>15382</v>
      </c>
      <c r="G1170">
        <v>600</v>
      </c>
      <c r="H1170">
        <v>696.49</v>
      </c>
      <c r="I1170">
        <v>67</v>
      </c>
      <c r="J1170" t="s">
        <v>30</v>
      </c>
      <c r="L1170" t="s">
        <v>16</v>
      </c>
    </row>
    <row r="1171" spans="1:12">
      <c r="A1171" t="s">
        <v>2429</v>
      </c>
      <c r="B1171" t="s">
        <v>2430</v>
      </c>
      <c r="C1171" s="27">
        <v>44928</v>
      </c>
      <c r="D1171" s="25">
        <v>44937</v>
      </c>
      <c r="E1171" t="s">
        <v>19</v>
      </c>
      <c r="F1171">
        <v>85291</v>
      </c>
      <c r="G1171">
        <v>3904</v>
      </c>
      <c r="H1171">
        <v>3810.14</v>
      </c>
      <c r="I1171">
        <v>280</v>
      </c>
      <c r="J1171" t="s">
        <v>15</v>
      </c>
      <c r="L1171" t="s">
        <v>20</v>
      </c>
    </row>
    <row r="1172" spans="1:12">
      <c r="A1172" t="s">
        <v>2431</v>
      </c>
      <c r="B1172" t="s">
        <v>2432</v>
      </c>
      <c r="C1172" s="27">
        <v>45265</v>
      </c>
      <c r="D1172" s="25">
        <v>45278</v>
      </c>
      <c r="E1172" t="s">
        <v>19</v>
      </c>
      <c r="F1172">
        <v>4756</v>
      </c>
      <c r="G1172">
        <v>134</v>
      </c>
      <c r="H1172">
        <v>250.3</v>
      </c>
      <c r="I1172">
        <v>17</v>
      </c>
      <c r="J1172" t="s">
        <v>24</v>
      </c>
      <c r="L1172" t="s">
        <v>20</v>
      </c>
    </row>
    <row r="1173" spans="1:12">
      <c r="A1173" t="s">
        <v>2433</v>
      </c>
      <c r="B1173" t="s">
        <v>2434</v>
      </c>
      <c r="C1173" t="s">
        <v>1335</v>
      </c>
      <c r="D1173" s="25">
        <v>44985</v>
      </c>
      <c r="E1173" t="s">
        <v>14</v>
      </c>
      <c r="F1173">
        <v>21609</v>
      </c>
      <c r="G1173">
        <v>599</v>
      </c>
      <c r="H1173" s="26">
        <v>354.24</v>
      </c>
      <c r="I1173">
        <v>116</v>
      </c>
      <c r="J1173" t="b">
        <v>1</v>
      </c>
      <c r="L1173" t="s">
        <v>16</v>
      </c>
    </row>
    <row r="1174" spans="1:12">
      <c r="A1174" t="s">
        <v>2435</v>
      </c>
      <c r="B1174" t="s">
        <v>2436</v>
      </c>
      <c r="C1174" s="27">
        <v>45014</v>
      </c>
      <c r="D1174" s="25">
        <v>45029</v>
      </c>
      <c r="E1174" t="s">
        <v>23</v>
      </c>
      <c r="F1174">
        <v>17478</v>
      </c>
      <c r="G1174">
        <v>595</v>
      </c>
      <c r="H1174">
        <v>916.91</v>
      </c>
      <c r="I1174">
        <v>83</v>
      </c>
      <c r="J1174" t="b">
        <v>0</v>
      </c>
      <c r="L1174" t="s">
        <v>25</v>
      </c>
    </row>
    <row r="1175" spans="1:12">
      <c r="A1175" t="s">
        <v>2437</v>
      </c>
      <c r="B1175" t="s">
        <v>2438</v>
      </c>
      <c r="C1175" s="27">
        <v>45169</v>
      </c>
      <c r="D1175" s="25">
        <v>45190</v>
      </c>
      <c r="E1175" t="s">
        <v>19</v>
      </c>
      <c r="F1175">
        <v>40666</v>
      </c>
      <c r="G1175">
        <v>1368</v>
      </c>
      <c r="H1175">
        <v>1059.01</v>
      </c>
      <c r="I1175">
        <v>270</v>
      </c>
      <c r="J1175" t="s">
        <v>15</v>
      </c>
      <c r="L1175" t="s">
        <v>20</v>
      </c>
    </row>
    <row r="1176" spans="1:12">
      <c r="A1176" t="s">
        <v>2439</v>
      </c>
      <c r="B1176" t="s">
        <v>2440</v>
      </c>
      <c r="C1176" s="27">
        <v>45130</v>
      </c>
      <c r="D1176" s="25">
        <v>45156</v>
      </c>
      <c r="E1176" t="s">
        <v>19</v>
      </c>
      <c r="F1176">
        <v>76683</v>
      </c>
      <c r="G1176">
        <v>3240</v>
      </c>
      <c r="H1176">
        <v>3170.56</v>
      </c>
      <c r="I1176">
        <v>570</v>
      </c>
      <c r="J1176" t="b">
        <v>1</v>
      </c>
      <c r="L1176" t="s">
        <v>20</v>
      </c>
    </row>
    <row r="1177" spans="1:12">
      <c r="A1177" t="s">
        <v>2441</v>
      </c>
      <c r="B1177" t="s">
        <v>2442</v>
      </c>
      <c r="C1177" t="s">
        <v>843</v>
      </c>
      <c r="D1177" s="25">
        <v>45092</v>
      </c>
      <c r="E1177" t="s">
        <v>41</v>
      </c>
      <c r="F1177">
        <v>72315</v>
      </c>
      <c r="G1177">
        <v>2101</v>
      </c>
      <c r="H1177">
        <v>2359.99</v>
      </c>
      <c r="I1177">
        <v>116</v>
      </c>
      <c r="J1177">
        <v>0</v>
      </c>
      <c r="L1177" t="s">
        <v>42</v>
      </c>
    </row>
    <row r="1178" spans="1:12">
      <c r="A1178" t="s">
        <v>2443</v>
      </c>
      <c r="B1178" t="s">
        <v>2444</v>
      </c>
      <c r="C1178" s="27">
        <v>45205</v>
      </c>
      <c r="D1178" s="25">
        <v>45216</v>
      </c>
      <c r="E1178" t="s">
        <v>14</v>
      </c>
      <c r="F1178">
        <v>78834</v>
      </c>
      <c r="G1178">
        <v>3929</v>
      </c>
      <c r="H1178">
        <v>7315.89</v>
      </c>
      <c r="I1178">
        <v>584</v>
      </c>
      <c r="J1178" t="b">
        <v>0</v>
      </c>
      <c r="L1178" t="s">
        <v>16</v>
      </c>
    </row>
    <row r="1179" spans="1:12">
      <c r="A1179" t="s">
        <v>2445</v>
      </c>
      <c r="B1179" t="s">
        <v>2446</v>
      </c>
      <c r="C1179" s="27">
        <v>45122</v>
      </c>
      <c r="D1179" s="25">
        <v>45132</v>
      </c>
      <c r="E1179" t="s">
        <v>14</v>
      </c>
      <c r="F1179">
        <v>15153</v>
      </c>
      <c r="G1179">
        <v>187</v>
      </c>
      <c r="H1179" s="26">
        <v>161.54</v>
      </c>
      <c r="I1179">
        <v>17</v>
      </c>
      <c r="J1179" t="b">
        <v>0</v>
      </c>
      <c r="L1179" t="s">
        <v>16</v>
      </c>
    </row>
    <row r="1180" spans="1:12">
      <c r="A1180" t="s">
        <v>2447</v>
      </c>
      <c r="B1180" t="s">
        <v>2448</v>
      </c>
      <c r="C1180" s="27">
        <v>45061</v>
      </c>
      <c r="D1180" s="25">
        <v>45088</v>
      </c>
      <c r="E1180" t="s">
        <v>23</v>
      </c>
      <c r="F1180">
        <v>77325</v>
      </c>
      <c r="G1180">
        <v>783</v>
      </c>
      <c r="H1180">
        <v>498.74</v>
      </c>
      <c r="I1180">
        <v>104</v>
      </c>
      <c r="J1180" t="s">
        <v>30</v>
      </c>
      <c r="L1180" t="s">
        <v>25</v>
      </c>
    </row>
    <row r="1181" spans="1:12">
      <c r="A1181" t="s">
        <v>2449</v>
      </c>
      <c r="B1181" t="s">
        <v>2450</v>
      </c>
      <c r="C1181" s="27">
        <v>45064</v>
      </c>
      <c r="D1181" s="25">
        <v>45082</v>
      </c>
      <c r="E1181" t="s">
        <v>58</v>
      </c>
      <c r="F1181">
        <v>13999</v>
      </c>
      <c r="G1181">
        <v>498</v>
      </c>
      <c r="H1181">
        <v>487.06</v>
      </c>
      <c r="I1181">
        <v>45</v>
      </c>
      <c r="J1181">
        <v>1</v>
      </c>
      <c r="L1181" t="s">
        <v>59</v>
      </c>
    </row>
    <row r="1182" spans="1:12">
      <c r="A1182" t="s">
        <v>2451</v>
      </c>
      <c r="B1182" t="s">
        <v>2452</v>
      </c>
      <c r="C1182" s="25">
        <v>45283</v>
      </c>
      <c r="D1182" s="25">
        <v>45303</v>
      </c>
      <c r="E1182" t="s">
        <v>14</v>
      </c>
      <c r="F1182">
        <v>56318</v>
      </c>
      <c r="G1182">
        <v>1235</v>
      </c>
      <c r="H1182" s="26">
        <v>811.41</v>
      </c>
      <c r="I1182">
        <v>126</v>
      </c>
      <c r="J1182" t="b">
        <v>1</v>
      </c>
      <c r="L1182" t="s">
        <v>16</v>
      </c>
    </row>
    <row r="1183" spans="1:12">
      <c r="A1183" t="s">
        <v>2453</v>
      </c>
      <c r="B1183" t="s">
        <v>2454</v>
      </c>
      <c r="C1183" s="27">
        <v>45103</v>
      </c>
      <c r="D1183" s="25">
        <v>45114</v>
      </c>
      <c r="E1183" t="s">
        <v>14</v>
      </c>
      <c r="F1183">
        <v>1814</v>
      </c>
      <c r="G1183">
        <v>35</v>
      </c>
      <c r="H1183" s="26">
        <v>24.25</v>
      </c>
      <c r="I1183">
        <v>6</v>
      </c>
      <c r="J1183" t="b">
        <v>0</v>
      </c>
      <c r="L1183" t="s">
        <v>16</v>
      </c>
    </row>
    <row r="1184" spans="1:12">
      <c r="A1184" t="s">
        <v>2455</v>
      </c>
      <c r="B1184" t="s">
        <v>2456</v>
      </c>
      <c r="C1184" s="25">
        <v>45228</v>
      </c>
      <c r="D1184" s="25">
        <v>45258</v>
      </c>
      <c r="E1184" t="s">
        <v>23</v>
      </c>
      <c r="F1184">
        <v>77077</v>
      </c>
      <c r="G1184">
        <v>1732</v>
      </c>
      <c r="H1184">
        <v>2356.86</v>
      </c>
      <c r="I1184">
        <v>140</v>
      </c>
      <c r="J1184" t="b">
        <v>1</v>
      </c>
      <c r="K1184">
        <v>77120</v>
      </c>
      <c r="L1184" t="s">
        <v>25</v>
      </c>
    </row>
    <row r="1185" spans="1:12">
      <c r="A1185" t="s">
        <v>2457</v>
      </c>
      <c r="B1185" t="s">
        <v>2458</v>
      </c>
      <c r="C1185" s="27">
        <v>45125</v>
      </c>
      <c r="D1185" s="25">
        <v>45135</v>
      </c>
      <c r="E1185" t="s">
        <v>19</v>
      </c>
      <c r="F1185">
        <v>91474</v>
      </c>
      <c r="G1185">
        <v>1851</v>
      </c>
      <c r="H1185">
        <v>1094.59</v>
      </c>
      <c r="J1185" t="s">
        <v>24</v>
      </c>
      <c r="L1185" t="s">
        <v>20</v>
      </c>
    </row>
    <row r="1186" spans="1:12">
      <c r="A1186" t="s">
        <v>2459</v>
      </c>
      <c r="B1186" t="s">
        <v>2460</v>
      </c>
      <c r="C1186" s="27">
        <v>45201</v>
      </c>
      <c r="D1186" s="25">
        <v>45229</v>
      </c>
      <c r="E1186" t="s">
        <v>41</v>
      </c>
      <c r="F1186">
        <v>3443</v>
      </c>
      <c r="G1186">
        <v>38</v>
      </c>
      <c r="H1186">
        <v>20.76</v>
      </c>
      <c r="I1186">
        <v>2</v>
      </c>
      <c r="J1186" t="s">
        <v>15</v>
      </c>
      <c r="L1186" t="s">
        <v>42</v>
      </c>
    </row>
    <row r="1187" spans="1:12">
      <c r="A1187" t="s">
        <v>2461</v>
      </c>
      <c r="B1187" t="s">
        <v>2462</v>
      </c>
      <c r="C1187" s="27">
        <v>45220</v>
      </c>
      <c r="D1187" s="25">
        <v>45215</v>
      </c>
      <c r="E1187" t="s">
        <v>19</v>
      </c>
      <c r="F1187">
        <v>76993</v>
      </c>
      <c r="G1187">
        <v>3761</v>
      </c>
      <c r="H1187">
        <v>5910.87</v>
      </c>
      <c r="I1187">
        <v>239</v>
      </c>
      <c r="J1187" t="s">
        <v>15</v>
      </c>
      <c r="L1187" t="s">
        <v>20</v>
      </c>
    </row>
    <row r="1188" spans="1:12">
      <c r="A1188" t="s">
        <v>2463</v>
      </c>
      <c r="B1188" t="s">
        <v>2464</v>
      </c>
      <c r="C1188" s="27">
        <v>44967</v>
      </c>
      <c r="D1188" s="25">
        <v>44984</v>
      </c>
      <c r="E1188" t="s">
        <v>23</v>
      </c>
      <c r="F1188">
        <v>76916</v>
      </c>
      <c r="G1188">
        <v>1448</v>
      </c>
      <c r="H1188" s="26">
        <v>1509.5</v>
      </c>
      <c r="I1188">
        <v>258</v>
      </c>
      <c r="J1188">
        <v>1</v>
      </c>
      <c r="L1188" t="s">
        <v>25</v>
      </c>
    </row>
    <row r="1189" spans="1:12">
      <c r="A1189" t="s">
        <v>2465</v>
      </c>
      <c r="B1189" t="s">
        <v>2466</v>
      </c>
      <c r="C1189" s="27">
        <v>44944</v>
      </c>
      <c r="D1189" s="25">
        <v>44960</v>
      </c>
      <c r="E1189" t="s">
        <v>23</v>
      </c>
      <c r="F1189">
        <v>74319</v>
      </c>
      <c r="G1189">
        <v>2925</v>
      </c>
      <c r="H1189">
        <v>2012.58</v>
      </c>
      <c r="I1189">
        <v>422</v>
      </c>
      <c r="J1189" t="b">
        <v>0</v>
      </c>
      <c r="L1189" t="s">
        <v>25</v>
      </c>
    </row>
    <row r="1190" spans="1:12">
      <c r="A1190" t="s">
        <v>2467</v>
      </c>
      <c r="B1190" t="s">
        <v>2468</v>
      </c>
      <c r="C1190" s="27">
        <v>45219</v>
      </c>
      <c r="D1190" s="25">
        <v>45232</v>
      </c>
      <c r="E1190" t="s">
        <v>33</v>
      </c>
      <c r="F1190">
        <v>18368</v>
      </c>
      <c r="G1190">
        <v>743</v>
      </c>
      <c r="H1190">
        <v>654.15</v>
      </c>
      <c r="I1190">
        <v>120</v>
      </c>
      <c r="J1190" t="s">
        <v>24</v>
      </c>
      <c r="L1190" t="s">
        <v>34</v>
      </c>
    </row>
    <row r="1191" spans="1:12">
      <c r="A1191" t="s">
        <v>2469</v>
      </c>
      <c r="B1191" t="s">
        <v>2470</v>
      </c>
      <c r="C1191" s="27">
        <v>44988</v>
      </c>
      <c r="D1191" s="25">
        <v>45013</v>
      </c>
      <c r="E1191" t="s">
        <v>138</v>
      </c>
      <c r="F1191">
        <v>16328</v>
      </c>
      <c r="G1191">
        <v>770</v>
      </c>
      <c r="H1191">
        <v>1126.61</v>
      </c>
      <c r="I1191">
        <v>62</v>
      </c>
      <c r="J1191" t="s">
        <v>30</v>
      </c>
      <c r="L1191" t="s">
        <v>139</v>
      </c>
    </row>
    <row r="1192" spans="1:12">
      <c r="A1192" t="s">
        <v>2471</v>
      </c>
      <c r="B1192" t="s">
        <v>2472</v>
      </c>
      <c r="C1192" s="27">
        <v>45012</v>
      </c>
      <c r="D1192" s="25">
        <v>45040</v>
      </c>
      <c r="E1192" t="s">
        <v>41</v>
      </c>
      <c r="F1192">
        <v>57942</v>
      </c>
      <c r="G1192">
        <v>650</v>
      </c>
      <c r="H1192">
        <v>593.65</v>
      </c>
      <c r="I1192">
        <v>84</v>
      </c>
      <c r="J1192" t="b">
        <v>0</v>
      </c>
      <c r="L1192" t="s">
        <v>42</v>
      </c>
    </row>
    <row r="1193" spans="1:12">
      <c r="A1193" t="s">
        <v>2473</v>
      </c>
      <c r="B1193" t="s">
        <v>2474</v>
      </c>
      <c r="C1193" s="25">
        <v>45080</v>
      </c>
      <c r="D1193" s="25">
        <v>45018</v>
      </c>
      <c r="E1193" t="s">
        <v>14</v>
      </c>
      <c r="F1193">
        <v>92751</v>
      </c>
      <c r="G1193">
        <v>4162</v>
      </c>
      <c r="H1193">
        <v>5168.3</v>
      </c>
      <c r="I1193">
        <v>668</v>
      </c>
      <c r="J1193" t="b">
        <v>1</v>
      </c>
      <c r="L1193" t="s">
        <v>16</v>
      </c>
    </row>
    <row r="1194" spans="1:12">
      <c r="A1194" t="s">
        <v>2475</v>
      </c>
      <c r="B1194" t="s">
        <v>2476</v>
      </c>
      <c r="C1194" s="27">
        <v>44967</v>
      </c>
      <c r="D1194" s="25">
        <v>44990</v>
      </c>
      <c r="E1194" t="s">
        <v>14</v>
      </c>
      <c r="F1194">
        <v>28306</v>
      </c>
      <c r="G1194">
        <v>880</v>
      </c>
      <c r="H1194">
        <v>600.64</v>
      </c>
      <c r="I1194">
        <v>126</v>
      </c>
      <c r="J1194">
        <v>0</v>
      </c>
      <c r="L1194" t="s">
        <v>16</v>
      </c>
    </row>
    <row r="1195" spans="1:12">
      <c r="A1195" t="s">
        <v>2477</v>
      </c>
      <c r="B1195" t="s">
        <v>2478</v>
      </c>
      <c r="C1195" s="27">
        <v>45248</v>
      </c>
      <c r="D1195" s="25">
        <v>45267</v>
      </c>
      <c r="E1195" t="s">
        <v>33</v>
      </c>
      <c r="F1195">
        <v>86451</v>
      </c>
      <c r="G1195">
        <v>3051</v>
      </c>
      <c r="H1195">
        <v>4216.91</v>
      </c>
      <c r="J1195" t="s">
        <v>15</v>
      </c>
      <c r="L1195" t="s">
        <v>34</v>
      </c>
    </row>
    <row r="1196" spans="1:12">
      <c r="A1196" t="s">
        <v>2479</v>
      </c>
      <c r="B1196" t="s">
        <v>2480</v>
      </c>
      <c r="C1196" s="27">
        <v>45090</v>
      </c>
      <c r="D1196" s="25">
        <v>45113</v>
      </c>
      <c r="E1196" t="s">
        <v>19</v>
      </c>
      <c r="F1196">
        <v>40915</v>
      </c>
      <c r="G1196">
        <v>1463</v>
      </c>
      <c r="H1196">
        <v>1425.13</v>
      </c>
      <c r="I1196">
        <v>283</v>
      </c>
      <c r="J1196" t="b">
        <v>1</v>
      </c>
      <c r="L1196" t="s">
        <v>20</v>
      </c>
    </row>
    <row r="1197" spans="1:12">
      <c r="A1197" t="s">
        <v>2481</v>
      </c>
      <c r="B1197" t="s">
        <v>2482</v>
      </c>
      <c r="C1197" s="25">
        <v>45018</v>
      </c>
      <c r="D1197" s="25">
        <v>44979</v>
      </c>
      <c r="E1197" t="s">
        <v>23</v>
      </c>
      <c r="F1197">
        <v>38219</v>
      </c>
      <c r="G1197">
        <v>1635</v>
      </c>
      <c r="H1197">
        <v>2355.14</v>
      </c>
      <c r="I1197">
        <v>247</v>
      </c>
      <c r="J1197">
        <v>1</v>
      </c>
      <c r="L1197" t="s">
        <v>68</v>
      </c>
    </row>
    <row r="1198" spans="1:12">
      <c r="A1198" t="s">
        <v>2483</v>
      </c>
      <c r="B1198" t="s">
        <v>2484</v>
      </c>
      <c r="C1198" s="27">
        <v>45211</v>
      </c>
      <c r="D1198" s="25">
        <v>45241</v>
      </c>
      <c r="E1198" t="s">
        <v>41</v>
      </c>
      <c r="F1198">
        <v>81879</v>
      </c>
      <c r="G1198">
        <v>1910</v>
      </c>
      <c r="H1198">
        <v>3271.05</v>
      </c>
      <c r="I1198">
        <v>355</v>
      </c>
      <c r="J1198" t="s">
        <v>15</v>
      </c>
      <c r="L1198" t="s">
        <v>42</v>
      </c>
    </row>
    <row r="1199" spans="1:12">
      <c r="A1199" t="s">
        <v>2485</v>
      </c>
      <c r="B1199" t="s">
        <v>2486</v>
      </c>
      <c r="C1199" s="27">
        <v>45068</v>
      </c>
      <c r="D1199" s="25">
        <v>45090</v>
      </c>
      <c r="E1199" t="s">
        <v>23</v>
      </c>
      <c r="F1199">
        <v>65644</v>
      </c>
      <c r="G1199">
        <v>2581</v>
      </c>
      <c r="H1199">
        <v>3658.49</v>
      </c>
      <c r="I1199">
        <v>411</v>
      </c>
      <c r="J1199" t="s">
        <v>30</v>
      </c>
      <c r="L1199" t="s">
        <v>25</v>
      </c>
    </row>
    <row r="1200" spans="1:12">
      <c r="A1200" t="s">
        <v>2487</v>
      </c>
      <c r="B1200" t="s">
        <v>2488</v>
      </c>
      <c r="C1200" s="27">
        <v>44933</v>
      </c>
      <c r="D1200" s="25">
        <v>44953</v>
      </c>
      <c r="E1200" t="s">
        <v>33</v>
      </c>
      <c r="F1200">
        <v>61279</v>
      </c>
      <c r="G1200">
        <v>1908</v>
      </c>
      <c r="H1200">
        <v>1800.43</v>
      </c>
      <c r="J1200" t="s">
        <v>15</v>
      </c>
      <c r="L1200" t="s">
        <v>34</v>
      </c>
    </row>
    <row r="1201" spans="1:12">
      <c r="A1201" t="s">
        <v>2489</v>
      </c>
      <c r="B1201" t="s">
        <v>2490</v>
      </c>
      <c r="C1201" s="27">
        <v>45194</v>
      </c>
      <c r="D1201" s="25">
        <v>45214</v>
      </c>
      <c r="E1201" t="s">
        <v>23</v>
      </c>
      <c r="F1201">
        <v>54028</v>
      </c>
      <c r="G1201">
        <v>2254</v>
      </c>
      <c r="H1201">
        <v>1991.67</v>
      </c>
      <c r="I1201">
        <v>139</v>
      </c>
      <c r="J1201">
        <v>0</v>
      </c>
      <c r="L1201" t="s">
        <v>25</v>
      </c>
    </row>
    <row r="1202" spans="1:12">
      <c r="A1202" t="s">
        <v>2491</v>
      </c>
      <c r="B1202" t="s">
        <v>2492</v>
      </c>
      <c r="C1202" s="27">
        <v>45003</v>
      </c>
      <c r="D1202" s="25">
        <v>45025</v>
      </c>
      <c r="E1202" t="s">
        <v>41</v>
      </c>
      <c r="F1202">
        <v>1126</v>
      </c>
      <c r="G1202">
        <v>55</v>
      </c>
      <c r="H1202">
        <v>54.51</v>
      </c>
      <c r="I1202">
        <v>5</v>
      </c>
      <c r="J1202" t="s">
        <v>24</v>
      </c>
      <c r="L1202" t="s">
        <v>42</v>
      </c>
    </row>
    <row r="1203" spans="1:12">
      <c r="A1203" t="s">
        <v>2493</v>
      </c>
      <c r="B1203" t="s">
        <v>2494</v>
      </c>
      <c r="C1203" s="27">
        <v>44978</v>
      </c>
      <c r="D1203" s="25">
        <v>45004</v>
      </c>
      <c r="E1203" t="s">
        <v>23</v>
      </c>
      <c r="F1203">
        <v>53329</v>
      </c>
      <c r="G1203">
        <v>961</v>
      </c>
      <c r="H1203">
        <v>717.8</v>
      </c>
      <c r="I1203">
        <v>171</v>
      </c>
      <c r="J1203" t="b">
        <v>0</v>
      </c>
      <c r="L1203" t="s">
        <v>25</v>
      </c>
    </row>
    <row r="1204" spans="1:12">
      <c r="A1204" t="s">
        <v>2495</v>
      </c>
      <c r="B1204" t="s">
        <v>2496</v>
      </c>
      <c r="C1204" s="27">
        <v>44978</v>
      </c>
      <c r="D1204" s="25">
        <v>44997</v>
      </c>
      <c r="E1204" t="s">
        <v>33</v>
      </c>
      <c r="F1204">
        <v>28632</v>
      </c>
      <c r="G1204">
        <v>1425</v>
      </c>
      <c r="H1204">
        <v>1099.75</v>
      </c>
      <c r="J1204">
        <v>0</v>
      </c>
      <c r="L1204" t="s">
        <v>34</v>
      </c>
    </row>
    <row r="1205" spans="1:12">
      <c r="A1205" t="s">
        <v>2497</v>
      </c>
      <c r="B1205" t="s">
        <v>2498</v>
      </c>
      <c r="C1205" s="27">
        <v>45103</v>
      </c>
      <c r="D1205" s="25">
        <v>45108</v>
      </c>
      <c r="E1205" t="s">
        <v>23</v>
      </c>
      <c r="F1205">
        <v>66310</v>
      </c>
      <c r="G1205">
        <v>901</v>
      </c>
      <c r="H1205">
        <v>1519.12</v>
      </c>
      <c r="I1205">
        <v>60</v>
      </c>
      <c r="J1205" t="s">
        <v>24</v>
      </c>
      <c r="L1205" t="s">
        <v>25</v>
      </c>
    </row>
    <row r="1206" spans="1:12">
      <c r="A1206" t="s">
        <v>2499</v>
      </c>
      <c r="B1206" t="s">
        <v>2500</v>
      </c>
      <c r="C1206" s="27">
        <v>45262</v>
      </c>
      <c r="D1206" s="25">
        <v>45278</v>
      </c>
      <c r="E1206" t="s">
        <v>23</v>
      </c>
      <c r="F1206">
        <v>56176</v>
      </c>
      <c r="G1206">
        <v>566</v>
      </c>
      <c r="H1206" s="26">
        <v>609.64</v>
      </c>
      <c r="I1206">
        <v>55</v>
      </c>
      <c r="J1206">
        <v>0</v>
      </c>
      <c r="L1206" t="s">
        <v>25</v>
      </c>
    </row>
    <row r="1207" spans="1:12">
      <c r="A1207" t="s">
        <v>2501</v>
      </c>
      <c r="B1207" t="s">
        <v>2502</v>
      </c>
      <c r="C1207" s="27">
        <v>44946</v>
      </c>
      <c r="D1207" s="25">
        <v>44957</v>
      </c>
      <c r="E1207" t="s">
        <v>14</v>
      </c>
      <c r="F1207">
        <v>87066</v>
      </c>
      <c r="G1207">
        <v>1024</v>
      </c>
      <c r="H1207" s="26">
        <v>1181.69</v>
      </c>
      <c r="J1207" t="b">
        <v>0</v>
      </c>
      <c r="L1207" t="s">
        <v>16</v>
      </c>
    </row>
    <row r="1208" spans="1:12">
      <c r="A1208" t="s">
        <v>2503</v>
      </c>
      <c r="B1208" t="s">
        <v>2504</v>
      </c>
      <c r="C1208" s="27">
        <v>45243</v>
      </c>
      <c r="D1208" s="25">
        <v>45246</v>
      </c>
      <c r="E1208" t="s">
        <v>33</v>
      </c>
      <c r="F1208">
        <v>45327</v>
      </c>
      <c r="G1208">
        <v>1072</v>
      </c>
      <c r="H1208">
        <v>1491.23</v>
      </c>
      <c r="I1208">
        <v>202</v>
      </c>
      <c r="J1208" t="s">
        <v>15</v>
      </c>
      <c r="L1208" t="s">
        <v>34</v>
      </c>
    </row>
    <row r="1209" spans="1:12">
      <c r="A1209" t="s">
        <v>2505</v>
      </c>
      <c r="B1209" t="s">
        <v>2506</v>
      </c>
      <c r="C1209" s="27">
        <v>44946</v>
      </c>
      <c r="D1209" s="25">
        <v>44969</v>
      </c>
      <c r="E1209" t="s">
        <v>33</v>
      </c>
      <c r="F1209">
        <v>69904</v>
      </c>
      <c r="G1209">
        <v>2468</v>
      </c>
      <c r="H1209">
        <v>3416.9</v>
      </c>
      <c r="I1209">
        <v>444</v>
      </c>
      <c r="J1209">
        <v>1</v>
      </c>
      <c r="L1209" t="s">
        <v>34</v>
      </c>
    </row>
    <row r="1210" spans="1:12">
      <c r="A1210" t="s">
        <v>2507</v>
      </c>
      <c r="B1210" t="s">
        <v>2508</v>
      </c>
      <c r="C1210" s="27">
        <v>45280</v>
      </c>
      <c r="D1210" s="25">
        <v>45296</v>
      </c>
      <c r="E1210" t="s">
        <v>41</v>
      </c>
      <c r="F1210">
        <v>4797</v>
      </c>
      <c r="G1210">
        <v>61</v>
      </c>
      <c r="H1210">
        <v>36.66</v>
      </c>
      <c r="I1210">
        <v>7</v>
      </c>
      <c r="J1210" t="b">
        <v>0</v>
      </c>
      <c r="L1210" t="s">
        <v>42</v>
      </c>
    </row>
    <row r="1211" spans="1:12">
      <c r="A1211" t="s">
        <v>2509</v>
      </c>
      <c r="B1211" t="s">
        <v>2510</v>
      </c>
      <c r="C1211" s="25">
        <v>45064</v>
      </c>
      <c r="D1211" s="25">
        <v>45075</v>
      </c>
      <c r="E1211" t="s">
        <v>14</v>
      </c>
      <c r="F1211">
        <v>48882</v>
      </c>
      <c r="G1211">
        <v>499</v>
      </c>
      <c r="H1211">
        <v>871.91</v>
      </c>
      <c r="I1211">
        <v>29</v>
      </c>
      <c r="J1211" t="b">
        <v>0</v>
      </c>
      <c r="L1211" t="s">
        <v>16</v>
      </c>
    </row>
    <row r="1212" spans="1:12">
      <c r="A1212" t="s">
        <v>2511</v>
      </c>
      <c r="B1212" t="s">
        <v>2512</v>
      </c>
      <c r="C1212" s="27">
        <v>45082</v>
      </c>
      <c r="D1212" s="25">
        <v>45100</v>
      </c>
      <c r="E1212" t="s">
        <v>14</v>
      </c>
      <c r="F1212">
        <v>14718</v>
      </c>
      <c r="G1212">
        <v>698</v>
      </c>
      <c r="H1212">
        <v>534.66</v>
      </c>
      <c r="I1212">
        <v>109</v>
      </c>
      <c r="J1212" t="s">
        <v>24</v>
      </c>
      <c r="L1212" t="s">
        <v>16</v>
      </c>
    </row>
    <row r="1213" spans="1:12">
      <c r="A1213" t="s">
        <v>2513</v>
      </c>
      <c r="B1213" t="s">
        <v>2514</v>
      </c>
      <c r="C1213" s="27">
        <v>45283</v>
      </c>
      <c r="D1213" s="25">
        <v>45300</v>
      </c>
      <c r="E1213" t="s">
        <v>41</v>
      </c>
      <c r="F1213">
        <v>35560</v>
      </c>
      <c r="G1213">
        <v>1524</v>
      </c>
      <c r="H1213">
        <v>2414.94</v>
      </c>
      <c r="J1213" t="s">
        <v>30</v>
      </c>
      <c r="L1213" t="s">
        <v>42</v>
      </c>
    </row>
    <row r="1214" spans="1:12">
      <c r="A1214" t="s">
        <v>2515</v>
      </c>
      <c r="B1214" t="s">
        <v>2516</v>
      </c>
      <c r="C1214" s="27">
        <v>45043</v>
      </c>
      <c r="D1214" s="25">
        <v>45063</v>
      </c>
      <c r="E1214" t="s">
        <v>23</v>
      </c>
      <c r="F1214">
        <v>77589</v>
      </c>
      <c r="G1214">
        <v>3287</v>
      </c>
      <c r="H1214" s="26">
        <v>5453.15</v>
      </c>
      <c r="I1214">
        <v>642</v>
      </c>
      <c r="J1214" t="s">
        <v>15</v>
      </c>
      <c r="L1214" t="s">
        <v>25</v>
      </c>
    </row>
    <row r="1215" spans="1:12">
      <c r="A1215" t="s">
        <v>2517</v>
      </c>
      <c r="B1215" t="s">
        <v>2518</v>
      </c>
      <c r="C1215" s="27">
        <v>45153</v>
      </c>
      <c r="D1215" s="25">
        <v>45174</v>
      </c>
      <c r="E1215" t="s">
        <v>138</v>
      </c>
      <c r="F1215">
        <v>23116</v>
      </c>
      <c r="G1215">
        <v>1048</v>
      </c>
      <c r="H1215">
        <v>1647.82</v>
      </c>
      <c r="I1215">
        <v>140</v>
      </c>
      <c r="J1215" t="b">
        <v>0</v>
      </c>
      <c r="L1215" t="s">
        <v>139</v>
      </c>
    </row>
    <row r="1216" spans="1:12">
      <c r="A1216" t="s">
        <v>2519</v>
      </c>
      <c r="B1216" t="s">
        <v>2520</v>
      </c>
      <c r="C1216" s="25">
        <v>45140</v>
      </c>
      <c r="D1216" s="25">
        <v>44968</v>
      </c>
      <c r="E1216" t="s">
        <v>41</v>
      </c>
      <c r="F1216">
        <v>37244</v>
      </c>
      <c r="G1216">
        <v>1415</v>
      </c>
      <c r="H1216">
        <v>1936.38</v>
      </c>
      <c r="I1216">
        <v>142</v>
      </c>
      <c r="J1216">
        <v>1</v>
      </c>
      <c r="L1216" t="s">
        <v>42</v>
      </c>
    </row>
    <row r="1217" spans="1:12">
      <c r="A1217" t="s">
        <v>2521</v>
      </c>
      <c r="B1217" t="s">
        <v>2522</v>
      </c>
      <c r="C1217" s="27">
        <v>45153</v>
      </c>
      <c r="D1217" s="25">
        <v>45162</v>
      </c>
      <c r="E1217" t="s">
        <v>14</v>
      </c>
      <c r="F1217">
        <v>2645</v>
      </c>
      <c r="G1217">
        <v>37</v>
      </c>
      <c r="H1217">
        <v>19.31</v>
      </c>
      <c r="J1217" t="b">
        <v>1</v>
      </c>
      <c r="L1217" t="s">
        <v>16</v>
      </c>
    </row>
    <row r="1218" spans="1:12">
      <c r="A1218" t="s">
        <v>2523</v>
      </c>
      <c r="B1218" t="s">
        <v>2524</v>
      </c>
      <c r="C1218" s="27">
        <v>45175</v>
      </c>
      <c r="D1218" s="25">
        <v>45196</v>
      </c>
      <c r="E1218" t="s">
        <v>19</v>
      </c>
      <c r="F1218">
        <v>48523</v>
      </c>
      <c r="G1218">
        <v>1259</v>
      </c>
      <c r="H1218">
        <v>1310.07</v>
      </c>
      <c r="I1218">
        <v>247</v>
      </c>
      <c r="J1218" t="s">
        <v>15</v>
      </c>
      <c r="L1218" t="s">
        <v>20</v>
      </c>
    </row>
    <row r="1219" spans="1:12">
      <c r="A1219" t="s">
        <v>2525</v>
      </c>
      <c r="B1219" t="s">
        <v>2526</v>
      </c>
      <c r="C1219" s="27">
        <v>44955</v>
      </c>
      <c r="D1219" s="25">
        <v>44964</v>
      </c>
      <c r="E1219" t="s">
        <v>19</v>
      </c>
      <c r="F1219">
        <v>20256</v>
      </c>
      <c r="G1219">
        <v>788</v>
      </c>
      <c r="H1219">
        <v>1108.92</v>
      </c>
      <c r="I1219">
        <v>121</v>
      </c>
      <c r="J1219" t="s">
        <v>30</v>
      </c>
      <c r="L1219" t="s">
        <v>20</v>
      </c>
    </row>
    <row r="1220" spans="1:12">
      <c r="A1220" t="s">
        <v>2527</v>
      </c>
      <c r="B1220" t="s">
        <v>2528</v>
      </c>
      <c r="C1220" s="27">
        <v>45086</v>
      </c>
      <c r="D1220" s="25">
        <v>45116</v>
      </c>
      <c r="E1220" t="s">
        <v>33</v>
      </c>
      <c r="F1220">
        <v>54173</v>
      </c>
      <c r="G1220">
        <v>1149</v>
      </c>
      <c r="H1220">
        <v>1242.27</v>
      </c>
      <c r="I1220">
        <v>173</v>
      </c>
      <c r="J1220">
        <v>0</v>
      </c>
      <c r="L1220" t="s">
        <v>34</v>
      </c>
    </row>
    <row r="1221" spans="1:12">
      <c r="A1221" t="s">
        <v>2529</v>
      </c>
      <c r="B1221" t="s">
        <v>2530</v>
      </c>
      <c r="C1221" s="25">
        <v>45195</v>
      </c>
      <c r="D1221" s="25">
        <v>45204</v>
      </c>
      <c r="E1221" t="s">
        <v>33</v>
      </c>
      <c r="F1221">
        <v>38430</v>
      </c>
      <c r="G1221">
        <v>1440</v>
      </c>
      <c r="H1221">
        <v>2585.12</v>
      </c>
      <c r="I1221">
        <v>123</v>
      </c>
      <c r="J1221" t="b">
        <v>0</v>
      </c>
      <c r="L1221" t="s">
        <v>34</v>
      </c>
    </row>
    <row r="1222" spans="1:12">
      <c r="A1222" t="s">
        <v>2531</v>
      </c>
      <c r="B1222" t="s">
        <v>2532</v>
      </c>
      <c r="C1222" s="27">
        <v>45025</v>
      </c>
      <c r="D1222" s="25">
        <v>45053</v>
      </c>
      <c r="E1222" t="s">
        <v>138</v>
      </c>
      <c r="F1222">
        <v>40282</v>
      </c>
      <c r="G1222">
        <v>442</v>
      </c>
      <c r="H1222">
        <v>425.74</v>
      </c>
      <c r="I1222">
        <v>71</v>
      </c>
      <c r="J1222">
        <v>1</v>
      </c>
      <c r="L1222" t="s">
        <v>139</v>
      </c>
    </row>
    <row r="1223" spans="1:12">
      <c r="A1223" t="s">
        <v>2533</v>
      </c>
      <c r="B1223" t="s">
        <v>2534</v>
      </c>
      <c r="C1223" s="27">
        <v>44956</v>
      </c>
      <c r="D1223" s="25">
        <v>44966</v>
      </c>
      <c r="E1223" t="s">
        <v>14</v>
      </c>
      <c r="F1223">
        <v>64374</v>
      </c>
      <c r="G1223">
        <v>1432</v>
      </c>
      <c r="H1223">
        <v>1346.51</v>
      </c>
      <c r="I1223">
        <v>232</v>
      </c>
      <c r="J1223" t="s">
        <v>15</v>
      </c>
      <c r="L1223" t="s">
        <v>16</v>
      </c>
    </row>
    <row r="1224" spans="1:12">
      <c r="A1224" t="s">
        <v>2535</v>
      </c>
      <c r="B1224" t="s">
        <v>2536</v>
      </c>
      <c r="C1224" s="27">
        <v>45111</v>
      </c>
      <c r="D1224" s="25">
        <v>45131</v>
      </c>
      <c r="E1224" t="s">
        <v>33</v>
      </c>
      <c r="F1224">
        <v>69244</v>
      </c>
      <c r="G1224">
        <v>2213</v>
      </c>
      <c r="H1224">
        <v>1989.48</v>
      </c>
      <c r="I1224">
        <v>215</v>
      </c>
      <c r="J1224">
        <v>1</v>
      </c>
      <c r="L1224" t="s">
        <v>34</v>
      </c>
    </row>
    <row r="1225" spans="1:12">
      <c r="A1225" t="s">
        <v>2537</v>
      </c>
      <c r="B1225" t="s">
        <v>2538</v>
      </c>
      <c r="C1225" s="27">
        <v>45164</v>
      </c>
      <c r="D1225" s="25">
        <v>45181</v>
      </c>
      <c r="E1225" t="s">
        <v>19</v>
      </c>
      <c r="F1225">
        <v>12694</v>
      </c>
      <c r="G1225">
        <v>447</v>
      </c>
      <c r="H1225">
        <v>446.63</v>
      </c>
      <c r="I1225">
        <v>54</v>
      </c>
      <c r="J1225">
        <v>1</v>
      </c>
      <c r="L1225" t="s">
        <v>20</v>
      </c>
    </row>
    <row r="1226" spans="1:12">
      <c r="A1226" t="s">
        <v>2539</v>
      </c>
      <c r="B1226" t="s">
        <v>2540</v>
      </c>
      <c r="C1226" s="27">
        <v>44990</v>
      </c>
      <c r="D1226" s="25">
        <v>44998</v>
      </c>
      <c r="E1226" t="s">
        <v>19</v>
      </c>
      <c r="F1226">
        <v>57264</v>
      </c>
      <c r="G1226">
        <v>1894</v>
      </c>
      <c r="H1226">
        <v>2530.59</v>
      </c>
      <c r="I1226">
        <v>178</v>
      </c>
      <c r="J1226" t="s">
        <v>24</v>
      </c>
      <c r="L1226" t="s">
        <v>20</v>
      </c>
    </row>
    <row r="1227" spans="1:12">
      <c r="A1227" t="s">
        <v>2541</v>
      </c>
      <c r="B1227" t="s">
        <v>2542</v>
      </c>
      <c r="C1227" s="27">
        <v>45177</v>
      </c>
      <c r="D1227" s="25">
        <v>45188</v>
      </c>
      <c r="E1227" t="s">
        <v>23</v>
      </c>
      <c r="F1227">
        <v>76060</v>
      </c>
      <c r="G1227">
        <v>2883</v>
      </c>
      <c r="H1227">
        <v>4498.99</v>
      </c>
      <c r="I1227">
        <v>256</v>
      </c>
      <c r="J1227">
        <v>0</v>
      </c>
      <c r="K1227">
        <v>76115</v>
      </c>
      <c r="L1227" t="s">
        <v>25</v>
      </c>
    </row>
    <row r="1228" spans="1:12">
      <c r="A1228" t="s">
        <v>2543</v>
      </c>
      <c r="B1228" t="s">
        <v>2544</v>
      </c>
      <c r="C1228" s="27">
        <v>45169</v>
      </c>
      <c r="D1228" s="25">
        <v>45199</v>
      </c>
      <c r="E1228" t="s">
        <v>41</v>
      </c>
      <c r="F1228">
        <v>98416</v>
      </c>
      <c r="G1228">
        <v>1008</v>
      </c>
      <c r="H1228">
        <v>1505.8</v>
      </c>
      <c r="J1228" t="s">
        <v>30</v>
      </c>
      <c r="L1228" t="s">
        <v>42</v>
      </c>
    </row>
    <row r="1229" spans="1:12">
      <c r="A1229" t="s">
        <v>2545</v>
      </c>
      <c r="B1229" t="s">
        <v>2546</v>
      </c>
      <c r="C1229" s="27">
        <v>45010</v>
      </c>
      <c r="D1229" s="25">
        <v>45039</v>
      </c>
      <c r="E1229" t="s">
        <v>23</v>
      </c>
      <c r="F1229">
        <v>58545</v>
      </c>
      <c r="G1229">
        <v>821</v>
      </c>
      <c r="H1229">
        <v>1405.2</v>
      </c>
      <c r="I1229">
        <v>76</v>
      </c>
      <c r="J1229" t="s">
        <v>15</v>
      </c>
      <c r="L1229" t="s">
        <v>25</v>
      </c>
    </row>
    <row r="1230" spans="1:12">
      <c r="A1230" t="s">
        <v>2547</v>
      </c>
      <c r="B1230" t="s">
        <v>2548</v>
      </c>
      <c r="C1230" t="s">
        <v>1320</v>
      </c>
      <c r="D1230" s="25">
        <v>45290</v>
      </c>
      <c r="E1230" t="s">
        <v>191</v>
      </c>
      <c r="F1230">
        <v>40224</v>
      </c>
      <c r="G1230">
        <v>1800</v>
      </c>
      <c r="H1230">
        <v>3291.97</v>
      </c>
      <c r="I1230">
        <v>239</v>
      </c>
      <c r="J1230" t="b">
        <v>0</v>
      </c>
      <c r="L1230" t="s">
        <v>42</v>
      </c>
    </row>
    <row r="1231" spans="1:12">
      <c r="A1231" t="s">
        <v>2549</v>
      </c>
      <c r="B1231" t="s">
        <v>2550</v>
      </c>
      <c r="C1231" s="27">
        <v>44941</v>
      </c>
      <c r="D1231" s="25">
        <v>44971</v>
      </c>
      <c r="E1231" t="s">
        <v>19</v>
      </c>
      <c r="F1231">
        <v>98945</v>
      </c>
      <c r="G1231">
        <v>3687</v>
      </c>
      <c r="H1231">
        <v>6356.83</v>
      </c>
      <c r="I1231">
        <v>185</v>
      </c>
      <c r="J1231" t="s">
        <v>30</v>
      </c>
      <c r="L1231" t="s">
        <v>20</v>
      </c>
    </row>
    <row r="1232" spans="1:12">
      <c r="A1232" t="s">
        <v>2551</v>
      </c>
      <c r="B1232" t="s">
        <v>2552</v>
      </c>
      <c r="C1232" s="27">
        <v>45219</v>
      </c>
      <c r="D1232" s="25">
        <v>45227</v>
      </c>
      <c r="E1232" t="s">
        <v>138</v>
      </c>
      <c r="F1232">
        <v>14224</v>
      </c>
      <c r="G1232">
        <v>206</v>
      </c>
      <c r="H1232">
        <v>108.85</v>
      </c>
      <c r="I1232">
        <v>19</v>
      </c>
      <c r="J1232" t="b">
        <v>0</v>
      </c>
      <c r="L1232" t="s">
        <v>139</v>
      </c>
    </row>
    <row r="1233" spans="1:12">
      <c r="A1233" t="s">
        <v>2553</v>
      </c>
      <c r="B1233" t="s">
        <v>2554</v>
      </c>
      <c r="C1233" s="27">
        <v>45040</v>
      </c>
      <c r="D1233" s="25">
        <v>45059</v>
      </c>
      <c r="E1233" t="s">
        <v>41</v>
      </c>
      <c r="F1233">
        <v>41738</v>
      </c>
      <c r="G1233">
        <v>1823</v>
      </c>
      <c r="H1233">
        <v>2923.87</v>
      </c>
      <c r="I1233">
        <v>332</v>
      </c>
      <c r="J1233" t="b">
        <v>1</v>
      </c>
      <c r="L1233" t="s">
        <v>68</v>
      </c>
    </row>
    <row r="1234" spans="1:12">
      <c r="A1234" t="s">
        <v>2555</v>
      </c>
      <c r="B1234" t="s">
        <v>2556</v>
      </c>
      <c r="C1234" s="27">
        <v>45064</v>
      </c>
      <c r="D1234" s="25">
        <v>45071</v>
      </c>
      <c r="E1234" t="s">
        <v>41</v>
      </c>
      <c r="F1234">
        <v>26150</v>
      </c>
      <c r="G1234">
        <v>514</v>
      </c>
      <c r="H1234">
        <v>417.68</v>
      </c>
      <c r="I1234">
        <v>71</v>
      </c>
      <c r="J1234">
        <v>1</v>
      </c>
      <c r="L1234" t="s">
        <v>42</v>
      </c>
    </row>
    <row r="1235" spans="1:12">
      <c r="A1235" t="s">
        <v>2557</v>
      </c>
      <c r="B1235" t="s">
        <v>2558</v>
      </c>
      <c r="C1235" t="s">
        <v>2559</v>
      </c>
      <c r="D1235" s="25">
        <v>45288</v>
      </c>
      <c r="E1235" t="s">
        <v>33</v>
      </c>
      <c r="F1235">
        <v>64731</v>
      </c>
      <c r="G1235">
        <v>1885</v>
      </c>
      <c r="H1235">
        <v>1318.35</v>
      </c>
      <c r="I1235">
        <v>266</v>
      </c>
      <c r="J1235" t="b">
        <v>1</v>
      </c>
      <c r="L1235" t="s">
        <v>34</v>
      </c>
    </row>
    <row r="1236" spans="1:12">
      <c r="A1236" t="s">
        <v>2560</v>
      </c>
      <c r="B1236" t="s">
        <v>2561</v>
      </c>
      <c r="C1236" s="27">
        <v>44994</v>
      </c>
      <c r="D1236" s="25">
        <v>45004</v>
      </c>
      <c r="E1236" t="s">
        <v>19</v>
      </c>
      <c r="F1236">
        <v>50688</v>
      </c>
      <c r="G1236">
        <v>801</v>
      </c>
      <c r="H1236">
        <v>1167.64</v>
      </c>
      <c r="I1236">
        <v>88</v>
      </c>
      <c r="J1236" t="s">
        <v>24</v>
      </c>
      <c r="L1236" t="s">
        <v>20</v>
      </c>
    </row>
    <row r="1237" spans="1:12">
      <c r="A1237" t="s">
        <v>2562</v>
      </c>
      <c r="B1237" t="s">
        <v>2563</v>
      </c>
      <c r="C1237" s="27">
        <v>44931</v>
      </c>
      <c r="D1237" s="25">
        <v>44938</v>
      </c>
      <c r="E1237" t="s">
        <v>41</v>
      </c>
      <c r="F1237">
        <v>74509</v>
      </c>
      <c r="G1237">
        <v>2861</v>
      </c>
      <c r="H1237" s="26">
        <v>2802.68</v>
      </c>
      <c r="I1237">
        <v>433</v>
      </c>
      <c r="J1237">
        <v>1</v>
      </c>
      <c r="L1237" t="s">
        <v>42</v>
      </c>
    </row>
    <row r="1238" spans="1:12">
      <c r="A1238" t="s">
        <v>2564</v>
      </c>
      <c r="B1238" t="s">
        <v>2565</v>
      </c>
      <c r="C1238" s="27">
        <v>45083</v>
      </c>
      <c r="D1238" s="25">
        <v>45110</v>
      </c>
      <c r="E1238" t="s">
        <v>19</v>
      </c>
      <c r="F1238">
        <v>9577</v>
      </c>
      <c r="G1238">
        <v>351</v>
      </c>
      <c r="H1238">
        <v>205.57</v>
      </c>
      <c r="I1238">
        <v>27</v>
      </c>
      <c r="J1238">
        <v>0</v>
      </c>
      <c r="L1238" t="s">
        <v>20</v>
      </c>
    </row>
    <row r="1239" spans="1:12">
      <c r="A1239" t="s">
        <v>2566</v>
      </c>
      <c r="B1239" t="s">
        <v>2567</v>
      </c>
      <c r="C1239" s="27">
        <v>45067</v>
      </c>
      <c r="D1239" s="25">
        <v>45078</v>
      </c>
      <c r="E1239" t="s">
        <v>33</v>
      </c>
      <c r="F1239">
        <v>9070</v>
      </c>
      <c r="G1239">
        <v>167</v>
      </c>
      <c r="H1239">
        <v>117.98</v>
      </c>
      <c r="I1239">
        <v>28</v>
      </c>
      <c r="J1239" t="s">
        <v>30</v>
      </c>
      <c r="L1239" t="s">
        <v>34</v>
      </c>
    </row>
    <row r="1240" spans="1:12">
      <c r="A1240" t="s">
        <v>2568</v>
      </c>
      <c r="B1240" t="s">
        <v>2569</v>
      </c>
      <c r="C1240" s="27">
        <v>45105</v>
      </c>
      <c r="D1240" s="25">
        <v>45122</v>
      </c>
      <c r="E1240" t="s">
        <v>19</v>
      </c>
      <c r="F1240">
        <v>9666</v>
      </c>
      <c r="G1240">
        <v>430</v>
      </c>
      <c r="H1240" s="26">
        <v>215.6</v>
      </c>
      <c r="I1240">
        <v>29</v>
      </c>
      <c r="J1240" t="b">
        <v>0</v>
      </c>
      <c r="L1240" t="s">
        <v>20</v>
      </c>
    </row>
    <row r="1241" spans="1:12">
      <c r="A1241" t="s">
        <v>2570</v>
      </c>
      <c r="B1241" t="s">
        <v>2571</v>
      </c>
      <c r="C1241" s="27">
        <v>45081</v>
      </c>
      <c r="D1241" s="25">
        <v>45103</v>
      </c>
      <c r="E1241" t="s">
        <v>33</v>
      </c>
      <c r="F1241">
        <v>58761</v>
      </c>
      <c r="G1241">
        <v>1530</v>
      </c>
      <c r="H1241">
        <v>2837.9</v>
      </c>
      <c r="I1241">
        <v>227</v>
      </c>
      <c r="J1241" t="s">
        <v>24</v>
      </c>
      <c r="L1241" t="s">
        <v>34</v>
      </c>
    </row>
    <row r="1242" spans="1:12">
      <c r="A1242" t="s">
        <v>2572</v>
      </c>
      <c r="B1242" t="s">
        <v>2573</v>
      </c>
      <c r="C1242" s="25">
        <v>45130</v>
      </c>
      <c r="D1242" s="25">
        <v>45144</v>
      </c>
      <c r="E1242" t="s">
        <v>33</v>
      </c>
      <c r="F1242">
        <v>37368</v>
      </c>
      <c r="G1242">
        <v>810</v>
      </c>
      <c r="H1242">
        <v>434.91</v>
      </c>
      <c r="I1242">
        <v>81</v>
      </c>
      <c r="J1242">
        <v>0</v>
      </c>
      <c r="L1242" t="s">
        <v>34</v>
      </c>
    </row>
    <row r="1243" spans="1:12">
      <c r="A1243" t="s">
        <v>2574</v>
      </c>
      <c r="B1243" t="s">
        <v>2575</v>
      </c>
      <c r="C1243" s="27">
        <v>45266</v>
      </c>
      <c r="D1243" s="25">
        <v>45275</v>
      </c>
      <c r="E1243" t="s">
        <v>41</v>
      </c>
      <c r="F1243">
        <v>7783</v>
      </c>
      <c r="G1243">
        <v>125</v>
      </c>
      <c r="H1243" s="26">
        <v>101.77</v>
      </c>
      <c r="I1243">
        <v>20</v>
      </c>
      <c r="J1243" t="b">
        <v>0</v>
      </c>
      <c r="L1243" t="s">
        <v>42</v>
      </c>
    </row>
    <row r="1244" spans="1:12">
      <c r="A1244" t="s">
        <v>2576</v>
      </c>
      <c r="B1244" t="s">
        <v>2577</v>
      </c>
      <c r="C1244" s="27">
        <v>45214</v>
      </c>
      <c r="D1244" s="25">
        <v>45223</v>
      </c>
      <c r="E1244" t="s">
        <v>23</v>
      </c>
      <c r="F1244">
        <v>42914</v>
      </c>
      <c r="G1244">
        <v>886</v>
      </c>
      <c r="H1244">
        <v>996.21</v>
      </c>
      <c r="I1244">
        <v>117</v>
      </c>
      <c r="J1244" t="s">
        <v>30</v>
      </c>
      <c r="L1244" t="s">
        <v>25</v>
      </c>
    </row>
    <row r="1245" spans="1:12">
      <c r="A1245" t="s">
        <v>2578</v>
      </c>
      <c r="B1245" t="s">
        <v>2579</v>
      </c>
      <c r="C1245" s="27">
        <v>45079</v>
      </c>
      <c r="D1245" s="25">
        <v>45099</v>
      </c>
      <c r="E1245" t="s">
        <v>23</v>
      </c>
      <c r="F1245">
        <v>71507</v>
      </c>
      <c r="G1245">
        <v>778</v>
      </c>
      <c r="H1245">
        <v>805.12</v>
      </c>
      <c r="I1245">
        <v>91</v>
      </c>
      <c r="J1245" t="s">
        <v>15</v>
      </c>
      <c r="L1245" t="s">
        <v>68</v>
      </c>
    </row>
    <row r="1246" spans="1:12">
      <c r="A1246" t="s">
        <v>2580</v>
      </c>
      <c r="B1246" t="s">
        <v>2581</v>
      </c>
      <c r="C1246" s="27">
        <v>45099</v>
      </c>
      <c r="D1246" s="25">
        <v>45113</v>
      </c>
      <c r="E1246" t="s">
        <v>19</v>
      </c>
      <c r="F1246">
        <v>80026</v>
      </c>
      <c r="G1246">
        <v>2667</v>
      </c>
      <c r="H1246">
        <v>4980.86</v>
      </c>
      <c r="I1246">
        <v>201</v>
      </c>
      <c r="J1246" t="s">
        <v>24</v>
      </c>
      <c r="L1246" t="s">
        <v>20</v>
      </c>
    </row>
    <row r="1247" spans="1:12">
      <c r="A1247" t="s">
        <v>2582</v>
      </c>
      <c r="B1247" t="s">
        <v>2583</v>
      </c>
      <c r="C1247" s="27">
        <v>45068</v>
      </c>
      <c r="D1247" s="25">
        <v>45090</v>
      </c>
      <c r="E1247" t="s">
        <v>33</v>
      </c>
      <c r="F1247">
        <v>68526</v>
      </c>
      <c r="G1247">
        <v>2993</v>
      </c>
      <c r="H1247">
        <v>1677.38</v>
      </c>
      <c r="I1247">
        <v>435</v>
      </c>
      <c r="J1247" t="b">
        <v>1</v>
      </c>
      <c r="L1247" t="s">
        <v>34</v>
      </c>
    </row>
    <row r="1248" spans="1:12">
      <c r="A1248" t="s">
        <v>2584</v>
      </c>
      <c r="B1248" t="s">
        <v>2585</v>
      </c>
      <c r="C1248" s="27">
        <v>45260</v>
      </c>
      <c r="D1248" s="25">
        <v>45282</v>
      </c>
      <c r="E1248" t="s">
        <v>33</v>
      </c>
      <c r="F1248">
        <v>71835</v>
      </c>
      <c r="G1248">
        <v>2295</v>
      </c>
      <c r="H1248">
        <v>2910.8</v>
      </c>
      <c r="I1248">
        <v>450</v>
      </c>
      <c r="J1248" t="b">
        <v>1</v>
      </c>
      <c r="L1248" t="s">
        <v>34</v>
      </c>
    </row>
    <row r="1249" spans="1:12">
      <c r="A1249" t="s">
        <v>2586</v>
      </c>
      <c r="B1249" t="s">
        <v>2587</v>
      </c>
      <c r="C1249" s="27">
        <v>45050</v>
      </c>
      <c r="D1249" s="25">
        <v>45057</v>
      </c>
      <c r="E1249" t="s">
        <v>41</v>
      </c>
      <c r="F1249">
        <v>46765</v>
      </c>
      <c r="G1249">
        <v>877</v>
      </c>
      <c r="H1249">
        <v>1333.67</v>
      </c>
      <c r="I1249">
        <v>152</v>
      </c>
      <c r="J1249" t="b">
        <v>0</v>
      </c>
      <c r="L1249" t="s">
        <v>42</v>
      </c>
    </row>
    <row r="1250" spans="1:12">
      <c r="A1250" t="s">
        <v>2588</v>
      </c>
      <c r="B1250" t="s">
        <v>2589</v>
      </c>
      <c r="C1250" s="27">
        <v>45234</v>
      </c>
      <c r="D1250" s="25">
        <v>45259</v>
      </c>
      <c r="E1250" t="s">
        <v>14</v>
      </c>
      <c r="F1250">
        <v>20956</v>
      </c>
      <c r="G1250">
        <v>237</v>
      </c>
      <c r="H1250" s="26">
        <v>449.72</v>
      </c>
      <c r="I1250">
        <v>13</v>
      </c>
      <c r="J1250" t="b">
        <v>0</v>
      </c>
      <c r="L1250" t="s">
        <v>16</v>
      </c>
    </row>
    <row r="1251" spans="1:12">
      <c r="A1251" t="s">
        <v>2590</v>
      </c>
      <c r="B1251" t="s">
        <v>2591</v>
      </c>
      <c r="C1251" s="27">
        <v>44998</v>
      </c>
      <c r="D1251" s="25">
        <v>45018</v>
      </c>
      <c r="E1251" t="s">
        <v>33</v>
      </c>
      <c r="F1251">
        <v>88895</v>
      </c>
      <c r="G1251">
        <v>1652</v>
      </c>
      <c r="H1251">
        <v>2363.28</v>
      </c>
      <c r="I1251">
        <v>175</v>
      </c>
      <c r="J1251" t="b">
        <v>0</v>
      </c>
      <c r="L1251" t="s">
        <v>34</v>
      </c>
    </row>
    <row r="1252" spans="1:12">
      <c r="A1252" t="s">
        <v>2592</v>
      </c>
      <c r="B1252" t="s">
        <v>2593</v>
      </c>
      <c r="C1252" s="27">
        <v>45078</v>
      </c>
      <c r="D1252" s="25">
        <v>45107</v>
      </c>
      <c r="E1252" t="s">
        <v>23</v>
      </c>
      <c r="F1252">
        <v>47240</v>
      </c>
      <c r="G1252">
        <v>1258</v>
      </c>
      <c r="H1252">
        <v>2145.69</v>
      </c>
      <c r="I1252">
        <v>237</v>
      </c>
      <c r="J1252" t="s">
        <v>24</v>
      </c>
      <c r="L1252" t="s">
        <v>25</v>
      </c>
    </row>
    <row r="1253" spans="1:12">
      <c r="A1253" t="s">
        <v>2594</v>
      </c>
      <c r="B1253" t="s">
        <v>2595</v>
      </c>
      <c r="C1253" s="27">
        <v>45125</v>
      </c>
      <c r="D1253" s="25">
        <v>45151</v>
      </c>
      <c r="E1253" t="s">
        <v>23</v>
      </c>
      <c r="F1253">
        <v>38148</v>
      </c>
      <c r="G1253">
        <v>1540</v>
      </c>
      <c r="H1253">
        <v>963.4</v>
      </c>
      <c r="I1253">
        <v>193</v>
      </c>
      <c r="J1253" t="s">
        <v>30</v>
      </c>
      <c r="L1253" t="s">
        <v>25</v>
      </c>
    </row>
    <row r="1254" spans="1:12">
      <c r="A1254" t="s">
        <v>2596</v>
      </c>
      <c r="B1254" t="s">
        <v>2597</v>
      </c>
      <c r="C1254" s="27">
        <v>45219</v>
      </c>
      <c r="D1254" s="25">
        <v>45224</v>
      </c>
      <c r="E1254" t="s">
        <v>33</v>
      </c>
      <c r="F1254">
        <v>95270</v>
      </c>
      <c r="G1254">
        <v>1668</v>
      </c>
      <c r="H1254" s="26">
        <v>1799.62</v>
      </c>
      <c r="I1254">
        <v>249</v>
      </c>
      <c r="J1254" t="s">
        <v>15</v>
      </c>
      <c r="L1254" t="s">
        <v>34</v>
      </c>
    </row>
    <row r="1255" spans="1:12">
      <c r="A1255" t="s">
        <v>2598</v>
      </c>
      <c r="B1255" t="s">
        <v>2599</v>
      </c>
      <c r="C1255" s="27">
        <v>45292</v>
      </c>
      <c r="D1255" s="25">
        <v>45318</v>
      </c>
      <c r="E1255" t="s">
        <v>19</v>
      </c>
      <c r="F1255">
        <v>5757</v>
      </c>
      <c r="G1255">
        <v>223</v>
      </c>
      <c r="H1255">
        <v>236.59</v>
      </c>
      <c r="I1255">
        <v>41</v>
      </c>
      <c r="J1255" t="b">
        <v>1</v>
      </c>
      <c r="L1255" t="s">
        <v>20</v>
      </c>
    </row>
    <row r="1256" spans="1:12">
      <c r="A1256" t="s">
        <v>2600</v>
      </c>
      <c r="B1256" t="s">
        <v>2601</v>
      </c>
      <c r="C1256" s="27">
        <v>45170</v>
      </c>
      <c r="D1256" s="25">
        <v>45195</v>
      </c>
      <c r="E1256" t="s">
        <v>41</v>
      </c>
      <c r="F1256">
        <v>20097</v>
      </c>
      <c r="G1256">
        <v>897</v>
      </c>
      <c r="H1256">
        <v>1641</v>
      </c>
      <c r="I1256">
        <v>162</v>
      </c>
      <c r="J1256">
        <v>0</v>
      </c>
      <c r="L1256" t="s">
        <v>42</v>
      </c>
    </row>
    <row r="1257" spans="1:12">
      <c r="A1257" t="s">
        <v>2602</v>
      </c>
      <c r="B1257" t="s">
        <v>2603</v>
      </c>
      <c r="C1257" s="27">
        <v>45186</v>
      </c>
      <c r="D1257" s="25">
        <v>45209</v>
      </c>
      <c r="E1257" t="s">
        <v>23</v>
      </c>
      <c r="F1257">
        <v>11395</v>
      </c>
      <c r="G1257">
        <v>320</v>
      </c>
      <c r="H1257">
        <v>232.66</v>
      </c>
      <c r="I1257">
        <v>40</v>
      </c>
      <c r="J1257">
        <v>1</v>
      </c>
      <c r="L1257" t="s">
        <v>25</v>
      </c>
    </row>
    <row r="1258" spans="1:12">
      <c r="A1258" t="s">
        <v>2604</v>
      </c>
      <c r="B1258" t="s">
        <v>2605</v>
      </c>
      <c r="C1258" s="27">
        <v>45263</v>
      </c>
      <c r="D1258" s="25">
        <v>45273</v>
      </c>
      <c r="E1258" t="s">
        <v>14</v>
      </c>
      <c r="F1258">
        <v>17241</v>
      </c>
      <c r="G1258">
        <v>738</v>
      </c>
      <c r="H1258" s="26">
        <v>537.14</v>
      </c>
      <c r="J1258" t="s">
        <v>24</v>
      </c>
      <c r="L1258" t="s">
        <v>16</v>
      </c>
    </row>
    <row r="1259" spans="1:12">
      <c r="A1259" t="s">
        <v>2606</v>
      </c>
      <c r="B1259" t="s">
        <v>2607</v>
      </c>
      <c r="C1259" s="27">
        <v>44976</v>
      </c>
      <c r="D1259" s="25">
        <v>44983</v>
      </c>
      <c r="E1259" t="s">
        <v>19</v>
      </c>
      <c r="F1259">
        <v>28696</v>
      </c>
      <c r="G1259">
        <v>923</v>
      </c>
      <c r="H1259">
        <v>916.39</v>
      </c>
      <c r="I1259">
        <v>93</v>
      </c>
      <c r="J1259" t="s">
        <v>24</v>
      </c>
      <c r="L1259" t="s">
        <v>20</v>
      </c>
    </row>
    <row r="1260" spans="1:12">
      <c r="A1260" t="s">
        <v>2608</v>
      </c>
      <c r="B1260" t="s">
        <v>2609</v>
      </c>
      <c r="C1260" s="27">
        <v>45213</v>
      </c>
      <c r="D1260" s="25">
        <v>45235</v>
      </c>
      <c r="E1260" t="s">
        <v>23</v>
      </c>
      <c r="F1260">
        <v>71480</v>
      </c>
      <c r="G1260">
        <v>2536</v>
      </c>
      <c r="H1260">
        <v>1475.19</v>
      </c>
      <c r="I1260">
        <v>400</v>
      </c>
      <c r="J1260" t="s">
        <v>30</v>
      </c>
      <c r="L1260" t="s">
        <v>25</v>
      </c>
    </row>
    <row r="1261" spans="1:12">
      <c r="A1261" t="s">
        <v>2610</v>
      </c>
      <c r="B1261" t="s">
        <v>2611</v>
      </c>
      <c r="C1261" s="27">
        <v>45275</v>
      </c>
      <c r="D1261" s="25">
        <v>45297</v>
      </c>
      <c r="E1261" t="s">
        <v>23</v>
      </c>
      <c r="F1261">
        <v>47163</v>
      </c>
      <c r="G1261">
        <v>1464</v>
      </c>
      <c r="H1261">
        <v>1132.68</v>
      </c>
      <c r="I1261">
        <v>136</v>
      </c>
      <c r="J1261" t="b">
        <v>1</v>
      </c>
      <c r="L1261" t="s">
        <v>25</v>
      </c>
    </row>
    <row r="1262" spans="1:12">
      <c r="A1262" t="s">
        <v>2612</v>
      </c>
      <c r="B1262" t="s">
        <v>2613</v>
      </c>
      <c r="C1262" s="27">
        <v>45040</v>
      </c>
      <c r="D1262" s="25">
        <v>45052</v>
      </c>
      <c r="E1262" t="s">
        <v>23</v>
      </c>
      <c r="F1262">
        <v>20816</v>
      </c>
      <c r="G1262">
        <v>593</v>
      </c>
      <c r="H1262">
        <v>1155.05</v>
      </c>
      <c r="I1262">
        <v>51</v>
      </c>
      <c r="J1262" t="s">
        <v>15</v>
      </c>
      <c r="L1262" t="s">
        <v>25</v>
      </c>
    </row>
    <row r="1263" spans="1:12">
      <c r="A1263" t="s">
        <v>2614</v>
      </c>
      <c r="B1263" t="s">
        <v>2615</v>
      </c>
      <c r="C1263" s="27">
        <v>45084</v>
      </c>
      <c r="D1263" s="25">
        <v>45107</v>
      </c>
      <c r="E1263" t="s">
        <v>23</v>
      </c>
      <c r="F1263">
        <v>50840</v>
      </c>
      <c r="G1263">
        <v>985</v>
      </c>
      <c r="H1263">
        <v>1125.14</v>
      </c>
      <c r="I1263">
        <v>101</v>
      </c>
      <c r="J1263" t="s">
        <v>30</v>
      </c>
      <c r="L1263" t="s">
        <v>25</v>
      </c>
    </row>
    <row r="1264" spans="1:12">
      <c r="A1264" t="s">
        <v>2616</v>
      </c>
      <c r="B1264" t="s">
        <v>2617</v>
      </c>
      <c r="C1264" s="27">
        <v>45117</v>
      </c>
      <c r="D1264" s="25">
        <v>45135</v>
      </c>
      <c r="E1264" t="s">
        <v>41</v>
      </c>
      <c r="F1264">
        <v>53853</v>
      </c>
      <c r="G1264">
        <v>1191</v>
      </c>
      <c r="H1264">
        <v>1724.6</v>
      </c>
      <c r="I1264">
        <v>91</v>
      </c>
      <c r="J1264">
        <v>0</v>
      </c>
      <c r="L1264" t="s">
        <v>42</v>
      </c>
    </row>
    <row r="1265" spans="1:12">
      <c r="A1265" t="s">
        <v>2618</v>
      </c>
      <c r="B1265" t="s">
        <v>2619</v>
      </c>
      <c r="C1265" s="27">
        <v>44987</v>
      </c>
      <c r="D1265" s="25">
        <v>45005</v>
      </c>
      <c r="E1265" t="s">
        <v>23</v>
      </c>
      <c r="F1265">
        <v>25917</v>
      </c>
      <c r="G1265">
        <v>559</v>
      </c>
      <c r="H1265">
        <v>888.34</v>
      </c>
      <c r="I1265">
        <v>86</v>
      </c>
      <c r="J1265" t="b">
        <v>1</v>
      </c>
      <c r="L1265" t="s">
        <v>25</v>
      </c>
    </row>
    <row r="1266" spans="1:12">
      <c r="A1266" t="s">
        <v>2620</v>
      </c>
      <c r="B1266" t="s">
        <v>2621</v>
      </c>
      <c r="C1266" s="27">
        <v>45225</v>
      </c>
      <c r="D1266" s="25">
        <v>45236</v>
      </c>
      <c r="E1266" t="s">
        <v>14</v>
      </c>
      <c r="F1266">
        <v>97731</v>
      </c>
      <c r="G1266">
        <v>3179</v>
      </c>
      <c r="H1266">
        <v>3339.36</v>
      </c>
      <c r="J1266" t="s">
        <v>30</v>
      </c>
      <c r="L1266" t="s">
        <v>16</v>
      </c>
    </row>
    <row r="1267" spans="1:12">
      <c r="A1267" t="s">
        <v>2622</v>
      </c>
      <c r="B1267" t="s">
        <v>2623</v>
      </c>
      <c r="C1267" s="27">
        <v>45168</v>
      </c>
      <c r="D1267" s="25">
        <v>45175</v>
      </c>
      <c r="E1267" t="s">
        <v>23</v>
      </c>
      <c r="F1267">
        <v>22566</v>
      </c>
      <c r="G1267">
        <v>333</v>
      </c>
      <c r="H1267">
        <v>240.04</v>
      </c>
      <c r="I1267">
        <v>40</v>
      </c>
      <c r="J1267" t="b">
        <v>1</v>
      </c>
      <c r="L1267" t="s">
        <v>25</v>
      </c>
    </row>
    <row r="1268" spans="1:12">
      <c r="A1268" t="s">
        <v>2624</v>
      </c>
      <c r="B1268" t="s">
        <v>2625</v>
      </c>
      <c r="C1268" s="27">
        <v>45275</v>
      </c>
      <c r="D1268" s="25">
        <v>45301</v>
      </c>
      <c r="E1268" t="s">
        <v>23</v>
      </c>
      <c r="F1268">
        <v>76452</v>
      </c>
      <c r="G1268">
        <v>3568</v>
      </c>
      <c r="H1268">
        <v>2889.62</v>
      </c>
      <c r="I1268">
        <v>387</v>
      </c>
      <c r="J1268" t="b">
        <v>1</v>
      </c>
      <c r="L1268" t="s">
        <v>25</v>
      </c>
    </row>
    <row r="1269" spans="1:12">
      <c r="A1269" t="s">
        <v>2626</v>
      </c>
      <c r="B1269" t="s">
        <v>2627</v>
      </c>
      <c r="C1269" s="27">
        <v>44954</v>
      </c>
      <c r="D1269" s="25">
        <v>44969</v>
      </c>
      <c r="E1269" t="s">
        <v>33</v>
      </c>
      <c r="F1269">
        <v>63823</v>
      </c>
      <c r="G1269">
        <v>2478</v>
      </c>
      <c r="H1269">
        <v>2403.41</v>
      </c>
      <c r="I1269">
        <v>461</v>
      </c>
      <c r="J1269" t="s">
        <v>24</v>
      </c>
      <c r="L1269" t="s">
        <v>34</v>
      </c>
    </row>
    <row r="1270" spans="1:12">
      <c r="A1270" t="s">
        <v>2628</v>
      </c>
      <c r="B1270" t="s">
        <v>2629</v>
      </c>
      <c r="C1270" s="27">
        <v>45029</v>
      </c>
      <c r="D1270" s="25">
        <v>45048</v>
      </c>
      <c r="E1270" t="s">
        <v>33</v>
      </c>
      <c r="F1270">
        <v>21806</v>
      </c>
      <c r="G1270">
        <v>568</v>
      </c>
      <c r="H1270" s="26">
        <v>825.93</v>
      </c>
      <c r="I1270">
        <v>30</v>
      </c>
      <c r="J1270" t="s">
        <v>15</v>
      </c>
      <c r="L1270" t="s">
        <v>34</v>
      </c>
    </row>
    <row r="1271" spans="1:12">
      <c r="A1271" t="s">
        <v>2630</v>
      </c>
      <c r="B1271" t="s">
        <v>2631</v>
      </c>
      <c r="C1271" s="27">
        <v>45161</v>
      </c>
      <c r="D1271" s="25">
        <v>45178</v>
      </c>
      <c r="E1271" t="s">
        <v>33</v>
      </c>
      <c r="F1271">
        <v>76520</v>
      </c>
      <c r="G1271">
        <v>1250</v>
      </c>
      <c r="H1271">
        <v>1371.78</v>
      </c>
      <c r="I1271">
        <v>206</v>
      </c>
      <c r="J1271" t="s">
        <v>24</v>
      </c>
      <c r="L1271" t="s">
        <v>34</v>
      </c>
    </row>
    <row r="1272" spans="1:12">
      <c r="A1272" t="s">
        <v>2632</v>
      </c>
      <c r="B1272" t="s">
        <v>2633</v>
      </c>
      <c r="C1272" s="27">
        <v>45019</v>
      </c>
      <c r="D1272" s="25">
        <v>45025</v>
      </c>
      <c r="E1272" t="s">
        <v>41</v>
      </c>
      <c r="F1272">
        <v>2759</v>
      </c>
      <c r="G1272">
        <v>124</v>
      </c>
      <c r="H1272">
        <v>63.27</v>
      </c>
      <c r="I1272">
        <v>22</v>
      </c>
      <c r="J1272">
        <v>1</v>
      </c>
      <c r="L1272" t="s">
        <v>42</v>
      </c>
    </row>
    <row r="1273" spans="1:12">
      <c r="A1273" t="s">
        <v>2634</v>
      </c>
      <c r="B1273" t="s">
        <v>2635</v>
      </c>
      <c r="C1273" s="27">
        <v>45250</v>
      </c>
      <c r="D1273" s="25">
        <v>45254</v>
      </c>
      <c r="E1273" t="s">
        <v>14</v>
      </c>
      <c r="F1273">
        <v>42949</v>
      </c>
      <c r="G1273">
        <v>1844</v>
      </c>
      <c r="H1273">
        <v>2369.74</v>
      </c>
      <c r="I1273">
        <v>215</v>
      </c>
      <c r="J1273" t="s">
        <v>15</v>
      </c>
      <c r="L1273" t="s">
        <v>16</v>
      </c>
    </row>
    <row r="1274" spans="1:12">
      <c r="A1274" t="s">
        <v>2636</v>
      </c>
      <c r="B1274" t="s">
        <v>2637</v>
      </c>
      <c r="C1274" t="s">
        <v>2638</v>
      </c>
      <c r="D1274" s="25">
        <v>44980</v>
      </c>
      <c r="E1274" t="s">
        <v>41</v>
      </c>
      <c r="F1274">
        <v>93374</v>
      </c>
      <c r="G1274">
        <v>3629</v>
      </c>
      <c r="H1274">
        <v>6830.76</v>
      </c>
      <c r="I1274">
        <v>481</v>
      </c>
      <c r="J1274" t="b">
        <v>1</v>
      </c>
      <c r="L1274" t="s">
        <v>42</v>
      </c>
    </row>
    <row r="1275" spans="1:12">
      <c r="A1275" t="s">
        <v>2639</v>
      </c>
      <c r="B1275" t="s">
        <v>2640</v>
      </c>
      <c r="C1275" s="27">
        <v>45067</v>
      </c>
      <c r="D1275" s="25">
        <v>45091</v>
      </c>
      <c r="E1275" t="s">
        <v>19</v>
      </c>
      <c r="F1275">
        <v>3482</v>
      </c>
      <c r="G1275">
        <v>72</v>
      </c>
      <c r="H1275">
        <v>123.7</v>
      </c>
      <c r="I1275">
        <v>13</v>
      </c>
      <c r="J1275" t="s">
        <v>30</v>
      </c>
      <c r="L1275" t="s">
        <v>20</v>
      </c>
    </row>
    <row r="1276" spans="1:12">
      <c r="A1276" t="s">
        <v>2641</v>
      </c>
      <c r="B1276" t="s">
        <v>2642</v>
      </c>
      <c r="C1276" s="27">
        <v>45222</v>
      </c>
      <c r="D1276" s="25">
        <v>45251</v>
      </c>
      <c r="E1276" t="s">
        <v>19</v>
      </c>
      <c r="F1276">
        <v>25442</v>
      </c>
      <c r="G1276">
        <v>663</v>
      </c>
      <c r="H1276">
        <v>1152.17</v>
      </c>
      <c r="I1276">
        <v>54</v>
      </c>
      <c r="J1276">
        <v>0</v>
      </c>
      <c r="L1276" t="s">
        <v>20</v>
      </c>
    </row>
    <row r="1277" spans="1:12">
      <c r="A1277" t="s">
        <v>2643</v>
      </c>
      <c r="B1277" t="s">
        <v>2644</v>
      </c>
      <c r="C1277" s="27">
        <v>44972</v>
      </c>
      <c r="D1277" s="25">
        <v>44982</v>
      </c>
      <c r="E1277" t="s">
        <v>23</v>
      </c>
      <c r="F1277">
        <v>34719</v>
      </c>
      <c r="G1277">
        <v>489</v>
      </c>
      <c r="H1277">
        <v>827.68</v>
      </c>
      <c r="I1277">
        <v>62</v>
      </c>
      <c r="J1277" t="s">
        <v>15</v>
      </c>
      <c r="L1277" t="s">
        <v>25</v>
      </c>
    </row>
    <row r="1278" spans="1:12">
      <c r="A1278" t="s">
        <v>2645</v>
      </c>
      <c r="B1278" t="s">
        <v>2646</v>
      </c>
      <c r="C1278" s="27">
        <v>45146</v>
      </c>
      <c r="D1278" s="25">
        <v>45167</v>
      </c>
      <c r="E1278" t="s">
        <v>58</v>
      </c>
      <c r="F1278">
        <v>59066</v>
      </c>
      <c r="G1278">
        <v>1037</v>
      </c>
      <c r="H1278">
        <v>1022.06</v>
      </c>
      <c r="I1278">
        <v>125</v>
      </c>
      <c r="J1278">
        <v>1</v>
      </c>
      <c r="L1278" t="s">
        <v>59</v>
      </c>
    </row>
    <row r="1279" spans="1:12">
      <c r="A1279" t="s">
        <v>2647</v>
      </c>
      <c r="B1279" t="s">
        <v>2648</v>
      </c>
      <c r="C1279" t="s">
        <v>2649</v>
      </c>
      <c r="D1279" s="25">
        <v>45131</v>
      </c>
      <c r="E1279" t="s">
        <v>23</v>
      </c>
      <c r="F1279">
        <v>94501</v>
      </c>
      <c r="G1279">
        <v>3904</v>
      </c>
      <c r="H1279">
        <v>6432.98</v>
      </c>
      <c r="I1279">
        <v>346</v>
      </c>
      <c r="J1279" t="b">
        <v>1</v>
      </c>
      <c r="L1279" t="s">
        <v>25</v>
      </c>
    </row>
    <row r="1280" spans="1:12">
      <c r="A1280" t="s">
        <v>2650</v>
      </c>
      <c r="B1280" t="s">
        <v>2651</v>
      </c>
      <c r="C1280" s="27">
        <v>45200</v>
      </c>
      <c r="D1280" s="25">
        <v>45207</v>
      </c>
      <c r="E1280" t="s">
        <v>14</v>
      </c>
      <c r="F1280">
        <v>3079</v>
      </c>
      <c r="G1280">
        <v>118</v>
      </c>
      <c r="H1280">
        <v>84.34</v>
      </c>
      <c r="I1280">
        <v>20</v>
      </c>
      <c r="J1280">
        <v>0</v>
      </c>
      <c r="L1280" t="s">
        <v>16</v>
      </c>
    </row>
    <row r="1281" spans="1:12">
      <c r="A1281" t="s">
        <v>2652</v>
      </c>
      <c r="B1281" t="s">
        <v>2653</v>
      </c>
      <c r="C1281" s="27">
        <v>44934</v>
      </c>
      <c r="D1281" s="25">
        <v>44954</v>
      </c>
      <c r="E1281" t="s">
        <v>14</v>
      </c>
      <c r="F1281">
        <v>3717</v>
      </c>
      <c r="G1281">
        <v>125</v>
      </c>
      <c r="H1281">
        <v>185.82</v>
      </c>
      <c r="I1281">
        <v>23</v>
      </c>
      <c r="J1281" t="s">
        <v>15</v>
      </c>
      <c r="L1281" t="s">
        <v>16</v>
      </c>
    </row>
    <row r="1282" spans="1:12">
      <c r="A1282" t="s">
        <v>2654</v>
      </c>
      <c r="B1282" t="s">
        <v>2655</v>
      </c>
      <c r="C1282" s="27">
        <v>45198</v>
      </c>
      <c r="D1282" s="25">
        <v>45224</v>
      </c>
      <c r="E1282" t="s">
        <v>14</v>
      </c>
      <c r="F1282">
        <v>60676</v>
      </c>
      <c r="G1282">
        <v>2780</v>
      </c>
      <c r="H1282">
        <v>4065.34</v>
      </c>
      <c r="I1282">
        <v>465</v>
      </c>
      <c r="J1282" t="s">
        <v>24</v>
      </c>
      <c r="L1282" t="s">
        <v>16</v>
      </c>
    </row>
    <row r="1283" spans="1:12">
      <c r="A1283" t="s">
        <v>2656</v>
      </c>
      <c r="B1283" t="s">
        <v>2657</v>
      </c>
      <c r="C1283" s="27">
        <v>45247</v>
      </c>
      <c r="D1283" s="25">
        <v>45268</v>
      </c>
      <c r="E1283" t="s">
        <v>234</v>
      </c>
      <c r="F1283">
        <v>28952</v>
      </c>
      <c r="G1283">
        <v>964</v>
      </c>
      <c r="H1283">
        <v>518.97</v>
      </c>
      <c r="I1283">
        <v>76</v>
      </c>
      <c r="J1283" t="s">
        <v>24</v>
      </c>
      <c r="L1283" t="s">
        <v>16</v>
      </c>
    </row>
    <row r="1284" spans="1:12">
      <c r="A1284" t="s">
        <v>2658</v>
      </c>
      <c r="B1284" t="s">
        <v>2659</v>
      </c>
      <c r="C1284" s="27">
        <v>45103</v>
      </c>
      <c r="D1284" s="25">
        <v>45130</v>
      </c>
      <c r="E1284" t="s">
        <v>14</v>
      </c>
      <c r="F1284">
        <v>87444</v>
      </c>
      <c r="G1284">
        <v>2507</v>
      </c>
      <c r="H1284">
        <v>4216.66</v>
      </c>
      <c r="I1284">
        <v>157</v>
      </c>
      <c r="J1284" t="s">
        <v>15</v>
      </c>
      <c r="L1284" t="s">
        <v>16</v>
      </c>
    </row>
    <row r="1285" spans="1:12">
      <c r="A1285" t="s">
        <v>2660</v>
      </c>
      <c r="B1285" t="s">
        <v>2661</v>
      </c>
      <c r="C1285" s="27">
        <v>45184</v>
      </c>
      <c r="D1285" s="25">
        <v>45195</v>
      </c>
      <c r="E1285" t="s">
        <v>19</v>
      </c>
      <c r="F1285">
        <v>43460</v>
      </c>
      <c r="G1285">
        <v>1026</v>
      </c>
      <c r="H1285">
        <v>1903.1</v>
      </c>
      <c r="I1285">
        <v>144</v>
      </c>
      <c r="J1285" t="s">
        <v>15</v>
      </c>
      <c r="L1285" t="s">
        <v>20</v>
      </c>
    </row>
    <row r="1286" spans="1:12">
      <c r="A1286" t="s">
        <v>2662</v>
      </c>
      <c r="B1286" t="s">
        <v>2663</v>
      </c>
      <c r="C1286" s="27">
        <v>44950</v>
      </c>
      <c r="D1286" s="25">
        <v>44956</v>
      </c>
      <c r="E1286" t="s">
        <v>19</v>
      </c>
      <c r="F1286">
        <v>91397</v>
      </c>
      <c r="G1286">
        <v>4352</v>
      </c>
      <c r="H1286">
        <v>3921.69</v>
      </c>
      <c r="I1286">
        <v>254</v>
      </c>
      <c r="J1286" t="s">
        <v>15</v>
      </c>
      <c r="L1286" t="s">
        <v>20</v>
      </c>
    </row>
    <row r="1287" spans="1:12">
      <c r="A1287" t="s">
        <v>2664</v>
      </c>
      <c r="B1287" t="s">
        <v>2665</v>
      </c>
      <c r="C1287" s="27">
        <v>45193</v>
      </c>
      <c r="D1287" s="25">
        <v>45222</v>
      </c>
      <c r="E1287" t="s">
        <v>23</v>
      </c>
      <c r="F1287">
        <v>73847</v>
      </c>
      <c r="G1287">
        <v>982</v>
      </c>
      <c r="H1287">
        <v>1687.65</v>
      </c>
      <c r="I1287">
        <v>148</v>
      </c>
      <c r="J1287">
        <v>0</v>
      </c>
      <c r="L1287" t="s">
        <v>25</v>
      </c>
    </row>
    <row r="1288" spans="1:12">
      <c r="A1288" t="s">
        <v>2666</v>
      </c>
      <c r="B1288" t="s">
        <v>2667</v>
      </c>
      <c r="C1288" s="27">
        <v>45278</v>
      </c>
      <c r="D1288" s="25">
        <v>45299</v>
      </c>
      <c r="E1288" t="s">
        <v>19</v>
      </c>
      <c r="F1288">
        <v>94607</v>
      </c>
      <c r="G1288">
        <v>4468</v>
      </c>
      <c r="H1288">
        <v>2786.28</v>
      </c>
      <c r="I1288">
        <v>578</v>
      </c>
      <c r="J1288" t="s">
        <v>24</v>
      </c>
      <c r="L1288" t="s">
        <v>20</v>
      </c>
    </row>
    <row r="1289" spans="1:12">
      <c r="A1289" t="s">
        <v>2668</v>
      </c>
      <c r="B1289" t="s">
        <v>2669</v>
      </c>
      <c r="C1289" s="27">
        <v>45177</v>
      </c>
      <c r="D1289" s="25">
        <v>45203</v>
      </c>
      <c r="E1289" t="s">
        <v>33</v>
      </c>
      <c r="F1289">
        <v>90106</v>
      </c>
      <c r="G1289">
        <v>3880</v>
      </c>
      <c r="H1289">
        <v>5431.81</v>
      </c>
      <c r="I1289">
        <v>579</v>
      </c>
      <c r="J1289" t="s">
        <v>30</v>
      </c>
      <c r="L1289" t="s">
        <v>34</v>
      </c>
    </row>
    <row r="1290" spans="1:12">
      <c r="A1290" t="s">
        <v>2670</v>
      </c>
      <c r="B1290" t="s">
        <v>2671</v>
      </c>
      <c r="C1290" t="s">
        <v>2672</v>
      </c>
      <c r="D1290" s="25">
        <v>45149</v>
      </c>
      <c r="E1290" t="s">
        <v>19</v>
      </c>
      <c r="F1290">
        <v>19449</v>
      </c>
      <c r="G1290">
        <v>295</v>
      </c>
      <c r="H1290">
        <v>362.4</v>
      </c>
      <c r="I1290">
        <v>40</v>
      </c>
      <c r="J1290">
        <v>1</v>
      </c>
      <c r="L1290" t="s">
        <v>20</v>
      </c>
    </row>
    <row r="1291" spans="1:12">
      <c r="A1291" t="s">
        <v>2673</v>
      </c>
      <c r="B1291" t="s">
        <v>2674</v>
      </c>
      <c r="C1291" s="27">
        <v>45041</v>
      </c>
      <c r="D1291" s="25">
        <v>45053</v>
      </c>
      <c r="E1291" t="s">
        <v>23</v>
      </c>
      <c r="F1291">
        <v>34536</v>
      </c>
      <c r="G1291">
        <v>1125</v>
      </c>
      <c r="H1291">
        <v>1483.75</v>
      </c>
      <c r="I1291">
        <v>127</v>
      </c>
      <c r="J1291">
        <v>1</v>
      </c>
      <c r="L1291" t="s">
        <v>25</v>
      </c>
    </row>
    <row r="1292" spans="1:12">
      <c r="A1292" t="s">
        <v>2675</v>
      </c>
      <c r="B1292" t="s">
        <v>2676</v>
      </c>
      <c r="C1292" s="27">
        <v>44938</v>
      </c>
      <c r="D1292" s="25">
        <v>44946</v>
      </c>
      <c r="E1292" t="s">
        <v>33</v>
      </c>
      <c r="F1292">
        <v>65077</v>
      </c>
      <c r="G1292">
        <v>2906</v>
      </c>
      <c r="H1292">
        <v>5490.33</v>
      </c>
      <c r="I1292">
        <v>232</v>
      </c>
      <c r="J1292" t="b">
        <v>1</v>
      </c>
      <c r="L1292" t="s">
        <v>34</v>
      </c>
    </row>
    <row r="1293" spans="1:12">
      <c r="A1293" t="s">
        <v>2677</v>
      </c>
      <c r="B1293" t="s">
        <v>2678</v>
      </c>
      <c r="C1293" s="27">
        <v>45114</v>
      </c>
      <c r="D1293" s="25">
        <v>45127</v>
      </c>
      <c r="E1293" t="s">
        <v>41</v>
      </c>
      <c r="F1293">
        <v>39258</v>
      </c>
      <c r="G1293">
        <v>1290</v>
      </c>
      <c r="H1293">
        <v>2331</v>
      </c>
      <c r="I1293">
        <v>123</v>
      </c>
      <c r="J1293" t="b">
        <v>0</v>
      </c>
      <c r="L1293" t="s">
        <v>42</v>
      </c>
    </row>
    <row r="1294" spans="1:12">
      <c r="A1294" t="s">
        <v>2679</v>
      </c>
      <c r="B1294" t="s">
        <v>2680</v>
      </c>
      <c r="C1294" s="27">
        <v>45119</v>
      </c>
      <c r="D1294" s="25">
        <v>45135</v>
      </c>
      <c r="E1294" t="s">
        <v>41</v>
      </c>
      <c r="F1294">
        <v>49302</v>
      </c>
      <c r="G1294">
        <v>2282</v>
      </c>
      <c r="H1294">
        <v>3828.34</v>
      </c>
      <c r="I1294">
        <v>293</v>
      </c>
      <c r="J1294" t="s">
        <v>30</v>
      </c>
      <c r="L1294" t="s">
        <v>42</v>
      </c>
    </row>
    <row r="1295" spans="1:12">
      <c r="A1295" t="s">
        <v>2681</v>
      </c>
      <c r="B1295" t="s">
        <v>2682</v>
      </c>
      <c r="C1295" s="27">
        <v>45200</v>
      </c>
      <c r="D1295" s="25">
        <v>45223</v>
      </c>
      <c r="E1295" t="s">
        <v>23</v>
      </c>
      <c r="F1295">
        <v>29865</v>
      </c>
      <c r="G1295">
        <v>1425</v>
      </c>
      <c r="H1295" s="26">
        <v>1297.53</v>
      </c>
      <c r="I1295">
        <v>210</v>
      </c>
      <c r="J1295" t="s">
        <v>24</v>
      </c>
      <c r="L1295" t="s">
        <v>25</v>
      </c>
    </row>
    <row r="1296" spans="1:12">
      <c r="A1296" t="s">
        <v>2683</v>
      </c>
      <c r="B1296" t="s">
        <v>2684</v>
      </c>
      <c r="C1296" s="27">
        <v>44951</v>
      </c>
      <c r="D1296" s="25">
        <v>44960</v>
      </c>
      <c r="E1296" t="s">
        <v>23</v>
      </c>
      <c r="F1296">
        <v>7645</v>
      </c>
      <c r="G1296">
        <v>205</v>
      </c>
      <c r="H1296">
        <v>382.88</v>
      </c>
      <c r="I1296">
        <v>34</v>
      </c>
      <c r="J1296" t="b">
        <v>1</v>
      </c>
      <c r="L1296" t="s">
        <v>25</v>
      </c>
    </row>
    <row r="1297" spans="1:12">
      <c r="A1297" t="s">
        <v>2685</v>
      </c>
      <c r="B1297" t="s">
        <v>2686</v>
      </c>
      <c r="C1297" s="25">
        <v>45231</v>
      </c>
      <c r="D1297" s="25">
        <v>44967</v>
      </c>
      <c r="E1297" t="s">
        <v>19</v>
      </c>
      <c r="F1297">
        <v>39000</v>
      </c>
      <c r="G1297">
        <v>978</v>
      </c>
      <c r="H1297" s="26">
        <v>632.04</v>
      </c>
      <c r="J1297" t="b">
        <v>1</v>
      </c>
      <c r="L1297" t="s">
        <v>20</v>
      </c>
    </row>
    <row r="1298" spans="1:12">
      <c r="A1298" t="s">
        <v>2687</v>
      </c>
      <c r="B1298" t="s">
        <v>2688</v>
      </c>
      <c r="C1298" s="27">
        <v>44986</v>
      </c>
      <c r="D1298" s="25">
        <v>45005</v>
      </c>
      <c r="E1298" t="s">
        <v>41</v>
      </c>
      <c r="F1298">
        <v>27737</v>
      </c>
      <c r="G1298">
        <v>1316</v>
      </c>
      <c r="H1298">
        <v>2342.47</v>
      </c>
      <c r="I1298">
        <v>257</v>
      </c>
      <c r="J1298" t="s">
        <v>15</v>
      </c>
      <c r="L1298" t="s">
        <v>68</v>
      </c>
    </row>
    <row r="1299" spans="1:12">
      <c r="A1299" t="s">
        <v>2689</v>
      </c>
      <c r="B1299" t="s">
        <v>2690</v>
      </c>
      <c r="C1299" s="27">
        <v>45207</v>
      </c>
      <c r="D1299" s="25">
        <v>45222</v>
      </c>
      <c r="E1299" t="s">
        <v>14</v>
      </c>
      <c r="F1299">
        <v>12485</v>
      </c>
      <c r="G1299">
        <v>462</v>
      </c>
      <c r="H1299">
        <v>458.41</v>
      </c>
      <c r="I1299">
        <v>42</v>
      </c>
      <c r="J1299" t="b">
        <v>0</v>
      </c>
      <c r="L1299" t="s">
        <v>16</v>
      </c>
    </row>
    <row r="1300" spans="1:12">
      <c r="A1300" t="s">
        <v>2691</v>
      </c>
      <c r="B1300" t="s">
        <v>2692</v>
      </c>
      <c r="C1300" s="27">
        <v>45032</v>
      </c>
      <c r="D1300" s="25">
        <v>45050</v>
      </c>
      <c r="E1300" t="s">
        <v>23</v>
      </c>
      <c r="F1300">
        <v>39565</v>
      </c>
      <c r="G1300">
        <v>579</v>
      </c>
      <c r="H1300">
        <v>336.2</v>
      </c>
      <c r="I1300">
        <v>35</v>
      </c>
      <c r="J1300" t="s">
        <v>24</v>
      </c>
      <c r="L1300" t="s">
        <v>25</v>
      </c>
    </row>
    <row r="1301" spans="1:12">
      <c r="A1301" t="s">
        <v>2693</v>
      </c>
      <c r="B1301" t="s">
        <v>2694</v>
      </c>
      <c r="C1301" s="27">
        <v>45081</v>
      </c>
      <c r="D1301" s="25">
        <v>45092</v>
      </c>
      <c r="E1301" t="s">
        <v>19</v>
      </c>
      <c r="F1301">
        <v>26522</v>
      </c>
      <c r="G1301">
        <v>310</v>
      </c>
      <c r="H1301" s="26">
        <v>466.25</v>
      </c>
      <c r="I1301">
        <v>31</v>
      </c>
      <c r="J1301" t="b">
        <v>0</v>
      </c>
      <c r="L1301" t="s">
        <v>20</v>
      </c>
    </row>
    <row r="1302" spans="1:12">
      <c r="A1302" t="s">
        <v>2695</v>
      </c>
      <c r="B1302" t="s">
        <v>2696</v>
      </c>
      <c r="C1302" s="27">
        <v>45193</v>
      </c>
      <c r="D1302" s="25">
        <v>45198</v>
      </c>
      <c r="E1302" t="s">
        <v>23</v>
      </c>
      <c r="F1302">
        <v>66155</v>
      </c>
      <c r="G1302">
        <v>2155</v>
      </c>
      <c r="H1302">
        <v>1825.11</v>
      </c>
      <c r="I1302">
        <v>348</v>
      </c>
      <c r="J1302" t="s">
        <v>30</v>
      </c>
      <c r="L1302" t="s">
        <v>25</v>
      </c>
    </row>
    <row r="1303" spans="1:12">
      <c r="A1303" t="s">
        <v>2697</v>
      </c>
      <c r="B1303" t="s">
        <v>2698</v>
      </c>
      <c r="C1303" s="27">
        <v>44997</v>
      </c>
      <c r="D1303" s="25">
        <v>45006</v>
      </c>
      <c r="E1303" t="s">
        <v>33</v>
      </c>
      <c r="F1303">
        <v>56168</v>
      </c>
      <c r="G1303">
        <v>2651</v>
      </c>
      <c r="H1303">
        <v>2294.06</v>
      </c>
      <c r="I1303">
        <v>306</v>
      </c>
      <c r="J1303" t="b">
        <v>0</v>
      </c>
      <c r="L1303" t="s">
        <v>34</v>
      </c>
    </row>
    <row r="1304" spans="1:12">
      <c r="A1304" t="s">
        <v>2699</v>
      </c>
      <c r="B1304" t="s">
        <v>2700</v>
      </c>
      <c r="C1304" s="27">
        <v>45188</v>
      </c>
      <c r="D1304" s="25">
        <v>45208</v>
      </c>
      <c r="E1304" t="s">
        <v>33</v>
      </c>
      <c r="F1304">
        <v>53487</v>
      </c>
      <c r="G1304">
        <v>2341</v>
      </c>
      <c r="H1304">
        <v>2245.18</v>
      </c>
      <c r="I1304">
        <v>404</v>
      </c>
      <c r="J1304" t="b">
        <v>1</v>
      </c>
      <c r="L1304" t="s">
        <v>34</v>
      </c>
    </row>
    <row r="1305" spans="1:12">
      <c r="A1305" t="s">
        <v>2701</v>
      </c>
      <c r="B1305" t="s">
        <v>2702</v>
      </c>
      <c r="C1305" s="27">
        <v>44985</v>
      </c>
      <c r="D1305" s="25">
        <v>44988</v>
      </c>
      <c r="E1305" t="s">
        <v>33</v>
      </c>
      <c r="F1305">
        <v>13342</v>
      </c>
      <c r="G1305">
        <v>494</v>
      </c>
      <c r="H1305">
        <v>294.19</v>
      </c>
      <c r="I1305">
        <v>65</v>
      </c>
      <c r="J1305" t="b">
        <v>0</v>
      </c>
      <c r="L1305" t="s">
        <v>34</v>
      </c>
    </row>
    <row r="1306" spans="1:12">
      <c r="A1306" t="s">
        <v>2703</v>
      </c>
      <c r="B1306" t="s">
        <v>2704</v>
      </c>
      <c r="C1306" s="27">
        <v>45238</v>
      </c>
      <c r="D1306" s="25">
        <v>45247</v>
      </c>
      <c r="E1306" t="s">
        <v>23</v>
      </c>
      <c r="F1306">
        <v>41806</v>
      </c>
      <c r="G1306">
        <v>650</v>
      </c>
      <c r="H1306" s="26">
        <v>497.7</v>
      </c>
      <c r="I1306">
        <v>123</v>
      </c>
      <c r="J1306" t="b">
        <v>0</v>
      </c>
      <c r="L1306" t="s">
        <v>25</v>
      </c>
    </row>
    <row r="1307" spans="1:12">
      <c r="A1307" t="s">
        <v>2705</v>
      </c>
      <c r="B1307" t="s">
        <v>2706</v>
      </c>
      <c r="C1307" s="27">
        <v>45194</v>
      </c>
      <c r="D1307" s="25">
        <v>45198</v>
      </c>
      <c r="E1307" t="s">
        <v>23</v>
      </c>
      <c r="F1307">
        <v>49770</v>
      </c>
      <c r="G1307">
        <v>1003</v>
      </c>
      <c r="H1307" s="26">
        <v>509.23</v>
      </c>
      <c r="I1307">
        <v>192</v>
      </c>
      <c r="J1307">
        <v>1</v>
      </c>
      <c r="L1307" t="s">
        <v>25</v>
      </c>
    </row>
    <row r="1308" spans="1:12">
      <c r="A1308" t="s">
        <v>2707</v>
      </c>
      <c r="B1308" t="s">
        <v>2708</v>
      </c>
      <c r="C1308" s="25">
        <v>45136</v>
      </c>
      <c r="D1308" s="25">
        <v>45149</v>
      </c>
      <c r="E1308" t="s">
        <v>14</v>
      </c>
      <c r="F1308">
        <v>79623</v>
      </c>
      <c r="G1308">
        <v>3584</v>
      </c>
      <c r="H1308" s="26">
        <v>4186.52</v>
      </c>
      <c r="I1308">
        <v>216</v>
      </c>
      <c r="J1308" t="s">
        <v>24</v>
      </c>
      <c r="L1308" t="s">
        <v>16</v>
      </c>
    </row>
    <row r="1309" spans="1:12">
      <c r="A1309" t="s">
        <v>2709</v>
      </c>
      <c r="B1309" t="s">
        <v>2710</v>
      </c>
      <c r="C1309" s="27">
        <v>45181</v>
      </c>
      <c r="D1309" s="25">
        <v>45208</v>
      </c>
      <c r="E1309" t="s">
        <v>19</v>
      </c>
      <c r="F1309">
        <v>76629</v>
      </c>
      <c r="G1309">
        <v>1326</v>
      </c>
      <c r="H1309" s="26">
        <v>830.58</v>
      </c>
      <c r="I1309">
        <v>157</v>
      </c>
      <c r="J1309" t="s">
        <v>24</v>
      </c>
      <c r="L1309" t="s">
        <v>20</v>
      </c>
    </row>
    <row r="1310" spans="1:12">
      <c r="A1310" t="s">
        <v>2711</v>
      </c>
      <c r="B1310" t="s">
        <v>2712</v>
      </c>
      <c r="C1310" s="25">
        <v>45173</v>
      </c>
      <c r="D1310" s="25">
        <v>45043</v>
      </c>
      <c r="E1310" t="s">
        <v>33</v>
      </c>
      <c r="F1310">
        <v>53603</v>
      </c>
      <c r="G1310">
        <v>1133</v>
      </c>
      <c r="H1310">
        <v>1726.67</v>
      </c>
      <c r="I1310">
        <v>160</v>
      </c>
      <c r="J1310" t="b">
        <v>1</v>
      </c>
      <c r="L1310" t="s">
        <v>68</v>
      </c>
    </row>
    <row r="1311" spans="1:12">
      <c r="A1311" t="s">
        <v>2713</v>
      </c>
      <c r="B1311" t="s">
        <v>2714</v>
      </c>
      <c r="C1311" s="25">
        <v>45211</v>
      </c>
      <c r="D1311" s="25">
        <v>45283</v>
      </c>
      <c r="E1311" t="s">
        <v>14</v>
      </c>
      <c r="F1311">
        <v>82974</v>
      </c>
      <c r="G1311">
        <v>1259</v>
      </c>
      <c r="H1311">
        <v>1074.47</v>
      </c>
      <c r="I1311">
        <v>111</v>
      </c>
      <c r="J1311">
        <v>0</v>
      </c>
      <c r="L1311" t="s">
        <v>16</v>
      </c>
    </row>
    <row r="1312" spans="1:12">
      <c r="A1312" t="s">
        <v>2715</v>
      </c>
      <c r="B1312" t="s">
        <v>2716</v>
      </c>
      <c r="C1312" s="27">
        <v>44983</v>
      </c>
      <c r="D1312" s="25">
        <v>44984</v>
      </c>
      <c r="E1312" t="s">
        <v>14</v>
      </c>
      <c r="F1312">
        <v>27399</v>
      </c>
      <c r="G1312">
        <v>1014</v>
      </c>
      <c r="H1312" s="26">
        <v>1942.18</v>
      </c>
      <c r="I1312">
        <v>112</v>
      </c>
      <c r="J1312" t="b">
        <v>0</v>
      </c>
      <c r="L1312" t="s">
        <v>16</v>
      </c>
    </row>
    <row r="1313" spans="1:12">
      <c r="A1313" t="s">
        <v>2717</v>
      </c>
      <c r="B1313" t="s">
        <v>2718</v>
      </c>
      <c r="C1313" s="27">
        <v>45003</v>
      </c>
      <c r="D1313" s="25">
        <v>45006</v>
      </c>
      <c r="E1313" t="s">
        <v>19</v>
      </c>
      <c r="F1313">
        <v>86382</v>
      </c>
      <c r="G1313">
        <v>4125</v>
      </c>
      <c r="H1313">
        <v>7453.37</v>
      </c>
      <c r="I1313">
        <v>625</v>
      </c>
      <c r="J1313" t="b">
        <v>0</v>
      </c>
      <c r="L1313" t="s">
        <v>68</v>
      </c>
    </row>
    <row r="1314" spans="1:12">
      <c r="A1314" t="s">
        <v>2719</v>
      </c>
      <c r="B1314" t="s">
        <v>2720</v>
      </c>
      <c r="C1314" s="27">
        <v>44965</v>
      </c>
      <c r="D1314" s="25">
        <v>44972</v>
      </c>
      <c r="E1314" t="s">
        <v>23</v>
      </c>
      <c r="F1314">
        <v>82244</v>
      </c>
      <c r="G1314">
        <v>1707</v>
      </c>
      <c r="H1314" s="26">
        <v>1594.61</v>
      </c>
      <c r="I1314">
        <v>143</v>
      </c>
      <c r="J1314" t="s">
        <v>15</v>
      </c>
      <c r="L1314" t="s">
        <v>25</v>
      </c>
    </row>
    <row r="1315" spans="1:12">
      <c r="A1315" t="s">
        <v>2721</v>
      </c>
      <c r="B1315" t="s">
        <v>2722</v>
      </c>
      <c r="C1315" s="27">
        <v>45058</v>
      </c>
      <c r="D1315" s="25">
        <v>45084</v>
      </c>
      <c r="E1315" t="s">
        <v>41</v>
      </c>
      <c r="F1315">
        <v>77534</v>
      </c>
      <c r="G1315">
        <v>2249</v>
      </c>
      <c r="H1315" s="26">
        <v>3766.68</v>
      </c>
      <c r="I1315">
        <v>315</v>
      </c>
      <c r="J1315" t="s">
        <v>24</v>
      </c>
      <c r="L1315" t="s">
        <v>42</v>
      </c>
    </row>
    <row r="1316" spans="1:12">
      <c r="A1316" t="s">
        <v>2723</v>
      </c>
      <c r="B1316" t="s">
        <v>2724</v>
      </c>
      <c r="C1316" s="25">
        <v>45078</v>
      </c>
      <c r="D1316" s="25">
        <v>44962</v>
      </c>
      <c r="E1316" t="s">
        <v>19</v>
      </c>
      <c r="F1316">
        <v>56106</v>
      </c>
      <c r="G1316">
        <v>1984</v>
      </c>
      <c r="H1316" s="26">
        <v>3382.46</v>
      </c>
      <c r="I1316">
        <v>306</v>
      </c>
      <c r="J1316" t="b">
        <v>0</v>
      </c>
      <c r="L1316" t="s">
        <v>20</v>
      </c>
    </row>
    <row r="1317" spans="1:12">
      <c r="A1317" t="s">
        <v>2725</v>
      </c>
      <c r="B1317" t="s">
        <v>2726</v>
      </c>
      <c r="C1317" s="27">
        <v>45016</v>
      </c>
      <c r="D1317" s="25">
        <v>45025</v>
      </c>
      <c r="E1317" t="s">
        <v>41</v>
      </c>
      <c r="F1317">
        <v>31678</v>
      </c>
      <c r="G1317">
        <v>1583</v>
      </c>
      <c r="H1317">
        <v>3134.09</v>
      </c>
      <c r="I1317">
        <v>100</v>
      </c>
      <c r="J1317" t="s">
        <v>24</v>
      </c>
      <c r="L1317" t="s">
        <v>42</v>
      </c>
    </row>
    <row r="1318" spans="1:12">
      <c r="A1318" t="s">
        <v>2727</v>
      </c>
      <c r="B1318" t="s">
        <v>2728</v>
      </c>
      <c r="C1318" s="27">
        <v>45111</v>
      </c>
      <c r="D1318" s="25">
        <v>45141</v>
      </c>
      <c r="E1318" t="s">
        <v>138</v>
      </c>
      <c r="F1318">
        <v>77218</v>
      </c>
      <c r="G1318">
        <v>1095</v>
      </c>
      <c r="H1318">
        <v>1529.45</v>
      </c>
      <c r="I1318">
        <v>136</v>
      </c>
      <c r="J1318" t="b">
        <v>0</v>
      </c>
      <c r="L1318" t="s">
        <v>139</v>
      </c>
    </row>
    <row r="1319" spans="1:12">
      <c r="A1319" t="s">
        <v>2729</v>
      </c>
      <c r="B1319" t="s">
        <v>2730</v>
      </c>
      <c r="C1319" s="25">
        <v>44929</v>
      </c>
      <c r="D1319" s="25">
        <v>45002</v>
      </c>
      <c r="E1319" t="s">
        <v>14</v>
      </c>
      <c r="F1319">
        <v>64230</v>
      </c>
      <c r="G1319">
        <v>1923</v>
      </c>
      <c r="H1319">
        <v>-1197.93</v>
      </c>
      <c r="I1319">
        <v>172</v>
      </c>
      <c r="J1319">
        <v>1</v>
      </c>
      <c r="L1319" t="s">
        <v>16</v>
      </c>
    </row>
    <row r="1320" spans="1:12">
      <c r="A1320" t="s">
        <v>2731</v>
      </c>
      <c r="B1320" t="s">
        <v>2732</v>
      </c>
      <c r="C1320" t="s">
        <v>2733</v>
      </c>
      <c r="D1320" s="25">
        <v>44965</v>
      </c>
      <c r="E1320" t="s">
        <v>23</v>
      </c>
      <c r="F1320">
        <v>75055</v>
      </c>
      <c r="G1320">
        <v>1906</v>
      </c>
      <c r="H1320" s="26">
        <v>2802.31</v>
      </c>
      <c r="I1320">
        <v>302</v>
      </c>
      <c r="J1320" t="b">
        <v>1</v>
      </c>
      <c r="L1320" t="s">
        <v>25</v>
      </c>
    </row>
    <row r="1321" spans="1:12">
      <c r="A1321" t="s">
        <v>2734</v>
      </c>
      <c r="B1321" t="s">
        <v>2735</v>
      </c>
      <c r="C1321" s="27">
        <v>44997</v>
      </c>
      <c r="D1321" s="25">
        <v>45027</v>
      </c>
      <c r="E1321" t="s">
        <v>58</v>
      </c>
      <c r="F1321">
        <v>57373</v>
      </c>
      <c r="G1321">
        <v>2560</v>
      </c>
      <c r="H1321">
        <v>3679.92</v>
      </c>
      <c r="I1321">
        <v>200</v>
      </c>
      <c r="J1321" t="s">
        <v>24</v>
      </c>
      <c r="L1321" t="s">
        <v>59</v>
      </c>
    </row>
    <row r="1322" spans="1:12">
      <c r="A1322" t="s">
        <v>2736</v>
      </c>
      <c r="B1322" t="s">
        <v>2737</v>
      </c>
      <c r="C1322" s="27">
        <v>45110</v>
      </c>
      <c r="D1322" s="25">
        <v>45128</v>
      </c>
      <c r="E1322" t="s">
        <v>19</v>
      </c>
      <c r="F1322">
        <v>32480</v>
      </c>
      <c r="G1322">
        <v>943</v>
      </c>
      <c r="H1322">
        <v>1374.45</v>
      </c>
      <c r="I1322">
        <v>173</v>
      </c>
      <c r="J1322" t="s">
        <v>30</v>
      </c>
      <c r="L1322" t="s">
        <v>20</v>
      </c>
    </row>
    <row r="1323" spans="1:12">
      <c r="A1323" t="s">
        <v>2738</v>
      </c>
      <c r="B1323" t="s">
        <v>2739</v>
      </c>
      <c r="C1323" s="25">
        <v>45064</v>
      </c>
      <c r="D1323" s="25">
        <v>45083</v>
      </c>
      <c r="E1323" t="s">
        <v>33</v>
      </c>
      <c r="F1323">
        <v>86230</v>
      </c>
      <c r="G1323">
        <v>1245</v>
      </c>
      <c r="H1323" s="26">
        <v>1196.09</v>
      </c>
      <c r="I1323">
        <v>142</v>
      </c>
      <c r="J1323" t="b">
        <v>1</v>
      </c>
      <c r="L1323" t="s">
        <v>34</v>
      </c>
    </row>
    <row r="1324" spans="1:12">
      <c r="A1324" t="s">
        <v>2740</v>
      </c>
      <c r="B1324" t="s">
        <v>2741</v>
      </c>
      <c r="C1324" s="27">
        <v>45102</v>
      </c>
      <c r="D1324" s="25">
        <v>45129</v>
      </c>
      <c r="E1324" t="s">
        <v>41</v>
      </c>
      <c r="F1324">
        <v>69836</v>
      </c>
      <c r="G1324">
        <v>2470</v>
      </c>
      <c r="H1324">
        <v>4420.11</v>
      </c>
      <c r="I1324">
        <v>196</v>
      </c>
      <c r="J1324" t="s">
        <v>15</v>
      </c>
      <c r="L1324" t="s">
        <v>42</v>
      </c>
    </row>
    <row r="1325" spans="1:12">
      <c r="A1325" t="s">
        <v>2742</v>
      </c>
      <c r="B1325" t="s">
        <v>2743</v>
      </c>
      <c r="C1325" s="27">
        <v>45160</v>
      </c>
      <c r="D1325" s="25">
        <v>45169</v>
      </c>
      <c r="E1325" t="s">
        <v>23</v>
      </c>
      <c r="F1325">
        <v>73258</v>
      </c>
      <c r="G1325">
        <v>2991</v>
      </c>
      <c r="H1325">
        <v>5800.17</v>
      </c>
      <c r="I1325">
        <v>346</v>
      </c>
      <c r="J1325" t="b">
        <v>1</v>
      </c>
      <c r="L1325" t="s">
        <v>25</v>
      </c>
    </row>
    <row r="1326" spans="1:12">
      <c r="A1326" t="s">
        <v>2744</v>
      </c>
      <c r="B1326" t="s">
        <v>2745</v>
      </c>
      <c r="C1326" s="27">
        <v>45171</v>
      </c>
      <c r="D1326" s="25">
        <v>45188</v>
      </c>
      <c r="E1326" t="s">
        <v>23</v>
      </c>
      <c r="F1326">
        <v>40986</v>
      </c>
      <c r="G1326">
        <v>414</v>
      </c>
      <c r="H1326">
        <v>342.2</v>
      </c>
      <c r="I1326">
        <v>46</v>
      </c>
      <c r="J1326" t="b">
        <v>0</v>
      </c>
      <c r="L1326" t="s">
        <v>25</v>
      </c>
    </row>
    <row r="1327" spans="1:12">
      <c r="A1327" t="s">
        <v>2746</v>
      </c>
      <c r="B1327" t="s">
        <v>2747</v>
      </c>
      <c r="C1327" s="27">
        <v>45012</v>
      </c>
      <c r="D1327" s="25">
        <v>45031</v>
      </c>
      <c r="E1327" t="s">
        <v>14</v>
      </c>
      <c r="F1327">
        <v>25160</v>
      </c>
      <c r="G1327">
        <v>1116</v>
      </c>
      <c r="H1327">
        <v>705.57</v>
      </c>
      <c r="I1327">
        <v>127</v>
      </c>
      <c r="J1327" t="s">
        <v>15</v>
      </c>
      <c r="L1327" t="s">
        <v>16</v>
      </c>
    </row>
    <row r="1328" spans="1:12">
      <c r="A1328" t="s">
        <v>2748</v>
      </c>
      <c r="B1328" t="s">
        <v>2749</v>
      </c>
      <c r="C1328" s="27">
        <v>44957</v>
      </c>
      <c r="D1328" s="25">
        <v>44971</v>
      </c>
      <c r="E1328" t="s">
        <v>14</v>
      </c>
      <c r="F1328">
        <v>86595</v>
      </c>
      <c r="G1328">
        <v>1510</v>
      </c>
      <c r="H1328" s="26">
        <v>1195.62</v>
      </c>
      <c r="I1328">
        <v>208</v>
      </c>
      <c r="J1328" t="b">
        <v>1</v>
      </c>
      <c r="L1328" t="s">
        <v>16</v>
      </c>
    </row>
    <row r="1329" spans="1:12">
      <c r="A1329" t="s">
        <v>2750</v>
      </c>
      <c r="B1329" t="s">
        <v>2751</v>
      </c>
      <c r="C1329" s="27">
        <v>44980</v>
      </c>
      <c r="D1329" s="25">
        <v>44987</v>
      </c>
      <c r="E1329" t="s">
        <v>14</v>
      </c>
      <c r="F1329">
        <v>80111</v>
      </c>
      <c r="G1329">
        <v>2570</v>
      </c>
      <c r="H1329">
        <v>4448.23</v>
      </c>
      <c r="I1329">
        <v>329</v>
      </c>
      <c r="J1329" t="s">
        <v>15</v>
      </c>
      <c r="L1329" t="s">
        <v>68</v>
      </c>
    </row>
    <row r="1330" spans="1:12">
      <c r="A1330" t="s">
        <v>2752</v>
      </c>
      <c r="B1330" t="s">
        <v>2753</v>
      </c>
      <c r="C1330" s="27">
        <v>45218</v>
      </c>
      <c r="D1330" s="25">
        <v>45227</v>
      </c>
      <c r="E1330" t="s">
        <v>19</v>
      </c>
      <c r="F1330">
        <v>65929</v>
      </c>
      <c r="G1330">
        <v>1755</v>
      </c>
      <c r="H1330">
        <v>2658.77</v>
      </c>
      <c r="J1330" t="s">
        <v>30</v>
      </c>
      <c r="L1330" t="s">
        <v>20</v>
      </c>
    </row>
    <row r="1331" spans="1:12">
      <c r="A1331" t="s">
        <v>2754</v>
      </c>
      <c r="B1331" t="s">
        <v>2755</v>
      </c>
      <c r="C1331" s="27">
        <v>45121</v>
      </c>
      <c r="D1331" s="25">
        <v>45123</v>
      </c>
      <c r="E1331" t="s">
        <v>14</v>
      </c>
      <c r="F1331">
        <v>74506</v>
      </c>
      <c r="G1331">
        <v>2889</v>
      </c>
      <c r="H1331">
        <v>4200.81</v>
      </c>
      <c r="J1331" t="b">
        <v>1</v>
      </c>
      <c r="L1331" t="s">
        <v>16</v>
      </c>
    </row>
    <row r="1332" spans="1:12">
      <c r="A1332" t="s">
        <v>2756</v>
      </c>
      <c r="B1332" t="s">
        <v>2757</v>
      </c>
      <c r="C1332" s="27">
        <v>45277</v>
      </c>
      <c r="D1332" s="25">
        <v>45291</v>
      </c>
      <c r="E1332" t="s">
        <v>41</v>
      </c>
      <c r="F1332">
        <v>35911</v>
      </c>
      <c r="G1332">
        <v>892</v>
      </c>
      <c r="H1332" s="26">
        <v>983.6</v>
      </c>
      <c r="I1332">
        <v>142</v>
      </c>
      <c r="J1332" t="s">
        <v>24</v>
      </c>
      <c r="L1332" t="s">
        <v>42</v>
      </c>
    </row>
    <row r="1333" spans="1:12">
      <c r="A1333" t="s">
        <v>2758</v>
      </c>
      <c r="B1333" t="s">
        <v>2759</v>
      </c>
      <c r="C1333" s="27">
        <v>44993</v>
      </c>
      <c r="D1333" s="25">
        <v>45014</v>
      </c>
      <c r="E1333" t="s">
        <v>19</v>
      </c>
      <c r="F1333">
        <v>88127</v>
      </c>
      <c r="G1333">
        <v>3947</v>
      </c>
      <c r="H1333">
        <v>5394.53</v>
      </c>
      <c r="I1333">
        <v>528</v>
      </c>
      <c r="J1333" t="s">
        <v>24</v>
      </c>
      <c r="L1333" t="s">
        <v>20</v>
      </c>
    </row>
    <row r="1334" spans="1:12">
      <c r="A1334" t="s">
        <v>2760</v>
      </c>
      <c r="B1334" t="s">
        <v>2761</v>
      </c>
      <c r="C1334" s="25">
        <v>45137</v>
      </c>
      <c r="D1334" s="25">
        <v>45153</v>
      </c>
      <c r="E1334" t="s">
        <v>415</v>
      </c>
      <c r="F1334">
        <v>32821</v>
      </c>
      <c r="G1334">
        <v>1287</v>
      </c>
      <c r="H1334">
        <v>1237.85</v>
      </c>
      <c r="I1334">
        <v>133</v>
      </c>
      <c r="J1334">
        <v>0</v>
      </c>
      <c r="L1334" t="s">
        <v>34</v>
      </c>
    </row>
    <row r="1335" spans="1:12">
      <c r="A1335" t="s">
        <v>2762</v>
      </c>
      <c r="B1335" t="s">
        <v>2763</v>
      </c>
      <c r="C1335" s="27">
        <v>45262</v>
      </c>
      <c r="D1335" s="25">
        <v>45282</v>
      </c>
      <c r="E1335" t="s">
        <v>23</v>
      </c>
      <c r="F1335">
        <v>76039</v>
      </c>
      <c r="G1335">
        <v>2730</v>
      </c>
      <c r="H1335">
        <v>3319.13</v>
      </c>
      <c r="I1335">
        <v>467</v>
      </c>
      <c r="J1335" t="b">
        <v>0</v>
      </c>
      <c r="L1335" t="s">
        <v>25</v>
      </c>
    </row>
    <row r="1336" spans="1:12">
      <c r="A1336" t="s">
        <v>2764</v>
      </c>
      <c r="B1336" t="s">
        <v>2765</v>
      </c>
      <c r="C1336" s="27">
        <v>45274</v>
      </c>
      <c r="D1336" s="25">
        <v>45278</v>
      </c>
      <c r="E1336" t="s">
        <v>33</v>
      </c>
      <c r="F1336">
        <v>61535</v>
      </c>
      <c r="G1336">
        <v>2575</v>
      </c>
      <c r="H1336">
        <v>4350.71</v>
      </c>
      <c r="I1336">
        <v>278</v>
      </c>
      <c r="J1336" t="s">
        <v>15</v>
      </c>
      <c r="L1336" t="s">
        <v>34</v>
      </c>
    </row>
    <row r="1337" spans="1:12">
      <c r="A1337" t="s">
        <v>2766</v>
      </c>
      <c r="B1337" t="s">
        <v>2767</v>
      </c>
      <c r="C1337" s="27">
        <v>45216</v>
      </c>
      <c r="D1337" s="25">
        <v>45232</v>
      </c>
      <c r="E1337" t="s">
        <v>14</v>
      </c>
      <c r="F1337">
        <v>85458</v>
      </c>
      <c r="G1337">
        <v>3432</v>
      </c>
      <c r="H1337">
        <v>6767.43</v>
      </c>
      <c r="I1337">
        <v>581</v>
      </c>
      <c r="J1337">
        <v>0</v>
      </c>
      <c r="L1337" t="s">
        <v>16</v>
      </c>
    </row>
    <row r="1338" spans="1:12">
      <c r="A1338" t="s">
        <v>2768</v>
      </c>
      <c r="B1338" t="s">
        <v>2769</v>
      </c>
      <c r="C1338" s="27">
        <v>45100</v>
      </c>
      <c r="D1338" s="25">
        <v>45114</v>
      </c>
      <c r="E1338" t="s">
        <v>33</v>
      </c>
      <c r="F1338">
        <v>13175</v>
      </c>
      <c r="G1338">
        <v>150</v>
      </c>
      <c r="H1338">
        <v>284.81</v>
      </c>
      <c r="J1338">
        <v>0</v>
      </c>
      <c r="L1338" t="s">
        <v>34</v>
      </c>
    </row>
    <row r="1339" spans="1:12">
      <c r="A1339" t="s">
        <v>2770</v>
      </c>
      <c r="B1339" t="s">
        <v>2771</v>
      </c>
      <c r="C1339" t="s">
        <v>2772</v>
      </c>
      <c r="D1339" s="25">
        <v>45256</v>
      </c>
      <c r="E1339" t="s">
        <v>23</v>
      </c>
      <c r="F1339">
        <v>55771</v>
      </c>
      <c r="G1339">
        <v>1438</v>
      </c>
      <c r="H1339" s="26">
        <v>2733.35</v>
      </c>
      <c r="I1339">
        <v>87</v>
      </c>
      <c r="J1339">
        <v>1</v>
      </c>
      <c r="L1339" t="s">
        <v>25</v>
      </c>
    </row>
    <row r="1340" spans="1:12">
      <c r="A1340" t="s">
        <v>2773</v>
      </c>
      <c r="B1340" t="s">
        <v>2774</v>
      </c>
      <c r="C1340" s="27">
        <v>45265</v>
      </c>
      <c r="D1340" s="25">
        <v>45276</v>
      </c>
      <c r="E1340" t="s">
        <v>19</v>
      </c>
      <c r="F1340">
        <v>87925</v>
      </c>
      <c r="G1340">
        <v>4152</v>
      </c>
      <c r="H1340">
        <v>4581.05</v>
      </c>
      <c r="I1340">
        <v>788</v>
      </c>
      <c r="J1340" t="s">
        <v>15</v>
      </c>
      <c r="L1340" t="s">
        <v>20</v>
      </c>
    </row>
    <row r="1341" spans="1:12">
      <c r="A1341" t="s">
        <v>2775</v>
      </c>
      <c r="B1341" t="s">
        <v>2776</v>
      </c>
      <c r="C1341" s="27">
        <v>45266</v>
      </c>
      <c r="D1341" s="25">
        <v>45261</v>
      </c>
      <c r="E1341" t="s">
        <v>19</v>
      </c>
      <c r="F1341">
        <v>67358</v>
      </c>
      <c r="G1341">
        <v>1012</v>
      </c>
      <c r="H1341">
        <v>1217.62</v>
      </c>
      <c r="I1341">
        <v>110</v>
      </c>
      <c r="J1341">
        <v>0</v>
      </c>
      <c r="L1341" t="s">
        <v>20</v>
      </c>
    </row>
    <row r="1342" spans="1:12">
      <c r="A1342" t="s">
        <v>2777</v>
      </c>
      <c r="B1342" t="s">
        <v>2778</v>
      </c>
      <c r="C1342" s="27">
        <v>45212</v>
      </c>
      <c r="D1342" s="25">
        <v>45217</v>
      </c>
      <c r="E1342" t="s">
        <v>14</v>
      </c>
      <c r="F1342">
        <v>18327</v>
      </c>
      <c r="G1342">
        <v>723</v>
      </c>
      <c r="H1342">
        <v>1126.76</v>
      </c>
      <c r="I1342">
        <v>122</v>
      </c>
      <c r="J1342">
        <v>1</v>
      </c>
      <c r="L1342" t="s">
        <v>16</v>
      </c>
    </row>
    <row r="1343" spans="1:12">
      <c r="A1343" t="s">
        <v>2779</v>
      </c>
      <c r="B1343" t="s">
        <v>2780</v>
      </c>
      <c r="C1343" s="27">
        <v>44932</v>
      </c>
      <c r="D1343" s="25">
        <v>44938</v>
      </c>
      <c r="E1343" t="s">
        <v>19</v>
      </c>
      <c r="F1343">
        <v>48057</v>
      </c>
      <c r="G1343">
        <v>2354</v>
      </c>
      <c r="H1343">
        <v>4433.26</v>
      </c>
      <c r="I1343">
        <v>216</v>
      </c>
      <c r="J1343">
        <v>0</v>
      </c>
      <c r="L1343" t="s">
        <v>20</v>
      </c>
    </row>
    <row r="1344" spans="1:12">
      <c r="A1344" t="s">
        <v>2781</v>
      </c>
      <c r="B1344" t="s">
        <v>2782</v>
      </c>
      <c r="C1344" s="27">
        <v>45167</v>
      </c>
      <c r="D1344" s="25">
        <v>45171</v>
      </c>
      <c r="E1344" t="s">
        <v>14</v>
      </c>
      <c r="F1344">
        <v>7150</v>
      </c>
      <c r="G1344">
        <v>86</v>
      </c>
      <c r="H1344">
        <v>61.32</v>
      </c>
      <c r="I1344">
        <v>12</v>
      </c>
      <c r="J1344" t="b">
        <v>0</v>
      </c>
      <c r="L1344" t="s">
        <v>16</v>
      </c>
    </row>
    <row r="1345" spans="1:12">
      <c r="A1345" t="s">
        <v>2783</v>
      </c>
      <c r="B1345" t="s">
        <v>2784</v>
      </c>
      <c r="C1345" s="27">
        <v>44965</v>
      </c>
      <c r="D1345" s="25">
        <v>44977</v>
      </c>
      <c r="E1345" t="s">
        <v>19</v>
      </c>
      <c r="F1345">
        <v>5425</v>
      </c>
      <c r="G1345">
        <v>202</v>
      </c>
      <c r="H1345">
        <v>193.19</v>
      </c>
      <c r="I1345">
        <v>36</v>
      </c>
      <c r="J1345" t="s">
        <v>30</v>
      </c>
      <c r="L1345" t="s">
        <v>20</v>
      </c>
    </row>
    <row r="1346" spans="1:12">
      <c r="A1346" t="s">
        <v>2785</v>
      </c>
      <c r="B1346" t="s">
        <v>2786</v>
      </c>
      <c r="C1346" s="25">
        <v>45096</v>
      </c>
      <c r="D1346" s="25">
        <v>45121</v>
      </c>
      <c r="E1346" t="s">
        <v>33</v>
      </c>
      <c r="F1346">
        <v>17032</v>
      </c>
      <c r="G1346">
        <v>489</v>
      </c>
      <c r="H1346">
        <v>346.64</v>
      </c>
      <c r="I1346">
        <v>27</v>
      </c>
      <c r="J1346">
        <v>1</v>
      </c>
      <c r="L1346" t="s">
        <v>34</v>
      </c>
    </row>
    <row r="1347" spans="1:12">
      <c r="A1347" t="s">
        <v>2787</v>
      </c>
      <c r="B1347" t="s">
        <v>2788</v>
      </c>
      <c r="C1347" s="27">
        <v>45041</v>
      </c>
      <c r="D1347" s="25">
        <v>45067</v>
      </c>
      <c r="E1347" t="s">
        <v>33</v>
      </c>
      <c r="F1347">
        <v>3198</v>
      </c>
      <c r="G1347">
        <v>106</v>
      </c>
      <c r="H1347">
        <v>150.31</v>
      </c>
      <c r="I1347">
        <v>18</v>
      </c>
      <c r="J1347" t="s">
        <v>30</v>
      </c>
      <c r="L1347" t="s">
        <v>34</v>
      </c>
    </row>
    <row r="1348" spans="1:12">
      <c r="A1348" t="s">
        <v>2789</v>
      </c>
      <c r="B1348" t="s">
        <v>2790</v>
      </c>
      <c r="C1348" s="25">
        <v>44931</v>
      </c>
      <c r="D1348" s="25">
        <v>44926</v>
      </c>
      <c r="E1348" t="s">
        <v>14</v>
      </c>
      <c r="F1348">
        <v>61500</v>
      </c>
      <c r="G1348">
        <v>824</v>
      </c>
      <c r="H1348" s="26">
        <v>790.59</v>
      </c>
      <c r="I1348">
        <v>111</v>
      </c>
      <c r="J1348" t="s">
        <v>15</v>
      </c>
      <c r="L1348" t="s">
        <v>16</v>
      </c>
    </row>
    <row r="1349" spans="1:12">
      <c r="A1349" t="s">
        <v>2791</v>
      </c>
      <c r="B1349" t="s">
        <v>2792</v>
      </c>
      <c r="C1349" s="27">
        <v>45154</v>
      </c>
      <c r="D1349" s="25">
        <v>45156</v>
      </c>
      <c r="E1349" t="s">
        <v>23</v>
      </c>
      <c r="F1349">
        <v>54394</v>
      </c>
      <c r="G1349">
        <v>637</v>
      </c>
      <c r="H1349">
        <v>630.1</v>
      </c>
      <c r="I1349">
        <v>89</v>
      </c>
      <c r="J1349" t="b">
        <v>0</v>
      </c>
      <c r="L1349" t="s">
        <v>25</v>
      </c>
    </row>
    <row r="1350" spans="1:12">
      <c r="A1350" t="s">
        <v>2793</v>
      </c>
      <c r="B1350" t="s">
        <v>2794</v>
      </c>
      <c r="C1350" s="27">
        <v>45182</v>
      </c>
      <c r="D1350" s="25">
        <v>45210</v>
      </c>
      <c r="E1350" t="s">
        <v>23</v>
      </c>
      <c r="F1350">
        <v>21079</v>
      </c>
      <c r="G1350">
        <v>773</v>
      </c>
      <c r="H1350">
        <v>468.73</v>
      </c>
      <c r="I1350">
        <v>99</v>
      </c>
      <c r="J1350">
        <v>1</v>
      </c>
      <c r="L1350" t="s">
        <v>25</v>
      </c>
    </row>
    <row r="1351" spans="1:12">
      <c r="A1351" t="s">
        <v>2795</v>
      </c>
      <c r="B1351" t="s">
        <v>2796</v>
      </c>
      <c r="C1351" s="25">
        <v>45181</v>
      </c>
      <c r="D1351" s="25">
        <v>45272</v>
      </c>
      <c r="E1351" t="s">
        <v>14</v>
      </c>
      <c r="F1351">
        <v>37220</v>
      </c>
      <c r="G1351">
        <v>1597</v>
      </c>
      <c r="H1351">
        <v>1636.44</v>
      </c>
      <c r="I1351">
        <v>289</v>
      </c>
      <c r="J1351" t="s">
        <v>15</v>
      </c>
      <c r="L1351" t="s">
        <v>16</v>
      </c>
    </row>
    <row r="1352" spans="1:12">
      <c r="A1352" t="s">
        <v>2797</v>
      </c>
      <c r="B1352" t="s">
        <v>2798</v>
      </c>
      <c r="C1352" s="27">
        <v>45133</v>
      </c>
      <c r="D1352" s="25">
        <v>45142</v>
      </c>
      <c r="E1352" t="s">
        <v>19</v>
      </c>
      <c r="F1352">
        <v>42874</v>
      </c>
      <c r="G1352">
        <v>1769</v>
      </c>
      <c r="H1352">
        <v>3173.13</v>
      </c>
      <c r="J1352">
        <v>0</v>
      </c>
      <c r="L1352" t="s">
        <v>20</v>
      </c>
    </row>
    <row r="1353" spans="1:12">
      <c r="A1353" t="s">
        <v>2799</v>
      </c>
      <c r="B1353" t="s">
        <v>2800</v>
      </c>
      <c r="C1353" s="27">
        <v>44927</v>
      </c>
      <c r="D1353" s="25">
        <v>44931</v>
      </c>
      <c r="E1353" t="s">
        <v>14</v>
      </c>
      <c r="F1353">
        <v>14859</v>
      </c>
      <c r="G1353">
        <v>471</v>
      </c>
      <c r="H1353">
        <v>400.17</v>
      </c>
      <c r="I1353">
        <v>41</v>
      </c>
      <c r="J1353" t="s">
        <v>24</v>
      </c>
      <c r="L1353" t="s">
        <v>16</v>
      </c>
    </row>
    <row r="1354" spans="1:12">
      <c r="A1354" t="s">
        <v>2801</v>
      </c>
      <c r="B1354" t="s">
        <v>2802</v>
      </c>
      <c r="C1354" s="27">
        <v>45243</v>
      </c>
      <c r="D1354" s="25">
        <v>45261</v>
      </c>
      <c r="E1354" t="s">
        <v>14</v>
      </c>
      <c r="F1354">
        <v>51460</v>
      </c>
      <c r="G1354">
        <v>720</v>
      </c>
      <c r="H1354">
        <v>1110.8</v>
      </c>
      <c r="I1354">
        <v>130</v>
      </c>
      <c r="J1354" t="b">
        <v>1</v>
      </c>
      <c r="L1354" t="s">
        <v>16</v>
      </c>
    </row>
    <row r="1355" spans="1:12">
      <c r="A1355" t="s">
        <v>2803</v>
      </c>
      <c r="B1355" t="s">
        <v>2804</v>
      </c>
      <c r="C1355" s="27">
        <v>45214</v>
      </c>
      <c r="D1355" s="25">
        <v>45232</v>
      </c>
      <c r="E1355" t="s">
        <v>33</v>
      </c>
      <c r="F1355">
        <v>32419</v>
      </c>
      <c r="G1355">
        <v>1216</v>
      </c>
      <c r="H1355">
        <v>1756.44</v>
      </c>
      <c r="I1355">
        <v>198</v>
      </c>
      <c r="J1355" t="s">
        <v>15</v>
      </c>
      <c r="L1355" t="s">
        <v>68</v>
      </c>
    </row>
    <row r="1356" spans="1:12">
      <c r="A1356" t="s">
        <v>2805</v>
      </c>
      <c r="B1356" t="s">
        <v>2806</v>
      </c>
      <c r="C1356" s="25">
        <v>45101</v>
      </c>
      <c r="D1356" s="25">
        <v>45110</v>
      </c>
      <c r="E1356" t="s">
        <v>23</v>
      </c>
      <c r="F1356">
        <v>9705</v>
      </c>
      <c r="G1356">
        <v>190</v>
      </c>
      <c r="H1356">
        <v>341.09</v>
      </c>
      <c r="I1356">
        <v>10</v>
      </c>
      <c r="J1356" t="s">
        <v>30</v>
      </c>
      <c r="L1356" t="s">
        <v>25</v>
      </c>
    </row>
    <row r="1357" spans="1:12">
      <c r="A1357" t="s">
        <v>2807</v>
      </c>
      <c r="B1357" t="s">
        <v>2808</v>
      </c>
      <c r="C1357" s="27">
        <v>45041</v>
      </c>
      <c r="D1357" s="25">
        <v>45046</v>
      </c>
      <c r="E1357" t="s">
        <v>14</v>
      </c>
      <c r="F1357">
        <v>43880</v>
      </c>
      <c r="G1357">
        <v>2037</v>
      </c>
      <c r="H1357">
        <v>1422.71</v>
      </c>
      <c r="J1357" t="b">
        <v>0</v>
      </c>
      <c r="L1357" t="s">
        <v>16</v>
      </c>
    </row>
    <row r="1358" spans="1:12">
      <c r="A1358" t="s">
        <v>2809</v>
      </c>
      <c r="B1358" t="s">
        <v>2810</v>
      </c>
      <c r="C1358" s="27">
        <v>45244</v>
      </c>
      <c r="D1358" s="25">
        <v>45270</v>
      </c>
      <c r="E1358" t="s">
        <v>19</v>
      </c>
      <c r="F1358">
        <v>24236</v>
      </c>
      <c r="G1358">
        <v>1055</v>
      </c>
      <c r="H1358">
        <v>2074.54</v>
      </c>
      <c r="J1358" t="b">
        <v>0</v>
      </c>
      <c r="L1358" t="s">
        <v>20</v>
      </c>
    </row>
    <row r="1359" spans="1:12">
      <c r="A1359" t="s">
        <v>2811</v>
      </c>
      <c r="B1359" t="s">
        <v>2812</v>
      </c>
      <c r="C1359" s="27">
        <v>45113</v>
      </c>
      <c r="D1359" s="25">
        <v>45117</v>
      </c>
      <c r="E1359" t="s">
        <v>41</v>
      </c>
      <c r="F1359">
        <v>88955</v>
      </c>
      <c r="G1359">
        <v>3413</v>
      </c>
      <c r="H1359">
        <v>4689.27</v>
      </c>
      <c r="I1359">
        <v>375</v>
      </c>
      <c r="J1359" t="s">
        <v>15</v>
      </c>
      <c r="L1359" t="s">
        <v>42</v>
      </c>
    </row>
    <row r="1360" spans="1:12">
      <c r="A1360" t="s">
        <v>2813</v>
      </c>
      <c r="B1360" t="s">
        <v>2814</v>
      </c>
      <c r="C1360" s="27">
        <v>45264</v>
      </c>
      <c r="D1360" s="25">
        <v>45294</v>
      </c>
      <c r="E1360" t="s">
        <v>14</v>
      </c>
      <c r="F1360">
        <v>86514</v>
      </c>
      <c r="G1360">
        <v>4148</v>
      </c>
      <c r="H1360">
        <v>8267.84</v>
      </c>
      <c r="J1360">
        <v>0</v>
      </c>
      <c r="L1360" t="s">
        <v>16</v>
      </c>
    </row>
    <row r="1361" spans="1:12">
      <c r="A1361" t="s">
        <v>2815</v>
      </c>
      <c r="B1361" t="s">
        <v>2816</v>
      </c>
      <c r="C1361" s="27">
        <v>45251</v>
      </c>
      <c r="D1361" s="25">
        <v>45275</v>
      </c>
      <c r="E1361" t="s">
        <v>41</v>
      </c>
      <c r="F1361">
        <v>16358</v>
      </c>
      <c r="G1361">
        <v>184</v>
      </c>
      <c r="H1361">
        <v>343.58</v>
      </c>
      <c r="I1361">
        <v>28</v>
      </c>
      <c r="J1361" t="b">
        <v>1</v>
      </c>
      <c r="L1361" t="s">
        <v>42</v>
      </c>
    </row>
    <row r="1362" spans="1:12">
      <c r="A1362" t="s">
        <v>2817</v>
      </c>
      <c r="B1362" t="s">
        <v>2818</v>
      </c>
      <c r="C1362" s="27">
        <v>45194</v>
      </c>
      <c r="D1362" s="25">
        <v>45189</v>
      </c>
      <c r="E1362" t="s">
        <v>33</v>
      </c>
      <c r="F1362">
        <v>95914</v>
      </c>
      <c r="G1362">
        <v>3783</v>
      </c>
      <c r="H1362">
        <v>3148.5</v>
      </c>
      <c r="I1362">
        <v>307</v>
      </c>
      <c r="J1362" t="s">
        <v>30</v>
      </c>
      <c r="L1362" t="s">
        <v>34</v>
      </c>
    </row>
    <row r="1363" spans="1:12">
      <c r="A1363" t="s">
        <v>2819</v>
      </c>
      <c r="B1363" t="s">
        <v>2820</v>
      </c>
      <c r="C1363" s="27">
        <v>45011</v>
      </c>
      <c r="D1363" s="25">
        <v>45025</v>
      </c>
      <c r="E1363" t="s">
        <v>138</v>
      </c>
      <c r="F1363">
        <v>77918</v>
      </c>
      <c r="G1363">
        <v>1808</v>
      </c>
      <c r="H1363">
        <v>1056.31</v>
      </c>
      <c r="I1363">
        <v>307</v>
      </c>
      <c r="J1363" t="s">
        <v>15</v>
      </c>
      <c r="L1363" t="s">
        <v>139</v>
      </c>
    </row>
    <row r="1364" spans="1:12">
      <c r="A1364" t="s">
        <v>2821</v>
      </c>
      <c r="B1364" t="s">
        <v>2822</v>
      </c>
      <c r="C1364" s="27">
        <v>45136</v>
      </c>
      <c r="D1364" s="25">
        <v>45143</v>
      </c>
      <c r="E1364" t="s">
        <v>14</v>
      </c>
      <c r="F1364">
        <v>15596</v>
      </c>
      <c r="G1364">
        <v>721</v>
      </c>
      <c r="H1364">
        <v>636.97</v>
      </c>
      <c r="I1364">
        <v>122</v>
      </c>
      <c r="J1364" t="s">
        <v>15</v>
      </c>
      <c r="L1364" t="s">
        <v>16</v>
      </c>
    </row>
    <row r="1365" spans="1:12">
      <c r="A1365" t="s">
        <v>2823</v>
      </c>
      <c r="B1365" t="s">
        <v>2824</v>
      </c>
      <c r="C1365" s="27">
        <v>45023</v>
      </c>
      <c r="D1365" s="25">
        <v>45025</v>
      </c>
      <c r="E1365" t="s">
        <v>33</v>
      </c>
      <c r="F1365">
        <v>34572</v>
      </c>
      <c r="G1365">
        <v>714</v>
      </c>
      <c r="H1365">
        <v>922.02</v>
      </c>
      <c r="I1365">
        <v>80</v>
      </c>
      <c r="J1365" t="s">
        <v>24</v>
      </c>
      <c r="L1365" t="s">
        <v>34</v>
      </c>
    </row>
    <row r="1366" spans="1:12">
      <c r="A1366" t="s">
        <v>2825</v>
      </c>
      <c r="B1366" t="s">
        <v>2826</v>
      </c>
      <c r="C1366" s="27">
        <v>45037</v>
      </c>
      <c r="D1366" s="25">
        <v>45066</v>
      </c>
      <c r="E1366" t="s">
        <v>19</v>
      </c>
      <c r="F1366">
        <v>79757</v>
      </c>
      <c r="G1366">
        <v>3110</v>
      </c>
      <c r="H1366">
        <v>2355.5</v>
      </c>
      <c r="I1366">
        <v>287</v>
      </c>
      <c r="J1366" t="b">
        <v>0</v>
      </c>
      <c r="L1366" t="s">
        <v>20</v>
      </c>
    </row>
    <row r="1367" spans="1:12">
      <c r="A1367" t="s">
        <v>2827</v>
      </c>
      <c r="B1367" t="s">
        <v>2828</v>
      </c>
      <c r="C1367" s="27">
        <v>45100</v>
      </c>
      <c r="D1367" s="25">
        <v>45122</v>
      </c>
      <c r="E1367" t="s">
        <v>19</v>
      </c>
      <c r="F1367">
        <v>2279</v>
      </c>
      <c r="G1367">
        <v>102</v>
      </c>
      <c r="H1367">
        <v>76.62</v>
      </c>
      <c r="I1367">
        <v>9</v>
      </c>
      <c r="J1367" t="s">
        <v>30</v>
      </c>
      <c r="L1367" t="s">
        <v>20</v>
      </c>
    </row>
    <row r="1368" spans="1:12">
      <c r="A1368" t="s">
        <v>2829</v>
      </c>
      <c r="B1368" t="s">
        <v>2830</v>
      </c>
      <c r="C1368" s="27">
        <v>45251</v>
      </c>
      <c r="D1368" s="25">
        <v>45270</v>
      </c>
      <c r="E1368" t="s">
        <v>138</v>
      </c>
      <c r="F1368">
        <v>64197</v>
      </c>
      <c r="G1368">
        <v>748</v>
      </c>
      <c r="H1368">
        <v>893.03</v>
      </c>
      <c r="I1368">
        <v>91</v>
      </c>
      <c r="J1368" t="b">
        <v>1</v>
      </c>
      <c r="L1368" t="s">
        <v>139</v>
      </c>
    </row>
    <row r="1369" spans="1:12">
      <c r="A1369" t="s">
        <v>2831</v>
      </c>
      <c r="B1369" t="s">
        <v>2832</v>
      </c>
      <c r="C1369" s="27">
        <v>45157</v>
      </c>
      <c r="D1369" s="25">
        <v>45159</v>
      </c>
      <c r="E1369" t="s">
        <v>23</v>
      </c>
      <c r="F1369">
        <v>63516</v>
      </c>
      <c r="G1369">
        <v>1645</v>
      </c>
      <c r="H1369">
        <v>904.59</v>
      </c>
      <c r="I1369">
        <v>259</v>
      </c>
      <c r="J1369" t="b">
        <v>0</v>
      </c>
      <c r="L1369" t="s">
        <v>25</v>
      </c>
    </row>
    <row r="1370" spans="1:12">
      <c r="A1370" t="s">
        <v>2833</v>
      </c>
      <c r="B1370" t="s">
        <v>2834</v>
      </c>
      <c r="C1370" s="27">
        <v>45185</v>
      </c>
      <c r="D1370" s="25">
        <v>45186</v>
      </c>
      <c r="E1370" t="s">
        <v>19</v>
      </c>
      <c r="F1370">
        <v>8083</v>
      </c>
      <c r="G1370">
        <v>327</v>
      </c>
      <c r="H1370">
        <v>223.29</v>
      </c>
      <c r="I1370">
        <v>33</v>
      </c>
      <c r="J1370" t="s">
        <v>15</v>
      </c>
      <c r="L1370" t="s">
        <v>20</v>
      </c>
    </row>
    <row r="1371" spans="1:12">
      <c r="A1371" t="s">
        <v>2835</v>
      </c>
      <c r="B1371" t="s">
        <v>2836</v>
      </c>
      <c r="C1371" s="27">
        <v>45198</v>
      </c>
      <c r="D1371" s="25">
        <v>45202</v>
      </c>
      <c r="E1371" t="s">
        <v>33</v>
      </c>
      <c r="F1371">
        <v>18771</v>
      </c>
      <c r="G1371">
        <v>529</v>
      </c>
      <c r="H1371">
        <v>594.49</v>
      </c>
      <c r="I1371">
        <v>74</v>
      </c>
      <c r="J1371" t="b">
        <v>0</v>
      </c>
      <c r="L1371" t="s">
        <v>34</v>
      </c>
    </row>
    <row r="1372" spans="1:12">
      <c r="A1372" t="s">
        <v>2837</v>
      </c>
      <c r="B1372" t="s">
        <v>2838</v>
      </c>
      <c r="C1372" s="27">
        <v>45148</v>
      </c>
      <c r="D1372" s="25">
        <v>45159</v>
      </c>
      <c r="E1372" t="s">
        <v>14</v>
      </c>
      <c r="F1372">
        <v>30975</v>
      </c>
      <c r="G1372">
        <v>640</v>
      </c>
      <c r="H1372">
        <v>380.6</v>
      </c>
      <c r="I1372">
        <v>68</v>
      </c>
      <c r="J1372" t="b">
        <v>0</v>
      </c>
      <c r="L1372" t="s">
        <v>16</v>
      </c>
    </row>
    <row r="1373" spans="1:12">
      <c r="A1373" t="s">
        <v>2839</v>
      </c>
      <c r="B1373" t="s">
        <v>2840</v>
      </c>
      <c r="C1373" s="27">
        <v>45187</v>
      </c>
      <c r="D1373" s="25">
        <v>45207</v>
      </c>
      <c r="E1373" t="s">
        <v>23</v>
      </c>
      <c r="F1373">
        <v>46648</v>
      </c>
      <c r="G1373">
        <v>876</v>
      </c>
      <c r="H1373">
        <v>959.34</v>
      </c>
      <c r="I1373">
        <v>83</v>
      </c>
      <c r="J1373">
        <v>1</v>
      </c>
      <c r="L1373" t="s">
        <v>25</v>
      </c>
    </row>
    <row r="1374" spans="1:12">
      <c r="A1374" t="s">
        <v>2841</v>
      </c>
      <c r="B1374" t="s">
        <v>2842</v>
      </c>
      <c r="C1374" s="27">
        <v>45281</v>
      </c>
      <c r="D1374" s="25">
        <v>45305</v>
      </c>
      <c r="E1374" t="s">
        <v>41</v>
      </c>
      <c r="F1374">
        <v>49285</v>
      </c>
      <c r="G1374">
        <v>752</v>
      </c>
      <c r="H1374">
        <v>910.68</v>
      </c>
      <c r="I1374">
        <v>40</v>
      </c>
      <c r="J1374" t="b">
        <v>0</v>
      </c>
      <c r="L1374" t="s">
        <v>42</v>
      </c>
    </row>
    <row r="1375" spans="1:12">
      <c r="A1375" t="s">
        <v>2843</v>
      </c>
      <c r="B1375" t="s">
        <v>2844</v>
      </c>
      <c r="C1375" s="27">
        <v>44992</v>
      </c>
      <c r="D1375" s="25">
        <v>45001</v>
      </c>
      <c r="E1375" t="s">
        <v>19</v>
      </c>
      <c r="F1375">
        <v>20063</v>
      </c>
      <c r="G1375">
        <v>888</v>
      </c>
      <c r="H1375">
        <v>1045.09</v>
      </c>
      <c r="I1375">
        <v>44</v>
      </c>
      <c r="J1375">
        <v>0</v>
      </c>
      <c r="L1375" t="s">
        <v>20</v>
      </c>
    </row>
    <row r="1376" spans="1:12">
      <c r="A1376" t="s">
        <v>2845</v>
      </c>
      <c r="B1376" t="s">
        <v>2846</v>
      </c>
      <c r="C1376" s="27">
        <v>45237</v>
      </c>
      <c r="D1376" s="25">
        <v>45247</v>
      </c>
      <c r="E1376" t="s">
        <v>41</v>
      </c>
      <c r="F1376">
        <v>68642</v>
      </c>
      <c r="G1376">
        <v>2266</v>
      </c>
      <c r="H1376">
        <v>4087.33</v>
      </c>
      <c r="I1376">
        <v>190</v>
      </c>
      <c r="J1376" t="b">
        <v>0</v>
      </c>
      <c r="L1376" t="s">
        <v>42</v>
      </c>
    </row>
    <row r="1377" spans="1:12">
      <c r="A1377" t="s">
        <v>2847</v>
      </c>
      <c r="B1377" t="s">
        <v>2848</v>
      </c>
      <c r="C1377" s="27">
        <v>45123</v>
      </c>
      <c r="D1377" s="25">
        <v>45137</v>
      </c>
      <c r="E1377" t="s">
        <v>33</v>
      </c>
      <c r="F1377">
        <v>91093</v>
      </c>
      <c r="G1377">
        <v>1189</v>
      </c>
      <c r="H1377" s="26">
        <v>1539.87</v>
      </c>
      <c r="I1377">
        <v>131</v>
      </c>
      <c r="J1377">
        <v>0</v>
      </c>
      <c r="L1377" t="s">
        <v>34</v>
      </c>
    </row>
    <row r="1378" spans="1:12">
      <c r="A1378" t="s">
        <v>2849</v>
      </c>
      <c r="B1378" t="s">
        <v>2850</v>
      </c>
      <c r="C1378" s="27">
        <v>45281</v>
      </c>
      <c r="D1378" s="25">
        <v>45289</v>
      </c>
      <c r="E1378" t="s">
        <v>58</v>
      </c>
      <c r="F1378">
        <v>87143</v>
      </c>
      <c r="G1378">
        <v>2204</v>
      </c>
      <c r="H1378">
        <v>2649.14</v>
      </c>
      <c r="I1378">
        <v>391</v>
      </c>
      <c r="J1378" t="s">
        <v>30</v>
      </c>
      <c r="L1378" t="s">
        <v>68</v>
      </c>
    </row>
    <row r="1379" spans="1:12">
      <c r="A1379" t="s">
        <v>2851</v>
      </c>
      <c r="B1379" t="s">
        <v>2852</v>
      </c>
      <c r="C1379" s="27">
        <v>45102</v>
      </c>
      <c r="D1379" s="25">
        <v>45110</v>
      </c>
      <c r="E1379" t="s">
        <v>19</v>
      </c>
      <c r="F1379">
        <v>38599</v>
      </c>
      <c r="G1379">
        <v>953</v>
      </c>
      <c r="H1379" s="26">
        <v>1063.61</v>
      </c>
      <c r="J1379" t="b">
        <v>0</v>
      </c>
      <c r="L1379" t="s">
        <v>20</v>
      </c>
    </row>
    <row r="1380" spans="1:12">
      <c r="A1380" t="s">
        <v>2853</v>
      </c>
      <c r="B1380" t="s">
        <v>2854</v>
      </c>
      <c r="C1380" s="27">
        <v>44995</v>
      </c>
      <c r="D1380" s="25">
        <v>45003</v>
      </c>
      <c r="E1380" t="s">
        <v>14</v>
      </c>
      <c r="F1380">
        <v>52920</v>
      </c>
      <c r="G1380">
        <v>913</v>
      </c>
      <c r="H1380">
        <v>1576.24</v>
      </c>
      <c r="I1380">
        <v>82</v>
      </c>
      <c r="J1380" t="b">
        <v>1</v>
      </c>
      <c r="L1380" t="s">
        <v>16</v>
      </c>
    </row>
    <row r="1381" spans="1:12">
      <c r="A1381" t="s">
        <v>2855</v>
      </c>
      <c r="B1381" t="s">
        <v>2856</v>
      </c>
      <c r="C1381" s="27">
        <v>45189</v>
      </c>
      <c r="D1381" s="25">
        <v>45209</v>
      </c>
      <c r="E1381" t="s">
        <v>14</v>
      </c>
      <c r="F1381">
        <v>29529</v>
      </c>
      <c r="G1381">
        <v>809</v>
      </c>
      <c r="H1381">
        <v>1490.65</v>
      </c>
      <c r="I1381">
        <v>70</v>
      </c>
      <c r="J1381">
        <v>0</v>
      </c>
      <c r="L1381" t="s">
        <v>16</v>
      </c>
    </row>
    <row r="1382" spans="1:12">
      <c r="A1382" t="s">
        <v>2857</v>
      </c>
      <c r="B1382" t="s">
        <v>2858</v>
      </c>
      <c r="C1382" s="27">
        <v>45087</v>
      </c>
      <c r="D1382" s="25">
        <v>45107</v>
      </c>
      <c r="E1382" t="s">
        <v>234</v>
      </c>
      <c r="F1382">
        <v>36954</v>
      </c>
      <c r="G1382">
        <v>860</v>
      </c>
      <c r="H1382" s="26">
        <v>1530.68</v>
      </c>
      <c r="I1382">
        <v>72</v>
      </c>
      <c r="J1382">
        <v>0</v>
      </c>
      <c r="K1382">
        <v>37008</v>
      </c>
      <c r="L1382" t="s">
        <v>16</v>
      </c>
    </row>
    <row r="1383" spans="1:12">
      <c r="A1383" t="s">
        <v>2859</v>
      </c>
      <c r="B1383" t="s">
        <v>2860</v>
      </c>
      <c r="C1383" s="27">
        <v>45250</v>
      </c>
      <c r="D1383" s="25">
        <v>45269</v>
      </c>
      <c r="E1383" t="s">
        <v>41</v>
      </c>
      <c r="F1383">
        <v>28856</v>
      </c>
      <c r="G1383">
        <v>683</v>
      </c>
      <c r="H1383">
        <v>1031.55</v>
      </c>
      <c r="I1383">
        <v>68</v>
      </c>
      <c r="J1383" t="s">
        <v>15</v>
      </c>
      <c r="L1383" t="s">
        <v>42</v>
      </c>
    </row>
    <row r="1384" spans="1:12">
      <c r="A1384" t="s">
        <v>2861</v>
      </c>
      <c r="B1384" t="s">
        <v>2862</v>
      </c>
      <c r="C1384" s="27">
        <v>45292</v>
      </c>
      <c r="D1384" s="25">
        <v>45317</v>
      </c>
      <c r="E1384" t="s">
        <v>33</v>
      </c>
      <c r="F1384">
        <v>3573</v>
      </c>
      <c r="G1384">
        <v>141</v>
      </c>
      <c r="H1384">
        <v>99.55</v>
      </c>
      <c r="I1384">
        <v>17</v>
      </c>
      <c r="J1384" t="s">
        <v>30</v>
      </c>
      <c r="L1384" t="s">
        <v>34</v>
      </c>
    </row>
    <row r="1385" spans="1:12">
      <c r="A1385" t="s">
        <v>2863</v>
      </c>
      <c r="B1385" t="s">
        <v>2864</v>
      </c>
      <c r="C1385" s="27">
        <v>45271</v>
      </c>
      <c r="D1385" s="25">
        <v>45280</v>
      </c>
      <c r="E1385" t="s">
        <v>14</v>
      </c>
      <c r="F1385">
        <v>79344</v>
      </c>
      <c r="G1385">
        <v>1502</v>
      </c>
      <c r="H1385">
        <v>1374.79</v>
      </c>
      <c r="I1385">
        <v>173</v>
      </c>
      <c r="J1385" t="b">
        <v>0</v>
      </c>
      <c r="L1385" t="s">
        <v>16</v>
      </c>
    </row>
    <row r="1386" spans="1:12">
      <c r="A1386" t="s">
        <v>2865</v>
      </c>
      <c r="B1386" t="s">
        <v>2866</v>
      </c>
      <c r="C1386" s="27">
        <v>45018</v>
      </c>
      <c r="D1386" s="25">
        <v>45048</v>
      </c>
      <c r="E1386" t="s">
        <v>19</v>
      </c>
      <c r="F1386">
        <v>36367</v>
      </c>
      <c r="G1386">
        <v>1297</v>
      </c>
      <c r="H1386">
        <v>738.12</v>
      </c>
      <c r="I1386">
        <v>107</v>
      </c>
      <c r="J1386" t="s">
        <v>24</v>
      </c>
      <c r="L1386" t="s">
        <v>20</v>
      </c>
    </row>
    <row r="1387" spans="1:12">
      <c r="A1387" t="s">
        <v>2867</v>
      </c>
      <c r="B1387" t="s">
        <v>2868</v>
      </c>
      <c r="C1387" s="27">
        <v>45092</v>
      </c>
      <c r="D1387" s="25">
        <v>45110</v>
      </c>
      <c r="E1387" t="s">
        <v>33</v>
      </c>
      <c r="F1387">
        <v>61774</v>
      </c>
      <c r="G1387">
        <v>2027</v>
      </c>
      <c r="H1387">
        <v>3843.67</v>
      </c>
      <c r="I1387">
        <v>141</v>
      </c>
      <c r="J1387" t="b">
        <v>1</v>
      </c>
      <c r="L1387" t="s">
        <v>34</v>
      </c>
    </row>
    <row r="1388" spans="1:12">
      <c r="A1388" t="s">
        <v>2869</v>
      </c>
      <c r="B1388" t="s">
        <v>2870</v>
      </c>
      <c r="C1388" s="27">
        <v>45214</v>
      </c>
      <c r="D1388" s="25">
        <v>45226</v>
      </c>
      <c r="E1388" t="s">
        <v>14</v>
      </c>
      <c r="F1388">
        <v>24752</v>
      </c>
      <c r="G1388">
        <v>809</v>
      </c>
      <c r="H1388">
        <v>1206.38</v>
      </c>
      <c r="I1388">
        <v>41</v>
      </c>
      <c r="J1388" t="s">
        <v>15</v>
      </c>
      <c r="L1388" t="s">
        <v>16</v>
      </c>
    </row>
    <row r="1389" spans="1:12">
      <c r="A1389" t="s">
        <v>2871</v>
      </c>
      <c r="B1389" t="s">
        <v>2872</v>
      </c>
      <c r="C1389" s="27">
        <v>45268</v>
      </c>
      <c r="D1389" s="25">
        <v>45295</v>
      </c>
      <c r="E1389" t="s">
        <v>138</v>
      </c>
      <c r="F1389">
        <v>56029</v>
      </c>
      <c r="G1389">
        <v>2046</v>
      </c>
      <c r="H1389">
        <v>3313.59</v>
      </c>
      <c r="I1389">
        <v>149</v>
      </c>
      <c r="J1389" t="s">
        <v>30</v>
      </c>
      <c r="L1389" t="s">
        <v>139</v>
      </c>
    </row>
    <row r="1390" spans="1:12">
      <c r="A1390" t="s">
        <v>2873</v>
      </c>
      <c r="B1390" t="s">
        <v>2874</v>
      </c>
      <c r="C1390" s="27">
        <v>45200</v>
      </c>
      <c r="D1390" s="25">
        <v>45208</v>
      </c>
      <c r="E1390" t="s">
        <v>33</v>
      </c>
      <c r="F1390">
        <v>18685</v>
      </c>
      <c r="G1390">
        <v>596</v>
      </c>
      <c r="H1390">
        <v>576.55</v>
      </c>
      <c r="I1390">
        <v>92</v>
      </c>
      <c r="J1390">
        <v>0</v>
      </c>
      <c r="L1390" t="s">
        <v>34</v>
      </c>
    </row>
    <row r="1391" spans="1:12">
      <c r="A1391" t="s">
        <v>2875</v>
      </c>
      <c r="B1391" t="s">
        <v>2876</v>
      </c>
      <c r="C1391" s="25">
        <v>44933</v>
      </c>
      <c r="D1391" s="25">
        <v>45113</v>
      </c>
      <c r="E1391" t="s">
        <v>23</v>
      </c>
      <c r="F1391">
        <v>52693</v>
      </c>
      <c r="G1391">
        <v>2380</v>
      </c>
      <c r="H1391">
        <v>4208.98</v>
      </c>
      <c r="I1391">
        <v>205</v>
      </c>
      <c r="J1391" t="b">
        <v>1</v>
      </c>
      <c r="L1391" t="s">
        <v>25</v>
      </c>
    </row>
    <row r="1392" spans="1:12">
      <c r="A1392" t="s">
        <v>2877</v>
      </c>
      <c r="B1392" t="s">
        <v>2878</v>
      </c>
      <c r="C1392" t="s">
        <v>2879</v>
      </c>
      <c r="D1392" s="25">
        <v>45002</v>
      </c>
      <c r="E1392" t="s">
        <v>41</v>
      </c>
      <c r="F1392">
        <v>56961</v>
      </c>
      <c r="G1392">
        <v>2108</v>
      </c>
      <c r="H1392">
        <v>1874.87</v>
      </c>
      <c r="I1392">
        <v>253</v>
      </c>
      <c r="J1392" t="b">
        <v>0</v>
      </c>
      <c r="L1392" t="s">
        <v>68</v>
      </c>
    </row>
    <row r="1393" spans="1:12">
      <c r="A1393" t="s">
        <v>2880</v>
      </c>
      <c r="B1393" t="s">
        <v>2881</v>
      </c>
      <c r="C1393" s="27">
        <v>44955</v>
      </c>
      <c r="D1393" s="25">
        <v>44973</v>
      </c>
      <c r="E1393" t="s">
        <v>14</v>
      </c>
      <c r="F1393">
        <v>77908</v>
      </c>
      <c r="G1393">
        <v>2483</v>
      </c>
      <c r="H1393">
        <v>1247.62</v>
      </c>
      <c r="J1393" t="s">
        <v>24</v>
      </c>
      <c r="L1393" t="s">
        <v>16</v>
      </c>
    </row>
    <row r="1394" spans="1:12">
      <c r="A1394" t="s">
        <v>2882</v>
      </c>
      <c r="B1394" t="s">
        <v>2883</v>
      </c>
      <c r="C1394" s="27">
        <v>45009</v>
      </c>
      <c r="D1394" s="25">
        <v>45028</v>
      </c>
      <c r="E1394" t="s">
        <v>19</v>
      </c>
      <c r="F1394">
        <v>75532</v>
      </c>
      <c r="G1394">
        <v>3262</v>
      </c>
      <c r="H1394">
        <v>3472.8</v>
      </c>
      <c r="I1394">
        <v>597</v>
      </c>
      <c r="J1394">
        <v>1</v>
      </c>
      <c r="L1394" t="s">
        <v>20</v>
      </c>
    </row>
    <row r="1395" spans="1:12">
      <c r="A1395" t="s">
        <v>2884</v>
      </c>
      <c r="B1395" t="s">
        <v>2885</v>
      </c>
      <c r="C1395" s="27">
        <v>45001</v>
      </c>
      <c r="D1395" s="25">
        <v>45012</v>
      </c>
      <c r="E1395" t="s">
        <v>33</v>
      </c>
      <c r="F1395">
        <v>82994</v>
      </c>
      <c r="G1395">
        <v>2842</v>
      </c>
      <c r="H1395">
        <v>3854.16</v>
      </c>
      <c r="I1395">
        <v>521</v>
      </c>
      <c r="J1395">
        <v>1</v>
      </c>
      <c r="L1395" t="s">
        <v>34</v>
      </c>
    </row>
    <row r="1396" spans="1:12">
      <c r="A1396" t="s">
        <v>2886</v>
      </c>
      <c r="B1396" t="s">
        <v>2887</v>
      </c>
      <c r="C1396" s="27">
        <v>45078</v>
      </c>
      <c r="D1396" s="25">
        <v>45103</v>
      </c>
      <c r="E1396" t="s">
        <v>33</v>
      </c>
      <c r="F1396">
        <v>57133</v>
      </c>
      <c r="G1396">
        <v>1236</v>
      </c>
      <c r="H1396">
        <v>1505.52</v>
      </c>
      <c r="I1396">
        <v>200</v>
      </c>
      <c r="J1396" t="s">
        <v>30</v>
      </c>
      <c r="L1396" t="s">
        <v>34</v>
      </c>
    </row>
    <row r="1397" spans="1:12">
      <c r="A1397" t="s">
        <v>2888</v>
      </c>
      <c r="B1397" t="s">
        <v>2889</v>
      </c>
      <c r="C1397" s="27">
        <v>45110</v>
      </c>
      <c r="D1397" s="25">
        <v>45118</v>
      </c>
      <c r="E1397" t="s">
        <v>19</v>
      </c>
      <c r="F1397">
        <v>98425</v>
      </c>
      <c r="G1397">
        <v>1799</v>
      </c>
      <c r="H1397">
        <v>3225.81</v>
      </c>
      <c r="J1397" t="s">
        <v>24</v>
      </c>
      <c r="L1397" t="s">
        <v>20</v>
      </c>
    </row>
    <row r="1398" spans="1:12">
      <c r="A1398" t="s">
        <v>2890</v>
      </c>
      <c r="B1398" t="s">
        <v>2891</v>
      </c>
      <c r="C1398" s="27">
        <v>45272</v>
      </c>
      <c r="D1398" s="25">
        <v>45278</v>
      </c>
      <c r="E1398" t="s">
        <v>23</v>
      </c>
      <c r="F1398">
        <v>62268</v>
      </c>
      <c r="G1398">
        <v>1002</v>
      </c>
      <c r="H1398">
        <v>659.42</v>
      </c>
      <c r="I1398">
        <v>136</v>
      </c>
      <c r="J1398" t="b">
        <v>1</v>
      </c>
      <c r="L1398" t="s">
        <v>25</v>
      </c>
    </row>
    <row r="1399" spans="1:12">
      <c r="A1399" t="s">
        <v>2892</v>
      </c>
      <c r="B1399" t="s">
        <v>2893</v>
      </c>
      <c r="C1399" s="27">
        <v>45258</v>
      </c>
      <c r="D1399" s="25">
        <v>45284</v>
      </c>
      <c r="E1399" t="s">
        <v>19</v>
      </c>
      <c r="F1399">
        <v>93201</v>
      </c>
      <c r="G1399">
        <v>4285</v>
      </c>
      <c r="H1399">
        <v>5702.2</v>
      </c>
      <c r="J1399" t="s">
        <v>15</v>
      </c>
      <c r="L1399" t="s">
        <v>20</v>
      </c>
    </row>
    <row r="1400" spans="1:12">
      <c r="A1400" t="s">
        <v>2894</v>
      </c>
      <c r="B1400" t="s">
        <v>2895</v>
      </c>
      <c r="C1400" s="27">
        <v>45283</v>
      </c>
      <c r="D1400" s="25">
        <v>45310</v>
      </c>
      <c r="E1400" t="s">
        <v>23</v>
      </c>
      <c r="F1400">
        <v>39243</v>
      </c>
      <c r="G1400">
        <v>1507</v>
      </c>
      <c r="H1400">
        <v>1913.09</v>
      </c>
      <c r="I1400">
        <v>79</v>
      </c>
      <c r="J1400" t="b">
        <v>1</v>
      </c>
      <c r="L1400" t="s">
        <v>68</v>
      </c>
    </row>
    <row r="1401" spans="1:12">
      <c r="A1401" t="s">
        <v>2896</v>
      </c>
      <c r="B1401" t="s">
        <v>2897</v>
      </c>
      <c r="C1401" s="27">
        <v>45122</v>
      </c>
      <c r="D1401" s="25">
        <v>45135</v>
      </c>
      <c r="E1401" t="s">
        <v>19</v>
      </c>
      <c r="F1401">
        <v>58384</v>
      </c>
      <c r="G1401">
        <v>2772</v>
      </c>
      <c r="H1401">
        <v>2556.03</v>
      </c>
      <c r="I1401">
        <v>367</v>
      </c>
      <c r="J1401" t="s">
        <v>24</v>
      </c>
      <c r="L1401" t="s">
        <v>20</v>
      </c>
    </row>
    <row r="1402" spans="1:12">
      <c r="A1402" t="s">
        <v>2898</v>
      </c>
      <c r="B1402" t="s">
        <v>2899</v>
      </c>
      <c r="C1402" s="27">
        <v>45277</v>
      </c>
      <c r="D1402" s="25">
        <v>45284</v>
      </c>
      <c r="E1402" t="s">
        <v>41</v>
      </c>
      <c r="F1402">
        <v>32653</v>
      </c>
      <c r="G1402">
        <v>1114</v>
      </c>
      <c r="H1402">
        <v>1930.94</v>
      </c>
      <c r="I1402">
        <v>199</v>
      </c>
      <c r="J1402">
        <v>0</v>
      </c>
      <c r="L1402" t="s">
        <v>42</v>
      </c>
    </row>
    <row r="1403" spans="1:12">
      <c r="A1403" t="s">
        <v>2900</v>
      </c>
      <c r="B1403" t="s">
        <v>2901</v>
      </c>
      <c r="C1403" s="27">
        <v>44933</v>
      </c>
      <c r="D1403" s="25">
        <v>44951</v>
      </c>
      <c r="E1403" t="s">
        <v>58</v>
      </c>
      <c r="F1403">
        <v>27657</v>
      </c>
      <c r="G1403">
        <v>800</v>
      </c>
      <c r="H1403">
        <v>1303.42</v>
      </c>
      <c r="I1403">
        <v>96</v>
      </c>
      <c r="J1403">
        <v>1</v>
      </c>
      <c r="L1403" t="s">
        <v>59</v>
      </c>
    </row>
    <row r="1404" spans="1:12">
      <c r="A1404" t="s">
        <v>2902</v>
      </c>
      <c r="B1404" t="s">
        <v>2903</v>
      </c>
      <c r="C1404" s="27">
        <v>45153</v>
      </c>
      <c r="D1404" s="25">
        <v>45173</v>
      </c>
      <c r="E1404" t="s">
        <v>14</v>
      </c>
      <c r="F1404">
        <v>40952</v>
      </c>
      <c r="G1404">
        <v>507</v>
      </c>
      <c r="H1404">
        <v>810.84</v>
      </c>
      <c r="I1404">
        <v>25</v>
      </c>
      <c r="J1404" t="s">
        <v>30</v>
      </c>
      <c r="L1404" t="s">
        <v>16</v>
      </c>
    </row>
    <row r="1405" spans="1:12">
      <c r="A1405" t="s">
        <v>2904</v>
      </c>
      <c r="B1405" t="s">
        <v>2905</v>
      </c>
      <c r="C1405" s="27">
        <v>45287</v>
      </c>
      <c r="D1405" s="25">
        <v>45288</v>
      </c>
      <c r="E1405" t="s">
        <v>33</v>
      </c>
      <c r="F1405">
        <v>23180</v>
      </c>
      <c r="G1405">
        <v>854</v>
      </c>
      <c r="H1405">
        <v>1549.4</v>
      </c>
      <c r="I1405">
        <v>44</v>
      </c>
      <c r="J1405" t="b">
        <v>0</v>
      </c>
      <c r="L1405" t="s">
        <v>34</v>
      </c>
    </row>
    <row r="1406" spans="1:12">
      <c r="A1406" t="s">
        <v>2906</v>
      </c>
      <c r="B1406" t="s">
        <v>2907</v>
      </c>
      <c r="C1406" s="27">
        <v>45228</v>
      </c>
      <c r="D1406" s="25">
        <v>45234</v>
      </c>
      <c r="E1406" t="s">
        <v>33</v>
      </c>
      <c r="F1406">
        <v>98432</v>
      </c>
      <c r="G1406">
        <v>3276</v>
      </c>
      <c r="H1406">
        <v>5189.76</v>
      </c>
      <c r="J1406" t="b">
        <v>1</v>
      </c>
      <c r="L1406" t="s">
        <v>34</v>
      </c>
    </row>
    <row r="1407" spans="1:12">
      <c r="A1407" t="s">
        <v>2908</v>
      </c>
      <c r="B1407" t="s">
        <v>2909</v>
      </c>
      <c r="C1407" s="27">
        <v>45026</v>
      </c>
      <c r="D1407" s="25">
        <v>45029</v>
      </c>
      <c r="E1407" t="s">
        <v>19</v>
      </c>
      <c r="F1407">
        <v>79411</v>
      </c>
      <c r="G1407">
        <v>3939</v>
      </c>
      <c r="H1407">
        <v>3339.33</v>
      </c>
      <c r="I1407">
        <v>288</v>
      </c>
      <c r="J1407">
        <v>1</v>
      </c>
      <c r="L1407" t="s">
        <v>20</v>
      </c>
    </row>
    <row r="1408" spans="1:12">
      <c r="A1408" t="s">
        <v>2910</v>
      </c>
      <c r="B1408" t="s">
        <v>2911</v>
      </c>
      <c r="C1408" t="s">
        <v>2559</v>
      </c>
      <c r="D1408" s="25">
        <v>45295</v>
      </c>
      <c r="E1408" t="s">
        <v>19</v>
      </c>
      <c r="F1408">
        <v>2622</v>
      </c>
      <c r="G1408">
        <v>51</v>
      </c>
      <c r="H1408">
        <v>79.48</v>
      </c>
      <c r="I1408">
        <v>7</v>
      </c>
      <c r="J1408" t="s">
        <v>15</v>
      </c>
      <c r="L1408" t="s">
        <v>20</v>
      </c>
    </row>
    <row r="1409" spans="1:12">
      <c r="A1409" t="s">
        <v>2912</v>
      </c>
      <c r="B1409" t="s">
        <v>2913</v>
      </c>
      <c r="C1409" s="27">
        <v>45015</v>
      </c>
      <c r="D1409" s="25">
        <v>45039</v>
      </c>
      <c r="E1409" t="s">
        <v>33</v>
      </c>
      <c r="F1409">
        <v>49756</v>
      </c>
      <c r="G1409">
        <v>1553</v>
      </c>
      <c r="H1409">
        <v>1493.29</v>
      </c>
      <c r="I1409">
        <v>242</v>
      </c>
      <c r="J1409" t="s">
        <v>30</v>
      </c>
      <c r="L1409" t="s">
        <v>34</v>
      </c>
    </row>
    <row r="1410" spans="1:12">
      <c r="A1410" t="s">
        <v>2914</v>
      </c>
      <c r="B1410" t="s">
        <v>2915</v>
      </c>
      <c r="C1410" s="27">
        <v>44947</v>
      </c>
      <c r="D1410" s="25">
        <v>44967</v>
      </c>
      <c r="E1410" t="s">
        <v>19</v>
      </c>
      <c r="F1410">
        <v>41809</v>
      </c>
      <c r="G1410">
        <v>1506</v>
      </c>
      <c r="H1410">
        <v>1300.07</v>
      </c>
      <c r="I1410">
        <v>115</v>
      </c>
      <c r="J1410" t="b">
        <v>0</v>
      </c>
      <c r="L1410" t="s">
        <v>20</v>
      </c>
    </row>
    <row r="1411" spans="1:12">
      <c r="A1411" t="s">
        <v>2916</v>
      </c>
      <c r="B1411" t="s">
        <v>2917</v>
      </c>
      <c r="C1411" s="27">
        <v>44993</v>
      </c>
      <c r="D1411" s="25">
        <v>45002</v>
      </c>
      <c r="E1411" t="s">
        <v>19</v>
      </c>
      <c r="F1411">
        <v>17725</v>
      </c>
      <c r="G1411">
        <v>634</v>
      </c>
      <c r="H1411">
        <v>-386.43</v>
      </c>
      <c r="I1411">
        <v>116</v>
      </c>
      <c r="J1411" t="b">
        <v>1</v>
      </c>
      <c r="L1411" t="s">
        <v>20</v>
      </c>
    </row>
    <row r="1412" spans="1:12">
      <c r="A1412" t="s">
        <v>2918</v>
      </c>
      <c r="B1412" t="s">
        <v>2919</v>
      </c>
      <c r="C1412" s="27">
        <v>44929</v>
      </c>
      <c r="D1412" s="25">
        <v>44955</v>
      </c>
      <c r="E1412" t="s">
        <v>33</v>
      </c>
      <c r="F1412">
        <v>62396</v>
      </c>
      <c r="G1412">
        <v>2024</v>
      </c>
      <c r="H1412" s="26">
        <v>3270.87</v>
      </c>
      <c r="I1412">
        <v>235</v>
      </c>
      <c r="J1412" t="s">
        <v>15</v>
      </c>
      <c r="L1412" t="s">
        <v>34</v>
      </c>
    </row>
    <row r="1413" spans="1:12">
      <c r="A1413" t="s">
        <v>2920</v>
      </c>
      <c r="B1413" t="s">
        <v>2921</v>
      </c>
      <c r="C1413" t="s">
        <v>682</v>
      </c>
      <c r="D1413" s="25">
        <v>45022</v>
      </c>
      <c r="E1413" t="s">
        <v>19</v>
      </c>
      <c r="F1413">
        <v>52226</v>
      </c>
      <c r="G1413">
        <v>2145</v>
      </c>
      <c r="H1413" s="26">
        <v>3360.15</v>
      </c>
      <c r="I1413">
        <v>153</v>
      </c>
      <c r="J1413" t="b">
        <v>0</v>
      </c>
      <c r="L1413" t="s">
        <v>20</v>
      </c>
    </row>
    <row r="1414" spans="1:12">
      <c r="A1414" t="s">
        <v>2922</v>
      </c>
      <c r="B1414" t="s">
        <v>2923</v>
      </c>
      <c r="C1414" s="27">
        <v>45092</v>
      </c>
      <c r="D1414" s="25">
        <v>45096</v>
      </c>
      <c r="E1414" t="s">
        <v>19</v>
      </c>
      <c r="F1414">
        <v>82182</v>
      </c>
      <c r="G1414">
        <v>1495</v>
      </c>
      <c r="H1414">
        <v>1273.37</v>
      </c>
      <c r="I1414">
        <v>246</v>
      </c>
      <c r="J1414">
        <v>0</v>
      </c>
      <c r="L1414" t="s">
        <v>20</v>
      </c>
    </row>
    <row r="1415" spans="1:12">
      <c r="A1415" t="s">
        <v>2924</v>
      </c>
      <c r="B1415" t="s">
        <v>2925</v>
      </c>
      <c r="C1415" s="27">
        <v>45247</v>
      </c>
      <c r="D1415" s="25">
        <v>45251</v>
      </c>
      <c r="E1415" t="s">
        <v>41</v>
      </c>
      <c r="F1415">
        <v>83565</v>
      </c>
      <c r="G1415">
        <v>3261</v>
      </c>
      <c r="H1415">
        <v>5296.09</v>
      </c>
      <c r="I1415">
        <v>549</v>
      </c>
      <c r="J1415">
        <v>1</v>
      </c>
      <c r="L1415" t="s">
        <v>42</v>
      </c>
    </row>
    <row r="1416" spans="1:12">
      <c r="A1416" t="s">
        <v>2926</v>
      </c>
      <c r="B1416" t="s">
        <v>2927</v>
      </c>
      <c r="C1416" s="27">
        <v>45178</v>
      </c>
      <c r="D1416" s="25">
        <v>45186</v>
      </c>
      <c r="E1416" t="s">
        <v>33</v>
      </c>
      <c r="F1416">
        <v>30402</v>
      </c>
      <c r="G1416">
        <v>1057</v>
      </c>
      <c r="H1416">
        <v>1983.74</v>
      </c>
      <c r="I1416">
        <v>154</v>
      </c>
      <c r="J1416">
        <v>0</v>
      </c>
      <c r="L1416" t="s">
        <v>34</v>
      </c>
    </row>
    <row r="1417" spans="1:12">
      <c r="A1417" t="s">
        <v>2928</v>
      </c>
      <c r="B1417" t="s">
        <v>2929</v>
      </c>
      <c r="C1417" s="27">
        <v>44964</v>
      </c>
      <c r="D1417" s="25">
        <v>44992</v>
      </c>
      <c r="E1417" t="s">
        <v>23</v>
      </c>
      <c r="F1417">
        <v>5263</v>
      </c>
      <c r="G1417">
        <v>241</v>
      </c>
      <c r="H1417">
        <v>159.55</v>
      </c>
      <c r="I1417">
        <v>42</v>
      </c>
      <c r="J1417">
        <v>1</v>
      </c>
      <c r="L1417" t="s">
        <v>25</v>
      </c>
    </row>
    <row r="1418" spans="1:12">
      <c r="A1418" t="s">
        <v>2930</v>
      </c>
      <c r="B1418" t="s">
        <v>2931</v>
      </c>
      <c r="C1418" s="27">
        <v>45039</v>
      </c>
      <c r="D1418" s="25">
        <v>45053</v>
      </c>
      <c r="E1418" t="s">
        <v>14</v>
      </c>
      <c r="F1418">
        <v>97523</v>
      </c>
      <c r="G1418">
        <v>4280</v>
      </c>
      <c r="H1418">
        <v>3633.53</v>
      </c>
      <c r="I1418">
        <v>687</v>
      </c>
      <c r="J1418" t="s">
        <v>15</v>
      </c>
      <c r="L1418" t="s">
        <v>16</v>
      </c>
    </row>
    <row r="1419" spans="1:12">
      <c r="A1419" t="s">
        <v>2932</v>
      </c>
      <c r="B1419" t="s">
        <v>2933</v>
      </c>
      <c r="C1419" s="27">
        <v>45185</v>
      </c>
      <c r="D1419" s="25">
        <v>45193</v>
      </c>
      <c r="E1419" t="s">
        <v>33</v>
      </c>
      <c r="F1419">
        <v>47828</v>
      </c>
      <c r="G1419">
        <v>1081</v>
      </c>
      <c r="H1419">
        <v>1757.05</v>
      </c>
      <c r="I1419">
        <v>197</v>
      </c>
      <c r="J1419">
        <v>0</v>
      </c>
      <c r="L1419" t="s">
        <v>34</v>
      </c>
    </row>
    <row r="1420" spans="1:12">
      <c r="A1420" t="s">
        <v>2934</v>
      </c>
      <c r="B1420" t="s">
        <v>2935</v>
      </c>
      <c r="C1420" t="s">
        <v>2672</v>
      </c>
      <c r="D1420" s="25">
        <v>45141</v>
      </c>
      <c r="E1420" t="s">
        <v>41</v>
      </c>
      <c r="F1420">
        <v>48924</v>
      </c>
      <c r="G1420">
        <v>1029</v>
      </c>
      <c r="H1420">
        <v>-938.2</v>
      </c>
      <c r="I1420">
        <v>118</v>
      </c>
      <c r="J1420">
        <v>1</v>
      </c>
      <c r="L1420" t="s">
        <v>42</v>
      </c>
    </row>
    <row r="1421" spans="1:12">
      <c r="A1421" t="s">
        <v>2936</v>
      </c>
      <c r="B1421" t="s">
        <v>2937</v>
      </c>
      <c r="C1421" s="27">
        <v>45040</v>
      </c>
      <c r="D1421" s="25">
        <v>45055</v>
      </c>
      <c r="E1421" t="s">
        <v>14</v>
      </c>
      <c r="F1421">
        <v>75182</v>
      </c>
      <c r="G1421">
        <v>3703</v>
      </c>
      <c r="H1421">
        <v>5321.2</v>
      </c>
      <c r="I1421">
        <v>600</v>
      </c>
      <c r="J1421" t="s">
        <v>30</v>
      </c>
      <c r="L1421" t="s">
        <v>16</v>
      </c>
    </row>
    <row r="1422" spans="1:12">
      <c r="A1422" t="s">
        <v>2938</v>
      </c>
      <c r="B1422" t="s">
        <v>2939</v>
      </c>
      <c r="C1422" s="27">
        <v>45096</v>
      </c>
      <c r="D1422" s="25">
        <v>45116</v>
      </c>
      <c r="E1422" t="s">
        <v>19</v>
      </c>
      <c r="F1422">
        <v>94065</v>
      </c>
      <c r="G1422">
        <v>2924</v>
      </c>
      <c r="H1422" s="26">
        <v>1817.99</v>
      </c>
      <c r="I1422">
        <v>584</v>
      </c>
      <c r="J1422" t="s">
        <v>15</v>
      </c>
      <c r="L1422" t="s">
        <v>20</v>
      </c>
    </row>
    <row r="1423" spans="1:12">
      <c r="A1423" t="s">
        <v>2940</v>
      </c>
      <c r="B1423" t="s">
        <v>2941</v>
      </c>
      <c r="C1423" s="27">
        <v>45243</v>
      </c>
      <c r="D1423" s="25">
        <v>45249</v>
      </c>
      <c r="E1423" t="s">
        <v>14</v>
      </c>
      <c r="F1423">
        <v>60052</v>
      </c>
      <c r="G1423">
        <v>2777</v>
      </c>
      <c r="H1423">
        <v>3272.15</v>
      </c>
      <c r="I1423">
        <v>440</v>
      </c>
      <c r="J1423">
        <v>1</v>
      </c>
      <c r="L1423" t="s">
        <v>16</v>
      </c>
    </row>
    <row r="1424" spans="1:12">
      <c r="A1424" t="s">
        <v>2942</v>
      </c>
      <c r="B1424" t="s">
        <v>2943</v>
      </c>
      <c r="C1424" t="s">
        <v>687</v>
      </c>
      <c r="D1424" s="25">
        <v>45288</v>
      </c>
      <c r="E1424" t="s">
        <v>41</v>
      </c>
      <c r="F1424">
        <v>12664</v>
      </c>
      <c r="G1424">
        <v>209</v>
      </c>
      <c r="H1424">
        <v>336.21</v>
      </c>
      <c r="I1424">
        <v>14</v>
      </c>
      <c r="J1424" t="b">
        <v>1</v>
      </c>
      <c r="L1424" t="s">
        <v>42</v>
      </c>
    </row>
    <row r="1425" spans="1:12">
      <c r="A1425" t="s">
        <v>2944</v>
      </c>
      <c r="B1425" t="s">
        <v>2945</v>
      </c>
      <c r="C1425" s="27">
        <v>45269</v>
      </c>
      <c r="D1425" s="25">
        <v>45275</v>
      </c>
      <c r="E1425" t="s">
        <v>191</v>
      </c>
      <c r="F1425">
        <v>36737</v>
      </c>
      <c r="G1425">
        <v>1311</v>
      </c>
      <c r="H1425" s="26">
        <v>2005.53</v>
      </c>
      <c r="I1425">
        <v>167</v>
      </c>
      <c r="J1425">
        <v>1</v>
      </c>
      <c r="L1425" t="s">
        <v>68</v>
      </c>
    </row>
    <row r="1426" spans="1:12">
      <c r="A1426" t="s">
        <v>2946</v>
      </c>
      <c r="B1426" t="s">
        <v>2947</v>
      </c>
      <c r="C1426" s="27">
        <v>45255</v>
      </c>
      <c r="D1426" s="25">
        <v>45285</v>
      </c>
      <c r="E1426" t="s">
        <v>33</v>
      </c>
      <c r="F1426">
        <v>90563</v>
      </c>
      <c r="G1426">
        <v>3839</v>
      </c>
      <c r="H1426">
        <v>6613.09</v>
      </c>
      <c r="J1426">
        <v>0</v>
      </c>
      <c r="L1426" t="s">
        <v>34</v>
      </c>
    </row>
    <row r="1427" spans="1:12">
      <c r="A1427" t="s">
        <v>2948</v>
      </c>
      <c r="B1427" t="s">
        <v>2949</v>
      </c>
      <c r="C1427" s="27">
        <v>44947</v>
      </c>
      <c r="D1427" s="25">
        <v>44955</v>
      </c>
      <c r="E1427" t="s">
        <v>23</v>
      </c>
      <c r="F1427">
        <v>30373</v>
      </c>
      <c r="G1427">
        <v>1454</v>
      </c>
      <c r="H1427" s="26">
        <v>2640.72</v>
      </c>
      <c r="I1427">
        <v>110</v>
      </c>
      <c r="J1427" t="s">
        <v>30</v>
      </c>
      <c r="L1427" t="s">
        <v>25</v>
      </c>
    </row>
    <row r="1428" spans="1:12">
      <c r="A1428" t="s">
        <v>2950</v>
      </c>
      <c r="B1428" t="s">
        <v>2951</v>
      </c>
      <c r="C1428" s="27">
        <v>44985</v>
      </c>
      <c r="D1428" s="25">
        <v>44994</v>
      </c>
      <c r="E1428" t="s">
        <v>19</v>
      </c>
      <c r="F1428">
        <v>37397</v>
      </c>
      <c r="G1428">
        <v>878</v>
      </c>
      <c r="H1428">
        <v>1457.28</v>
      </c>
      <c r="I1428">
        <v>170</v>
      </c>
      <c r="J1428" t="b">
        <v>0</v>
      </c>
      <c r="L1428" t="s">
        <v>20</v>
      </c>
    </row>
    <row r="1429" spans="1:12">
      <c r="A1429" t="s">
        <v>2952</v>
      </c>
      <c r="B1429" t="s">
        <v>2953</v>
      </c>
      <c r="C1429" t="s">
        <v>2954</v>
      </c>
      <c r="D1429" s="25">
        <v>45075</v>
      </c>
      <c r="E1429" t="s">
        <v>23</v>
      </c>
      <c r="F1429">
        <v>87145</v>
      </c>
      <c r="G1429">
        <v>3398</v>
      </c>
      <c r="H1429">
        <v>5122.08</v>
      </c>
      <c r="I1429">
        <v>259</v>
      </c>
      <c r="J1429" t="b">
        <v>0</v>
      </c>
      <c r="L1429" t="s">
        <v>25</v>
      </c>
    </row>
    <row r="1430" spans="1:12">
      <c r="A1430" t="s">
        <v>2955</v>
      </c>
      <c r="B1430" t="s">
        <v>2956</v>
      </c>
      <c r="C1430" s="27">
        <v>45191</v>
      </c>
      <c r="D1430" s="25">
        <v>45192</v>
      </c>
      <c r="E1430" t="s">
        <v>19</v>
      </c>
      <c r="F1430">
        <v>39709</v>
      </c>
      <c r="G1430">
        <v>1252</v>
      </c>
      <c r="H1430">
        <v>685.57</v>
      </c>
      <c r="J1430">
        <v>1</v>
      </c>
      <c r="L1430" t="s">
        <v>20</v>
      </c>
    </row>
    <row r="1431" spans="1:12">
      <c r="A1431" t="s">
        <v>2957</v>
      </c>
      <c r="B1431" t="s">
        <v>2958</v>
      </c>
      <c r="C1431" s="25">
        <v>45187</v>
      </c>
      <c r="D1431" s="25">
        <v>45195</v>
      </c>
      <c r="E1431" t="s">
        <v>14</v>
      </c>
      <c r="F1431">
        <v>62120</v>
      </c>
      <c r="G1431">
        <v>771</v>
      </c>
      <c r="H1431">
        <v>1004.19</v>
      </c>
      <c r="I1431">
        <v>144</v>
      </c>
      <c r="J1431" t="b">
        <v>0</v>
      </c>
      <c r="L1431" t="s">
        <v>68</v>
      </c>
    </row>
    <row r="1432" spans="1:12">
      <c r="A1432" t="s">
        <v>2959</v>
      </c>
      <c r="B1432" t="s">
        <v>2960</v>
      </c>
      <c r="C1432" s="27">
        <v>45260</v>
      </c>
      <c r="D1432" s="25">
        <v>45282</v>
      </c>
      <c r="E1432" t="s">
        <v>33</v>
      </c>
      <c r="F1432">
        <v>20250</v>
      </c>
      <c r="G1432">
        <v>761</v>
      </c>
      <c r="H1432">
        <v>423.53</v>
      </c>
      <c r="I1432">
        <v>91</v>
      </c>
      <c r="J1432">
        <v>1</v>
      </c>
      <c r="L1432" t="s">
        <v>34</v>
      </c>
    </row>
    <row r="1433" spans="1:12">
      <c r="A1433" t="s">
        <v>2961</v>
      </c>
      <c r="B1433" t="s">
        <v>2962</v>
      </c>
      <c r="C1433" s="27">
        <v>44976</v>
      </c>
      <c r="D1433" s="25">
        <v>44986</v>
      </c>
      <c r="E1433" t="s">
        <v>41</v>
      </c>
      <c r="F1433">
        <v>22172</v>
      </c>
      <c r="G1433">
        <v>833</v>
      </c>
      <c r="H1433">
        <v>1426.18</v>
      </c>
      <c r="J1433" t="s">
        <v>30</v>
      </c>
      <c r="L1433" t="s">
        <v>42</v>
      </c>
    </row>
    <row r="1434" spans="1:12">
      <c r="A1434" t="s">
        <v>2963</v>
      </c>
      <c r="B1434" t="s">
        <v>2964</v>
      </c>
      <c r="C1434" s="27">
        <v>45202</v>
      </c>
      <c r="D1434" s="25">
        <v>45216</v>
      </c>
      <c r="E1434" t="s">
        <v>138</v>
      </c>
      <c r="F1434">
        <v>12555</v>
      </c>
      <c r="G1434">
        <v>592</v>
      </c>
      <c r="H1434">
        <v>580.8</v>
      </c>
      <c r="I1434">
        <v>82</v>
      </c>
      <c r="J1434" t="b">
        <v>0</v>
      </c>
      <c r="L1434" t="s">
        <v>139</v>
      </c>
    </row>
    <row r="1435" spans="1:12">
      <c r="A1435" t="s">
        <v>2965</v>
      </c>
      <c r="B1435" t="s">
        <v>2966</v>
      </c>
      <c r="C1435" s="27">
        <v>45034</v>
      </c>
      <c r="D1435" s="25">
        <v>45053</v>
      </c>
      <c r="E1435" t="s">
        <v>19</v>
      </c>
      <c r="F1435">
        <v>88410</v>
      </c>
      <c r="G1435">
        <v>2642</v>
      </c>
      <c r="H1435">
        <v>3549.91</v>
      </c>
      <c r="I1435">
        <v>370</v>
      </c>
      <c r="J1435">
        <v>0</v>
      </c>
      <c r="L1435" t="s">
        <v>20</v>
      </c>
    </row>
    <row r="1436" spans="1:12">
      <c r="A1436" t="s">
        <v>2967</v>
      </c>
      <c r="B1436" t="s">
        <v>2968</v>
      </c>
      <c r="C1436" s="27">
        <v>45277</v>
      </c>
      <c r="D1436" s="25">
        <v>45305</v>
      </c>
      <c r="E1436" t="s">
        <v>23</v>
      </c>
      <c r="F1436">
        <v>79617</v>
      </c>
      <c r="G1436">
        <v>1529</v>
      </c>
      <c r="H1436" s="26">
        <v>1405.41</v>
      </c>
      <c r="I1436">
        <v>91</v>
      </c>
      <c r="J1436">
        <v>0</v>
      </c>
      <c r="L1436" t="s">
        <v>25</v>
      </c>
    </row>
    <row r="1437" spans="1:12">
      <c r="A1437" t="s">
        <v>2969</v>
      </c>
      <c r="B1437" t="s">
        <v>2970</v>
      </c>
      <c r="C1437" s="27">
        <v>45202</v>
      </c>
      <c r="D1437" s="25">
        <v>45222</v>
      </c>
      <c r="E1437" t="s">
        <v>23</v>
      </c>
      <c r="F1437">
        <v>54276</v>
      </c>
      <c r="G1437">
        <v>639</v>
      </c>
      <c r="H1437">
        <v>1069.53</v>
      </c>
      <c r="I1437">
        <v>125</v>
      </c>
      <c r="J1437" t="b">
        <v>1</v>
      </c>
      <c r="L1437" t="s">
        <v>25</v>
      </c>
    </row>
    <row r="1438" spans="1:12">
      <c r="A1438" t="s">
        <v>2971</v>
      </c>
      <c r="B1438" t="s">
        <v>2972</v>
      </c>
      <c r="C1438" s="27">
        <v>45149</v>
      </c>
      <c r="D1438" s="25">
        <v>45177</v>
      </c>
      <c r="E1438" t="s">
        <v>33</v>
      </c>
      <c r="F1438">
        <v>58492</v>
      </c>
      <c r="G1438">
        <v>1557</v>
      </c>
      <c r="H1438">
        <v>2848.93</v>
      </c>
      <c r="I1438">
        <v>204</v>
      </c>
      <c r="J1438">
        <v>1</v>
      </c>
      <c r="L1438" t="s">
        <v>34</v>
      </c>
    </row>
    <row r="1439" spans="1:12">
      <c r="A1439" t="s">
        <v>2973</v>
      </c>
      <c r="B1439" t="s">
        <v>2974</v>
      </c>
      <c r="C1439" s="27">
        <v>45278</v>
      </c>
      <c r="D1439" s="25">
        <v>45291</v>
      </c>
      <c r="E1439" t="s">
        <v>19</v>
      </c>
      <c r="F1439">
        <v>54002</v>
      </c>
      <c r="G1439">
        <v>1192</v>
      </c>
      <c r="H1439">
        <v>1308.77</v>
      </c>
      <c r="I1439">
        <v>159</v>
      </c>
      <c r="J1439" t="b">
        <v>0</v>
      </c>
      <c r="L1439" t="s">
        <v>20</v>
      </c>
    </row>
    <row r="1440" spans="1:12">
      <c r="A1440" t="s">
        <v>2975</v>
      </c>
      <c r="B1440" t="s">
        <v>2976</v>
      </c>
      <c r="C1440" t="s">
        <v>2977</v>
      </c>
      <c r="D1440" s="25">
        <v>45111</v>
      </c>
      <c r="E1440" t="s">
        <v>23</v>
      </c>
      <c r="F1440">
        <v>90599</v>
      </c>
      <c r="G1440">
        <v>3664</v>
      </c>
      <c r="H1440">
        <v>6574.62</v>
      </c>
      <c r="I1440">
        <v>469</v>
      </c>
      <c r="J1440">
        <v>0</v>
      </c>
      <c r="L1440" t="s">
        <v>25</v>
      </c>
    </row>
    <row r="1441" spans="1:12">
      <c r="A1441" t="s">
        <v>2978</v>
      </c>
      <c r="B1441" t="s">
        <v>2979</v>
      </c>
      <c r="C1441" s="25">
        <v>45109</v>
      </c>
      <c r="D1441" s="25">
        <v>44971</v>
      </c>
      <c r="E1441" t="s">
        <v>19</v>
      </c>
      <c r="F1441">
        <v>73355</v>
      </c>
      <c r="G1441">
        <v>1773</v>
      </c>
      <c r="H1441" s="26">
        <v>1596.79</v>
      </c>
      <c r="I1441">
        <v>251</v>
      </c>
      <c r="J1441" t="s">
        <v>24</v>
      </c>
      <c r="L1441" t="s">
        <v>20</v>
      </c>
    </row>
    <row r="1442" spans="1:12">
      <c r="A1442" t="s">
        <v>2980</v>
      </c>
      <c r="B1442" t="s">
        <v>2981</v>
      </c>
      <c r="C1442" s="27">
        <v>45055</v>
      </c>
      <c r="D1442" s="25">
        <v>45063</v>
      </c>
      <c r="E1442" t="s">
        <v>14</v>
      </c>
      <c r="F1442">
        <v>92248</v>
      </c>
      <c r="G1442">
        <v>4424</v>
      </c>
      <c r="H1442">
        <v>5760.01</v>
      </c>
      <c r="I1442">
        <v>396</v>
      </c>
      <c r="J1442" t="s">
        <v>30</v>
      </c>
      <c r="L1442" t="s">
        <v>16</v>
      </c>
    </row>
    <row r="1443" spans="1:12">
      <c r="A1443" t="s">
        <v>2982</v>
      </c>
      <c r="B1443" t="s">
        <v>2983</v>
      </c>
      <c r="C1443" s="27">
        <v>45043</v>
      </c>
      <c r="D1443" s="25">
        <v>45047</v>
      </c>
      <c r="E1443" t="s">
        <v>23</v>
      </c>
      <c r="F1443">
        <v>25762</v>
      </c>
      <c r="G1443">
        <v>1249</v>
      </c>
      <c r="H1443">
        <v>2233.39</v>
      </c>
      <c r="I1443">
        <v>116</v>
      </c>
      <c r="J1443" t="s">
        <v>30</v>
      </c>
      <c r="L1443" t="s">
        <v>25</v>
      </c>
    </row>
    <row r="1444" spans="1:12">
      <c r="A1444" t="s">
        <v>2984</v>
      </c>
      <c r="B1444" t="s">
        <v>2985</v>
      </c>
      <c r="C1444" s="27">
        <v>45157</v>
      </c>
      <c r="D1444" s="25">
        <v>45185</v>
      </c>
      <c r="E1444" t="s">
        <v>33</v>
      </c>
      <c r="F1444">
        <v>12046</v>
      </c>
      <c r="G1444">
        <v>419</v>
      </c>
      <c r="H1444">
        <v>414.32</v>
      </c>
      <c r="I1444">
        <v>53</v>
      </c>
      <c r="J1444" t="s">
        <v>24</v>
      </c>
      <c r="L1444" t="s">
        <v>34</v>
      </c>
    </row>
    <row r="1445" spans="1:12">
      <c r="A1445" t="s">
        <v>2986</v>
      </c>
      <c r="B1445" t="s">
        <v>2987</v>
      </c>
      <c r="C1445" s="27">
        <v>44935</v>
      </c>
      <c r="D1445" s="25">
        <v>44938</v>
      </c>
      <c r="E1445" t="s">
        <v>41</v>
      </c>
      <c r="F1445">
        <v>97999</v>
      </c>
      <c r="G1445">
        <v>4620</v>
      </c>
      <c r="H1445">
        <v>8921.51</v>
      </c>
      <c r="I1445">
        <v>790</v>
      </c>
      <c r="J1445" t="s">
        <v>24</v>
      </c>
      <c r="L1445" t="s">
        <v>42</v>
      </c>
    </row>
    <row r="1446" spans="1:12">
      <c r="A1446" t="s">
        <v>2988</v>
      </c>
      <c r="B1446" t="s">
        <v>2989</v>
      </c>
      <c r="C1446" s="27">
        <v>44930</v>
      </c>
      <c r="D1446" s="25">
        <v>44944</v>
      </c>
      <c r="E1446" t="s">
        <v>14</v>
      </c>
      <c r="F1446">
        <v>29769</v>
      </c>
      <c r="G1446">
        <v>1203</v>
      </c>
      <c r="H1446">
        <v>821.43</v>
      </c>
      <c r="I1446">
        <v>69</v>
      </c>
      <c r="J1446" t="b">
        <v>1</v>
      </c>
      <c r="L1446" t="s">
        <v>16</v>
      </c>
    </row>
    <row r="1447" spans="1:12">
      <c r="A1447" t="s">
        <v>2990</v>
      </c>
      <c r="B1447" t="s">
        <v>2991</v>
      </c>
      <c r="C1447" t="s">
        <v>2992</v>
      </c>
      <c r="D1447" s="25">
        <v>45249</v>
      </c>
      <c r="E1447" t="s">
        <v>19</v>
      </c>
      <c r="F1447">
        <v>54302</v>
      </c>
      <c r="G1447">
        <v>1730</v>
      </c>
      <c r="H1447" s="26">
        <v>912.42</v>
      </c>
      <c r="I1447">
        <v>243</v>
      </c>
      <c r="J1447" t="s">
        <v>30</v>
      </c>
      <c r="L1447" t="s">
        <v>20</v>
      </c>
    </row>
    <row r="1448" spans="1:12">
      <c r="A1448" t="s">
        <v>2993</v>
      </c>
      <c r="B1448" t="s">
        <v>2994</v>
      </c>
      <c r="C1448" s="27">
        <v>44964</v>
      </c>
      <c r="D1448" s="25">
        <v>44979</v>
      </c>
      <c r="E1448" t="s">
        <v>23</v>
      </c>
      <c r="F1448">
        <v>24150</v>
      </c>
      <c r="G1448">
        <v>415</v>
      </c>
      <c r="H1448">
        <v>770.32</v>
      </c>
      <c r="I1448">
        <v>70</v>
      </c>
      <c r="J1448" t="s">
        <v>30</v>
      </c>
      <c r="L1448" t="s">
        <v>25</v>
      </c>
    </row>
    <row r="1449" spans="1:12">
      <c r="A1449" t="s">
        <v>2995</v>
      </c>
      <c r="B1449" t="s">
        <v>2996</v>
      </c>
      <c r="C1449" s="27">
        <v>45075</v>
      </c>
      <c r="D1449" s="25">
        <v>45090</v>
      </c>
      <c r="E1449" t="s">
        <v>14</v>
      </c>
      <c r="F1449">
        <v>69247</v>
      </c>
      <c r="G1449">
        <v>1962</v>
      </c>
      <c r="H1449">
        <v>1183.03</v>
      </c>
      <c r="I1449">
        <v>144</v>
      </c>
      <c r="J1449" t="b">
        <v>0</v>
      </c>
      <c r="L1449" t="s">
        <v>16</v>
      </c>
    </row>
    <row r="1450" spans="1:12">
      <c r="A1450" t="s">
        <v>2997</v>
      </c>
      <c r="B1450" t="s">
        <v>2998</v>
      </c>
      <c r="C1450" s="27">
        <v>44971</v>
      </c>
      <c r="D1450" s="25">
        <v>44976</v>
      </c>
      <c r="E1450" t="s">
        <v>41</v>
      </c>
      <c r="F1450">
        <v>5853</v>
      </c>
      <c r="G1450">
        <v>189</v>
      </c>
      <c r="H1450">
        <v>375.7</v>
      </c>
      <c r="I1450">
        <v>9</v>
      </c>
      <c r="J1450">
        <v>1</v>
      </c>
      <c r="L1450" t="s">
        <v>42</v>
      </c>
    </row>
    <row r="1451" spans="1:12">
      <c r="A1451" t="s">
        <v>2999</v>
      </c>
      <c r="B1451" t="s">
        <v>3000</v>
      </c>
      <c r="C1451" s="27">
        <v>45122</v>
      </c>
      <c r="D1451" s="25">
        <v>45146</v>
      </c>
      <c r="E1451" t="s">
        <v>41</v>
      </c>
      <c r="F1451">
        <v>95613</v>
      </c>
      <c r="G1451">
        <v>4260</v>
      </c>
      <c r="H1451">
        <v>8209.43</v>
      </c>
      <c r="I1451">
        <v>412</v>
      </c>
      <c r="J1451" t="s">
        <v>15</v>
      </c>
      <c r="L1451" t="s">
        <v>42</v>
      </c>
    </row>
    <row r="1452" spans="1:12">
      <c r="A1452" t="s">
        <v>3001</v>
      </c>
      <c r="B1452" t="s">
        <v>3002</v>
      </c>
      <c r="C1452" s="27">
        <v>45169</v>
      </c>
      <c r="D1452" s="25">
        <v>45198</v>
      </c>
      <c r="E1452" t="s">
        <v>19</v>
      </c>
      <c r="F1452">
        <v>90399</v>
      </c>
      <c r="G1452">
        <v>2644</v>
      </c>
      <c r="H1452">
        <v>1865.42</v>
      </c>
      <c r="I1452">
        <v>365</v>
      </c>
      <c r="J1452" t="s">
        <v>30</v>
      </c>
      <c r="L1452" t="s">
        <v>20</v>
      </c>
    </row>
    <row r="1453" spans="1:12">
      <c r="A1453" t="s">
        <v>3003</v>
      </c>
      <c r="B1453" t="s">
        <v>3004</v>
      </c>
      <c r="C1453" s="27">
        <v>45127</v>
      </c>
      <c r="D1453" s="25">
        <v>45140</v>
      </c>
      <c r="E1453" t="s">
        <v>14</v>
      </c>
      <c r="F1453">
        <v>22792</v>
      </c>
      <c r="G1453">
        <v>1046</v>
      </c>
      <c r="H1453">
        <v>1366.47</v>
      </c>
      <c r="I1453">
        <v>73</v>
      </c>
      <c r="J1453" t="s">
        <v>30</v>
      </c>
      <c r="L1453" t="s">
        <v>16</v>
      </c>
    </row>
    <row r="1454" spans="1:12">
      <c r="A1454" t="s">
        <v>3005</v>
      </c>
      <c r="B1454" t="s">
        <v>3006</v>
      </c>
      <c r="C1454" s="27">
        <v>45078</v>
      </c>
      <c r="D1454" s="25">
        <v>45106</v>
      </c>
      <c r="E1454" t="s">
        <v>41</v>
      </c>
      <c r="F1454">
        <v>60129</v>
      </c>
      <c r="G1454">
        <v>2223</v>
      </c>
      <c r="H1454">
        <v>1728.12</v>
      </c>
      <c r="I1454">
        <v>253</v>
      </c>
      <c r="J1454" t="s">
        <v>15</v>
      </c>
      <c r="L1454" t="s">
        <v>42</v>
      </c>
    </row>
    <row r="1455" spans="1:12">
      <c r="A1455" t="s">
        <v>3007</v>
      </c>
      <c r="B1455" t="s">
        <v>3008</v>
      </c>
      <c r="C1455" s="27">
        <v>45273</v>
      </c>
      <c r="D1455" s="25">
        <v>45293</v>
      </c>
      <c r="E1455" t="s">
        <v>33</v>
      </c>
      <c r="F1455">
        <v>75478</v>
      </c>
      <c r="G1455">
        <v>1168</v>
      </c>
      <c r="H1455" s="26">
        <v>1334.13</v>
      </c>
      <c r="I1455">
        <v>155</v>
      </c>
      <c r="J1455" t="s">
        <v>30</v>
      </c>
      <c r="L1455" t="s">
        <v>34</v>
      </c>
    </row>
    <row r="1456" spans="1:12">
      <c r="A1456" t="s">
        <v>3009</v>
      </c>
      <c r="B1456" t="s">
        <v>3010</v>
      </c>
      <c r="C1456" s="27">
        <v>45258</v>
      </c>
      <c r="D1456" s="25">
        <v>45283</v>
      </c>
      <c r="E1456" t="s">
        <v>41</v>
      </c>
      <c r="F1456">
        <v>68298</v>
      </c>
      <c r="G1456">
        <v>3401</v>
      </c>
      <c r="H1456" s="26">
        <v>2013.86</v>
      </c>
      <c r="I1456">
        <v>475</v>
      </c>
      <c r="J1456" t="b">
        <v>0</v>
      </c>
      <c r="L1456" t="s">
        <v>68</v>
      </c>
    </row>
    <row r="1457" spans="1:12">
      <c r="A1457" t="s">
        <v>3011</v>
      </c>
      <c r="B1457" t="s">
        <v>3012</v>
      </c>
      <c r="C1457" s="27">
        <v>45210</v>
      </c>
      <c r="D1457" s="25">
        <v>45223</v>
      </c>
      <c r="E1457" t="s">
        <v>33</v>
      </c>
      <c r="F1457">
        <v>32987</v>
      </c>
      <c r="G1457">
        <v>1025</v>
      </c>
      <c r="H1457">
        <v>856.78</v>
      </c>
      <c r="I1457">
        <v>93</v>
      </c>
      <c r="J1457" t="b">
        <v>0</v>
      </c>
      <c r="L1457" t="s">
        <v>34</v>
      </c>
    </row>
    <row r="1458" spans="1:12">
      <c r="A1458" t="s">
        <v>3013</v>
      </c>
      <c r="B1458" t="s">
        <v>3014</v>
      </c>
      <c r="C1458" t="s">
        <v>3015</v>
      </c>
      <c r="D1458" s="25">
        <v>44949</v>
      </c>
      <c r="E1458" t="s">
        <v>33</v>
      </c>
      <c r="F1458">
        <v>16850</v>
      </c>
      <c r="G1458">
        <v>432</v>
      </c>
      <c r="H1458">
        <v>451.4</v>
      </c>
      <c r="J1458" t="s">
        <v>15</v>
      </c>
      <c r="L1458" t="s">
        <v>34</v>
      </c>
    </row>
    <row r="1459" spans="1:12">
      <c r="A1459" t="s">
        <v>3016</v>
      </c>
      <c r="B1459" t="s">
        <v>3017</v>
      </c>
      <c r="C1459" s="27">
        <v>45232</v>
      </c>
      <c r="D1459" s="25">
        <v>45250</v>
      </c>
      <c r="E1459" t="s">
        <v>33</v>
      </c>
      <c r="F1459">
        <v>13112</v>
      </c>
      <c r="G1459">
        <v>476</v>
      </c>
      <c r="H1459">
        <v>-551.19</v>
      </c>
      <c r="I1459">
        <v>79</v>
      </c>
      <c r="J1459">
        <v>0</v>
      </c>
      <c r="L1459" t="s">
        <v>34</v>
      </c>
    </row>
    <row r="1460" spans="1:12">
      <c r="A1460" t="s">
        <v>3018</v>
      </c>
      <c r="B1460" t="s">
        <v>3019</v>
      </c>
      <c r="C1460" s="27">
        <v>44970</v>
      </c>
      <c r="D1460" s="25">
        <v>44995</v>
      </c>
      <c r="E1460" t="s">
        <v>14</v>
      </c>
      <c r="F1460">
        <v>25058</v>
      </c>
      <c r="G1460">
        <v>359</v>
      </c>
      <c r="H1460" s="26">
        <v>705.88</v>
      </c>
      <c r="I1460">
        <v>68</v>
      </c>
      <c r="J1460" t="s">
        <v>30</v>
      </c>
      <c r="L1460" t="s">
        <v>16</v>
      </c>
    </row>
    <row r="1461" spans="1:12">
      <c r="A1461" t="s">
        <v>3020</v>
      </c>
      <c r="B1461" t="s">
        <v>3021</v>
      </c>
      <c r="C1461" s="27">
        <v>45103</v>
      </c>
      <c r="D1461" s="25">
        <v>45112</v>
      </c>
      <c r="E1461" t="s">
        <v>33</v>
      </c>
      <c r="F1461">
        <v>46420</v>
      </c>
      <c r="G1461">
        <v>1646</v>
      </c>
      <c r="H1461">
        <v>2817.62</v>
      </c>
      <c r="J1461">
        <v>0</v>
      </c>
      <c r="K1461">
        <v>46444</v>
      </c>
      <c r="L1461" t="s">
        <v>34</v>
      </c>
    </row>
    <row r="1462" spans="1:12">
      <c r="A1462" t="s">
        <v>3022</v>
      </c>
      <c r="B1462" t="s">
        <v>3023</v>
      </c>
      <c r="C1462" s="27">
        <v>45189</v>
      </c>
      <c r="D1462" s="25">
        <v>45196</v>
      </c>
      <c r="E1462" t="s">
        <v>19</v>
      </c>
      <c r="F1462">
        <v>39890</v>
      </c>
      <c r="G1462">
        <v>1193</v>
      </c>
      <c r="H1462">
        <v>500000</v>
      </c>
      <c r="I1462">
        <v>160</v>
      </c>
      <c r="J1462" t="s">
        <v>30</v>
      </c>
      <c r="L1462" t="s">
        <v>20</v>
      </c>
    </row>
    <row r="1463" spans="1:12">
      <c r="A1463" t="s">
        <v>3024</v>
      </c>
      <c r="B1463" t="s">
        <v>3025</v>
      </c>
      <c r="C1463" s="27">
        <v>45242</v>
      </c>
      <c r="D1463" s="25">
        <v>45271</v>
      </c>
      <c r="E1463" t="s">
        <v>14</v>
      </c>
      <c r="F1463">
        <v>67017</v>
      </c>
      <c r="G1463">
        <v>1760</v>
      </c>
      <c r="H1463">
        <v>2297.79</v>
      </c>
      <c r="J1463">
        <v>1</v>
      </c>
      <c r="L1463" t="s">
        <v>16</v>
      </c>
    </row>
    <row r="1464" spans="1:12">
      <c r="A1464" t="s">
        <v>3026</v>
      </c>
      <c r="B1464" t="s">
        <v>3027</v>
      </c>
      <c r="C1464" s="27">
        <v>45019</v>
      </c>
      <c r="D1464" s="25">
        <v>45014</v>
      </c>
      <c r="E1464" t="s">
        <v>33</v>
      </c>
      <c r="F1464">
        <v>48304</v>
      </c>
      <c r="G1464">
        <v>2324</v>
      </c>
      <c r="H1464">
        <v>4090.23</v>
      </c>
      <c r="J1464" t="s">
        <v>30</v>
      </c>
      <c r="L1464" t="s">
        <v>34</v>
      </c>
    </row>
    <row r="1465" spans="1:12">
      <c r="A1465" t="s">
        <v>3028</v>
      </c>
      <c r="B1465" t="s">
        <v>3029</v>
      </c>
      <c r="C1465" s="27">
        <v>44954</v>
      </c>
      <c r="D1465" s="25">
        <v>44970</v>
      </c>
      <c r="E1465" t="s">
        <v>33</v>
      </c>
      <c r="F1465">
        <v>33921</v>
      </c>
      <c r="G1465">
        <v>1048</v>
      </c>
      <c r="H1465">
        <v>1057.42</v>
      </c>
      <c r="I1465">
        <v>72</v>
      </c>
      <c r="J1465" t="b">
        <v>0</v>
      </c>
      <c r="L1465" t="s">
        <v>34</v>
      </c>
    </row>
    <row r="1466" spans="1:12">
      <c r="A1466" t="s">
        <v>3030</v>
      </c>
      <c r="B1466" t="s">
        <v>3031</v>
      </c>
      <c r="C1466" s="27">
        <v>45208</v>
      </c>
      <c r="D1466" s="25">
        <v>45222</v>
      </c>
      <c r="E1466" t="s">
        <v>33</v>
      </c>
      <c r="F1466">
        <v>2524</v>
      </c>
      <c r="G1466">
        <v>47</v>
      </c>
      <c r="H1466">
        <v>73.48</v>
      </c>
      <c r="I1466">
        <v>3</v>
      </c>
      <c r="J1466" t="b">
        <v>1</v>
      </c>
      <c r="L1466" t="s">
        <v>34</v>
      </c>
    </row>
    <row r="1467" spans="1:12">
      <c r="A1467" t="s">
        <v>3032</v>
      </c>
      <c r="B1467" t="s">
        <v>3033</v>
      </c>
      <c r="C1467" s="27">
        <v>45075</v>
      </c>
      <c r="D1467" s="25">
        <v>45101</v>
      </c>
      <c r="E1467" t="s">
        <v>23</v>
      </c>
      <c r="F1467">
        <v>16048</v>
      </c>
      <c r="G1467">
        <v>455</v>
      </c>
      <c r="H1467">
        <v>905.76</v>
      </c>
      <c r="I1467">
        <v>69</v>
      </c>
      <c r="J1467" t="s">
        <v>24</v>
      </c>
      <c r="L1467" t="s">
        <v>25</v>
      </c>
    </row>
    <row r="1468" spans="1:12">
      <c r="A1468" t="s">
        <v>3034</v>
      </c>
      <c r="B1468" t="s">
        <v>3035</v>
      </c>
      <c r="C1468" s="27">
        <v>45028</v>
      </c>
      <c r="D1468" s="25">
        <v>45057</v>
      </c>
      <c r="E1468" t="s">
        <v>33</v>
      </c>
      <c r="F1468">
        <v>36111</v>
      </c>
      <c r="G1468">
        <v>1689</v>
      </c>
      <c r="H1468">
        <v>1641.61</v>
      </c>
      <c r="I1468">
        <v>150</v>
      </c>
      <c r="J1468" t="b">
        <v>1</v>
      </c>
      <c r="L1468" t="s">
        <v>34</v>
      </c>
    </row>
    <row r="1469" spans="1:12">
      <c r="A1469" t="s">
        <v>3036</v>
      </c>
      <c r="B1469" t="s">
        <v>3037</v>
      </c>
      <c r="C1469" s="27">
        <v>45096</v>
      </c>
      <c r="D1469" s="25">
        <v>45113</v>
      </c>
      <c r="E1469" t="s">
        <v>19</v>
      </c>
      <c r="F1469">
        <v>38904</v>
      </c>
      <c r="G1469">
        <v>663</v>
      </c>
      <c r="H1469" s="26">
        <v>1001.81</v>
      </c>
      <c r="I1469">
        <v>58</v>
      </c>
      <c r="J1469" t="b">
        <v>1</v>
      </c>
      <c r="L1469" t="s">
        <v>20</v>
      </c>
    </row>
    <row r="1470" spans="1:12">
      <c r="A1470" t="s">
        <v>3038</v>
      </c>
      <c r="B1470" t="s">
        <v>3039</v>
      </c>
      <c r="C1470" s="27">
        <v>45047</v>
      </c>
      <c r="D1470" s="25">
        <v>45058</v>
      </c>
      <c r="E1470" t="s">
        <v>138</v>
      </c>
      <c r="F1470">
        <v>55912</v>
      </c>
      <c r="G1470">
        <v>1037</v>
      </c>
      <c r="H1470">
        <v>1831.83</v>
      </c>
      <c r="I1470">
        <v>207</v>
      </c>
      <c r="J1470" t="b">
        <v>1</v>
      </c>
      <c r="L1470" t="s">
        <v>139</v>
      </c>
    </row>
    <row r="1471" spans="1:12">
      <c r="A1471" t="s">
        <v>3040</v>
      </c>
      <c r="B1471" t="s">
        <v>3041</v>
      </c>
      <c r="C1471" s="27">
        <v>45026</v>
      </c>
      <c r="D1471" s="25">
        <v>45037</v>
      </c>
      <c r="E1471" t="s">
        <v>33</v>
      </c>
      <c r="F1471">
        <v>35008</v>
      </c>
      <c r="G1471">
        <v>368</v>
      </c>
      <c r="H1471" s="26">
        <v>689.53</v>
      </c>
      <c r="I1471">
        <v>28</v>
      </c>
      <c r="J1471" t="s">
        <v>24</v>
      </c>
      <c r="L1471" t="s">
        <v>34</v>
      </c>
    </row>
    <row r="1472" spans="1:12">
      <c r="A1472" t="s">
        <v>3042</v>
      </c>
      <c r="B1472" t="s">
        <v>3043</v>
      </c>
      <c r="C1472" s="27">
        <v>45242</v>
      </c>
      <c r="D1472" s="25">
        <v>45243</v>
      </c>
      <c r="E1472" t="s">
        <v>138</v>
      </c>
      <c r="F1472">
        <v>1060</v>
      </c>
      <c r="G1472">
        <v>11</v>
      </c>
      <c r="H1472">
        <v>17.35</v>
      </c>
      <c r="I1472">
        <v>0</v>
      </c>
      <c r="J1472">
        <v>0</v>
      </c>
      <c r="L1472" t="s">
        <v>139</v>
      </c>
    </row>
    <row r="1473" spans="1:12">
      <c r="A1473" t="s">
        <v>3044</v>
      </c>
      <c r="B1473" t="s">
        <v>3045</v>
      </c>
      <c r="C1473" s="27">
        <v>45005</v>
      </c>
      <c r="D1473" s="25">
        <v>45021</v>
      </c>
      <c r="E1473" t="s">
        <v>41</v>
      </c>
      <c r="F1473">
        <v>75666</v>
      </c>
      <c r="G1473">
        <v>3266</v>
      </c>
      <c r="H1473">
        <v>3022.4</v>
      </c>
      <c r="I1473">
        <v>211</v>
      </c>
      <c r="J1473" t="s">
        <v>24</v>
      </c>
      <c r="L1473" t="s">
        <v>42</v>
      </c>
    </row>
    <row r="1474" spans="1:12">
      <c r="A1474" t="s">
        <v>3046</v>
      </c>
      <c r="B1474" t="s">
        <v>3047</v>
      </c>
      <c r="C1474" s="27">
        <v>45088</v>
      </c>
      <c r="D1474" s="25">
        <v>45105</v>
      </c>
      <c r="E1474" t="s">
        <v>14</v>
      </c>
      <c r="F1474">
        <v>84559</v>
      </c>
      <c r="G1474">
        <v>3321</v>
      </c>
      <c r="H1474">
        <v>3285.87</v>
      </c>
      <c r="I1474">
        <v>454</v>
      </c>
      <c r="J1474">
        <v>0</v>
      </c>
      <c r="L1474" t="s">
        <v>16</v>
      </c>
    </row>
    <row r="1475" spans="1:12">
      <c r="A1475" t="s">
        <v>3048</v>
      </c>
      <c r="B1475" t="s">
        <v>3049</v>
      </c>
      <c r="C1475" s="27">
        <v>45087</v>
      </c>
      <c r="D1475" s="25">
        <v>45107</v>
      </c>
      <c r="E1475" t="s">
        <v>33</v>
      </c>
      <c r="F1475">
        <v>56337</v>
      </c>
      <c r="G1475">
        <v>1363</v>
      </c>
      <c r="H1475">
        <v>723.94</v>
      </c>
      <c r="I1475">
        <v>196</v>
      </c>
      <c r="J1475" t="s">
        <v>24</v>
      </c>
      <c r="L1475" t="s">
        <v>34</v>
      </c>
    </row>
    <row r="1476" spans="1:12">
      <c r="A1476" t="s">
        <v>3050</v>
      </c>
      <c r="B1476" t="s">
        <v>3051</v>
      </c>
      <c r="C1476" s="27">
        <v>45255</v>
      </c>
      <c r="D1476" s="25">
        <v>45268</v>
      </c>
      <c r="E1476" t="s">
        <v>138</v>
      </c>
      <c r="F1476">
        <v>14350</v>
      </c>
      <c r="G1476">
        <v>544</v>
      </c>
      <c r="H1476" s="26">
        <v>892.88</v>
      </c>
      <c r="I1476">
        <v>57</v>
      </c>
      <c r="J1476" t="s">
        <v>24</v>
      </c>
      <c r="L1476" t="s">
        <v>139</v>
      </c>
    </row>
    <row r="1477" spans="1:12">
      <c r="A1477" t="s">
        <v>3052</v>
      </c>
      <c r="B1477" t="s">
        <v>3053</v>
      </c>
      <c r="C1477" s="27">
        <v>44995</v>
      </c>
      <c r="D1477" s="25">
        <v>45022</v>
      </c>
      <c r="E1477" t="s">
        <v>41</v>
      </c>
      <c r="F1477">
        <v>25354</v>
      </c>
      <c r="G1477">
        <v>654</v>
      </c>
      <c r="H1477">
        <v>368.93</v>
      </c>
      <c r="I1477">
        <v>85</v>
      </c>
      <c r="J1477" t="s">
        <v>30</v>
      </c>
      <c r="L1477" t="s">
        <v>42</v>
      </c>
    </row>
    <row r="1478" spans="1:12">
      <c r="A1478" t="s">
        <v>3054</v>
      </c>
      <c r="B1478" t="s">
        <v>3055</v>
      </c>
      <c r="C1478" s="27">
        <v>45172</v>
      </c>
      <c r="D1478" s="25">
        <v>45187</v>
      </c>
      <c r="E1478" t="s">
        <v>33</v>
      </c>
      <c r="F1478">
        <v>46186</v>
      </c>
      <c r="G1478">
        <v>2222</v>
      </c>
      <c r="H1478">
        <v>3992.89</v>
      </c>
      <c r="I1478">
        <v>373</v>
      </c>
      <c r="J1478">
        <v>0</v>
      </c>
      <c r="L1478" t="s">
        <v>34</v>
      </c>
    </row>
    <row r="1479" spans="1:12">
      <c r="A1479" t="s">
        <v>3056</v>
      </c>
      <c r="B1479" t="s">
        <v>3057</v>
      </c>
      <c r="C1479" s="27">
        <v>45083</v>
      </c>
      <c r="D1479" s="25">
        <v>45103</v>
      </c>
      <c r="E1479" t="s">
        <v>14</v>
      </c>
      <c r="F1479">
        <v>29145</v>
      </c>
      <c r="G1479">
        <v>1418</v>
      </c>
      <c r="H1479">
        <v>961.39</v>
      </c>
      <c r="J1479" t="s">
        <v>30</v>
      </c>
      <c r="L1479" t="s">
        <v>16</v>
      </c>
    </row>
    <row r="1480" spans="1:12">
      <c r="A1480" t="s">
        <v>3058</v>
      </c>
      <c r="B1480" t="s">
        <v>3059</v>
      </c>
      <c r="C1480" s="27">
        <v>45257</v>
      </c>
      <c r="D1480" s="25">
        <v>45264</v>
      </c>
      <c r="E1480" t="s">
        <v>14</v>
      </c>
      <c r="F1480">
        <v>35020</v>
      </c>
      <c r="G1480">
        <v>900</v>
      </c>
      <c r="H1480">
        <v>682.03</v>
      </c>
      <c r="J1480">
        <v>1</v>
      </c>
      <c r="L1480" t="s">
        <v>16</v>
      </c>
    </row>
    <row r="1481" spans="1:12">
      <c r="A1481" t="s">
        <v>3060</v>
      </c>
      <c r="B1481" t="s">
        <v>3061</v>
      </c>
      <c r="C1481" s="27">
        <v>44998</v>
      </c>
      <c r="D1481" s="25">
        <v>45010</v>
      </c>
      <c r="E1481" t="s">
        <v>234</v>
      </c>
      <c r="F1481">
        <v>87123</v>
      </c>
      <c r="G1481">
        <v>3848</v>
      </c>
      <c r="H1481">
        <v>4674.51</v>
      </c>
      <c r="I1481">
        <v>668</v>
      </c>
      <c r="J1481" t="s">
        <v>30</v>
      </c>
      <c r="L1481" t="s">
        <v>16</v>
      </c>
    </row>
    <row r="1482" spans="1:12">
      <c r="A1482" t="s">
        <v>3062</v>
      </c>
      <c r="B1482" t="s">
        <v>3063</v>
      </c>
      <c r="C1482" t="s">
        <v>3064</v>
      </c>
      <c r="D1482" s="25">
        <v>45252</v>
      </c>
      <c r="E1482" t="s">
        <v>14</v>
      </c>
      <c r="F1482">
        <v>76186</v>
      </c>
      <c r="G1482">
        <v>3117</v>
      </c>
      <c r="H1482" s="26">
        <v>5008.46</v>
      </c>
      <c r="I1482">
        <v>419</v>
      </c>
      <c r="J1482" t="b">
        <v>1</v>
      </c>
      <c r="L1482" t="s">
        <v>68</v>
      </c>
    </row>
    <row r="1483" spans="1:12">
      <c r="A1483" t="s">
        <v>3065</v>
      </c>
      <c r="B1483" t="s">
        <v>3066</v>
      </c>
      <c r="C1483" s="27">
        <v>44965</v>
      </c>
      <c r="D1483" s="25">
        <v>44988</v>
      </c>
      <c r="E1483" t="s">
        <v>19</v>
      </c>
      <c r="F1483">
        <v>86469</v>
      </c>
      <c r="G1483">
        <v>1936</v>
      </c>
      <c r="H1483">
        <v>1371.66</v>
      </c>
      <c r="I1483">
        <v>148</v>
      </c>
      <c r="J1483" t="s">
        <v>15</v>
      </c>
      <c r="L1483" t="s">
        <v>20</v>
      </c>
    </row>
    <row r="1484" spans="1:12">
      <c r="A1484" t="s">
        <v>3067</v>
      </c>
      <c r="B1484" t="s">
        <v>3068</v>
      </c>
      <c r="C1484" t="s">
        <v>3069</v>
      </c>
      <c r="D1484" s="25">
        <v>45253</v>
      </c>
      <c r="E1484" t="s">
        <v>41</v>
      </c>
      <c r="F1484">
        <v>21581</v>
      </c>
      <c r="G1484">
        <v>416</v>
      </c>
      <c r="H1484" s="26">
        <v>482.6</v>
      </c>
      <c r="I1484">
        <v>27</v>
      </c>
      <c r="J1484" t="s">
        <v>15</v>
      </c>
      <c r="L1484" t="s">
        <v>42</v>
      </c>
    </row>
    <row r="1485" spans="1:12">
      <c r="A1485" t="s">
        <v>3070</v>
      </c>
      <c r="B1485" t="s">
        <v>3071</v>
      </c>
      <c r="C1485" s="27">
        <v>45224</v>
      </c>
      <c r="D1485" s="25">
        <v>45244</v>
      </c>
      <c r="E1485" t="s">
        <v>33</v>
      </c>
      <c r="F1485">
        <v>89929</v>
      </c>
      <c r="G1485">
        <v>2547</v>
      </c>
      <c r="H1485">
        <v>3118.23</v>
      </c>
      <c r="I1485">
        <v>148</v>
      </c>
      <c r="J1485" t="b">
        <v>0</v>
      </c>
      <c r="L1485" t="s">
        <v>34</v>
      </c>
    </row>
    <row r="1486" spans="1:12">
      <c r="A1486" t="s">
        <v>3072</v>
      </c>
      <c r="B1486" t="s">
        <v>3073</v>
      </c>
      <c r="C1486" s="27">
        <v>45035</v>
      </c>
      <c r="D1486" s="25">
        <v>45062</v>
      </c>
      <c r="E1486" t="s">
        <v>33</v>
      </c>
      <c r="F1486">
        <v>24051</v>
      </c>
      <c r="G1486">
        <v>992</v>
      </c>
      <c r="H1486">
        <v>811.88</v>
      </c>
      <c r="I1486">
        <v>148</v>
      </c>
      <c r="J1486" t="b">
        <v>0</v>
      </c>
      <c r="L1486" t="s">
        <v>34</v>
      </c>
    </row>
    <row r="1487" spans="1:12">
      <c r="A1487" t="s">
        <v>3074</v>
      </c>
      <c r="B1487" t="s">
        <v>3075</v>
      </c>
      <c r="C1487" s="27">
        <v>45205</v>
      </c>
      <c r="D1487" s="25">
        <v>45228</v>
      </c>
      <c r="E1487" t="s">
        <v>14</v>
      </c>
      <c r="F1487">
        <v>52474</v>
      </c>
      <c r="G1487">
        <v>2540</v>
      </c>
      <c r="H1487">
        <v>1710.28</v>
      </c>
      <c r="I1487">
        <v>434</v>
      </c>
      <c r="J1487" t="s">
        <v>30</v>
      </c>
      <c r="L1487" t="s">
        <v>16</v>
      </c>
    </row>
    <row r="1488" spans="1:12">
      <c r="A1488" t="s">
        <v>3076</v>
      </c>
      <c r="B1488" t="s">
        <v>3077</v>
      </c>
      <c r="C1488" s="27">
        <v>45261</v>
      </c>
      <c r="D1488" s="25">
        <v>45283</v>
      </c>
      <c r="E1488" t="s">
        <v>41</v>
      </c>
      <c r="F1488">
        <v>92748</v>
      </c>
      <c r="G1488">
        <v>3760</v>
      </c>
      <c r="H1488">
        <v>6597.41</v>
      </c>
      <c r="I1488">
        <v>474</v>
      </c>
      <c r="J1488" t="s">
        <v>24</v>
      </c>
      <c r="L1488" t="s">
        <v>42</v>
      </c>
    </row>
    <row r="1489" spans="1:12">
      <c r="A1489" t="s">
        <v>3078</v>
      </c>
      <c r="B1489" t="s">
        <v>3079</v>
      </c>
      <c r="C1489" s="27">
        <v>45041</v>
      </c>
      <c r="D1489" s="25">
        <v>45054</v>
      </c>
      <c r="E1489" t="s">
        <v>23</v>
      </c>
      <c r="F1489">
        <v>70626</v>
      </c>
      <c r="G1489">
        <v>3122</v>
      </c>
      <c r="H1489">
        <v>3914.05</v>
      </c>
      <c r="I1489">
        <v>181</v>
      </c>
      <c r="J1489" t="s">
        <v>24</v>
      </c>
      <c r="L1489" t="s">
        <v>25</v>
      </c>
    </row>
    <row r="1490" spans="1:12">
      <c r="A1490" t="s">
        <v>3080</v>
      </c>
      <c r="B1490" t="s">
        <v>3081</v>
      </c>
      <c r="C1490" s="27">
        <v>45075</v>
      </c>
      <c r="D1490" s="25">
        <v>45081</v>
      </c>
      <c r="E1490" t="s">
        <v>138</v>
      </c>
      <c r="F1490">
        <v>7960</v>
      </c>
      <c r="G1490">
        <v>271</v>
      </c>
      <c r="H1490">
        <v>141.35</v>
      </c>
      <c r="I1490">
        <v>35</v>
      </c>
      <c r="J1490" t="s">
        <v>15</v>
      </c>
      <c r="L1490" t="s">
        <v>139</v>
      </c>
    </row>
    <row r="1491" spans="1:12">
      <c r="A1491" t="s">
        <v>3082</v>
      </c>
      <c r="B1491" t="s">
        <v>3083</v>
      </c>
      <c r="C1491" s="27">
        <v>44973</v>
      </c>
      <c r="D1491" s="25">
        <v>44999</v>
      </c>
      <c r="E1491" t="s">
        <v>14</v>
      </c>
      <c r="F1491">
        <v>36772</v>
      </c>
      <c r="G1491">
        <v>1596</v>
      </c>
      <c r="H1491">
        <v>2720.34</v>
      </c>
      <c r="J1491" t="b">
        <v>1</v>
      </c>
      <c r="L1491" t="s">
        <v>16</v>
      </c>
    </row>
    <row r="1492" spans="1:12">
      <c r="A1492" t="s">
        <v>3084</v>
      </c>
      <c r="B1492" t="s">
        <v>3085</v>
      </c>
      <c r="C1492" s="27">
        <v>45266</v>
      </c>
      <c r="D1492" s="25">
        <v>45279</v>
      </c>
      <c r="E1492" t="s">
        <v>415</v>
      </c>
      <c r="F1492">
        <v>22520</v>
      </c>
      <c r="G1492">
        <v>931</v>
      </c>
      <c r="H1492">
        <v>1835.18</v>
      </c>
      <c r="I1492">
        <v>130</v>
      </c>
      <c r="J1492">
        <v>0</v>
      </c>
      <c r="L1492" t="s">
        <v>34</v>
      </c>
    </row>
    <row r="1493" spans="1:12">
      <c r="A1493" t="s">
        <v>3086</v>
      </c>
      <c r="B1493" t="s">
        <v>3087</v>
      </c>
      <c r="C1493" s="27">
        <v>45241</v>
      </c>
      <c r="D1493" s="25">
        <v>45248</v>
      </c>
      <c r="E1493" t="s">
        <v>23</v>
      </c>
      <c r="F1493">
        <v>50481</v>
      </c>
      <c r="G1493">
        <v>1266</v>
      </c>
      <c r="H1493" s="26">
        <v>1783.65</v>
      </c>
      <c r="I1493">
        <v>217</v>
      </c>
      <c r="J1493" t="b">
        <v>1</v>
      </c>
      <c r="L1493" t="s">
        <v>25</v>
      </c>
    </row>
    <row r="1494" spans="1:12">
      <c r="A1494" t="s">
        <v>3088</v>
      </c>
      <c r="B1494" t="s">
        <v>3089</v>
      </c>
      <c r="C1494" s="27">
        <v>44998</v>
      </c>
      <c r="D1494" s="25">
        <v>45005</v>
      </c>
      <c r="E1494" t="s">
        <v>41</v>
      </c>
      <c r="F1494">
        <v>37408</v>
      </c>
      <c r="G1494">
        <v>1200</v>
      </c>
      <c r="H1494">
        <v>1506.68</v>
      </c>
      <c r="I1494">
        <v>204</v>
      </c>
      <c r="J1494" t="b">
        <v>1</v>
      </c>
      <c r="L1494" t="s">
        <v>42</v>
      </c>
    </row>
    <row r="1495" spans="1:12">
      <c r="A1495" t="s">
        <v>3090</v>
      </c>
      <c r="B1495" t="s">
        <v>3091</v>
      </c>
      <c r="C1495" s="27">
        <v>45216</v>
      </c>
      <c r="D1495" s="25">
        <v>45227</v>
      </c>
      <c r="E1495" t="s">
        <v>14</v>
      </c>
      <c r="F1495">
        <v>95006</v>
      </c>
      <c r="G1495">
        <v>4008</v>
      </c>
      <c r="H1495">
        <v>7285.04</v>
      </c>
      <c r="I1495">
        <v>760</v>
      </c>
      <c r="J1495" t="s">
        <v>30</v>
      </c>
      <c r="L1495" t="s">
        <v>16</v>
      </c>
    </row>
    <row r="1496" spans="1:12">
      <c r="A1496" t="s">
        <v>3092</v>
      </c>
      <c r="B1496" t="s">
        <v>3093</v>
      </c>
      <c r="C1496" s="25">
        <v>45174</v>
      </c>
      <c r="D1496" s="25">
        <v>45067</v>
      </c>
      <c r="E1496" t="s">
        <v>41</v>
      </c>
      <c r="F1496">
        <v>58134</v>
      </c>
      <c r="G1496">
        <v>688</v>
      </c>
      <c r="H1496">
        <v>1327</v>
      </c>
      <c r="I1496">
        <v>113</v>
      </c>
      <c r="J1496" t="s">
        <v>30</v>
      </c>
      <c r="L1496" t="s">
        <v>42</v>
      </c>
    </row>
    <row r="1497" spans="1:12">
      <c r="A1497" t="s">
        <v>3094</v>
      </c>
      <c r="B1497" t="s">
        <v>3095</v>
      </c>
      <c r="C1497" s="27">
        <v>45176</v>
      </c>
      <c r="D1497" s="25">
        <v>45189</v>
      </c>
      <c r="E1497" t="s">
        <v>41</v>
      </c>
      <c r="F1497">
        <v>21491</v>
      </c>
      <c r="G1497">
        <v>909</v>
      </c>
      <c r="H1497">
        <v>1483.31</v>
      </c>
      <c r="J1497">
        <v>1</v>
      </c>
      <c r="L1497" t="s">
        <v>68</v>
      </c>
    </row>
    <row r="1498" spans="1:12">
      <c r="A1498" t="s">
        <v>3096</v>
      </c>
      <c r="B1498" t="s">
        <v>3097</v>
      </c>
      <c r="C1498" t="s">
        <v>3098</v>
      </c>
      <c r="D1498" s="25">
        <v>45055</v>
      </c>
      <c r="E1498" t="s">
        <v>23</v>
      </c>
      <c r="F1498">
        <v>2341</v>
      </c>
      <c r="G1498">
        <v>40</v>
      </c>
      <c r="H1498" s="26">
        <v>46.73</v>
      </c>
      <c r="I1498">
        <v>3</v>
      </c>
      <c r="J1498" t="b">
        <v>1</v>
      </c>
      <c r="L1498" t="s">
        <v>25</v>
      </c>
    </row>
    <row r="1499" spans="1:12">
      <c r="A1499" t="s">
        <v>3099</v>
      </c>
      <c r="B1499" t="s">
        <v>3100</v>
      </c>
      <c r="C1499" s="27">
        <v>45032</v>
      </c>
      <c r="D1499" s="25">
        <v>45027</v>
      </c>
      <c r="E1499" t="s">
        <v>19</v>
      </c>
      <c r="F1499">
        <v>45623</v>
      </c>
      <c r="G1499">
        <v>1395</v>
      </c>
      <c r="H1499">
        <v>1936.72</v>
      </c>
      <c r="I1499">
        <v>82</v>
      </c>
      <c r="J1499" t="s">
        <v>24</v>
      </c>
      <c r="L1499" t="s">
        <v>20</v>
      </c>
    </row>
    <row r="1500" spans="1:12">
      <c r="A1500" t="s">
        <v>3101</v>
      </c>
      <c r="B1500" t="s">
        <v>3102</v>
      </c>
      <c r="C1500" s="27">
        <v>45125</v>
      </c>
      <c r="D1500" s="25">
        <v>45148</v>
      </c>
      <c r="E1500" t="s">
        <v>19</v>
      </c>
      <c r="F1500">
        <v>91327</v>
      </c>
      <c r="G1500">
        <v>3865</v>
      </c>
      <c r="H1500">
        <v>5996.17</v>
      </c>
      <c r="I1500">
        <v>493</v>
      </c>
      <c r="J1500" t="s">
        <v>24</v>
      </c>
      <c r="L1500" t="s">
        <v>20</v>
      </c>
    </row>
    <row r="1501" spans="1:12">
      <c r="A1501" t="s">
        <v>3103</v>
      </c>
      <c r="B1501" t="s">
        <v>3104</v>
      </c>
      <c r="C1501" t="s">
        <v>2733</v>
      </c>
      <c r="D1501" s="25">
        <v>44960</v>
      </c>
      <c r="E1501" t="s">
        <v>23</v>
      </c>
      <c r="F1501">
        <v>1338</v>
      </c>
      <c r="G1501">
        <v>26</v>
      </c>
      <c r="H1501">
        <v>20.58</v>
      </c>
      <c r="J1501" t="b">
        <v>1</v>
      </c>
      <c r="L1501" t="s">
        <v>25</v>
      </c>
    </row>
    <row r="1502" spans="1:12">
      <c r="A1502" t="s">
        <v>3105</v>
      </c>
      <c r="B1502" t="s">
        <v>3106</v>
      </c>
      <c r="C1502" s="27">
        <v>45259</v>
      </c>
      <c r="D1502" s="25">
        <v>45288</v>
      </c>
      <c r="E1502" t="s">
        <v>14</v>
      </c>
      <c r="F1502">
        <v>72431</v>
      </c>
      <c r="G1502">
        <v>1436</v>
      </c>
      <c r="H1502">
        <v>1681.27</v>
      </c>
      <c r="I1502">
        <v>279</v>
      </c>
      <c r="J1502" t="s">
        <v>30</v>
      </c>
      <c r="L1502" t="s">
        <v>16</v>
      </c>
    </row>
    <row r="1503" spans="1:12">
      <c r="A1503" t="s">
        <v>3107</v>
      </c>
      <c r="B1503" t="s">
        <v>3108</v>
      </c>
      <c r="C1503" s="27">
        <v>45193</v>
      </c>
      <c r="D1503" s="25">
        <v>45201</v>
      </c>
      <c r="E1503" t="s">
        <v>138</v>
      </c>
      <c r="F1503">
        <v>13254</v>
      </c>
      <c r="G1503">
        <v>346</v>
      </c>
      <c r="H1503">
        <v>603.68</v>
      </c>
      <c r="I1503">
        <v>32</v>
      </c>
      <c r="J1503" t="s">
        <v>30</v>
      </c>
      <c r="L1503" t="s">
        <v>139</v>
      </c>
    </row>
    <row r="1504" spans="1:12">
      <c r="A1504" t="s">
        <v>3109</v>
      </c>
      <c r="B1504" t="s">
        <v>3110</v>
      </c>
      <c r="C1504" s="27">
        <v>45061</v>
      </c>
      <c r="D1504" s="25">
        <v>45074</v>
      </c>
      <c r="E1504" t="s">
        <v>14</v>
      </c>
      <c r="F1504">
        <v>52860</v>
      </c>
      <c r="G1504">
        <v>2420</v>
      </c>
      <c r="H1504">
        <v>3586.65</v>
      </c>
      <c r="I1504">
        <v>430</v>
      </c>
      <c r="J1504">
        <v>1</v>
      </c>
      <c r="L1504" t="s">
        <v>16</v>
      </c>
    </row>
    <row r="1505" spans="1:12">
      <c r="A1505" t="s">
        <v>3111</v>
      </c>
      <c r="B1505" t="s">
        <v>3112</v>
      </c>
      <c r="C1505" s="27">
        <v>45119</v>
      </c>
      <c r="D1505" s="25">
        <v>45139</v>
      </c>
      <c r="E1505" t="s">
        <v>41</v>
      </c>
      <c r="F1505">
        <v>12344</v>
      </c>
      <c r="G1505">
        <v>123</v>
      </c>
      <c r="H1505">
        <v>137.37</v>
      </c>
      <c r="I1505">
        <v>13</v>
      </c>
      <c r="J1505">
        <v>1</v>
      </c>
      <c r="L1505" t="s">
        <v>42</v>
      </c>
    </row>
    <row r="1506" spans="1:12">
      <c r="A1506" t="s">
        <v>3113</v>
      </c>
      <c r="B1506" t="s">
        <v>3114</v>
      </c>
      <c r="C1506" s="25">
        <v>45261</v>
      </c>
      <c r="D1506" s="25">
        <v>44967</v>
      </c>
      <c r="E1506" t="s">
        <v>14</v>
      </c>
      <c r="F1506">
        <v>2750</v>
      </c>
      <c r="G1506">
        <v>126</v>
      </c>
      <c r="H1506">
        <v>188.38</v>
      </c>
      <c r="I1506">
        <v>12</v>
      </c>
      <c r="J1506" t="b">
        <v>0</v>
      </c>
      <c r="L1506" t="s">
        <v>16</v>
      </c>
    </row>
    <row r="1507" spans="1:12">
      <c r="A1507" t="s">
        <v>3115</v>
      </c>
      <c r="B1507" t="s">
        <v>3116</v>
      </c>
      <c r="C1507" s="27">
        <v>45055</v>
      </c>
      <c r="D1507" s="25">
        <v>45071</v>
      </c>
      <c r="E1507" t="s">
        <v>33</v>
      </c>
      <c r="F1507">
        <v>55756</v>
      </c>
      <c r="G1507">
        <v>900</v>
      </c>
      <c r="H1507">
        <v>609.6</v>
      </c>
      <c r="I1507">
        <v>171</v>
      </c>
      <c r="J1507" t="s">
        <v>15</v>
      </c>
      <c r="L1507" t="s">
        <v>68</v>
      </c>
    </row>
    <row r="1508" spans="1:12">
      <c r="A1508" t="s">
        <v>3117</v>
      </c>
      <c r="B1508" t="s">
        <v>3118</v>
      </c>
      <c r="C1508" s="27">
        <v>45191</v>
      </c>
      <c r="D1508" s="25">
        <v>45192</v>
      </c>
      <c r="E1508" t="s">
        <v>19</v>
      </c>
      <c r="F1508">
        <v>68957</v>
      </c>
      <c r="G1508">
        <v>3420</v>
      </c>
      <c r="H1508" s="26">
        <v>3769.68</v>
      </c>
      <c r="I1508">
        <v>357</v>
      </c>
      <c r="J1508" t="b">
        <v>1</v>
      </c>
      <c r="L1508" t="s">
        <v>20</v>
      </c>
    </row>
    <row r="1509" spans="1:12">
      <c r="A1509" t="s">
        <v>3119</v>
      </c>
      <c r="B1509" t="s">
        <v>3120</v>
      </c>
      <c r="C1509" s="27">
        <v>45103</v>
      </c>
      <c r="D1509" s="25">
        <v>45125</v>
      </c>
      <c r="E1509" t="s">
        <v>41</v>
      </c>
      <c r="F1509">
        <v>59053</v>
      </c>
      <c r="G1509">
        <v>2845</v>
      </c>
      <c r="H1509">
        <v>4807.18</v>
      </c>
      <c r="I1509">
        <v>308</v>
      </c>
      <c r="J1509" t="s">
        <v>24</v>
      </c>
      <c r="L1509" t="s">
        <v>42</v>
      </c>
    </row>
    <row r="1510" spans="1:12">
      <c r="A1510" t="s">
        <v>3121</v>
      </c>
      <c r="B1510" t="s">
        <v>3122</v>
      </c>
      <c r="C1510" s="25">
        <v>45088</v>
      </c>
      <c r="D1510" s="25">
        <v>45266</v>
      </c>
      <c r="E1510" t="s">
        <v>19</v>
      </c>
      <c r="F1510">
        <v>71855</v>
      </c>
      <c r="G1510">
        <v>2140</v>
      </c>
      <c r="H1510">
        <v>1777.83</v>
      </c>
      <c r="I1510">
        <v>141</v>
      </c>
      <c r="J1510" t="b">
        <v>1</v>
      </c>
      <c r="L1510" t="s">
        <v>20</v>
      </c>
    </row>
    <row r="1511" spans="1:12">
      <c r="A1511" t="s">
        <v>3123</v>
      </c>
      <c r="B1511" t="s">
        <v>3124</v>
      </c>
      <c r="C1511" s="27">
        <v>44998</v>
      </c>
      <c r="D1511" s="25">
        <v>45017</v>
      </c>
      <c r="E1511" t="s">
        <v>138</v>
      </c>
      <c r="F1511">
        <v>16896</v>
      </c>
      <c r="G1511">
        <v>515</v>
      </c>
      <c r="H1511">
        <v>401.16</v>
      </c>
      <c r="I1511">
        <v>77</v>
      </c>
      <c r="J1511">
        <v>1</v>
      </c>
      <c r="L1511" t="s">
        <v>139</v>
      </c>
    </row>
    <row r="1512" spans="1:12">
      <c r="A1512" t="s">
        <v>3125</v>
      </c>
      <c r="B1512" t="s">
        <v>3126</v>
      </c>
      <c r="C1512" s="27">
        <v>45190</v>
      </c>
      <c r="D1512" s="25">
        <v>45198</v>
      </c>
      <c r="E1512" t="s">
        <v>138</v>
      </c>
      <c r="F1512">
        <v>56761</v>
      </c>
      <c r="G1512">
        <v>1660</v>
      </c>
      <c r="H1512" s="26">
        <v>3197.54</v>
      </c>
      <c r="I1512">
        <v>154</v>
      </c>
      <c r="J1512">
        <v>1</v>
      </c>
      <c r="L1512" t="s">
        <v>139</v>
      </c>
    </row>
    <row r="1513" spans="1:12">
      <c r="A1513" t="s">
        <v>3127</v>
      </c>
      <c r="B1513" t="s">
        <v>3128</v>
      </c>
      <c r="C1513" s="27">
        <v>45022</v>
      </c>
      <c r="D1513" s="25">
        <v>45043</v>
      </c>
      <c r="E1513" t="s">
        <v>33</v>
      </c>
      <c r="F1513">
        <v>63552</v>
      </c>
      <c r="G1513">
        <v>2250</v>
      </c>
      <c r="H1513">
        <v>1833.4</v>
      </c>
      <c r="I1513">
        <v>310</v>
      </c>
      <c r="J1513" t="b">
        <v>0</v>
      </c>
      <c r="L1513" t="s">
        <v>34</v>
      </c>
    </row>
    <row r="1514" spans="1:12">
      <c r="A1514" t="s">
        <v>3129</v>
      </c>
      <c r="B1514" t="s">
        <v>3130</v>
      </c>
      <c r="C1514" s="27">
        <v>44987</v>
      </c>
      <c r="D1514" s="25">
        <v>45010</v>
      </c>
      <c r="E1514" t="s">
        <v>23</v>
      </c>
      <c r="F1514">
        <v>78454</v>
      </c>
      <c r="G1514">
        <v>1069</v>
      </c>
      <c r="H1514">
        <v>952.88</v>
      </c>
      <c r="I1514">
        <v>148</v>
      </c>
      <c r="J1514" t="s">
        <v>15</v>
      </c>
      <c r="L1514" t="s">
        <v>25</v>
      </c>
    </row>
    <row r="1515" spans="1:12">
      <c r="A1515" t="s">
        <v>3131</v>
      </c>
      <c r="B1515" t="s">
        <v>3132</v>
      </c>
      <c r="C1515" s="27">
        <v>45096</v>
      </c>
      <c r="D1515" s="25">
        <v>45099</v>
      </c>
      <c r="E1515" t="s">
        <v>415</v>
      </c>
      <c r="F1515">
        <v>91600</v>
      </c>
      <c r="G1515">
        <v>1035</v>
      </c>
      <c r="H1515">
        <v>2022.83</v>
      </c>
      <c r="I1515">
        <v>163</v>
      </c>
      <c r="J1515" t="b">
        <v>0</v>
      </c>
      <c r="L1515" t="s">
        <v>34</v>
      </c>
    </row>
    <row r="1516" spans="1:12">
      <c r="A1516" t="s">
        <v>3133</v>
      </c>
      <c r="B1516" t="s">
        <v>3134</v>
      </c>
      <c r="C1516" s="27">
        <v>45172</v>
      </c>
      <c r="D1516" s="25">
        <v>45187</v>
      </c>
      <c r="E1516" t="s">
        <v>19</v>
      </c>
      <c r="F1516">
        <v>28935</v>
      </c>
      <c r="G1516">
        <v>356</v>
      </c>
      <c r="H1516">
        <v>570.33</v>
      </c>
      <c r="I1516">
        <v>57</v>
      </c>
      <c r="J1516" t="s">
        <v>24</v>
      </c>
      <c r="L1516" t="s">
        <v>20</v>
      </c>
    </row>
    <row r="1517" spans="1:12">
      <c r="A1517" t="s">
        <v>3135</v>
      </c>
      <c r="B1517" t="s">
        <v>3136</v>
      </c>
      <c r="C1517" s="25">
        <v>45258</v>
      </c>
      <c r="D1517" s="25">
        <v>45281</v>
      </c>
      <c r="E1517" t="s">
        <v>14</v>
      </c>
      <c r="F1517">
        <v>38641</v>
      </c>
      <c r="G1517">
        <v>1073</v>
      </c>
      <c r="H1517">
        <v>1662.5</v>
      </c>
      <c r="I1517">
        <v>136</v>
      </c>
      <c r="J1517" t="s">
        <v>15</v>
      </c>
      <c r="L1517" t="s">
        <v>16</v>
      </c>
    </row>
    <row r="1518" spans="1:12">
      <c r="A1518" t="s">
        <v>3137</v>
      </c>
      <c r="B1518" t="s">
        <v>3138</v>
      </c>
      <c r="C1518" s="27">
        <v>44949</v>
      </c>
      <c r="D1518" s="25">
        <v>44975</v>
      </c>
      <c r="E1518" t="s">
        <v>23</v>
      </c>
      <c r="F1518">
        <v>30711</v>
      </c>
      <c r="G1518">
        <v>645</v>
      </c>
      <c r="H1518">
        <v>1147.71</v>
      </c>
      <c r="I1518">
        <v>64</v>
      </c>
      <c r="J1518">
        <v>0</v>
      </c>
      <c r="L1518" t="s">
        <v>25</v>
      </c>
    </row>
    <row r="1519" spans="1:12">
      <c r="A1519" t="s">
        <v>3139</v>
      </c>
      <c r="B1519" t="s">
        <v>3140</v>
      </c>
      <c r="C1519" s="25">
        <v>44995</v>
      </c>
      <c r="D1519" s="25">
        <v>45203</v>
      </c>
      <c r="E1519" t="s">
        <v>19</v>
      </c>
      <c r="F1519">
        <v>71342</v>
      </c>
      <c r="G1519">
        <v>2488</v>
      </c>
      <c r="H1519">
        <v>1676.25</v>
      </c>
      <c r="I1519">
        <v>436</v>
      </c>
      <c r="J1519" t="b">
        <v>1</v>
      </c>
      <c r="L1519" t="s">
        <v>20</v>
      </c>
    </row>
    <row r="1520" spans="1:12">
      <c r="A1520" t="s">
        <v>3141</v>
      </c>
      <c r="B1520" t="s">
        <v>3142</v>
      </c>
      <c r="C1520" s="27">
        <v>45220</v>
      </c>
      <c r="D1520" s="25">
        <v>45233</v>
      </c>
      <c r="E1520" t="s">
        <v>138</v>
      </c>
      <c r="F1520">
        <v>13182</v>
      </c>
      <c r="G1520">
        <v>655</v>
      </c>
      <c r="H1520">
        <v>1021.1</v>
      </c>
      <c r="I1520">
        <v>63</v>
      </c>
      <c r="J1520" t="b">
        <v>0</v>
      </c>
      <c r="L1520" t="s">
        <v>139</v>
      </c>
    </row>
    <row r="1521" spans="1:12">
      <c r="A1521" t="s">
        <v>3143</v>
      </c>
      <c r="B1521" t="s">
        <v>3144</v>
      </c>
      <c r="C1521" s="27">
        <v>45019</v>
      </c>
      <c r="D1521" s="25">
        <v>45038</v>
      </c>
      <c r="E1521" t="s">
        <v>33</v>
      </c>
      <c r="F1521">
        <v>88833</v>
      </c>
      <c r="G1521">
        <v>2261</v>
      </c>
      <c r="H1521">
        <v>2838.76</v>
      </c>
      <c r="I1521">
        <v>285</v>
      </c>
      <c r="J1521">
        <v>1</v>
      </c>
      <c r="L1521" t="s">
        <v>34</v>
      </c>
    </row>
    <row r="1522" spans="1:12">
      <c r="A1522" t="s">
        <v>3145</v>
      </c>
      <c r="B1522" t="s">
        <v>3146</v>
      </c>
      <c r="C1522" s="27">
        <v>45215</v>
      </c>
      <c r="D1522" s="25">
        <v>45227</v>
      </c>
      <c r="E1522" t="s">
        <v>41</v>
      </c>
      <c r="F1522">
        <v>57276</v>
      </c>
      <c r="G1522">
        <v>1887</v>
      </c>
      <c r="H1522">
        <v>3290.41</v>
      </c>
      <c r="I1522">
        <v>207</v>
      </c>
      <c r="J1522" t="b">
        <v>0</v>
      </c>
      <c r="L1522" t="s">
        <v>42</v>
      </c>
    </row>
    <row r="1523" spans="1:12">
      <c r="A1523" t="s">
        <v>3147</v>
      </c>
      <c r="B1523" t="s">
        <v>3148</v>
      </c>
      <c r="C1523" s="27">
        <v>45265</v>
      </c>
      <c r="D1523" s="25">
        <v>45277</v>
      </c>
      <c r="E1523" t="s">
        <v>23</v>
      </c>
      <c r="F1523">
        <v>20541</v>
      </c>
      <c r="G1523">
        <v>546</v>
      </c>
      <c r="H1523">
        <v>689.17</v>
      </c>
      <c r="I1523">
        <v>97</v>
      </c>
      <c r="J1523">
        <v>0</v>
      </c>
      <c r="L1523" t="s">
        <v>25</v>
      </c>
    </row>
    <row r="1524" spans="1:12">
      <c r="A1524" t="s">
        <v>3149</v>
      </c>
      <c r="B1524" t="s">
        <v>3150</v>
      </c>
      <c r="C1524" s="27">
        <v>45037</v>
      </c>
      <c r="D1524" s="25">
        <v>45050</v>
      </c>
      <c r="E1524" t="s">
        <v>14</v>
      </c>
      <c r="F1524">
        <v>95457</v>
      </c>
      <c r="G1524">
        <v>4189</v>
      </c>
      <c r="H1524">
        <v>5991.79</v>
      </c>
      <c r="I1524">
        <v>480</v>
      </c>
      <c r="J1524" t="b">
        <v>0</v>
      </c>
      <c r="L1524" t="s">
        <v>16</v>
      </c>
    </row>
    <row r="1525" spans="1:12">
      <c r="A1525" t="s">
        <v>3151</v>
      </c>
      <c r="B1525" t="s">
        <v>3152</v>
      </c>
      <c r="C1525" s="27">
        <v>45173</v>
      </c>
      <c r="D1525" s="25">
        <v>45174</v>
      </c>
      <c r="E1525" t="s">
        <v>14</v>
      </c>
      <c r="F1525">
        <v>83310</v>
      </c>
      <c r="G1525">
        <v>3839</v>
      </c>
      <c r="H1525">
        <v>4670.58</v>
      </c>
      <c r="I1525">
        <v>414</v>
      </c>
      <c r="J1525" t="b">
        <v>1</v>
      </c>
      <c r="L1525" t="s">
        <v>16</v>
      </c>
    </row>
    <row r="1526" spans="1:12">
      <c r="A1526" t="s">
        <v>3153</v>
      </c>
      <c r="B1526" t="s">
        <v>3154</v>
      </c>
      <c r="C1526" s="27">
        <v>45234</v>
      </c>
      <c r="D1526" s="25">
        <v>45250</v>
      </c>
      <c r="E1526" t="s">
        <v>19</v>
      </c>
      <c r="F1526">
        <v>45813</v>
      </c>
      <c r="G1526">
        <v>2065</v>
      </c>
      <c r="H1526">
        <v>2513.6</v>
      </c>
      <c r="I1526">
        <v>316</v>
      </c>
      <c r="J1526">
        <v>0</v>
      </c>
      <c r="L1526" t="s">
        <v>20</v>
      </c>
    </row>
    <row r="1527" spans="1:12">
      <c r="A1527" t="s">
        <v>3155</v>
      </c>
      <c r="B1527" t="s">
        <v>3156</v>
      </c>
      <c r="C1527" s="27">
        <v>45020</v>
      </c>
      <c r="D1527" s="25">
        <v>45034</v>
      </c>
      <c r="E1527" t="s">
        <v>23</v>
      </c>
      <c r="F1527">
        <v>38198</v>
      </c>
      <c r="G1527">
        <v>1870</v>
      </c>
      <c r="H1527">
        <v>3089.16</v>
      </c>
      <c r="I1527">
        <v>262</v>
      </c>
      <c r="J1527">
        <v>1</v>
      </c>
      <c r="L1527" t="s">
        <v>25</v>
      </c>
    </row>
    <row r="1528" spans="1:12">
      <c r="A1528" t="s">
        <v>3157</v>
      </c>
      <c r="B1528" t="s">
        <v>3158</v>
      </c>
      <c r="C1528" s="27">
        <v>45012</v>
      </c>
      <c r="D1528" s="25">
        <v>45036</v>
      </c>
      <c r="E1528" t="s">
        <v>41</v>
      </c>
      <c r="F1528">
        <v>9820</v>
      </c>
      <c r="G1528">
        <v>109</v>
      </c>
      <c r="H1528">
        <v>157.27</v>
      </c>
      <c r="I1528">
        <v>7</v>
      </c>
      <c r="J1528">
        <v>1</v>
      </c>
      <c r="L1528" t="s">
        <v>42</v>
      </c>
    </row>
    <row r="1529" spans="1:12">
      <c r="A1529" t="s">
        <v>3159</v>
      </c>
      <c r="B1529" t="s">
        <v>3160</v>
      </c>
      <c r="C1529" s="25">
        <v>45159</v>
      </c>
      <c r="D1529" s="25">
        <v>45174</v>
      </c>
      <c r="E1529" t="s">
        <v>41</v>
      </c>
      <c r="F1529">
        <v>25070</v>
      </c>
      <c r="G1529">
        <v>1092</v>
      </c>
      <c r="H1529">
        <v>1583.29</v>
      </c>
      <c r="I1529">
        <v>137</v>
      </c>
      <c r="J1529" t="s">
        <v>30</v>
      </c>
      <c r="L1529" t="s">
        <v>42</v>
      </c>
    </row>
    <row r="1530" spans="1:12">
      <c r="A1530" t="s">
        <v>3161</v>
      </c>
      <c r="B1530" t="s">
        <v>3162</v>
      </c>
      <c r="C1530" s="27">
        <v>45120</v>
      </c>
      <c r="D1530" s="25">
        <v>45150</v>
      </c>
      <c r="E1530" t="s">
        <v>14</v>
      </c>
      <c r="F1530">
        <v>70768</v>
      </c>
      <c r="G1530">
        <v>2835</v>
      </c>
      <c r="H1530">
        <v>3332.33</v>
      </c>
      <c r="I1530">
        <v>454</v>
      </c>
      <c r="J1530">
        <v>0</v>
      </c>
      <c r="L1530" t="s">
        <v>16</v>
      </c>
    </row>
    <row r="1531" spans="1:12">
      <c r="A1531" t="s">
        <v>3163</v>
      </c>
      <c r="B1531" t="s">
        <v>3164</v>
      </c>
      <c r="C1531" s="27">
        <v>45030</v>
      </c>
      <c r="D1531" s="25">
        <v>45044</v>
      </c>
      <c r="E1531" t="s">
        <v>19</v>
      </c>
      <c r="F1531">
        <v>12122</v>
      </c>
      <c r="G1531">
        <v>232</v>
      </c>
      <c r="H1531">
        <v>300.83</v>
      </c>
      <c r="I1531">
        <v>46</v>
      </c>
      <c r="J1531" t="s">
        <v>30</v>
      </c>
      <c r="L1531" t="s">
        <v>20</v>
      </c>
    </row>
    <row r="1532" spans="1:12">
      <c r="A1532" t="s">
        <v>3165</v>
      </c>
      <c r="B1532" t="s">
        <v>3166</v>
      </c>
      <c r="C1532" s="27">
        <v>45277</v>
      </c>
      <c r="D1532" s="25">
        <v>45280</v>
      </c>
      <c r="E1532" t="s">
        <v>234</v>
      </c>
      <c r="F1532">
        <v>81559</v>
      </c>
      <c r="G1532">
        <v>3935</v>
      </c>
      <c r="H1532">
        <v>6369.1</v>
      </c>
      <c r="I1532">
        <v>568</v>
      </c>
      <c r="J1532" t="s">
        <v>30</v>
      </c>
      <c r="L1532" t="s">
        <v>16</v>
      </c>
    </row>
    <row r="1533" spans="1:12">
      <c r="A1533" t="s">
        <v>3167</v>
      </c>
      <c r="B1533" t="s">
        <v>3168</v>
      </c>
      <c r="C1533" s="27">
        <v>44976</v>
      </c>
      <c r="D1533" s="25">
        <v>44990</v>
      </c>
      <c r="E1533" t="s">
        <v>19</v>
      </c>
      <c r="F1533">
        <v>74543</v>
      </c>
      <c r="G1533">
        <v>1187</v>
      </c>
      <c r="H1533">
        <v>2064.09</v>
      </c>
      <c r="I1533">
        <v>125</v>
      </c>
      <c r="J1533" t="b">
        <v>1</v>
      </c>
      <c r="L1533" t="s">
        <v>20</v>
      </c>
    </row>
    <row r="1534" spans="1:12">
      <c r="A1534" t="s">
        <v>3169</v>
      </c>
      <c r="B1534" t="s">
        <v>3170</v>
      </c>
      <c r="C1534" s="25">
        <v>45027</v>
      </c>
      <c r="D1534" s="25">
        <v>45243</v>
      </c>
      <c r="E1534" t="s">
        <v>14</v>
      </c>
      <c r="F1534">
        <v>84441</v>
      </c>
      <c r="G1534">
        <v>3139</v>
      </c>
      <c r="H1534">
        <v>4849.26</v>
      </c>
      <c r="I1534">
        <v>263</v>
      </c>
      <c r="J1534" t="b">
        <v>0</v>
      </c>
      <c r="L1534" t="s">
        <v>16</v>
      </c>
    </row>
    <row r="1535" spans="1:12">
      <c r="A1535" t="s">
        <v>3171</v>
      </c>
      <c r="B1535" t="s">
        <v>3172</v>
      </c>
      <c r="C1535" s="27">
        <v>45199</v>
      </c>
      <c r="D1535" s="25">
        <v>45211</v>
      </c>
      <c r="E1535" t="s">
        <v>41</v>
      </c>
      <c r="F1535">
        <v>42786</v>
      </c>
      <c r="G1535">
        <v>812</v>
      </c>
      <c r="H1535">
        <v>1531.52</v>
      </c>
      <c r="I1535">
        <v>146</v>
      </c>
      <c r="J1535">
        <v>1</v>
      </c>
      <c r="K1535">
        <v>42843</v>
      </c>
      <c r="L1535" t="s">
        <v>42</v>
      </c>
    </row>
    <row r="1536" spans="1:12">
      <c r="A1536" t="s">
        <v>3173</v>
      </c>
      <c r="B1536" t="s">
        <v>3174</v>
      </c>
      <c r="C1536" s="27">
        <v>45173</v>
      </c>
      <c r="D1536" s="25">
        <v>45181</v>
      </c>
      <c r="E1536" t="s">
        <v>33</v>
      </c>
      <c r="F1536">
        <v>95934</v>
      </c>
      <c r="G1536">
        <v>2614</v>
      </c>
      <c r="H1536">
        <v>4523.49</v>
      </c>
      <c r="I1536">
        <v>450</v>
      </c>
      <c r="J1536">
        <v>1</v>
      </c>
      <c r="L1536" t="s">
        <v>34</v>
      </c>
    </row>
    <row r="1537" spans="1:12">
      <c r="A1537" t="s">
        <v>3175</v>
      </c>
      <c r="B1537" t="s">
        <v>3176</v>
      </c>
      <c r="C1537" s="27">
        <v>45203</v>
      </c>
      <c r="D1537" s="25">
        <v>45212</v>
      </c>
      <c r="E1537" t="s">
        <v>33</v>
      </c>
      <c r="F1537">
        <v>7737</v>
      </c>
      <c r="G1537">
        <v>299</v>
      </c>
      <c r="H1537">
        <v>401.5</v>
      </c>
      <c r="I1537">
        <v>25</v>
      </c>
      <c r="J1537" t="b">
        <v>0</v>
      </c>
      <c r="L1537" t="s">
        <v>34</v>
      </c>
    </row>
    <row r="1538" spans="1:12">
      <c r="A1538" t="s">
        <v>3177</v>
      </c>
      <c r="B1538" t="s">
        <v>3178</v>
      </c>
      <c r="C1538" s="27">
        <v>45274</v>
      </c>
      <c r="D1538" s="25">
        <v>45286</v>
      </c>
      <c r="E1538" t="s">
        <v>33</v>
      </c>
      <c r="F1538">
        <v>37062</v>
      </c>
      <c r="G1538">
        <v>1205</v>
      </c>
      <c r="H1538">
        <v>1816.07</v>
      </c>
      <c r="I1538">
        <v>96</v>
      </c>
      <c r="J1538">
        <v>1</v>
      </c>
      <c r="L1538" t="s">
        <v>34</v>
      </c>
    </row>
    <row r="1539" spans="1:12">
      <c r="A1539" t="s">
        <v>3179</v>
      </c>
      <c r="B1539" t="s">
        <v>3180</v>
      </c>
      <c r="C1539" s="27">
        <v>45116</v>
      </c>
      <c r="D1539" s="25">
        <v>45146</v>
      </c>
      <c r="E1539" t="s">
        <v>23</v>
      </c>
      <c r="F1539">
        <v>55237</v>
      </c>
      <c r="G1539">
        <v>1496</v>
      </c>
      <c r="H1539" s="26">
        <v>2826.64</v>
      </c>
      <c r="I1539">
        <v>235</v>
      </c>
      <c r="J1539" t="b">
        <v>0</v>
      </c>
      <c r="L1539" t="s">
        <v>25</v>
      </c>
    </row>
    <row r="1540" spans="1:12">
      <c r="A1540" t="s">
        <v>3181</v>
      </c>
      <c r="B1540" t="s">
        <v>3182</v>
      </c>
      <c r="C1540" s="27">
        <v>45146</v>
      </c>
      <c r="D1540" s="25">
        <v>45155</v>
      </c>
      <c r="E1540" t="s">
        <v>14</v>
      </c>
      <c r="F1540">
        <v>52571</v>
      </c>
      <c r="G1540">
        <v>1211</v>
      </c>
      <c r="H1540">
        <v>1730.22</v>
      </c>
      <c r="I1540">
        <v>117</v>
      </c>
      <c r="J1540">
        <v>0</v>
      </c>
      <c r="L1540" t="s">
        <v>16</v>
      </c>
    </row>
    <row r="1541" spans="1:12">
      <c r="A1541" t="s">
        <v>3183</v>
      </c>
      <c r="B1541" t="s">
        <v>3184</v>
      </c>
      <c r="C1541" s="27">
        <v>45122</v>
      </c>
      <c r="D1541" s="25">
        <v>45138</v>
      </c>
      <c r="E1541" t="s">
        <v>33</v>
      </c>
      <c r="F1541">
        <v>26510</v>
      </c>
      <c r="G1541">
        <v>1155</v>
      </c>
      <c r="H1541">
        <v>2006.48</v>
      </c>
      <c r="I1541">
        <v>110</v>
      </c>
      <c r="J1541" t="b">
        <v>1</v>
      </c>
      <c r="L1541" t="s">
        <v>34</v>
      </c>
    </row>
    <row r="1542" spans="1:12">
      <c r="A1542" t="s">
        <v>3185</v>
      </c>
      <c r="B1542" t="s">
        <v>3186</v>
      </c>
      <c r="C1542" s="27">
        <v>45283</v>
      </c>
      <c r="D1542" s="25">
        <v>45289</v>
      </c>
      <c r="E1542" t="s">
        <v>19</v>
      </c>
      <c r="F1542">
        <v>20426</v>
      </c>
      <c r="G1542">
        <v>321</v>
      </c>
      <c r="H1542">
        <v>492.16</v>
      </c>
      <c r="I1542">
        <v>23</v>
      </c>
      <c r="J1542" t="b">
        <v>1</v>
      </c>
      <c r="L1542" t="s">
        <v>20</v>
      </c>
    </row>
    <row r="1543" spans="1:12">
      <c r="A1543" t="s">
        <v>3187</v>
      </c>
      <c r="B1543" t="s">
        <v>3188</v>
      </c>
      <c r="C1543" s="27">
        <v>45057</v>
      </c>
      <c r="D1543" s="25">
        <v>45063</v>
      </c>
      <c r="E1543" t="s">
        <v>33</v>
      </c>
      <c r="F1543">
        <v>38265</v>
      </c>
      <c r="G1543">
        <v>1040</v>
      </c>
      <c r="H1543" s="26">
        <v>1381.02</v>
      </c>
      <c r="I1543">
        <v>93</v>
      </c>
      <c r="J1543" t="s">
        <v>24</v>
      </c>
      <c r="L1543" t="s">
        <v>34</v>
      </c>
    </row>
    <row r="1544" spans="1:12">
      <c r="A1544" t="s">
        <v>3189</v>
      </c>
      <c r="B1544" t="s">
        <v>3190</v>
      </c>
      <c r="C1544" s="27">
        <v>44969</v>
      </c>
      <c r="D1544" s="25">
        <v>44977</v>
      </c>
      <c r="E1544" t="s">
        <v>14</v>
      </c>
      <c r="F1544">
        <v>18850</v>
      </c>
      <c r="G1544">
        <v>869</v>
      </c>
      <c r="H1544" s="26">
        <v>749.74</v>
      </c>
      <c r="I1544">
        <v>99</v>
      </c>
      <c r="J1544" t="b">
        <v>1</v>
      </c>
      <c r="L1544" t="s">
        <v>16</v>
      </c>
    </row>
    <row r="1545" spans="1:12">
      <c r="A1545" t="s">
        <v>3191</v>
      </c>
      <c r="B1545" t="s">
        <v>3192</v>
      </c>
      <c r="C1545" s="25">
        <v>45136</v>
      </c>
      <c r="D1545" s="25">
        <v>45164</v>
      </c>
      <c r="E1545" t="s">
        <v>23</v>
      </c>
      <c r="F1545">
        <v>67150</v>
      </c>
      <c r="G1545">
        <v>2943</v>
      </c>
      <c r="H1545">
        <v>3352.07</v>
      </c>
      <c r="I1545">
        <v>470</v>
      </c>
      <c r="J1545" t="b">
        <v>0</v>
      </c>
      <c r="L1545" t="s">
        <v>25</v>
      </c>
    </row>
    <row r="1546" spans="1:12">
      <c r="A1546" t="s">
        <v>3193</v>
      </c>
      <c r="B1546" t="s">
        <v>3194</v>
      </c>
      <c r="C1546" s="27">
        <v>44930</v>
      </c>
      <c r="D1546" s="25">
        <v>44949</v>
      </c>
      <c r="E1546" t="s">
        <v>33</v>
      </c>
      <c r="F1546">
        <v>88312</v>
      </c>
      <c r="G1546">
        <v>2299</v>
      </c>
      <c r="H1546">
        <v>4486.76</v>
      </c>
      <c r="J1546" t="s">
        <v>24</v>
      </c>
      <c r="L1546" t="s">
        <v>34</v>
      </c>
    </row>
    <row r="1547" spans="1:12">
      <c r="A1547" t="s">
        <v>3195</v>
      </c>
      <c r="B1547" t="s">
        <v>3196</v>
      </c>
      <c r="C1547" s="27">
        <v>44930</v>
      </c>
      <c r="D1547" s="25">
        <v>44951</v>
      </c>
      <c r="E1547" t="s">
        <v>19</v>
      </c>
      <c r="F1547">
        <v>90613</v>
      </c>
      <c r="G1547">
        <v>3672</v>
      </c>
      <c r="H1547">
        <v>5458.97</v>
      </c>
      <c r="I1547">
        <v>364</v>
      </c>
      <c r="J1547" t="b">
        <v>0</v>
      </c>
      <c r="L1547" t="s">
        <v>20</v>
      </c>
    </row>
    <row r="1548" spans="1:12">
      <c r="A1548" t="s">
        <v>3197</v>
      </c>
      <c r="B1548" t="s">
        <v>3198</v>
      </c>
      <c r="C1548" s="27">
        <v>45088</v>
      </c>
      <c r="D1548" s="25">
        <v>45105</v>
      </c>
      <c r="E1548" t="s">
        <v>138</v>
      </c>
      <c r="F1548">
        <v>75910</v>
      </c>
      <c r="G1548">
        <v>3258</v>
      </c>
      <c r="H1548">
        <v>4387.2</v>
      </c>
      <c r="I1548">
        <v>302</v>
      </c>
      <c r="J1548" t="s">
        <v>15</v>
      </c>
      <c r="L1548" t="s">
        <v>139</v>
      </c>
    </row>
    <row r="1549" spans="1:12">
      <c r="A1549" t="s">
        <v>3199</v>
      </c>
      <c r="B1549" t="s">
        <v>3200</v>
      </c>
      <c r="C1549" s="27">
        <v>45145</v>
      </c>
      <c r="D1549" s="25">
        <v>45165</v>
      </c>
      <c r="E1549" t="s">
        <v>19</v>
      </c>
      <c r="F1549">
        <v>53375</v>
      </c>
      <c r="G1549">
        <v>2431</v>
      </c>
      <c r="H1549">
        <v>4617.53</v>
      </c>
      <c r="I1549">
        <v>295</v>
      </c>
      <c r="J1549" t="s">
        <v>24</v>
      </c>
      <c r="L1549" t="s">
        <v>20</v>
      </c>
    </row>
    <row r="1550" spans="1:12">
      <c r="A1550" t="s">
        <v>3201</v>
      </c>
      <c r="B1550" t="s">
        <v>3202</v>
      </c>
      <c r="C1550" s="27">
        <v>45201</v>
      </c>
      <c r="D1550" s="25">
        <v>45218</v>
      </c>
      <c r="E1550" t="s">
        <v>14</v>
      </c>
      <c r="F1550">
        <v>36435</v>
      </c>
      <c r="G1550">
        <v>1157</v>
      </c>
      <c r="H1550">
        <v>1596.39</v>
      </c>
      <c r="I1550">
        <v>89</v>
      </c>
      <c r="J1550">
        <v>1</v>
      </c>
      <c r="L1550" t="s">
        <v>16</v>
      </c>
    </row>
    <row r="1551" spans="1:12">
      <c r="A1551" t="s">
        <v>3203</v>
      </c>
      <c r="B1551" t="s">
        <v>3204</v>
      </c>
      <c r="C1551" s="27">
        <v>45068</v>
      </c>
      <c r="D1551" s="25">
        <v>45094</v>
      </c>
      <c r="E1551" t="s">
        <v>266</v>
      </c>
      <c r="F1551">
        <v>97443</v>
      </c>
      <c r="G1551">
        <v>1771</v>
      </c>
      <c r="H1551">
        <v>2283.04</v>
      </c>
      <c r="I1551">
        <v>217</v>
      </c>
      <c r="J1551">
        <v>1</v>
      </c>
      <c r="L1551" t="s">
        <v>20</v>
      </c>
    </row>
    <row r="1552" spans="1:12">
      <c r="A1552" t="s">
        <v>3205</v>
      </c>
      <c r="B1552" t="s">
        <v>3206</v>
      </c>
      <c r="C1552" s="27">
        <v>45031</v>
      </c>
      <c r="D1552" s="25">
        <v>45038</v>
      </c>
      <c r="E1552" t="s">
        <v>41</v>
      </c>
      <c r="F1552">
        <v>58132</v>
      </c>
      <c r="G1552">
        <v>1174</v>
      </c>
      <c r="H1552">
        <v>1924.15</v>
      </c>
      <c r="I1552">
        <v>182</v>
      </c>
      <c r="J1552" t="s">
        <v>15</v>
      </c>
      <c r="L1552" t="s">
        <v>68</v>
      </c>
    </row>
    <row r="1553" spans="1:12">
      <c r="A1553" t="s">
        <v>3207</v>
      </c>
      <c r="B1553" t="s">
        <v>3208</v>
      </c>
      <c r="C1553" s="27">
        <v>45174</v>
      </c>
      <c r="D1553" s="25">
        <v>45202</v>
      </c>
      <c r="E1553" t="s">
        <v>19</v>
      </c>
      <c r="F1553">
        <v>79945</v>
      </c>
      <c r="G1553">
        <v>1745</v>
      </c>
      <c r="H1553">
        <v>2737.9</v>
      </c>
      <c r="I1553">
        <v>95</v>
      </c>
      <c r="J1553" t="s">
        <v>15</v>
      </c>
      <c r="L1553" t="s">
        <v>20</v>
      </c>
    </row>
    <row r="1554" spans="1:12">
      <c r="A1554" t="s">
        <v>3209</v>
      </c>
      <c r="B1554" t="s">
        <v>3210</v>
      </c>
      <c r="C1554" s="27">
        <v>45174</v>
      </c>
      <c r="D1554" s="25">
        <v>45176</v>
      </c>
      <c r="E1554" t="s">
        <v>19</v>
      </c>
      <c r="F1554">
        <v>83050</v>
      </c>
      <c r="G1554">
        <v>2803</v>
      </c>
      <c r="H1554" s="26">
        <v>2213.64</v>
      </c>
      <c r="I1554">
        <v>144</v>
      </c>
      <c r="J1554" t="b">
        <v>1</v>
      </c>
      <c r="L1554" t="s">
        <v>20</v>
      </c>
    </row>
    <row r="1555" spans="1:12">
      <c r="A1555" t="s">
        <v>3211</v>
      </c>
      <c r="B1555" t="s">
        <v>3212</v>
      </c>
      <c r="C1555" s="27">
        <v>45103</v>
      </c>
      <c r="D1555" s="25">
        <v>45116</v>
      </c>
      <c r="E1555" t="s">
        <v>23</v>
      </c>
      <c r="F1555">
        <v>96402</v>
      </c>
      <c r="G1555">
        <v>1090</v>
      </c>
      <c r="H1555">
        <v>1315.59</v>
      </c>
      <c r="I1555">
        <v>66</v>
      </c>
      <c r="J1555" t="s">
        <v>15</v>
      </c>
      <c r="L1555" t="s">
        <v>25</v>
      </c>
    </row>
    <row r="1556" spans="1:12">
      <c r="A1556" t="s">
        <v>3213</v>
      </c>
      <c r="B1556" t="s">
        <v>3214</v>
      </c>
      <c r="C1556" s="27">
        <v>44997</v>
      </c>
      <c r="D1556" s="25">
        <v>45009</v>
      </c>
      <c r="E1556" t="s">
        <v>14</v>
      </c>
      <c r="F1556">
        <v>3983</v>
      </c>
      <c r="G1556">
        <v>141</v>
      </c>
      <c r="H1556">
        <v>170.44</v>
      </c>
      <c r="I1556">
        <v>18</v>
      </c>
      <c r="J1556" t="b">
        <v>0</v>
      </c>
      <c r="L1556" t="s">
        <v>16</v>
      </c>
    </row>
    <row r="1557" spans="1:12">
      <c r="A1557" t="s">
        <v>3215</v>
      </c>
      <c r="B1557" t="s">
        <v>3216</v>
      </c>
      <c r="C1557" s="27">
        <v>45044</v>
      </c>
      <c r="D1557" s="25">
        <v>45046</v>
      </c>
      <c r="E1557" t="s">
        <v>41</v>
      </c>
      <c r="F1557">
        <v>98241</v>
      </c>
      <c r="G1557">
        <v>2414</v>
      </c>
      <c r="H1557">
        <v>2576.55</v>
      </c>
      <c r="I1557">
        <v>430</v>
      </c>
      <c r="J1557" t="s">
        <v>30</v>
      </c>
      <c r="L1557" t="s">
        <v>42</v>
      </c>
    </row>
    <row r="1558" spans="1:12">
      <c r="A1558" t="s">
        <v>3217</v>
      </c>
      <c r="B1558" t="s">
        <v>3218</v>
      </c>
      <c r="C1558" s="27">
        <v>45009</v>
      </c>
      <c r="D1558" s="25">
        <v>45034</v>
      </c>
      <c r="E1558" t="s">
        <v>14</v>
      </c>
      <c r="F1558">
        <v>21662</v>
      </c>
      <c r="G1558">
        <v>472</v>
      </c>
      <c r="H1558" s="26">
        <v>602.24</v>
      </c>
      <c r="I1558">
        <v>23</v>
      </c>
      <c r="J1558" t="b">
        <v>0</v>
      </c>
      <c r="L1558" t="s">
        <v>16</v>
      </c>
    </row>
    <row r="1559" spans="1:12">
      <c r="A1559" t="s">
        <v>3219</v>
      </c>
      <c r="B1559" t="s">
        <v>3220</v>
      </c>
      <c r="C1559" s="27">
        <v>45100</v>
      </c>
      <c r="D1559" s="25">
        <v>45108</v>
      </c>
      <c r="E1559" t="s">
        <v>23</v>
      </c>
      <c r="F1559">
        <v>24510</v>
      </c>
      <c r="G1559">
        <v>1107</v>
      </c>
      <c r="H1559">
        <v>1239.46</v>
      </c>
      <c r="J1559" t="s">
        <v>24</v>
      </c>
      <c r="L1559" t="s">
        <v>25</v>
      </c>
    </row>
    <row r="1560" spans="1:12">
      <c r="A1560" t="s">
        <v>3221</v>
      </c>
      <c r="B1560" t="s">
        <v>3222</v>
      </c>
      <c r="C1560" s="27">
        <v>45277</v>
      </c>
      <c r="D1560" s="25">
        <v>45280</v>
      </c>
      <c r="E1560" t="s">
        <v>41</v>
      </c>
      <c r="F1560">
        <v>79187</v>
      </c>
      <c r="G1560">
        <v>2248</v>
      </c>
      <c r="H1560">
        <v>1796.19</v>
      </c>
      <c r="I1560">
        <v>148</v>
      </c>
      <c r="J1560" t="s">
        <v>15</v>
      </c>
      <c r="L1560" t="s">
        <v>42</v>
      </c>
    </row>
    <row r="1561" spans="1:12">
      <c r="A1561" t="s">
        <v>3223</v>
      </c>
      <c r="B1561" t="s">
        <v>3224</v>
      </c>
      <c r="C1561" t="s">
        <v>3225</v>
      </c>
      <c r="D1561" s="25">
        <v>45275</v>
      </c>
      <c r="E1561" t="s">
        <v>41</v>
      </c>
      <c r="F1561">
        <v>41998</v>
      </c>
      <c r="G1561">
        <v>579</v>
      </c>
      <c r="H1561">
        <v>-647.64</v>
      </c>
      <c r="I1561">
        <v>102</v>
      </c>
      <c r="J1561">
        <v>1</v>
      </c>
      <c r="L1561" t="s">
        <v>42</v>
      </c>
    </row>
    <row r="1562" spans="1:12">
      <c r="A1562" t="s">
        <v>3226</v>
      </c>
      <c r="B1562" t="s">
        <v>3227</v>
      </c>
      <c r="C1562" s="27">
        <v>44973</v>
      </c>
      <c r="D1562" s="25">
        <v>45003</v>
      </c>
      <c r="E1562" t="s">
        <v>33</v>
      </c>
      <c r="F1562">
        <v>57846</v>
      </c>
      <c r="G1562">
        <v>2491</v>
      </c>
      <c r="H1562">
        <v>1515.56</v>
      </c>
      <c r="I1562">
        <v>304</v>
      </c>
      <c r="J1562" t="b">
        <v>0</v>
      </c>
      <c r="L1562" t="s">
        <v>34</v>
      </c>
    </row>
    <row r="1563" spans="1:12">
      <c r="A1563" t="s">
        <v>3228</v>
      </c>
      <c r="B1563" t="s">
        <v>3229</v>
      </c>
      <c r="C1563" s="25">
        <v>45234</v>
      </c>
      <c r="D1563" s="25">
        <v>45033</v>
      </c>
      <c r="E1563" t="s">
        <v>14</v>
      </c>
      <c r="F1563">
        <v>95071</v>
      </c>
      <c r="G1563">
        <v>1131</v>
      </c>
      <c r="H1563">
        <v>1542.32</v>
      </c>
      <c r="I1563">
        <v>168</v>
      </c>
      <c r="J1563">
        <v>1</v>
      </c>
      <c r="L1563" t="s">
        <v>16</v>
      </c>
    </row>
    <row r="1564" spans="1:12">
      <c r="A1564" t="s">
        <v>3230</v>
      </c>
      <c r="B1564" t="s">
        <v>3231</v>
      </c>
      <c r="C1564" s="27">
        <v>45040</v>
      </c>
      <c r="D1564" s="25">
        <v>45043</v>
      </c>
      <c r="E1564" t="s">
        <v>19</v>
      </c>
      <c r="F1564">
        <v>7640</v>
      </c>
      <c r="G1564">
        <v>298</v>
      </c>
      <c r="H1564" s="26">
        <v>530.58</v>
      </c>
      <c r="I1564">
        <v>37</v>
      </c>
      <c r="J1564" t="b">
        <v>0</v>
      </c>
      <c r="L1564" t="s">
        <v>20</v>
      </c>
    </row>
    <row r="1565" spans="1:12">
      <c r="A1565" t="s">
        <v>3232</v>
      </c>
      <c r="B1565" t="s">
        <v>3233</v>
      </c>
      <c r="C1565" s="27">
        <v>45123</v>
      </c>
      <c r="D1565" s="25">
        <v>45143</v>
      </c>
      <c r="E1565" t="s">
        <v>41</v>
      </c>
      <c r="F1565">
        <v>45547</v>
      </c>
      <c r="G1565">
        <v>1865</v>
      </c>
      <c r="H1565">
        <v>2961.49</v>
      </c>
      <c r="I1565">
        <v>226</v>
      </c>
      <c r="J1565">
        <v>1</v>
      </c>
      <c r="L1565" t="s">
        <v>42</v>
      </c>
    </row>
    <row r="1566" spans="1:12">
      <c r="A1566" t="s">
        <v>3234</v>
      </c>
      <c r="B1566" t="s">
        <v>3235</v>
      </c>
      <c r="C1566" s="27">
        <v>45262</v>
      </c>
      <c r="D1566" s="25">
        <v>45285</v>
      </c>
      <c r="E1566" t="s">
        <v>19</v>
      </c>
      <c r="F1566">
        <v>55620</v>
      </c>
      <c r="G1566">
        <v>1340</v>
      </c>
      <c r="H1566">
        <v>1394.39</v>
      </c>
      <c r="I1566">
        <v>234</v>
      </c>
      <c r="J1566">
        <v>0</v>
      </c>
      <c r="L1566" t="s">
        <v>20</v>
      </c>
    </row>
    <row r="1567" spans="1:12">
      <c r="A1567" t="s">
        <v>3236</v>
      </c>
      <c r="B1567" t="s">
        <v>3237</v>
      </c>
      <c r="C1567" s="25">
        <v>44968</v>
      </c>
      <c r="D1567" s="25">
        <v>45250</v>
      </c>
      <c r="E1567" t="s">
        <v>14</v>
      </c>
      <c r="F1567">
        <v>16317</v>
      </c>
      <c r="G1567">
        <v>701</v>
      </c>
      <c r="H1567">
        <v>442.06</v>
      </c>
      <c r="I1567">
        <v>114</v>
      </c>
      <c r="J1567" t="b">
        <v>0</v>
      </c>
      <c r="L1567" t="s">
        <v>16</v>
      </c>
    </row>
    <row r="1568" spans="1:12">
      <c r="A1568" t="s">
        <v>3238</v>
      </c>
      <c r="B1568" t="s">
        <v>3239</v>
      </c>
      <c r="C1568" s="27">
        <v>45016</v>
      </c>
      <c r="D1568" s="25">
        <v>45018</v>
      </c>
      <c r="E1568" t="s">
        <v>415</v>
      </c>
      <c r="F1568">
        <v>8564</v>
      </c>
      <c r="G1568">
        <v>262</v>
      </c>
      <c r="H1568">
        <v>210.44</v>
      </c>
      <c r="I1568">
        <v>32</v>
      </c>
      <c r="J1568" t="s">
        <v>24</v>
      </c>
      <c r="L1568" t="s">
        <v>34</v>
      </c>
    </row>
    <row r="1569" spans="1:12">
      <c r="A1569" t="s">
        <v>3240</v>
      </c>
      <c r="B1569" t="s">
        <v>3241</v>
      </c>
      <c r="C1569" s="27">
        <v>45030</v>
      </c>
      <c r="D1569" s="25">
        <v>45039</v>
      </c>
      <c r="E1569" t="s">
        <v>19</v>
      </c>
      <c r="F1569">
        <v>28345</v>
      </c>
      <c r="G1569">
        <v>808</v>
      </c>
      <c r="H1569">
        <v>1065.13</v>
      </c>
      <c r="I1569">
        <v>53</v>
      </c>
      <c r="J1569">
        <v>1</v>
      </c>
      <c r="L1569" t="s">
        <v>20</v>
      </c>
    </row>
    <row r="1570" spans="1:12">
      <c r="A1570" t="s">
        <v>3242</v>
      </c>
      <c r="B1570" t="s">
        <v>3243</v>
      </c>
      <c r="C1570" s="25">
        <v>45192</v>
      </c>
      <c r="D1570" s="25">
        <v>45195</v>
      </c>
      <c r="E1570" t="s">
        <v>41</v>
      </c>
      <c r="F1570">
        <v>95223</v>
      </c>
      <c r="G1570">
        <v>1125</v>
      </c>
      <c r="H1570">
        <v>911.91</v>
      </c>
      <c r="I1570">
        <v>75</v>
      </c>
      <c r="J1570" t="s">
        <v>30</v>
      </c>
      <c r="L1570" t="s">
        <v>42</v>
      </c>
    </row>
    <row r="1571" spans="1:12">
      <c r="A1571" t="s">
        <v>3244</v>
      </c>
      <c r="B1571" t="s">
        <v>3245</v>
      </c>
      <c r="C1571" s="27">
        <v>45233</v>
      </c>
      <c r="D1571" s="25">
        <v>45250</v>
      </c>
      <c r="E1571" t="s">
        <v>33</v>
      </c>
      <c r="F1571">
        <v>80273</v>
      </c>
      <c r="G1571">
        <v>1733</v>
      </c>
      <c r="H1571">
        <v>2280.56</v>
      </c>
      <c r="I1571">
        <v>295</v>
      </c>
      <c r="J1571" t="s">
        <v>24</v>
      </c>
      <c r="L1571" t="s">
        <v>34</v>
      </c>
    </row>
    <row r="1572" spans="1:12">
      <c r="A1572" t="s">
        <v>3246</v>
      </c>
      <c r="B1572" t="s">
        <v>3247</v>
      </c>
      <c r="C1572" s="25">
        <v>45241</v>
      </c>
      <c r="D1572" s="25">
        <v>45271</v>
      </c>
      <c r="E1572" t="s">
        <v>23</v>
      </c>
      <c r="F1572">
        <v>75859</v>
      </c>
      <c r="G1572">
        <v>3583</v>
      </c>
      <c r="H1572">
        <v>3036.23</v>
      </c>
      <c r="J1572" t="b">
        <v>1</v>
      </c>
      <c r="L1572" t="s">
        <v>25</v>
      </c>
    </row>
    <row r="1573" spans="1:12">
      <c r="A1573" t="s">
        <v>3248</v>
      </c>
      <c r="B1573" t="s">
        <v>3249</v>
      </c>
      <c r="C1573" s="27">
        <v>45049</v>
      </c>
      <c r="D1573" s="25">
        <v>45058</v>
      </c>
      <c r="E1573" t="s">
        <v>14</v>
      </c>
      <c r="F1573">
        <v>81765</v>
      </c>
      <c r="G1573">
        <v>2099</v>
      </c>
      <c r="H1573">
        <v>3722.34</v>
      </c>
      <c r="J1573" t="b">
        <v>0</v>
      </c>
      <c r="L1573" t="s">
        <v>16</v>
      </c>
    </row>
    <row r="1574" spans="1:12">
      <c r="A1574" t="s">
        <v>3250</v>
      </c>
      <c r="B1574" t="s">
        <v>3251</v>
      </c>
      <c r="C1574" s="27">
        <v>44971</v>
      </c>
      <c r="D1574" s="25">
        <v>44986</v>
      </c>
      <c r="E1574" t="s">
        <v>415</v>
      </c>
      <c r="F1574">
        <v>75038</v>
      </c>
      <c r="G1574">
        <v>2391</v>
      </c>
      <c r="H1574">
        <v>2620.31</v>
      </c>
      <c r="I1574">
        <v>363</v>
      </c>
      <c r="J1574" t="s">
        <v>30</v>
      </c>
      <c r="K1574">
        <v>75079</v>
      </c>
      <c r="L1574" t="s">
        <v>34</v>
      </c>
    </row>
    <row r="1575" spans="1:12">
      <c r="A1575" t="s">
        <v>3252</v>
      </c>
      <c r="B1575" t="s">
        <v>3253</v>
      </c>
      <c r="C1575" s="27">
        <v>45107</v>
      </c>
      <c r="D1575" s="25">
        <v>45112</v>
      </c>
      <c r="E1575" t="s">
        <v>191</v>
      </c>
      <c r="F1575">
        <v>53393</v>
      </c>
      <c r="G1575">
        <v>1670</v>
      </c>
      <c r="H1575" s="26">
        <v>1450.1</v>
      </c>
      <c r="J1575" t="b">
        <v>1</v>
      </c>
      <c r="L1575" t="s">
        <v>42</v>
      </c>
    </row>
    <row r="1576" spans="1:12">
      <c r="A1576" t="s">
        <v>3254</v>
      </c>
      <c r="B1576" t="s">
        <v>3255</v>
      </c>
      <c r="C1576" s="27">
        <v>45029</v>
      </c>
      <c r="D1576" s="25">
        <v>45039</v>
      </c>
      <c r="E1576" t="s">
        <v>41</v>
      </c>
      <c r="F1576">
        <v>67081</v>
      </c>
      <c r="G1576">
        <v>2255</v>
      </c>
      <c r="H1576">
        <v>3875.19</v>
      </c>
      <c r="I1576">
        <v>325</v>
      </c>
      <c r="J1576" t="b">
        <v>0</v>
      </c>
      <c r="L1576" t="s">
        <v>42</v>
      </c>
    </row>
    <row r="1577" spans="1:12">
      <c r="A1577" t="s">
        <v>3256</v>
      </c>
      <c r="B1577" t="s">
        <v>3257</v>
      </c>
      <c r="C1577" s="27">
        <v>44962</v>
      </c>
      <c r="D1577" s="25">
        <v>44967</v>
      </c>
      <c r="E1577" t="s">
        <v>41</v>
      </c>
      <c r="F1577">
        <v>30430</v>
      </c>
      <c r="G1577">
        <v>378</v>
      </c>
      <c r="H1577">
        <v>383.39</v>
      </c>
      <c r="I1577">
        <v>62</v>
      </c>
      <c r="J1577" t="s">
        <v>30</v>
      </c>
      <c r="L1577" t="s">
        <v>42</v>
      </c>
    </row>
    <row r="1578" spans="1:12">
      <c r="A1578" t="s">
        <v>3258</v>
      </c>
      <c r="B1578" t="s">
        <v>3259</v>
      </c>
      <c r="C1578" s="27">
        <v>45213</v>
      </c>
      <c r="D1578" s="25">
        <v>45241</v>
      </c>
      <c r="E1578" t="s">
        <v>33</v>
      </c>
      <c r="F1578">
        <v>76532</v>
      </c>
      <c r="G1578">
        <v>1874</v>
      </c>
      <c r="H1578">
        <v>1250.39</v>
      </c>
      <c r="I1578">
        <v>308</v>
      </c>
      <c r="J1578" t="s">
        <v>30</v>
      </c>
      <c r="L1578" t="s">
        <v>34</v>
      </c>
    </row>
    <row r="1579" spans="1:12">
      <c r="A1579" t="s">
        <v>3260</v>
      </c>
      <c r="B1579" t="s">
        <v>3261</v>
      </c>
      <c r="C1579" s="27">
        <v>45068</v>
      </c>
      <c r="D1579" s="25">
        <v>45082</v>
      </c>
      <c r="E1579" t="s">
        <v>14</v>
      </c>
      <c r="F1579">
        <v>28788</v>
      </c>
      <c r="G1579">
        <v>1120</v>
      </c>
      <c r="H1579">
        <v>1518.29</v>
      </c>
      <c r="I1579">
        <v>115</v>
      </c>
      <c r="J1579" t="s">
        <v>24</v>
      </c>
      <c r="L1579" t="s">
        <v>16</v>
      </c>
    </row>
    <row r="1580" spans="1:12">
      <c r="A1580" t="s">
        <v>3262</v>
      </c>
      <c r="B1580" t="s">
        <v>3263</v>
      </c>
      <c r="C1580" s="27">
        <v>45159</v>
      </c>
      <c r="D1580" s="25">
        <v>45168</v>
      </c>
      <c r="E1580" t="s">
        <v>19</v>
      </c>
      <c r="F1580">
        <v>96505</v>
      </c>
      <c r="G1580">
        <v>1739</v>
      </c>
      <c r="H1580">
        <v>2386.51</v>
      </c>
      <c r="I1580">
        <v>158</v>
      </c>
      <c r="J1580">
        <v>0</v>
      </c>
      <c r="L1580" t="s">
        <v>20</v>
      </c>
    </row>
    <row r="1581" spans="1:12">
      <c r="A1581" t="s">
        <v>3264</v>
      </c>
      <c r="B1581" t="s">
        <v>3265</v>
      </c>
      <c r="C1581" s="27">
        <v>45060</v>
      </c>
      <c r="D1581" s="25">
        <v>45088</v>
      </c>
      <c r="E1581" t="s">
        <v>14</v>
      </c>
      <c r="F1581">
        <v>49543</v>
      </c>
      <c r="G1581">
        <v>898</v>
      </c>
      <c r="H1581">
        <v>1411.7</v>
      </c>
      <c r="J1581" t="s">
        <v>30</v>
      </c>
      <c r="L1581" t="s">
        <v>16</v>
      </c>
    </row>
    <row r="1582" spans="1:12">
      <c r="A1582" t="s">
        <v>3266</v>
      </c>
      <c r="B1582" t="s">
        <v>3267</v>
      </c>
      <c r="C1582" t="s">
        <v>3268</v>
      </c>
      <c r="D1582" s="25">
        <v>45243</v>
      </c>
      <c r="E1582" t="s">
        <v>19</v>
      </c>
      <c r="F1582">
        <v>14919</v>
      </c>
      <c r="G1582">
        <v>155</v>
      </c>
      <c r="H1582">
        <v>133.35</v>
      </c>
      <c r="I1582">
        <v>16</v>
      </c>
      <c r="J1582">
        <v>0</v>
      </c>
      <c r="L1582" t="s">
        <v>20</v>
      </c>
    </row>
    <row r="1583" spans="1:12">
      <c r="A1583" t="s">
        <v>3269</v>
      </c>
      <c r="B1583" t="s">
        <v>3270</v>
      </c>
      <c r="C1583" s="27">
        <v>45077</v>
      </c>
      <c r="D1583" s="25">
        <v>45083</v>
      </c>
      <c r="E1583" t="s">
        <v>41</v>
      </c>
      <c r="F1583">
        <v>70346</v>
      </c>
      <c r="G1583">
        <v>1934</v>
      </c>
      <c r="H1583" s="26">
        <v>2254.38</v>
      </c>
      <c r="I1583">
        <v>358</v>
      </c>
      <c r="J1583" t="s">
        <v>15</v>
      </c>
      <c r="L1583" t="s">
        <v>42</v>
      </c>
    </row>
    <row r="1584" spans="1:12">
      <c r="A1584" t="s">
        <v>3271</v>
      </c>
      <c r="B1584" t="s">
        <v>3272</v>
      </c>
      <c r="C1584" s="27">
        <v>45189</v>
      </c>
      <c r="D1584" s="25">
        <v>45197</v>
      </c>
      <c r="E1584" t="s">
        <v>33</v>
      </c>
      <c r="F1584">
        <v>97122</v>
      </c>
      <c r="G1584">
        <v>4400</v>
      </c>
      <c r="H1584">
        <v>4063.63</v>
      </c>
      <c r="I1584">
        <v>265</v>
      </c>
      <c r="J1584" t="s">
        <v>24</v>
      </c>
      <c r="L1584" t="s">
        <v>34</v>
      </c>
    </row>
    <row r="1585" spans="1:12">
      <c r="A1585" t="s">
        <v>3273</v>
      </c>
      <c r="B1585" t="s">
        <v>3274</v>
      </c>
      <c r="C1585" s="27">
        <v>45221</v>
      </c>
      <c r="D1585" s="25">
        <v>45235</v>
      </c>
      <c r="E1585" t="s">
        <v>23</v>
      </c>
      <c r="F1585">
        <v>40974</v>
      </c>
      <c r="G1585">
        <v>494</v>
      </c>
      <c r="H1585">
        <v>306.99</v>
      </c>
      <c r="I1585">
        <v>29</v>
      </c>
      <c r="J1585">
        <v>1</v>
      </c>
      <c r="L1585" t="s">
        <v>25</v>
      </c>
    </row>
    <row r="1586" spans="1:12">
      <c r="A1586" t="s">
        <v>3275</v>
      </c>
      <c r="B1586" t="s">
        <v>3276</v>
      </c>
      <c r="C1586" s="27">
        <v>45120</v>
      </c>
      <c r="D1586" s="25">
        <v>45130</v>
      </c>
      <c r="E1586" t="s">
        <v>58</v>
      </c>
      <c r="F1586">
        <v>17371</v>
      </c>
      <c r="G1586">
        <v>306</v>
      </c>
      <c r="H1586">
        <v>555.37</v>
      </c>
      <c r="I1586">
        <v>57</v>
      </c>
      <c r="J1586" t="s">
        <v>24</v>
      </c>
      <c r="L1586" t="s">
        <v>59</v>
      </c>
    </row>
    <row r="1587" spans="1:12">
      <c r="A1587" t="s">
        <v>3277</v>
      </c>
      <c r="B1587" t="s">
        <v>3278</v>
      </c>
      <c r="C1587" s="27">
        <v>45100</v>
      </c>
      <c r="D1587" s="25">
        <v>45106</v>
      </c>
      <c r="E1587" t="s">
        <v>14</v>
      </c>
      <c r="F1587">
        <v>46084</v>
      </c>
      <c r="G1587">
        <v>1032</v>
      </c>
      <c r="H1587">
        <v>1644.29</v>
      </c>
      <c r="I1587">
        <v>151</v>
      </c>
      <c r="J1587" t="b">
        <v>1</v>
      </c>
      <c r="L1587" t="s">
        <v>16</v>
      </c>
    </row>
    <row r="1588" spans="1:12">
      <c r="A1588" t="s">
        <v>3279</v>
      </c>
      <c r="B1588" t="s">
        <v>3280</v>
      </c>
      <c r="C1588" s="27">
        <v>45162</v>
      </c>
      <c r="D1588" s="25">
        <v>45179</v>
      </c>
      <c r="E1588" t="s">
        <v>41</v>
      </c>
      <c r="F1588">
        <v>30629</v>
      </c>
      <c r="G1588">
        <v>1202</v>
      </c>
      <c r="H1588">
        <v>1144.54</v>
      </c>
      <c r="J1588">
        <v>1</v>
      </c>
      <c r="L1588" t="s">
        <v>42</v>
      </c>
    </row>
    <row r="1589" spans="1:12">
      <c r="A1589" t="s">
        <v>3281</v>
      </c>
      <c r="B1589" t="s">
        <v>3282</v>
      </c>
      <c r="C1589" s="25">
        <v>45173</v>
      </c>
      <c r="D1589" s="25">
        <v>45028</v>
      </c>
      <c r="E1589" t="s">
        <v>23</v>
      </c>
      <c r="F1589">
        <v>52184</v>
      </c>
      <c r="G1589">
        <v>1859</v>
      </c>
      <c r="H1589">
        <v>2600.85</v>
      </c>
      <c r="I1589">
        <v>303</v>
      </c>
      <c r="J1589">
        <v>1</v>
      </c>
      <c r="L1589" t="s">
        <v>25</v>
      </c>
    </row>
    <row r="1590" spans="1:12">
      <c r="A1590" t="s">
        <v>3283</v>
      </c>
      <c r="B1590" t="s">
        <v>3284</v>
      </c>
      <c r="C1590" s="27">
        <v>45251</v>
      </c>
      <c r="D1590" s="25">
        <v>45259</v>
      </c>
      <c r="E1590" t="s">
        <v>14</v>
      </c>
      <c r="F1590">
        <v>62916</v>
      </c>
      <c r="G1590">
        <v>1675</v>
      </c>
      <c r="H1590">
        <v>1343.18</v>
      </c>
      <c r="I1590">
        <v>252</v>
      </c>
      <c r="J1590">
        <v>0</v>
      </c>
      <c r="L1590" t="s">
        <v>16</v>
      </c>
    </row>
    <row r="1591" spans="1:12">
      <c r="A1591" t="s">
        <v>3285</v>
      </c>
      <c r="B1591" t="s">
        <v>3286</v>
      </c>
      <c r="C1591" s="27">
        <v>45286</v>
      </c>
      <c r="D1591" s="25">
        <v>45314</v>
      </c>
      <c r="E1591" t="s">
        <v>14</v>
      </c>
      <c r="F1591">
        <v>74972</v>
      </c>
      <c r="G1591">
        <v>3026</v>
      </c>
      <c r="H1591" s="26">
        <v>5553.78</v>
      </c>
      <c r="I1591">
        <v>392</v>
      </c>
      <c r="J1591">
        <v>1</v>
      </c>
      <c r="L1591" t="s">
        <v>16</v>
      </c>
    </row>
    <row r="1592" spans="1:12">
      <c r="A1592" t="s">
        <v>3287</v>
      </c>
      <c r="B1592" t="s">
        <v>3288</v>
      </c>
      <c r="C1592" s="25">
        <v>45107</v>
      </c>
      <c r="D1592" s="25">
        <v>45110</v>
      </c>
      <c r="E1592" t="s">
        <v>14</v>
      </c>
      <c r="F1592">
        <v>63187</v>
      </c>
      <c r="G1592">
        <v>2172</v>
      </c>
      <c r="H1592">
        <v>1460.36</v>
      </c>
      <c r="I1592">
        <v>140</v>
      </c>
      <c r="J1592" t="s">
        <v>30</v>
      </c>
      <c r="L1592" t="s">
        <v>16</v>
      </c>
    </row>
    <row r="1593" spans="1:12">
      <c r="A1593" t="s">
        <v>3289</v>
      </c>
      <c r="B1593" t="s">
        <v>3290</v>
      </c>
      <c r="C1593" s="25">
        <v>45061</v>
      </c>
      <c r="D1593" s="25">
        <v>45081</v>
      </c>
      <c r="E1593" t="s">
        <v>138</v>
      </c>
      <c r="F1593">
        <v>13984</v>
      </c>
      <c r="G1593">
        <v>641</v>
      </c>
      <c r="H1593">
        <v>324.19</v>
      </c>
      <c r="I1593">
        <v>110</v>
      </c>
      <c r="J1593">
        <v>0</v>
      </c>
      <c r="L1593" t="s">
        <v>139</v>
      </c>
    </row>
    <row r="1594" spans="1:12">
      <c r="A1594" t="s">
        <v>3291</v>
      </c>
      <c r="B1594" t="s">
        <v>3292</v>
      </c>
      <c r="C1594" s="27">
        <v>45271</v>
      </c>
      <c r="D1594" s="25">
        <v>45273</v>
      </c>
      <c r="E1594" t="s">
        <v>33</v>
      </c>
      <c r="F1594">
        <v>34039</v>
      </c>
      <c r="G1594">
        <v>1454</v>
      </c>
      <c r="H1594">
        <v>1821.88</v>
      </c>
      <c r="I1594">
        <v>261</v>
      </c>
      <c r="J1594">
        <v>1</v>
      </c>
      <c r="L1594" t="s">
        <v>34</v>
      </c>
    </row>
    <row r="1595" spans="1:12">
      <c r="A1595" t="s">
        <v>3293</v>
      </c>
      <c r="B1595" t="s">
        <v>3294</v>
      </c>
      <c r="C1595" s="27">
        <v>45210</v>
      </c>
      <c r="D1595" s="25">
        <v>45229</v>
      </c>
      <c r="E1595" t="s">
        <v>19</v>
      </c>
      <c r="F1595">
        <v>86431</v>
      </c>
      <c r="G1595">
        <v>1738</v>
      </c>
      <c r="H1595">
        <v>2389.21</v>
      </c>
      <c r="J1595">
        <v>0</v>
      </c>
      <c r="L1595" t="s">
        <v>20</v>
      </c>
    </row>
    <row r="1596" spans="1:12">
      <c r="A1596" t="s">
        <v>3295</v>
      </c>
      <c r="B1596" t="s">
        <v>3296</v>
      </c>
      <c r="C1596" s="27">
        <v>45108</v>
      </c>
      <c r="D1596" s="25">
        <v>45129</v>
      </c>
      <c r="E1596" t="s">
        <v>19</v>
      </c>
      <c r="F1596">
        <v>84691</v>
      </c>
      <c r="G1596">
        <v>1766</v>
      </c>
      <c r="H1596">
        <v>2416.68</v>
      </c>
      <c r="I1596">
        <v>313</v>
      </c>
      <c r="J1596" t="s">
        <v>15</v>
      </c>
      <c r="L1596" t="s">
        <v>20</v>
      </c>
    </row>
    <row r="1597" spans="1:12">
      <c r="A1597" t="s">
        <v>3297</v>
      </c>
      <c r="B1597" t="s">
        <v>3298</v>
      </c>
      <c r="C1597" s="27">
        <v>45020</v>
      </c>
      <c r="D1597" s="25">
        <v>45046</v>
      </c>
      <c r="E1597" t="s">
        <v>41</v>
      </c>
      <c r="F1597">
        <v>59606</v>
      </c>
      <c r="G1597">
        <v>894</v>
      </c>
      <c r="H1597">
        <v>520.1</v>
      </c>
      <c r="I1597">
        <v>162</v>
      </c>
      <c r="J1597">
        <v>0</v>
      </c>
      <c r="L1597" t="s">
        <v>42</v>
      </c>
    </row>
    <row r="1598" spans="1:12">
      <c r="A1598" t="s">
        <v>3299</v>
      </c>
      <c r="B1598" t="s">
        <v>3300</v>
      </c>
      <c r="C1598" s="27">
        <v>45024</v>
      </c>
      <c r="D1598" s="25">
        <v>45050</v>
      </c>
      <c r="E1598" t="s">
        <v>41</v>
      </c>
      <c r="F1598">
        <v>11616</v>
      </c>
      <c r="G1598">
        <v>272</v>
      </c>
      <c r="H1598">
        <v>264.13</v>
      </c>
      <c r="I1598">
        <v>36</v>
      </c>
      <c r="J1598" t="b">
        <v>0</v>
      </c>
      <c r="L1598" t="s">
        <v>42</v>
      </c>
    </row>
    <row r="1599" spans="1:12">
      <c r="A1599" t="s">
        <v>3301</v>
      </c>
      <c r="B1599" t="s">
        <v>3302</v>
      </c>
      <c r="C1599" s="27">
        <v>45050</v>
      </c>
      <c r="D1599" s="25">
        <v>45078</v>
      </c>
      <c r="E1599" t="s">
        <v>41</v>
      </c>
      <c r="F1599">
        <v>51072</v>
      </c>
      <c r="G1599">
        <v>2552</v>
      </c>
      <c r="H1599">
        <v>3186.93</v>
      </c>
      <c r="I1599">
        <v>378</v>
      </c>
      <c r="J1599" t="s">
        <v>30</v>
      </c>
      <c r="L1599" t="s">
        <v>42</v>
      </c>
    </row>
    <row r="1600" spans="1:12">
      <c r="A1600" t="s">
        <v>3303</v>
      </c>
      <c r="B1600" t="s">
        <v>3304</v>
      </c>
      <c r="C1600" s="27">
        <v>45030</v>
      </c>
      <c r="D1600" s="25">
        <v>45058</v>
      </c>
      <c r="E1600" t="s">
        <v>19</v>
      </c>
      <c r="F1600">
        <v>25574</v>
      </c>
      <c r="G1600">
        <v>670</v>
      </c>
      <c r="H1600" s="26">
        <v>552.66</v>
      </c>
      <c r="J1600" t="b">
        <v>1</v>
      </c>
      <c r="L1600" t="s">
        <v>20</v>
      </c>
    </row>
    <row r="1601" spans="1:12">
      <c r="A1601" t="s">
        <v>3305</v>
      </c>
      <c r="B1601" t="s">
        <v>3306</v>
      </c>
      <c r="C1601" s="27">
        <v>45109</v>
      </c>
      <c r="D1601" s="25">
        <v>45133</v>
      </c>
      <c r="E1601" t="s">
        <v>23</v>
      </c>
      <c r="F1601">
        <v>4430</v>
      </c>
      <c r="G1601">
        <v>83</v>
      </c>
      <c r="H1601">
        <v>150.14</v>
      </c>
      <c r="I1601">
        <v>7</v>
      </c>
      <c r="J1601" t="b">
        <v>0</v>
      </c>
      <c r="L1601" t="s">
        <v>25</v>
      </c>
    </row>
    <row r="1602" spans="1:12">
      <c r="A1602" t="s">
        <v>3307</v>
      </c>
      <c r="B1602" t="s">
        <v>3308</v>
      </c>
      <c r="C1602" s="27">
        <v>44967</v>
      </c>
      <c r="D1602" s="25">
        <v>44973</v>
      </c>
      <c r="E1602" t="s">
        <v>14</v>
      </c>
      <c r="F1602">
        <v>13676</v>
      </c>
      <c r="G1602">
        <v>553</v>
      </c>
      <c r="H1602" s="26">
        <v>348.76</v>
      </c>
      <c r="I1602">
        <v>87</v>
      </c>
      <c r="J1602" t="b">
        <v>0</v>
      </c>
      <c r="L1602" t="s">
        <v>16</v>
      </c>
    </row>
    <row r="1603" spans="1:12">
      <c r="A1603" t="s">
        <v>3309</v>
      </c>
      <c r="B1603" t="s">
        <v>3310</v>
      </c>
      <c r="C1603" s="25">
        <v>45241</v>
      </c>
      <c r="D1603" s="25">
        <v>45251</v>
      </c>
      <c r="E1603" t="s">
        <v>41</v>
      </c>
      <c r="F1603">
        <v>11816</v>
      </c>
      <c r="G1603">
        <v>374</v>
      </c>
      <c r="H1603">
        <v>460.42</v>
      </c>
      <c r="I1603">
        <v>67</v>
      </c>
      <c r="J1603" t="b">
        <v>0</v>
      </c>
      <c r="L1603" t="s">
        <v>42</v>
      </c>
    </row>
    <row r="1604" spans="1:12">
      <c r="A1604" t="s">
        <v>3311</v>
      </c>
      <c r="B1604" t="s">
        <v>3312</v>
      </c>
      <c r="C1604" s="27">
        <v>45204</v>
      </c>
      <c r="D1604" s="25">
        <v>45222</v>
      </c>
      <c r="E1604" t="s">
        <v>23</v>
      </c>
      <c r="F1604">
        <v>33733</v>
      </c>
      <c r="G1604">
        <v>539</v>
      </c>
      <c r="H1604">
        <v>828.51</v>
      </c>
      <c r="I1604">
        <v>79</v>
      </c>
      <c r="J1604">
        <v>1</v>
      </c>
      <c r="L1604" t="s">
        <v>25</v>
      </c>
    </row>
    <row r="1605" spans="1:12">
      <c r="A1605" t="s">
        <v>3313</v>
      </c>
      <c r="B1605" t="s">
        <v>3314</v>
      </c>
      <c r="C1605" s="27">
        <v>45117</v>
      </c>
      <c r="D1605" s="25">
        <v>45133</v>
      </c>
      <c r="E1605" t="s">
        <v>23</v>
      </c>
      <c r="F1605">
        <v>86680</v>
      </c>
      <c r="G1605">
        <v>2186</v>
      </c>
      <c r="H1605" s="26">
        <v>1951.28</v>
      </c>
      <c r="I1605">
        <v>277</v>
      </c>
      <c r="J1605">
        <v>0</v>
      </c>
      <c r="L1605" t="s">
        <v>25</v>
      </c>
    </row>
    <row r="1606" spans="1:12">
      <c r="A1606" t="s">
        <v>3315</v>
      </c>
      <c r="B1606" t="s">
        <v>3316</v>
      </c>
      <c r="C1606" s="27">
        <v>45221</v>
      </c>
      <c r="D1606" s="25">
        <v>45235</v>
      </c>
      <c r="E1606" t="s">
        <v>41</v>
      </c>
      <c r="F1606">
        <v>3050</v>
      </c>
      <c r="G1606">
        <v>81</v>
      </c>
      <c r="H1606">
        <v>116.35</v>
      </c>
      <c r="J1606">
        <v>0</v>
      </c>
      <c r="L1606" t="s">
        <v>42</v>
      </c>
    </row>
    <row r="1607" spans="1:12">
      <c r="A1607" t="s">
        <v>3317</v>
      </c>
      <c r="B1607" t="s">
        <v>3318</v>
      </c>
      <c r="C1607" s="27">
        <v>45188</v>
      </c>
      <c r="D1607" s="25">
        <v>45217</v>
      </c>
      <c r="E1607" t="s">
        <v>14</v>
      </c>
      <c r="F1607">
        <v>34933</v>
      </c>
      <c r="G1607">
        <v>1402</v>
      </c>
      <c r="H1607">
        <v>2445.2</v>
      </c>
      <c r="I1607">
        <v>81</v>
      </c>
      <c r="J1607" t="s">
        <v>24</v>
      </c>
      <c r="L1607" t="s">
        <v>16</v>
      </c>
    </row>
    <row r="1608" spans="1:12">
      <c r="A1608" t="s">
        <v>3319</v>
      </c>
      <c r="B1608" t="s">
        <v>3320</v>
      </c>
      <c r="C1608" s="27">
        <v>45222</v>
      </c>
      <c r="D1608" s="25">
        <v>45228</v>
      </c>
      <c r="E1608" t="s">
        <v>23</v>
      </c>
      <c r="F1608">
        <v>25951</v>
      </c>
      <c r="G1608">
        <v>280</v>
      </c>
      <c r="H1608">
        <v>219.94</v>
      </c>
      <c r="I1608">
        <v>32</v>
      </c>
      <c r="J1608">
        <v>1</v>
      </c>
      <c r="L1608" t="s">
        <v>25</v>
      </c>
    </row>
    <row r="1609" spans="1:12">
      <c r="A1609" t="s">
        <v>3321</v>
      </c>
      <c r="B1609" t="s">
        <v>3322</v>
      </c>
      <c r="C1609" s="27">
        <v>45143</v>
      </c>
      <c r="D1609" s="25">
        <v>45151</v>
      </c>
      <c r="E1609" t="s">
        <v>14</v>
      </c>
      <c r="F1609">
        <v>33413</v>
      </c>
      <c r="G1609">
        <v>693</v>
      </c>
      <c r="H1609">
        <v>1299.95</v>
      </c>
      <c r="I1609">
        <v>39</v>
      </c>
      <c r="J1609" t="s">
        <v>30</v>
      </c>
      <c r="L1609" t="s">
        <v>16</v>
      </c>
    </row>
    <row r="1610" spans="1:12">
      <c r="A1610" t="s">
        <v>3323</v>
      </c>
      <c r="B1610" t="s">
        <v>3324</v>
      </c>
      <c r="C1610" s="27">
        <v>45184</v>
      </c>
      <c r="D1610" s="25">
        <v>45185</v>
      </c>
      <c r="E1610" t="s">
        <v>33</v>
      </c>
      <c r="F1610">
        <v>35801</v>
      </c>
      <c r="G1610">
        <v>1099</v>
      </c>
      <c r="H1610">
        <v>1462.04</v>
      </c>
      <c r="I1610">
        <v>148</v>
      </c>
      <c r="J1610">
        <v>1</v>
      </c>
      <c r="L1610" t="s">
        <v>34</v>
      </c>
    </row>
    <row r="1611" spans="1:12">
      <c r="A1611" t="s">
        <v>3325</v>
      </c>
      <c r="B1611" t="s">
        <v>3326</v>
      </c>
      <c r="C1611" s="27">
        <v>45016</v>
      </c>
      <c r="D1611" s="25">
        <v>45042</v>
      </c>
      <c r="E1611" t="s">
        <v>41</v>
      </c>
      <c r="F1611">
        <v>56619</v>
      </c>
      <c r="G1611">
        <v>1175</v>
      </c>
      <c r="H1611">
        <v>1114.9</v>
      </c>
      <c r="I1611">
        <v>126</v>
      </c>
      <c r="J1611">
        <v>1</v>
      </c>
      <c r="L1611" t="s">
        <v>42</v>
      </c>
    </row>
    <row r="1612" spans="1:12">
      <c r="A1612" t="s">
        <v>3327</v>
      </c>
      <c r="B1612" t="s">
        <v>3328</v>
      </c>
      <c r="C1612" s="27">
        <v>45192</v>
      </c>
      <c r="D1612" s="25">
        <v>45199</v>
      </c>
      <c r="E1612" t="s">
        <v>19</v>
      </c>
      <c r="F1612">
        <v>33913</v>
      </c>
      <c r="G1612">
        <v>1191</v>
      </c>
      <c r="H1612" s="26">
        <v>1365.23</v>
      </c>
      <c r="I1612">
        <v>194</v>
      </c>
      <c r="J1612">
        <v>1</v>
      </c>
      <c r="L1612" t="s">
        <v>20</v>
      </c>
    </row>
    <row r="1613" spans="1:12">
      <c r="A1613" t="s">
        <v>3329</v>
      </c>
      <c r="B1613" t="s">
        <v>3330</v>
      </c>
      <c r="C1613" s="27">
        <v>44933</v>
      </c>
      <c r="D1613" s="25">
        <v>44953</v>
      </c>
      <c r="E1613" t="s">
        <v>23</v>
      </c>
      <c r="F1613">
        <v>41600</v>
      </c>
      <c r="G1613">
        <v>1217</v>
      </c>
      <c r="H1613">
        <v>1178.41</v>
      </c>
      <c r="I1613">
        <v>116</v>
      </c>
      <c r="J1613" t="s">
        <v>30</v>
      </c>
      <c r="L1613" t="s">
        <v>25</v>
      </c>
    </row>
    <row r="1614" spans="1:12">
      <c r="A1614" t="s">
        <v>3331</v>
      </c>
      <c r="B1614" t="s">
        <v>3332</v>
      </c>
      <c r="C1614" s="27">
        <v>44978</v>
      </c>
      <c r="D1614" s="25">
        <v>45001</v>
      </c>
      <c r="E1614" t="s">
        <v>19</v>
      </c>
      <c r="F1614">
        <v>58775</v>
      </c>
      <c r="G1614">
        <v>1438</v>
      </c>
      <c r="H1614" s="26">
        <v>2283.06</v>
      </c>
      <c r="I1614">
        <v>199</v>
      </c>
      <c r="J1614" t="s">
        <v>24</v>
      </c>
      <c r="L1614" t="s">
        <v>20</v>
      </c>
    </row>
    <row r="1615" spans="1:12">
      <c r="A1615" t="s">
        <v>3333</v>
      </c>
      <c r="B1615" t="s">
        <v>3334</v>
      </c>
      <c r="C1615" s="27">
        <v>45059</v>
      </c>
      <c r="D1615" s="25">
        <v>45062</v>
      </c>
      <c r="E1615" t="s">
        <v>33</v>
      </c>
      <c r="F1615">
        <v>91816</v>
      </c>
      <c r="G1615">
        <v>4404</v>
      </c>
      <c r="H1615">
        <v>7462.36</v>
      </c>
      <c r="I1615">
        <v>575</v>
      </c>
      <c r="J1615" t="s">
        <v>30</v>
      </c>
      <c r="L1615" t="s">
        <v>34</v>
      </c>
    </row>
    <row r="1616" spans="1:12">
      <c r="A1616" t="s">
        <v>3335</v>
      </c>
      <c r="B1616" t="s">
        <v>3336</v>
      </c>
      <c r="C1616" s="27">
        <v>45064</v>
      </c>
      <c r="D1616" s="25">
        <v>45067</v>
      </c>
      <c r="E1616" t="s">
        <v>14</v>
      </c>
      <c r="F1616">
        <v>91093</v>
      </c>
      <c r="G1616">
        <v>3214</v>
      </c>
      <c r="H1616">
        <v>5622.59</v>
      </c>
      <c r="I1616">
        <v>162</v>
      </c>
      <c r="J1616" t="s">
        <v>15</v>
      </c>
      <c r="L1616" t="s">
        <v>68</v>
      </c>
    </row>
    <row r="1617" spans="1:12">
      <c r="A1617" t="s">
        <v>3337</v>
      </c>
      <c r="B1617" t="s">
        <v>3338</v>
      </c>
      <c r="C1617" s="27">
        <v>45114</v>
      </c>
      <c r="D1617" s="25">
        <v>45139</v>
      </c>
      <c r="E1617" t="s">
        <v>138</v>
      </c>
      <c r="F1617">
        <v>36400</v>
      </c>
      <c r="G1617">
        <v>553</v>
      </c>
      <c r="H1617">
        <v>1094.19</v>
      </c>
      <c r="I1617">
        <v>33</v>
      </c>
      <c r="J1617" t="s">
        <v>24</v>
      </c>
      <c r="L1617" t="s">
        <v>139</v>
      </c>
    </row>
    <row r="1618" spans="1:12">
      <c r="A1618" t="s">
        <v>3339</v>
      </c>
      <c r="B1618" t="s">
        <v>3340</v>
      </c>
      <c r="C1618" s="27">
        <v>45141</v>
      </c>
      <c r="D1618" s="25">
        <v>45145</v>
      </c>
      <c r="E1618" t="s">
        <v>23</v>
      </c>
      <c r="F1618">
        <v>5494</v>
      </c>
      <c r="G1618">
        <v>178</v>
      </c>
      <c r="H1618">
        <v>300.27</v>
      </c>
      <c r="I1618">
        <v>16</v>
      </c>
      <c r="J1618" t="s">
        <v>15</v>
      </c>
      <c r="L1618" t="s">
        <v>68</v>
      </c>
    </row>
    <row r="1619" spans="1:12">
      <c r="A1619" t="s">
        <v>3341</v>
      </c>
      <c r="B1619" t="s">
        <v>3342</v>
      </c>
      <c r="C1619" s="27">
        <v>45132</v>
      </c>
      <c r="D1619" s="25">
        <v>45141</v>
      </c>
      <c r="E1619" t="s">
        <v>138</v>
      </c>
      <c r="F1619">
        <v>81688</v>
      </c>
      <c r="G1619">
        <v>3367</v>
      </c>
      <c r="H1619">
        <v>4720.79</v>
      </c>
      <c r="I1619">
        <v>613</v>
      </c>
      <c r="J1619" t="s">
        <v>15</v>
      </c>
      <c r="L1619" t="s">
        <v>139</v>
      </c>
    </row>
    <row r="1620" spans="1:12">
      <c r="A1620" t="s">
        <v>3343</v>
      </c>
      <c r="B1620" t="s">
        <v>3344</v>
      </c>
      <c r="C1620" s="27">
        <v>44994</v>
      </c>
      <c r="D1620" s="25">
        <v>45021</v>
      </c>
      <c r="E1620" t="s">
        <v>41</v>
      </c>
      <c r="F1620">
        <v>90431</v>
      </c>
      <c r="G1620">
        <v>3467</v>
      </c>
      <c r="H1620">
        <v>3497.62</v>
      </c>
      <c r="I1620">
        <v>249</v>
      </c>
      <c r="J1620" t="s">
        <v>15</v>
      </c>
      <c r="L1620" t="s">
        <v>42</v>
      </c>
    </row>
    <row r="1621" spans="1:12">
      <c r="A1621" t="s">
        <v>3345</v>
      </c>
      <c r="B1621" t="s">
        <v>3346</v>
      </c>
      <c r="C1621" s="27">
        <v>44978</v>
      </c>
      <c r="D1621" s="25">
        <v>45004</v>
      </c>
      <c r="E1621" t="s">
        <v>33</v>
      </c>
      <c r="F1621">
        <v>75691</v>
      </c>
      <c r="G1621">
        <v>1277</v>
      </c>
      <c r="H1621">
        <v>1681.67</v>
      </c>
      <c r="I1621">
        <v>200</v>
      </c>
      <c r="J1621">
        <v>0</v>
      </c>
      <c r="L1621" t="s">
        <v>34</v>
      </c>
    </row>
    <row r="1622" spans="1:12">
      <c r="A1622" t="s">
        <v>3347</v>
      </c>
      <c r="B1622" t="s">
        <v>3348</v>
      </c>
      <c r="C1622" s="27">
        <v>45211</v>
      </c>
      <c r="D1622" s="25">
        <v>45217</v>
      </c>
      <c r="E1622" t="s">
        <v>23</v>
      </c>
      <c r="F1622">
        <v>98419</v>
      </c>
      <c r="G1622">
        <v>4812</v>
      </c>
      <c r="H1622" s="26">
        <v>2702.43</v>
      </c>
      <c r="I1622">
        <v>943</v>
      </c>
      <c r="J1622" t="b">
        <v>0</v>
      </c>
      <c r="L1622" t="s">
        <v>25</v>
      </c>
    </row>
    <row r="1623" spans="1:12">
      <c r="A1623" t="s">
        <v>3349</v>
      </c>
      <c r="B1623" t="s">
        <v>3350</v>
      </c>
      <c r="C1623" s="27">
        <v>45001</v>
      </c>
      <c r="D1623" s="25">
        <v>45019</v>
      </c>
      <c r="E1623" t="s">
        <v>19</v>
      </c>
      <c r="F1623">
        <v>44001</v>
      </c>
      <c r="G1623">
        <v>1229</v>
      </c>
      <c r="H1623">
        <v>1987.59</v>
      </c>
      <c r="I1623">
        <v>207</v>
      </c>
      <c r="J1623" t="b">
        <v>0</v>
      </c>
      <c r="L1623" t="s">
        <v>20</v>
      </c>
    </row>
    <row r="1624" spans="1:12">
      <c r="A1624" t="s">
        <v>3351</v>
      </c>
      <c r="B1624" t="s">
        <v>3352</v>
      </c>
      <c r="C1624" s="27">
        <v>45169</v>
      </c>
      <c r="D1624" s="25">
        <v>45173</v>
      </c>
      <c r="E1624" t="s">
        <v>23</v>
      </c>
      <c r="F1624">
        <v>68364</v>
      </c>
      <c r="G1624">
        <v>1118</v>
      </c>
      <c r="H1624">
        <v>1306.87</v>
      </c>
      <c r="I1624">
        <v>96</v>
      </c>
      <c r="J1624" t="s">
        <v>15</v>
      </c>
      <c r="L1624" t="s">
        <v>25</v>
      </c>
    </row>
    <row r="1625" spans="1:12">
      <c r="A1625" t="s">
        <v>3353</v>
      </c>
      <c r="B1625" t="s">
        <v>3354</v>
      </c>
      <c r="C1625" s="27">
        <v>45182</v>
      </c>
      <c r="D1625" s="25">
        <v>45207</v>
      </c>
      <c r="E1625" t="s">
        <v>41</v>
      </c>
      <c r="F1625">
        <v>46028</v>
      </c>
      <c r="G1625">
        <v>792</v>
      </c>
      <c r="H1625" s="26">
        <v>419.79</v>
      </c>
      <c r="I1625">
        <v>147</v>
      </c>
      <c r="J1625" t="s">
        <v>15</v>
      </c>
      <c r="L1625" t="s">
        <v>42</v>
      </c>
    </row>
    <row r="1626" spans="1:12">
      <c r="A1626" t="s">
        <v>3355</v>
      </c>
      <c r="B1626" t="s">
        <v>3356</v>
      </c>
      <c r="C1626" s="27">
        <v>45249</v>
      </c>
      <c r="D1626" s="25">
        <v>45264</v>
      </c>
      <c r="E1626" t="s">
        <v>41</v>
      </c>
      <c r="F1626">
        <v>98659</v>
      </c>
      <c r="G1626">
        <v>1374</v>
      </c>
      <c r="H1626">
        <v>815.83</v>
      </c>
      <c r="I1626">
        <v>87</v>
      </c>
      <c r="J1626" t="b">
        <v>1</v>
      </c>
      <c r="L1626" t="s">
        <v>42</v>
      </c>
    </row>
    <row r="1627" spans="1:12">
      <c r="A1627" t="s">
        <v>3357</v>
      </c>
      <c r="B1627" t="s">
        <v>3358</v>
      </c>
      <c r="C1627" s="27">
        <v>45176</v>
      </c>
      <c r="D1627" s="25">
        <v>45194</v>
      </c>
      <c r="E1627" t="s">
        <v>14</v>
      </c>
      <c r="F1627">
        <v>38573</v>
      </c>
      <c r="G1627">
        <v>1625</v>
      </c>
      <c r="H1627" s="26">
        <v>1756.95</v>
      </c>
      <c r="J1627" t="b">
        <v>0</v>
      </c>
      <c r="L1627" t="s">
        <v>16</v>
      </c>
    </row>
    <row r="1628" spans="1:12">
      <c r="A1628" t="s">
        <v>3359</v>
      </c>
      <c r="B1628" t="s">
        <v>3360</v>
      </c>
      <c r="C1628" t="s">
        <v>2225</v>
      </c>
      <c r="D1628" s="25">
        <v>45242</v>
      </c>
      <c r="E1628" t="s">
        <v>33</v>
      </c>
      <c r="F1628">
        <v>1806</v>
      </c>
      <c r="G1628">
        <v>26</v>
      </c>
      <c r="H1628">
        <v>35.75</v>
      </c>
      <c r="I1628">
        <v>4</v>
      </c>
      <c r="J1628" t="b">
        <v>1</v>
      </c>
      <c r="L1628" t="s">
        <v>34</v>
      </c>
    </row>
    <row r="1629" spans="1:12">
      <c r="A1629" t="s">
        <v>3361</v>
      </c>
      <c r="B1629" t="s">
        <v>3362</v>
      </c>
      <c r="C1629" s="25">
        <v>44977</v>
      </c>
      <c r="D1629" s="25">
        <v>44989</v>
      </c>
      <c r="E1629" t="s">
        <v>33</v>
      </c>
      <c r="F1629">
        <v>57638</v>
      </c>
      <c r="G1629">
        <v>864</v>
      </c>
      <c r="H1629">
        <v>1033.61</v>
      </c>
      <c r="I1629">
        <v>126</v>
      </c>
      <c r="J1629" t="s">
        <v>24</v>
      </c>
      <c r="L1629" t="s">
        <v>34</v>
      </c>
    </row>
    <row r="1630" spans="1:12">
      <c r="A1630" t="s">
        <v>3363</v>
      </c>
      <c r="B1630" t="s">
        <v>3364</v>
      </c>
      <c r="C1630" s="27">
        <v>45057</v>
      </c>
      <c r="D1630" s="25">
        <v>45081</v>
      </c>
      <c r="E1630" t="s">
        <v>19</v>
      </c>
      <c r="F1630">
        <v>30757</v>
      </c>
      <c r="G1630">
        <v>1353</v>
      </c>
      <c r="H1630">
        <v>1933.18</v>
      </c>
      <c r="I1630">
        <v>151</v>
      </c>
      <c r="J1630" t="b">
        <v>1</v>
      </c>
      <c r="K1630">
        <v>30769</v>
      </c>
      <c r="L1630" t="s">
        <v>20</v>
      </c>
    </row>
    <row r="1631" spans="1:12">
      <c r="A1631" t="s">
        <v>3365</v>
      </c>
      <c r="B1631" t="s">
        <v>3366</v>
      </c>
      <c r="C1631" s="27">
        <v>45157</v>
      </c>
      <c r="D1631" s="25">
        <v>45163</v>
      </c>
      <c r="E1631" t="s">
        <v>41</v>
      </c>
      <c r="F1631">
        <v>35636</v>
      </c>
      <c r="G1631">
        <v>847</v>
      </c>
      <c r="H1631">
        <v>1033.71</v>
      </c>
      <c r="I1631">
        <v>79</v>
      </c>
      <c r="J1631">
        <v>1</v>
      </c>
      <c r="L1631" t="s">
        <v>42</v>
      </c>
    </row>
    <row r="1632" spans="1:12">
      <c r="A1632" t="s">
        <v>3367</v>
      </c>
      <c r="B1632" t="s">
        <v>3368</v>
      </c>
      <c r="C1632" s="27">
        <v>45111</v>
      </c>
      <c r="D1632" s="25">
        <v>45116</v>
      </c>
      <c r="E1632" t="s">
        <v>19</v>
      </c>
      <c r="F1632">
        <v>81097</v>
      </c>
      <c r="G1632">
        <v>911</v>
      </c>
      <c r="H1632">
        <v>1359.72</v>
      </c>
      <c r="I1632">
        <v>96</v>
      </c>
      <c r="J1632">
        <v>0</v>
      </c>
      <c r="L1632" t="s">
        <v>68</v>
      </c>
    </row>
    <row r="1633" spans="1:12">
      <c r="A1633" t="s">
        <v>3369</v>
      </c>
      <c r="B1633" t="s">
        <v>3370</v>
      </c>
      <c r="C1633" s="27">
        <v>45058</v>
      </c>
      <c r="D1633" s="25">
        <v>45076</v>
      </c>
      <c r="E1633" t="s">
        <v>23</v>
      </c>
      <c r="F1633">
        <v>49280</v>
      </c>
      <c r="G1633">
        <v>595</v>
      </c>
      <c r="H1633">
        <v>493.07</v>
      </c>
      <c r="I1633">
        <v>75</v>
      </c>
      <c r="J1633" t="s">
        <v>24</v>
      </c>
      <c r="L1633" t="s">
        <v>25</v>
      </c>
    </row>
    <row r="1634" spans="1:12">
      <c r="A1634" t="s">
        <v>3371</v>
      </c>
      <c r="B1634" t="s">
        <v>3372</v>
      </c>
      <c r="C1634" s="27">
        <v>45106</v>
      </c>
      <c r="D1634" s="25">
        <v>45136</v>
      </c>
      <c r="E1634" t="s">
        <v>33</v>
      </c>
      <c r="F1634">
        <v>25262</v>
      </c>
      <c r="G1634">
        <v>396</v>
      </c>
      <c r="H1634" s="26">
        <v>265.03</v>
      </c>
      <c r="I1634">
        <v>38</v>
      </c>
      <c r="J1634" t="s">
        <v>30</v>
      </c>
      <c r="L1634" t="s">
        <v>34</v>
      </c>
    </row>
    <row r="1635" spans="1:12">
      <c r="A1635" t="s">
        <v>3373</v>
      </c>
      <c r="B1635" t="s">
        <v>3374</v>
      </c>
      <c r="C1635" s="27">
        <v>45028</v>
      </c>
      <c r="D1635" s="25">
        <v>45023</v>
      </c>
      <c r="E1635" t="s">
        <v>138</v>
      </c>
      <c r="F1635">
        <v>81435</v>
      </c>
      <c r="G1635">
        <v>1509</v>
      </c>
      <c r="H1635">
        <v>2104.53</v>
      </c>
      <c r="I1635">
        <v>294</v>
      </c>
      <c r="J1635" t="b">
        <v>0</v>
      </c>
      <c r="L1635" t="s">
        <v>139</v>
      </c>
    </row>
    <row r="1636" spans="1:12">
      <c r="A1636" t="s">
        <v>3375</v>
      </c>
      <c r="B1636" t="s">
        <v>3376</v>
      </c>
      <c r="C1636" s="27">
        <v>45202</v>
      </c>
      <c r="D1636" s="25">
        <v>45210</v>
      </c>
      <c r="E1636" t="s">
        <v>41</v>
      </c>
      <c r="F1636">
        <v>63211</v>
      </c>
      <c r="G1636">
        <v>2313</v>
      </c>
      <c r="H1636" s="26">
        <v>2838.13</v>
      </c>
      <c r="I1636">
        <v>439</v>
      </c>
      <c r="J1636" t="s">
        <v>15</v>
      </c>
      <c r="L1636" t="s">
        <v>42</v>
      </c>
    </row>
    <row r="1637" spans="1:12">
      <c r="A1637" t="s">
        <v>3377</v>
      </c>
      <c r="B1637" t="s">
        <v>3378</v>
      </c>
      <c r="C1637" s="27">
        <v>45108</v>
      </c>
      <c r="D1637" s="25">
        <v>45134</v>
      </c>
      <c r="E1637" t="s">
        <v>33</v>
      </c>
      <c r="F1637">
        <v>55842</v>
      </c>
      <c r="G1637">
        <v>909</v>
      </c>
      <c r="H1637">
        <v>491.13</v>
      </c>
      <c r="I1637">
        <v>164</v>
      </c>
      <c r="J1637" t="s">
        <v>24</v>
      </c>
      <c r="L1637" t="s">
        <v>68</v>
      </c>
    </row>
    <row r="1638" spans="1:12">
      <c r="A1638" t="s">
        <v>3379</v>
      </c>
      <c r="B1638" t="s">
        <v>3380</v>
      </c>
      <c r="C1638" s="27">
        <v>45155</v>
      </c>
      <c r="D1638" s="25">
        <v>45156</v>
      </c>
      <c r="E1638" t="s">
        <v>33</v>
      </c>
      <c r="F1638">
        <v>57979</v>
      </c>
      <c r="G1638">
        <v>855</v>
      </c>
      <c r="H1638">
        <v>915.47</v>
      </c>
      <c r="I1638">
        <v>96</v>
      </c>
      <c r="J1638" t="s">
        <v>15</v>
      </c>
      <c r="L1638" t="s">
        <v>34</v>
      </c>
    </row>
    <row r="1639" spans="1:12">
      <c r="A1639" t="s">
        <v>3381</v>
      </c>
      <c r="B1639" t="s">
        <v>3382</v>
      </c>
      <c r="C1639" s="27">
        <v>45073</v>
      </c>
      <c r="D1639" s="25">
        <v>45084</v>
      </c>
      <c r="E1639" t="s">
        <v>138</v>
      </c>
      <c r="F1639">
        <v>82470</v>
      </c>
      <c r="G1639">
        <v>3347</v>
      </c>
      <c r="H1639">
        <v>2206.3</v>
      </c>
      <c r="I1639">
        <v>514</v>
      </c>
      <c r="J1639" t="s">
        <v>30</v>
      </c>
      <c r="L1639" t="s">
        <v>139</v>
      </c>
    </row>
    <row r="1640" spans="1:12">
      <c r="A1640" t="s">
        <v>3383</v>
      </c>
      <c r="B1640" t="s">
        <v>3384</v>
      </c>
      <c r="C1640" s="27">
        <v>45012</v>
      </c>
      <c r="D1640" s="25">
        <v>45040</v>
      </c>
      <c r="E1640" t="s">
        <v>33</v>
      </c>
      <c r="F1640">
        <v>39197</v>
      </c>
      <c r="G1640">
        <v>1444</v>
      </c>
      <c r="H1640">
        <v>1872.92</v>
      </c>
      <c r="I1640">
        <v>267</v>
      </c>
      <c r="J1640" t="s">
        <v>24</v>
      </c>
      <c r="L1640" t="s">
        <v>68</v>
      </c>
    </row>
    <row r="1641" spans="1:12">
      <c r="A1641" t="s">
        <v>3385</v>
      </c>
      <c r="B1641" t="s">
        <v>3386</v>
      </c>
      <c r="C1641" s="27">
        <v>45142</v>
      </c>
      <c r="D1641" s="25">
        <v>45148</v>
      </c>
      <c r="E1641" t="s">
        <v>14</v>
      </c>
      <c r="F1641">
        <v>42844</v>
      </c>
      <c r="G1641">
        <v>1174</v>
      </c>
      <c r="H1641">
        <v>1283.96</v>
      </c>
      <c r="I1641">
        <v>208</v>
      </c>
      <c r="J1641" t="b">
        <v>0</v>
      </c>
      <c r="L1641" t="s">
        <v>16</v>
      </c>
    </row>
    <row r="1642" spans="1:12">
      <c r="A1642" t="s">
        <v>3387</v>
      </c>
      <c r="B1642" t="s">
        <v>3388</v>
      </c>
      <c r="C1642" s="25">
        <v>45079</v>
      </c>
      <c r="D1642" s="25">
        <v>44988</v>
      </c>
      <c r="E1642" t="s">
        <v>33</v>
      </c>
      <c r="F1642">
        <v>65754</v>
      </c>
      <c r="G1642">
        <v>2102</v>
      </c>
      <c r="H1642">
        <v>2984.27</v>
      </c>
      <c r="I1642">
        <v>235</v>
      </c>
      <c r="J1642" t="s">
        <v>24</v>
      </c>
      <c r="L1642" t="s">
        <v>34</v>
      </c>
    </row>
    <row r="1643" spans="1:12">
      <c r="A1643" t="s">
        <v>3389</v>
      </c>
      <c r="B1643" t="s">
        <v>3390</v>
      </c>
      <c r="C1643" s="27">
        <v>45102</v>
      </c>
      <c r="D1643" s="25">
        <v>45111</v>
      </c>
      <c r="E1643" t="s">
        <v>23</v>
      </c>
      <c r="F1643">
        <v>35157</v>
      </c>
      <c r="G1643">
        <v>790</v>
      </c>
      <c r="H1643">
        <v>1349.64</v>
      </c>
      <c r="J1643" t="s">
        <v>15</v>
      </c>
      <c r="L1643" t="s">
        <v>68</v>
      </c>
    </row>
    <row r="1644" spans="1:12">
      <c r="A1644" t="s">
        <v>3391</v>
      </c>
      <c r="B1644" t="s">
        <v>3392</v>
      </c>
      <c r="C1644" s="27">
        <v>45076</v>
      </c>
      <c r="D1644" s="25">
        <v>45093</v>
      </c>
      <c r="E1644" t="s">
        <v>14</v>
      </c>
      <c r="F1644">
        <v>78129</v>
      </c>
      <c r="G1644">
        <v>2289</v>
      </c>
      <c r="H1644">
        <v>2173.41</v>
      </c>
      <c r="I1644">
        <v>140</v>
      </c>
      <c r="J1644" t="s">
        <v>15</v>
      </c>
      <c r="L1644" t="s">
        <v>16</v>
      </c>
    </row>
    <row r="1645" spans="1:12">
      <c r="A1645" t="s">
        <v>3393</v>
      </c>
      <c r="B1645" t="s">
        <v>3394</v>
      </c>
      <c r="C1645" s="27">
        <v>45129</v>
      </c>
      <c r="D1645" s="25">
        <v>45156</v>
      </c>
      <c r="E1645" t="s">
        <v>41</v>
      </c>
      <c r="F1645">
        <v>41042</v>
      </c>
      <c r="G1645">
        <v>1242</v>
      </c>
      <c r="H1645">
        <v>2413.4</v>
      </c>
      <c r="I1645">
        <v>169</v>
      </c>
      <c r="J1645">
        <v>1</v>
      </c>
      <c r="L1645" t="s">
        <v>42</v>
      </c>
    </row>
    <row r="1646" spans="1:12">
      <c r="A1646" t="s">
        <v>3395</v>
      </c>
      <c r="B1646" t="s">
        <v>3396</v>
      </c>
      <c r="C1646" s="27">
        <v>45112</v>
      </c>
      <c r="D1646" s="25">
        <v>45113</v>
      </c>
      <c r="E1646" t="s">
        <v>14</v>
      </c>
      <c r="F1646">
        <v>62665</v>
      </c>
      <c r="G1646">
        <v>1597</v>
      </c>
      <c r="H1646">
        <v>2081.61</v>
      </c>
      <c r="I1646">
        <v>233</v>
      </c>
      <c r="J1646" t="b">
        <v>1</v>
      </c>
      <c r="L1646" t="s">
        <v>16</v>
      </c>
    </row>
    <row r="1647" spans="1:12">
      <c r="A1647" t="s">
        <v>3397</v>
      </c>
      <c r="B1647" t="s">
        <v>3398</v>
      </c>
      <c r="C1647" s="27">
        <v>45157</v>
      </c>
      <c r="D1647" s="25">
        <v>45174</v>
      </c>
      <c r="E1647" t="s">
        <v>41</v>
      </c>
      <c r="F1647">
        <v>83856</v>
      </c>
      <c r="G1647">
        <v>3879</v>
      </c>
      <c r="H1647" s="26">
        <v>5537.03</v>
      </c>
      <c r="I1647">
        <v>688</v>
      </c>
      <c r="J1647" t="s">
        <v>24</v>
      </c>
      <c r="L1647" t="s">
        <v>68</v>
      </c>
    </row>
    <row r="1648" spans="1:12">
      <c r="A1648" t="s">
        <v>3399</v>
      </c>
      <c r="B1648" t="s">
        <v>3400</v>
      </c>
      <c r="C1648" s="27">
        <v>44938</v>
      </c>
      <c r="D1648" s="25">
        <v>44955</v>
      </c>
      <c r="E1648" t="s">
        <v>33</v>
      </c>
      <c r="F1648">
        <v>28376</v>
      </c>
      <c r="G1648">
        <v>301</v>
      </c>
      <c r="H1648">
        <v>457.82</v>
      </c>
      <c r="I1648">
        <v>28</v>
      </c>
      <c r="J1648" t="s">
        <v>15</v>
      </c>
      <c r="L1648" t="s">
        <v>34</v>
      </c>
    </row>
    <row r="1649" spans="1:12">
      <c r="A1649" t="s">
        <v>3401</v>
      </c>
      <c r="B1649" t="s">
        <v>3402</v>
      </c>
      <c r="C1649" s="27">
        <v>45055</v>
      </c>
      <c r="D1649" s="25">
        <v>45084</v>
      </c>
      <c r="E1649" t="s">
        <v>23</v>
      </c>
      <c r="F1649">
        <v>56554</v>
      </c>
      <c r="G1649">
        <v>2334</v>
      </c>
      <c r="H1649">
        <v>3501.23</v>
      </c>
      <c r="I1649">
        <v>175</v>
      </c>
      <c r="J1649">
        <v>0</v>
      </c>
      <c r="L1649" t="s">
        <v>25</v>
      </c>
    </row>
    <row r="1650" spans="1:12">
      <c r="A1650" t="s">
        <v>3403</v>
      </c>
      <c r="B1650" t="s">
        <v>3404</v>
      </c>
      <c r="C1650" s="27">
        <v>44967</v>
      </c>
      <c r="D1650" s="25">
        <v>44969</v>
      </c>
      <c r="E1650" t="s">
        <v>33</v>
      </c>
      <c r="F1650">
        <v>15199</v>
      </c>
      <c r="G1650">
        <v>227</v>
      </c>
      <c r="H1650">
        <v>287.49</v>
      </c>
      <c r="I1650">
        <v>24</v>
      </c>
      <c r="J1650" t="b">
        <v>0</v>
      </c>
      <c r="L1650" t="s">
        <v>34</v>
      </c>
    </row>
    <row r="1651" spans="1:12">
      <c r="A1651" t="s">
        <v>3405</v>
      </c>
      <c r="B1651" t="s">
        <v>3406</v>
      </c>
      <c r="C1651" t="s">
        <v>3407</v>
      </c>
      <c r="D1651" s="25">
        <v>44988</v>
      </c>
      <c r="E1651" t="s">
        <v>23</v>
      </c>
      <c r="F1651">
        <v>82412</v>
      </c>
      <c r="G1651">
        <v>3453</v>
      </c>
      <c r="H1651">
        <v>3947.28</v>
      </c>
      <c r="I1651">
        <v>355</v>
      </c>
      <c r="J1651">
        <v>0</v>
      </c>
      <c r="L1651" t="s">
        <v>25</v>
      </c>
    </row>
    <row r="1652" spans="1:12">
      <c r="A1652" t="s">
        <v>3408</v>
      </c>
      <c r="B1652" t="s">
        <v>3409</v>
      </c>
      <c r="C1652" s="25">
        <v>45169</v>
      </c>
      <c r="D1652" s="25">
        <v>45174</v>
      </c>
      <c r="E1652" t="s">
        <v>19</v>
      </c>
      <c r="F1652">
        <v>51948</v>
      </c>
      <c r="G1652">
        <v>1799</v>
      </c>
      <c r="H1652">
        <v>1044.63</v>
      </c>
      <c r="I1652">
        <v>125</v>
      </c>
      <c r="J1652" t="s">
        <v>30</v>
      </c>
      <c r="L1652" t="s">
        <v>20</v>
      </c>
    </row>
    <row r="1653" spans="1:12">
      <c r="A1653" t="s">
        <v>3410</v>
      </c>
      <c r="B1653" t="s">
        <v>3411</v>
      </c>
      <c r="C1653" s="27">
        <v>45130</v>
      </c>
      <c r="D1653" s="25">
        <v>45136</v>
      </c>
      <c r="E1653" t="s">
        <v>41</v>
      </c>
      <c r="F1653">
        <v>74781</v>
      </c>
      <c r="G1653">
        <v>3270</v>
      </c>
      <c r="H1653">
        <v>1743.33</v>
      </c>
      <c r="I1653">
        <v>493</v>
      </c>
      <c r="J1653" t="s">
        <v>24</v>
      </c>
      <c r="L1653" t="s">
        <v>42</v>
      </c>
    </row>
    <row r="1654" spans="1:12">
      <c r="A1654" t="s">
        <v>3412</v>
      </c>
      <c r="B1654" t="s">
        <v>3413</v>
      </c>
      <c r="C1654" s="27">
        <v>44980</v>
      </c>
      <c r="D1654" s="25">
        <v>44982</v>
      </c>
      <c r="E1654" t="s">
        <v>33</v>
      </c>
      <c r="F1654">
        <v>73750</v>
      </c>
      <c r="G1654">
        <v>1025</v>
      </c>
      <c r="H1654">
        <v>1062.87</v>
      </c>
      <c r="I1654">
        <v>129</v>
      </c>
      <c r="J1654">
        <v>1</v>
      </c>
      <c r="L1654" t="s">
        <v>34</v>
      </c>
    </row>
    <row r="1655" spans="1:12">
      <c r="A1655" t="s">
        <v>3414</v>
      </c>
      <c r="B1655" t="s">
        <v>3415</v>
      </c>
      <c r="C1655" s="27">
        <v>45262</v>
      </c>
      <c r="D1655" s="25">
        <v>45278</v>
      </c>
      <c r="E1655" t="s">
        <v>14</v>
      </c>
      <c r="F1655">
        <v>67262</v>
      </c>
      <c r="G1655">
        <v>2176</v>
      </c>
      <c r="H1655">
        <v>2177.07</v>
      </c>
      <c r="I1655">
        <v>344</v>
      </c>
      <c r="J1655" t="b">
        <v>0</v>
      </c>
      <c r="L1655" t="s">
        <v>16</v>
      </c>
    </row>
    <row r="1656" spans="1:12">
      <c r="A1656" t="s">
        <v>3416</v>
      </c>
      <c r="B1656" t="s">
        <v>3417</v>
      </c>
      <c r="C1656" s="27">
        <v>45044</v>
      </c>
      <c r="D1656" s="25">
        <v>45049</v>
      </c>
      <c r="E1656" t="s">
        <v>41</v>
      </c>
      <c r="F1656">
        <v>47600</v>
      </c>
      <c r="G1656">
        <v>1430</v>
      </c>
      <c r="H1656">
        <v>1546.61</v>
      </c>
      <c r="I1656">
        <v>147</v>
      </c>
      <c r="J1656">
        <v>1</v>
      </c>
      <c r="L1656" t="s">
        <v>68</v>
      </c>
    </row>
    <row r="1657" spans="1:12">
      <c r="A1657" t="s">
        <v>3418</v>
      </c>
      <c r="B1657" t="s">
        <v>3419</v>
      </c>
      <c r="C1657" s="27">
        <v>45247</v>
      </c>
      <c r="D1657" s="25">
        <v>45275</v>
      </c>
      <c r="E1657" t="s">
        <v>33</v>
      </c>
      <c r="F1657">
        <v>77898</v>
      </c>
      <c r="G1657">
        <v>2979</v>
      </c>
      <c r="H1657">
        <v>2107.8</v>
      </c>
      <c r="I1657">
        <v>294</v>
      </c>
      <c r="J1657" t="b">
        <v>1</v>
      </c>
      <c r="L1657" t="s">
        <v>34</v>
      </c>
    </row>
    <row r="1658" spans="1:12">
      <c r="A1658" t="s">
        <v>3420</v>
      </c>
      <c r="B1658" t="s">
        <v>3421</v>
      </c>
      <c r="C1658" t="s">
        <v>1741</v>
      </c>
      <c r="D1658" s="25">
        <v>45019</v>
      </c>
      <c r="E1658" t="s">
        <v>33</v>
      </c>
      <c r="F1658">
        <v>63483</v>
      </c>
      <c r="G1658">
        <v>1991</v>
      </c>
      <c r="H1658" s="26">
        <v>3200.04</v>
      </c>
      <c r="J1658" t="s">
        <v>15</v>
      </c>
      <c r="L1658" t="s">
        <v>34</v>
      </c>
    </row>
    <row r="1659" spans="1:12">
      <c r="A1659" t="s">
        <v>3422</v>
      </c>
      <c r="B1659" t="s">
        <v>3423</v>
      </c>
      <c r="C1659" s="27">
        <v>45266</v>
      </c>
      <c r="D1659" s="25">
        <v>45274</v>
      </c>
      <c r="E1659" t="s">
        <v>19</v>
      </c>
      <c r="F1659">
        <v>19297</v>
      </c>
      <c r="G1659">
        <v>610</v>
      </c>
      <c r="H1659">
        <v>1089.12</v>
      </c>
      <c r="J1659" t="b">
        <v>0</v>
      </c>
      <c r="L1659" t="s">
        <v>20</v>
      </c>
    </row>
    <row r="1660" spans="1:12">
      <c r="A1660" t="s">
        <v>3424</v>
      </c>
      <c r="B1660" t="s">
        <v>3425</v>
      </c>
      <c r="C1660" s="27">
        <v>45170</v>
      </c>
      <c r="D1660" s="25">
        <v>45198</v>
      </c>
      <c r="E1660" t="s">
        <v>23</v>
      </c>
      <c r="F1660">
        <v>31448</v>
      </c>
      <c r="G1660">
        <v>854</v>
      </c>
      <c r="H1660">
        <v>1629.49</v>
      </c>
      <c r="I1660">
        <v>47</v>
      </c>
      <c r="J1660" t="s">
        <v>30</v>
      </c>
      <c r="L1660" t="s">
        <v>25</v>
      </c>
    </row>
    <row r="1661" spans="1:12">
      <c r="A1661" t="s">
        <v>3426</v>
      </c>
      <c r="B1661" t="s">
        <v>3427</v>
      </c>
      <c r="C1661" s="27">
        <v>45066</v>
      </c>
      <c r="D1661" s="25">
        <v>45086</v>
      </c>
      <c r="E1661" t="s">
        <v>138</v>
      </c>
      <c r="F1661">
        <v>27172</v>
      </c>
      <c r="G1661">
        <v>607</v>
      </c>
      <c r="H1661">
        <v>751.8</v>
      </c>
      <c r="I1661">
        <v>103</v>
      </c>
      <c r="J1661" t="s">
        <v>24</v>
      </c>
      <c r="L1661" t="s">
        <v>139</v>
      </c>
    </row>
    <row r="1662" spans="1:12">
      <c r="A1662" t="s">
        <v>3428</v>
      </c>
      <c r="B1662" t="s">
        <v>3429</v>
      </c>
      <c r="C1662" s="27">
        <v>45284</v>
      </c>
      <c r="D1662" s="25">
        <v>45311</v>
      </c>
      <c r="E1662" t="s">
        <v>14</v>
      </c>
      <c r="F1662">
        <v>43874</v>
      </c>
      <c r="G1662">
        <v>1285</v>
      </c>
      <c r="H1662">
        <v>1993.42</v>
      </c>
      <c r="I1662">
        <v>135</v>
      </c>
      <c r="J1662" t="b">
        <v>1</v>
      </c>
      <c r="L1662" t="s">
        <v>16</v>
      </c>
    </row>
    <row r="1663" spans="1:12">
      <c r="A1663" t="s">
        <v>3430</v>
      </c>
      <c r="B1663" t="s">
        <v>3431</v>
      </c>
      <c r="C1663" s="27">
        <v>45160</v>
      </c>
      <c r="D1663" s="25">
        <v>45172</v>
      </c>
      <c r="E1663" t="s">
        <v>33</v>
      </c>
      <c r="F1663">
        <v>8657</v>
      </c>
      <c r="G1663">
        <v>127</v>
      </c>
      <c r="H1663">
        <v>226.48</v>
      </c>
      <c r="I1663">
        <v>22</v>
      </c>
      <c r="J1663" t="b">
        <v>1</v>
      </c>
      <c r="L1663" t="s">
        <v>34</v>
      </c>
    </row>
    <row r="1664" spans="1:12">
      <c r="A1664" t="s">
        <v>3432</v>
      </c>
      <c r="B1664" t="s">
        <v>3433</v>
      </c>
      <c r="C1664" s="27">
        <v>45215</v>
      </c>
      <c r="D1664" s="25">
        <v>45234</v>
      </c>
      <c r="E1664" t="s">
        <v>19</v>
      </c>
      <c r="F1664">
        <v>85386</v>
      </c>
      <c r="G1664">
        <v>4137</v>
      </c>
      <c r="H1664">
        <v>4664.21</v>
      </c>
      <c r="I1664">
        <v>704</v>
      </c>
      <c r="J1664">
        <v>1</v>
      </c>
      <c r="L1664" t="s">
        <v>20</v>
      </c>
    </row>
    <row r="1665" spans="1:12">
      <c r="A1665" t="s">
        <v>3434</v>
      </c>
      <c r="B1665" t="s">
        <v>3435</v>
      </c>
      <c r="C1665" s="27">
        <v>45200</v>
      </c>
      <c r="D1665" s="25">
        <v>45226</v>
      </c>
      <c r="E1665" t="s">
        <v>14</v>
      </c>
      <c r="F1665">
        <v>26425</v>
      </c>
      <c r="G1665">
        <v>1019</v>
      </c>
      <c r="H1665">
        <v>982.44</v>
      </c>
      <c r="I1665">
        <v>104</v>
      </c>
      <c r="J1665" t="b">
        <v>1</v>
      </c>
      <c r="L1665" t="s">
        <v>16</v>
      </c>
    </row>
    <row r="1666" spans="1:12">
      <c r="A1666" t="s">
        <v>3436</v>
      </c>
      <c r="B1666" t="s">
        <v>3437</v>
      </c>
      <c r="C1666" s="25">
        <v>45203</v>
      </c>
      <c r="D1666" s="25">
        <v>45035</v>
      </c>
      <c r="E1666" t="s">
        <v>19</v>
      </c>
      <c r="F1666">
        <v>27685</v>
      </c>
      <c r="G1666">
        <v>1331</v>
      </c>
      <c r="H1666">
        <v>2535.67</v>
      </c>
      <c r="I1666">
        <v>205</v>
      </c>
      <c r="J1666" t="b">
        <v>0</v>
      </c>
      <c r="L1666" t="s">
        <v>20</v>
      </c>
    </row>
    <row r="1667" spans="1:12">
      <c r="A1667" t="s">
        <v>3438</v>
      </c>
      <c r="B1667" t="s">
        <v>3439</v>
      </c>
      <c r="C1667" s="27">
        <v>45084</v>
      </c>
      <c r="D1667" s="25">
        <v>45099</v>
      </c>
      <c r="E1667" t="s">
        <v>23</v>
      </c>
      <c r="F1667">
        <v>25578</v>
      </c>
      <c r="G1667">
        <v>487</v>
      </c>
      <c r="H1667">
        <v>620.2</v>
      </c>
      <c r="I1667">
        <v>36</v>
      </c>
      <c r="J1667">
        <v>1</v>
      </c>
      <c r="L1667" t="s">
        <v>25</v>
      </c>
    </row>
    <row r="1668" spans="1:12">
      <c r="A1668" t="s">
        <v>3440</v>
      </c>
      <c r="B1668" t="s">
        <v>3441</v>
      </c>
      <c r="C1668" s="25">
        <v>45052</v>
      </c>
      <c r="D1668" s="25">
        <v>45047</v>
      </c>
      <c r="E1668" t="s">
        <v>23</v>
      </c>
      <c r="F1668">
        <v>29831</v>
      </c>
      <c r="G1668">
        <v>1347</v>
      </c>
      <c r="H1668">
        <v>1678.2</v>
      </c>
      <c r="I1668">
        <v>248</v>
      </c>
      <c r="J1668" t="b">
        <v>1</v>
      </c>
      <c r="L1668" t="s">
        <v>25</v>
      </c>
    </row>
    <row r="1669" spans="1:12">
      <c r="A1669" t="s">
        <v>3442</v>
      </c>
      <c r="B1669" t="s">
        <v>3443</v>
      </c>
      <c r="C1669" s="27">
        <v>45194</v>
      </c>
      <c r="D1669" s="25">
        <v>45209</v>
      </c>
      <c r="E1669" t="s">
        <v>33</v>
      </c>
      <c r="F1669">
        <v>8906</v>
      </c>
      <c r="G1669">
        <v>377</v>
      </c>
      <c r="H1669" s="26">
        <v>289.39</v>
      </c>
      <c r="I1669">
        <v>41</v>
      </c>
      <c r="J1669" t="s">
        <v>24</v>
      </c>
      <c r="L1669" t="s">
        <v>34</v>
      </c>
    </row>
    <row r="1670" spans="1:12">
      <c r="A1670" t="s">
        <v>3444</v>
      </c>
      <c r="B1670" t="s">
        <v>3445</v>
      </c>
      <c r="C1670" s="27">
        <v>45103</v>
      </c>
      <c r="D1670" s="25">
        <v>45109</v>
      </c>
      <c r="E1670" t="s">
        <v>14</v>
      </c>
      <c r="F1670">
        <v>62413</v>
      </c>
      <c r="G1670">
        <v>2314</v>
      </c>
      <c r="H1670">
        <v>1532.41</v>
      </c>
      <c r="I1670">
        <v>273</v>
      </c>
      <c r="J1670" t="s">
        <v>30</v>
      </c>
      <c r="L1670" t="s">
        <v>16</v>
      </c>
    </row>
    <row r="1671" spans="1:12">
      <c r="A1671" t="s">
        <v>3446</v>
      </c>
      <c r="B1671" t="s">
        <v>3447</v>
      </c>
      <c r="C1671" s="27">
        <v>45279</v>
      </c>
      <c r="D1671" s="25">
        <v>45302</v>
      </c>
      <c r="E1671" t="s">
        <v>19</v>
      </c>
      <c r="F1671">
        <v>55028</v>
      </c>
      <c r="G1671">
        <v>1926</v>
      </c>
      <c r="H1671">
        <v>3395.85</v>
      </c>
      <c r="I1671">
        <v>300</v>
      </c>
      <c r="J1671" t="s">
        <v>24</v>
      </c>
      <c r="L1671" t="s">
        <v>20</v>
      </c>
    </row>
    <row r="1672" spans="1:12">
      <c r="A1672" t="s">
        <v>3448</v>
      </c>
      <c r="B1672" t="s">
        <v>3449</v>
      </c>
      <c r="C1672" s="27">
        <v>45171</v>
      </c>
      <c r="D1672" s="25">
        <v>45175</v>
      </c>
      <c r="E1672" t="s">
        <v>14</v>
      </c>
      <c r="F1672">
        <v>8287</v>
      </c>
      <c r="G1672">
        <v>187</v>
      </c>
      <c r="H1672">
        <v>265.76</v>
      </c>
      <c r="I1672">
        <v>32</v>
      </c>
      <c r="J1672">
        <v>0</v>
      </c>
      <c r="L1672" t="s">
        <v>16</v>
      </c>
    </row>
    <row r="1673" spans="1:12">
      <c r="A1673" t="s">
        <v>3450</v>
      </c>
      <c r="B1673" t="s">
        <v>3451</v>
      </c>
      <c r="C1673" s="27">
        <v>45076</v>
      </c>
      <c r="D1673" s="25">
        <v>45099</v>
      </c>
      <c r="E1673" t="s">
        <v>23</v>
      </c>
      <c r="F1673">
        <v>34660</v>
      </c>
      <c r="G1673">
        <v>1478</v>
      </c>
      <c r="H1673" s="26">
        <v>1461.35</v>
      </c>
      <c r="I1673">
        <v>126</v>
      </c>
      <c r="J1673" t="b">
        <v>0</v>
      </c>
      <c r="L1673" t="s">
        <v>25</v>
      </c>
    </row>
    <row r="1674" spans="1:12">
      <c r="A1674" t="s">
        <v>3452</v>
      </c>
      <c r="B1674" t="s">
        <v>3453</v>
      </c>
      <c r="C1674" s="27">
        <v>45207</v>
      </c>
      <c r="D1674" s="25">
        <v>45215</v>
      </c>
      <c r="E1674" t="s">
        <v>14</v>
      </c>
      <c r="F1674">
        <v>76758</v>
      </c>
      <c r="G1674">
        <v>2307</v>
      </c>
      <c r="H1674">
        <v>1817</v>
      </c>
      <c r="I1674">
        <v>344</v>
      </c>
      <c r="J1674" t="s">
        <v>30</v>
      </c>
      <c r="L1674" t="s">
        <v>16</v>
      </c>
    </row>
    <row r="1675" spans="1:12">
      <c r="A1675" t="s">
        <v>3454</v>
      </c>
      <c r="B1675" t="s">
        <v>3455</v>
      </c>
      <c r="C1675" s="27">
        <v>45214</v>
      </c>
      <c r="D1675" s="25">
        <v>45220</v>
      </c>
      <c r="E1675" t="s">
        <v>19</v>
      </c>
      <c r="F1675">
        <v>61504</v>
      </c>
      <c r="G1675">
        <v>789</v>
      </c>
      <c r="H1675">
        <v>1051.93</v>
      </c>
      <c r="I1675">
        <v>85</v>
      </c>
      <c r="J1675" t="s">
        <v>30</v>
      </c>
      <c r="L1675" t="s">
        <v>68</v>
      </c>
    </row>
    <row r="1676" spans="1:12">
      <c r="A1676" t="s">
        <v>3456</v>
      </c>
      <c r="B1676" t="s">
        <v>3457</v>
      </c>
      <c r="C1676" s="27">
        <v>45257</v>
      </c>
      <c r="D1676" s="25">
        <v>45278</v>
      </c>
      <c r="E1676" t="s">
        <v>14</v>
      </c>
      <c r="F1676">
        <v>60720</v>
      </c>
      <c r="G1676">
        <v>1367</v>
      </c>
      <c r="H1676">
        <v>1880.83</v>
      </c>
      <c r="I1676">
        <v>143</v>
      </c>
      <c r="J1676">
        <v>1</v>
      </c>
      <c r="L1676" t="s">
        <v>16</v>
      </c>
    </row>
    <row r="1677" spans="1:12">
      <c r="A1677" t="s">
        <v>3458</v>
      </c>
      <c r="B1677" t="s">
        <v>3459</v>
      </c>
      <c r="C1677" t="s">
        <v>3460</v>
      </c>
      <c r="D1677" s="25">
        <v>45081</v>
      </c>
      <c r="E1677" t="s">
        <v>14</v>
      </c>
      <c r="F1677">
        <v>35701</v>
      </c>
      <c r="G1677">
        <v>1692</v>
      </c>
      <c r="H1677">
        <v>1371.35</v>
      </c>
      <c r="I1677">
        <v>259</v>
      </c>
      <c r="J1677" t="s">
        <v>15</v>
      </c>
      <c r="L1677" t="s">
        <v>16</v>
      </c>
    </row>
    <row r="1678" spans="1:12">
      <c r="A1678" t="s">
        <v>3461</v>
      </c>
      <c r="B1678" t="s">
        <v>3462</v>
      </c>
      <c r="C1678" s="27">
        <v>45247</v>
      </c>
      <c r="D1678" s="25">
        <v>45272</v>
      </c>
      <c r="E1678" t="s">
        <v>19</v>
      </c>
      <c r="F1678">
        <v>84300</v>
      </c>
      <c r="G1678">
        <v>3711</v>
      </c>
      <c r="H1678">
        <v>6594.85</v>
      </c>
      <c r="I1678">
        <v>401</v>
      </c>
      <c r="J1678">
        <v>1</v>
      </c>
      <c r="L1678" t="s">
        <v>20</v>
      </c>
    </row>
    <row r="1679" spans="1:12">
      <c r="A1679" t="s">
        <v>3463</v>
      </c>
      <c r="B1679" t="s">
        <v>3464</v>
      </c>
      <c r="C1679" s="27">
        <v>45240</v>
      </c>
      <c r="D1679" s="25">
        <v>45242</v>
      </c>
      <c r="E1679" t="s">
        <v>19</v>
      </c>
      <c r="F1679">
        <v>18674</v>
      </c>
      <c r="G1679">
        <v>920</v>
      </c>
      <c r="H1679">
        <v>576.28</v>
      </c>
      <c r="I1679">
        <v>93</v>
      </c>
      <c r="J1679" t="b">
        <v>0</v>
      </c>
      <c r="L1679" t="s">
        <v>20</v>
      </c>
    </row>
    <row r="1680" spans="1:12">
      <c r="A1680" t="s">
        <v>3465</v>
      </c>
      <c r="B1680" t="s">
        <v>3466</v>
      </c>
      <c r="C1680" s="27">
        <v>45072</v>
      </c>
      <c r="D1680" s="25">
        <v>45075</v>
      </c>
      <c r="E1680" t="s">
        <v>23</v>
      </c>
      <c r="F1680">
        <v>84560</v>
      </c>
      <c r="G1680">
        <v>2969</v>
      </c>
      <c r="H1680">
        <v>3070.36</v>
      </c>
      <c r="I1680">
        <v>520</v>
      </c>
      <c r="J1680" t="b">
        <v>0</v>
      </c>
      <c r="L1680" t="s">
        <v>25</v>
      </c>
    </row>
    <row r="1681" spans="1:12">
      <c r="A1681" t="s">
        <v>3467</v>
      </c>
      <c r="B1681" t="s">
        <v>3468</v>
      </c>
      <c r="C1681" s="27">
        <v>45064</v>
      </c>
      <c r="D1681" s="25">
        <v>45077</v>
      </c>
      <c r="E1681" t="s">
        <v>23</v>
      </c>
      <c r="F1681">
        <v>24874</v>
      </c>
      <c r="G1681">
        <v>495</v>
      </c>
      <c r="H1681">
        <v>752.69</v>
      </c>
      <c r="I1681">
        <v>32</v>
      </c>
      <c r="J1681">
        <v>1</v>
      </c>
      <c r="L1681" t="s">
        <v>25</v>
      </c>
    </row>
    <row r="1682" spans="1:12">
      <c r="A1682" t="s">
        <v>3469</v>
      </c>
      <c r="B1682" t="s">
        <v>3470</v>
      </c>
      <c r="C1682" s="27">
        <v>45020</v>
      </c>
      <c r="D1682" s="25">
        <v>45025</v>
      </c>
      <c r="E1682" t="s">
        <v>23</v>
      </c>
      <c r="F1682">
        <v>44642</v>
      </c>
      <c r="G1682">
        <v>737</v>
      </c>
      <c r="H1682">
        <v>671.54</v>
      </c>
      <c r="I1682">
        <v>111</v>
      </c>
      <c r="J1682" t="s">
        <v>15</v>
      </c>
      <c r="L1682" t="s">
        <v>25</v>
      </c>
    </row>
    <row r="1683" spans="1:12">
      <c r="A1683" t="s">
        <v>3471</v>
      </c>
      <c r="B1683" t="s">
        <v>3472</v>
      </c>
      <c r="C1683" s="27">
        <v>45160</v>
      </c>
      <c r="D1683" s="25">
        <v>45161</v>
      </c>
      <c r="E1683" t="s">
        <v>19</v>
      </c>
      <c r="F1683">
        <v>98820</v>
      </c>
      <c r="G1683">
        <v>1727</v>
      </c>
      <c r="H1683">
        <v>3007.59</v>
      </c>
      <c r="I1683">
        <v>150</v>
      </c>
      <c r="J1683" t="s">
        <v>24</v>
      </c>
      <c r="L1683" t="s">
        <v>20</v>
      </c>
    </row>
    <row r="1684" spans="1:12">
      <c r="A1684" t="s">
        <v>3473</v>
      </c>
      <c r="B1684" t="s">
        <v>3474</v>
      </c>
      <c r="C1684" s="27">
        <v>45245</v>
      </c>
      <c r="D1684" s="25">
        <v>45255</v>
      </c>
      <c r="E1684" t="s">
        <v>33</v>
      </c>
      <c r="F1684">
        <v>66160</v>
      </c>
      <c r="G1684">
        <v>713</v>
      </c>
      <c r="H1684">
        <v>1147.79</v>
      </c>
      <c r="I1684">
        <v>37</v>
      </c>
      <c r="J1684">
        <v>1</v>
      </c>
      <c r="L1684" t="s">
        <v>34</v>
      </c>
    </row>
    <row r="1685" spans="1:12">
      <c r="A1685" t="s">
        <v>3475</v>
      </c>
      <c r="B1685" t="s">
        <v>3476</v>
      </c>
      <c r="C1685" t="s">
        <v>1700</v>
      </c>
      <c r="D1685" s="25">
        <v>45019</v>
      </c>
      <c r="E1685" t="s">
        <v>14</v>
      </c>
      <c r="F1685">
        <v>18602</v>
      </c>
      <c r="G1685">
        <v>476</v>
      </c>
      <c r="H1685">
        <v>801.36</v>
      </c>
      <c r="I1685">
        <v>35</v>
      </c>
      <c r="J1685" t="b">
        <v>0</v>
      </c>
      <c r="L1685" t="s">
        <v>16</v>
      </c>
    </row>
    <row r="1686" spans="1:12">
      <c r="A1686" t="s">
        <v>3477</v>
      </c>
      <c r="B1686" t="s">
        <v>3478</v>
      </c>
      <c r="C1686" s="25">
        <v>44936</v>
      </c>
      <c r="D1686" s="25">
        <v>45217</v>
      </c>
      <c r="E1686" t="s">
        <v>33</v>
      </c>
      <c r="F1686">
        <v>89801</v>
      </c>
      <c r="G1686">
        <v>1585</v>
      </c>
      <c r="H1686">
        <v>1075.68</v>
      </c>
      <c r="I1686">
        <v>223</v>
      </c>
      <c r="J1686" t="s">
        <v>15</v>
      </c>
      <c r="L1686" t="s">
        <v>34</v>
      </c>
    </row>
    <row r="1687" spans="1:12">
      <c r="A1687" t="s">
        <v>3479</v>
      </c>
      <c r="B1687" t="s">
        <v>3480</v>
      </c>
      <c r="C1687" s="27">
        <v>44979</v>
      </c>
      <c r="D1687" s="25">
        <v>45005</v>
      </c>
      <c r="E1687" t="s">
        <v>19</v>
      </c>
      <c r="F1687">
        <v>26931</v>
      </c>
      <c r="G1687">
        <v>712</v>
      </c>
      <c r="H1687">
        <v>506.1</v>
      </c>
      <c r="J1687" t="b">
        <v>0</v>
      </c>
      <c r="L1687" t="s">
        <v>20</v>
      </c>
    </row>
    <row r="1688" spans="1:12">
      <c r="A1688" t="s">
        <v>3481</v>
      </c>
      <c r="B1688" t="s">
        <v>3482</v>
      </c>
      <c r="C1688" s="27">
        <v>45151</v>
      </c>
      <c r="D1688" s="25">
        <v>45167</v>
      </c>
      <c r="E1688" t="s">
        <v>23</v>
      </c>
      <c r="F1688">
        <v>95377</v>
      </c>
      <c r="G1688">
        <v>4520</v>
      </c>
      <c r="H1688">
        <v>4202.29</v>
      </c>
      <c r="I1688">
        <v>240</v>
      </c>
      <c r="J1688" t="s">
        <v>15</v>
      </c>
      <c r="L1688" t="s">
        <v>68</v>
      </c>
    </row>
    <row r="1689" spans="1:12">
      <c r="A1689" t="s">
        <v>3483</v>
      </c>
      <c r="B1689" t="s">
        <v>3484</v>
      </c>
      <c r="C1689" t="s">
        <v>1700</v>
      </c>
      <c r="D1689" s="25">
        <v>45026</v>
      </c>
      <c r="E1689" t="s">
        <v>19</v>
      </c>
      <c r="F1689">
        <v>30192</v>
      </c>
      <c r="G1689">
        <v>821</v>
      </c>
      <c r="H1689" s="26">
        <v>1048.51</v>
      </c>
      <c r="I1689">
        <v>45</v>
      </c>
      <c r="J1689" t="s">
        <v>15</v>
      </c>
      <c r="L1689" t="s">
        <v>20</v>
      </c>
    </row>
    <row r="1690" spans="1:12">
      <c r="A1690" t="s">
        <v>3485</v>
      </c>
      <c r="B1690" t="s">
        <v>3486</v>
      </c>
      <c r="C1690" s="27">
        <v>45038</v>
      </c>
      <c r="D1690" s="25">
        <v>45063</v>
      </c>
      <c r="E1690" t="s">
        <v>23</v>
      </c>
      <c r="F1690">
        <v>47542</v>
      </c>
      <c r="G1690">
        <v>2145</v>
      </c>
      <c r="H1690">
        <v>3479.24</v>
      </c>
      <c r="I1690">
        <v>397</v>
      </c>
      <c r="J1690">
        <v>1</v>
      </c>
      <c r="L1690" t="s">
        <v>25</v>
      </c>
    </row>
    <row r="1691" spans="1:12">
      <c r="A1691" t="s">
        <v>3487</v>
      </c>
      <c r="B1691" t="s">
        <v>3488</v>
      </c>
      <c r="C1691" s="27">
        <v>45182</v>
      </c>
      <c r="D1691" s="25">
        <v>45195</v>
      </c>
      <c r="E1691" t="s">
        <v>23</v>
      </c>
      <c r="F1691">
        <v>43520</v>
      </c>
      <c r="G1691">
        <v>1489</v>
      </c>
      <c r="H1691">
        <v>2612.89</v>
      </c>
      <c r="I1691">
        <v>90</v>
      </c>
      <c r="J1691">
        <v>1</v>
      </c>
      <c r="L1691" t="s">
        <v>25</v>
      </c>
    </row>
    <row r="1692" spans="1:12">
      <c r="A1692" t="s">
        <v>3489</v>
      </c>
      <c r="B1692" t="s">
        <v>3490</v>
      </c>
      <c r="C1692" s="27">
        <v>44943</v>
      </c>
      <c r="D1692" s="25">
        <v>44961</v>
      </c>
      <c r="E1692" t="s">
        <v>23</v>
      </c>
      <c r="F1692">
        <v>65772</v>
      </c>
      <c r="G1692">
        <v>1307</v>
      </c>
      <c r="H1692">
        <v>2034.35</v>
      </c>
      <c r="I1692">
        <v>240</v>
      </c>
      <c r="J1692">
        <v>1</v>
      </c>
      <c r="L1692" t="s">
        <v>25</v>
      </c>
    </row>
    <row r="1693" spans="1:12">
      <c r="A1693" t="s">
        <v>3491</v>
      </c>
      <c r="B1693" t="s">
        <v>3492</v>
      </c>
      <c r="C1693" t="s">
        <v>2879</v>
      </c>
      <c r="D1693" s="25">
        <v>45019</v>
      </c>
      <c r="E1693" t="s">
        <v>23</v>
      </c>
      <c r="F1693">
        <v>59762</v>
      </c>
      <c r="G1693">
        <v>1448</v>
      </c>
      <c r="H1693">
        <v>2740.91</v>
      </c>
      <c r="J1693" t="s">
        <v>15</v>
      </c>
      <c r="L1693" t="s">
        <v>25</v>
      </c>
    </row>
    <row r="1694" spans="1:12">
      <c r="A1694" t="s">
        <v>3493</v>
      </c>
      <c r="B1694" t="s">
        <v>3494</v>
      </c>
      <c r="C1694" t="s">
        <v>3495</v>
      </c>
      <c r="D1694" s="25">
        <v>45151</v>
      </c>
      <c r="E1694" t="s">
        <v>19</v>
      </c>
      <c r="F1694">
        <v>51106</v>
      </c>
      <c r="G1694">
        <v>682</v>
      </c>
      <c r="H1694">
        <v>1096.73</v>
      </c>
      <c r="I1694">
        <v>109</v>
      </c>
      <c r="J1694" t="s">
        <v>15</v>
      </c>
      <c r="L1694" t="s">
        <v>20</v>
      </c>
    </row>
    <row r="1695" spans="1:12">
      <c r="A1695" t="s">
        <v>3496</v>
      </c>
      <c r="B1695" t="s">
        <v>3497</v>
      </c>
      <c r="C1695" s="27">
        <v>45167</v>
      </c>
      <c r="D1695" s="25">
        <v>45180</v>
      </c>
      <c r="E1695" t="s">
        <v>33</v>
      </c>
      <c r="F1695">
        <v>82121</v>
      </c>
      <c r="G1695">
        <v>1916</v>
      </c>
      <c r="H1695">
        <v>1838.21</v>
      </c>
      <c r="I1695">
        <v>184</v>
      </c>
      <c r="J1695" t="b">
        <v>0</v>
      </c>
      <c r="L1695" t="s">
        <v>34</v>
      </c>
    </row>
    <row r="1696" spans="1:12">
      <c r="A1696" t="s">
        <v>3498</v>
      </c>
      <c r="B1696" t="s">
        <v>3499</v>
      </c>
      <c r="C1696" s="27">
        <v>45055</v>
      </c>
      <c r="D1696" s="25">
        <v>45084</v>
      </c>
      <c r="E1696" t="s">
        <v>19</v>
      </c>
      <c r="F1696">
        <v>26559</v>
      </c>
      <c r="G1696">
        <v>985</v>
      </c>
      <c r="H1696">
        <v>884.16</v>
      </c>
      <c r="I1696">
        <v>176</v>
      </c>
      <c r="J1696" t="s">
        <v>30</v>
      </c>
      <c r="L1696" t="s">
        <v>20</v>
      </c>
    </row>
    <row r="1697" spans="1:12">
      <c r="A1697" t="s">
        <v>3500</v>
      </c>
      <c r="B1697" t="s">
        <v>3501</v>
      </c>
      <c r="C1697" s="27">
        <v>44989</v>
      </c>
      <c r="D1697" s="25">
        <v>45006</v>
      </c>
      <c r="E1697" t="s">
        <v>23</v>
      </c>
      <c r="F1697">
        <v>34742</v>
      </c>
      <c r="G1697">
        <v>447</v>
      </c>
      <c r="H1697" s="26">
        <v>690.3</v>
      </c>
      <c r="I1697">
        <v>69</v>
      </c>
      <c r="J1697">
        <v>1</v>
      </c>
      <c r="L1697" t="s">
        <v>68</v>
      </c>
    </row>
    <row r="1698" spans="1:12">
      <c r="A1698" t="s">
        <v>3502</v>
      </c>
      <c r="B1698" t="s">
        <v>3503</v>
      </c>
      <c r="C1698" s="27">
        <v>45124</v>
      </c>
      <c r="D1698" s="25">
        <v>45139</v>
      </c>
      <c r="E1698" t="s">
        <v>19</v>
      </c>
      <c r="F1698">
        <v>70669</v>
      </c>
      <c r="G1698">
        <v>1287</v>
      </c>
      <c r="H1698">
        <v>1015.84</v>
      </c>
      <c r="I1698">
        <v>141</v>
      </c>
      <c r="J1698">
        <v>0</v>
      </c>
      <c r="L1698" t="s">
        <v>20</v>
      </c>
    </row>
    <row r="1699" spans="1:12">
      <c r="A1699" t="s">
        <v>3504</v>
      </c>
      <c r="B1699" t="s">
        <v>3505</v>
      </c>
      <c r="C1699" s="27">
        <v>44944</v>
      </c>
      <c r="D1699" s="25">
        <v>44965</v>
      </c>
      <c r="E1699" t="s">
        <v>41</v>
      </c>
      <c r="F1699">
        <v>81199</v>
      </c>
      <c r="G1699">
        <v>2050</v>
      </c>
      <c r="H1699">
        <v>1310.1</v>
      </c>
      <c r="I1699">
        <v>125</v>
      </c>
      <c r="J1699" t="b">
        <v>0</v>
      </c>
      <c r="L1699" t="s">
        <v>42</v>
      </c>
    </row>
    <row r="1700" spans="1:12">
      <c r="A1700" t="s">
        <v>3506</v>
      </c>
      <c r="B1700" t="s">
        <v>3507</v>
      </c>
      <c r="C1700" s="27">
        <v>44975</v>
      </c>
      <c r="D1700" s="25">
        <v>44992</v>
      </c>
      <c r="E1700" t="s">
        <v>33</v>
      </c>
      <c r="F1700">
        <v>22754</v>
      </c>
      <c r="G1700">
        <v>1121</v>
      </c>
      <c r="H1700" s="26">
        <v>1455.43</v>
      </c>
      <c r="I1700">
        <v>179</v>
      </c>
      <c r="J1700" t="b">
        <v>0</v>
      </c>
      <c r="L1700" t="s">
        <v>34</v>
      </c>
    </row>
    <row r="1701" spans="1:12">
      <c r="A1701" t="s">
        <v>3508</v>
      </c>
      <c r="B1701" t="s">
        <v>3509</v>
      </c>
      <c r="C1701" s="27">
        <v>45169</v>
      </c>
      <c r="D1701" s="25">
        <v>45181</v>
      </c>
      <c r="E1701" t="s">
        <v>33</v>
      </c>
      <c r="F1701">
        <v>4972</v>
      </c>
      <c r="G1701">
        <v>205</v>
      </c>
      <c r="H1701">
        <v>355.15</v>
      </c>
      <c r="I1701">
        <v>29</v>
      </c>
      <c r="J1701" t="b">
        <v>1</v>
      </c>
      <c r="L1701" t="s">
        <v>34</v>
      </c>
    </row>
    <row r="1702" spans="1:12">
      <c r="A1702" t="s">
        <v>3510</v>
      </c>
      <c r="B1702" t="s">
        <v>3511</v>
      </c>
      <c r="C1702" s="27">
        <v>45092</v>
      </c>
      <c r="D1702" s="25">
        <v>45118</v>
      </c>
      <c r="E1702" t="s">
        <v>41</v>
      </c>
      <c r="F1702">
        <v>71831</v>
      </c>
      <c r="G1702">
        <v>2825</v>
      </c>
      <c r="H1702" s="26">
        <v>1842.1</v>
      </c>
      <c r="I1702">
        <v>142</v>
      </c>
      <c r="J1702">
        <v>1</v>
      </c>
      <c r="L1702" t="s">
        <v>42</v>
      </c>
    </row>
    <row r="1703" spans="1:12">
      <c r="A1703" t="s">
        <v>3512</v>
      </c>
      <c r="B1703" t="s">
        <v>3513</v>
      </c>
      <c r="C1703" s="27">
        <v>45208</v>
      </c>
      <c r="D1703" s="25">
        <v>45228</v>
      </c>
      <c r="E1703" t="s">
        <v>19</v>
      </c>
      <c r="F1703">
        <v>42873</v>
      </c>
      <c r="G1703">
        <v>627</v>
      </c>
      <c r="H1703">
        <v>-1058.27</v>
      </c>
      <c r="I1703">
        <v>32</v>
      </c>
      <c r="J1703" t="s">
        <v>24</v>
      </c>
      <c r="L1703" t="s">
        <v>20</v>
      </c>
    </row>
    <row r="1704" spans="1:12">
      <c r="A1704" t="s">
        <v>3514</v>
      </c>
      <c r="B1704" t="s">
        <v>3515</v>
      </c>
      <c r="C1704" s="27">
        <v>45253</v>
      </c>
      <c r="D1704" s="25">
        <v>45272</v>
      </c>
      <c r="E1704" t="s">
        <v>19</v>
      </c>
      <c r="F1704">
        <v>95661</v>
      </c>
      <c r="G1704">
        <v>3945</v>
      </c>
      <c r="H1704">
        <v>6774.98</v>
      </c>
      <c r="I1704">
        <v>675</v>
      </c>
      <c r="J1704" t="b">
        <v>0</v>
      </c>
      <c r="L1704" t="s">
        <v>20</v>
      </c>
    </row>
    <row r="1705" spans="1:12">
      <c r="A1705" t="s">
        <v>3516</v>
      </c>
      <c r="B1705" t="s">
        <v>3517</v>
      </c>
      <c r="C1705" s="27">
        <v>44953</v>
      </c>
      <c r="D1705" s="25">
        <v>44976</v>
      </c>
      <c r="E1705" t="s">
        <v>41</v>
      </c>
      <c r="F1705">
        <v>10903</v>
      </c>
      <c r="G1705">
        <v>451</v>
      </c>
      <c r="H1705">
        <v>551.76</v>
      </c>
      <c r="I1705">
        <v>40</v>
      </c>
      <c r="J1705" t="b">
        <v>1</v>
      </c>
      <c r="L1705" t="s">
        <v>42</v>
      </c>
    </row>
    <row r="1706" spans="1:12">
      <c r="A1706" t="s">
        <v>3518</v>
      </c>
      <c r="B1706" t="s">
        <v>3519</v>
      </c>
      <c r="C1706" s="27">
        <v>44984</v>
      </c>
      <c r="D1706" s="25">
        <v>45011</v>
      </c>
      <c r="E1706" t="s">
        <v>33</v>
      </c>
      <c r="F1706">
        <v>4020</v>
      </c>
      <c r="G1706">
        <v>136</v>
      </c>
      <c r="H1706">
        <v>79.69</v>
      </c>
      <c r="I1706">
        <v>19</v>
      </c>
      <c r="J1706">
        <v>0</v>
      </c>
      <c r="L1706" t="s">
        <v>34</v>
      </c>
    </row>
    <row r="1707" spans="1:12">
      <c r="A1707" t="s">
        <v>3520</v>
      </c>
      <c r="B1707" t="s">
        <v>3521</v>
      </c>
      <c r="C1707" s="27">
        <v>44934</v>
      </c>
      <c r="D1707" s="25">
        <v>44958</v>
      </c>
      <c r="E1707" t="s">
        <v>19</v>
      </c>
      <c r="F1707">
        <v>42755</v>
      </c>
      <c r="G1707">
        <v>2121</v>
      </c>
      <c r="H1707">
        <v>1615.96</v>
      </c>
      <c r="I1707">
        <v>250</v>
      </c>
      <c r="J1707">
        <v>0</v>
      </c>
      <c r="L1707" t="s">
        <v>20</v>
      </c>
    </row>
    <row r="1708" spans="1:12">
      <c r="A1708" t="s">
        <v>3522</v>
      </c>
      <c r="B1708" t="s">
        <v>3523</v>
      </c>
      <c r="C1708" s="27">
        <v>44988</v>
      </c>
      <c r="D1708" s="25">
        <v>45001</v>
      </c>
      <c r="E1708" t="s">
        <v>19</v>
      </c>
      <c r="F1708">
        <v>86956</v>
      </c>
      <c r="G1708">
        <v>2000</v>
      </c>
      <c r="H1708">
        <v>3122.28</v>
      </c>
      <c r="I1708">
        <v>359</v>
      </c>
      <c r="J1708" t="s">
        <v>24</v>
      </c>
      <c r="L1708" t="s">
        <v>20</v>
      </c>
    </row>
    <row r="1709" spans="1:12">
      <c r="A1709" t="s">
        <v>3524</v>
      </c>
      <c r="B1709" t="s">
        <v>3525</v>
      </c>
      <c r="C1709" s="27">
        <v>44948</v>
      </c>
      <c r="D1709" s="25">
        <v>44973</v>
      </c>
      <c r="E1709" t="s">
        <v>23</v>
      </c>
      <c r="F1709">
        <v>87988</v>
      </c>
      <c r="G1709">
        <v>4192</v>
      </c>
      <c r="H1709">
        <v>6571.66</v>
      </c>
      <c r="I1709">
        <v>786</v>
      </c>
      <c r="J1709">
        <v>1</v>
      </c>
      <c r="L1709" t="s">
        <v>25</v>
      </c>
    </row>
    <row r="1710" spans="1:12">
      <c r="A1710" t="s">
        <v>3526</v>
      </c>
      <c r="B1710" t="s">
        <v>3527</v>
      </c>
      <c r="C1710" s="27">
        <v>45279</v>
      </c>
      <c r="D1710" s="25">
        <v>45288</v>
      </c>
      <c r="E1710" t="s">
        <v>41</v>
      </c>
      <c r="F1710">
        <v>46648</v>
      </c>
      <c r="G1710">
        <v>2173</v>
      </c>
      <c r="H1710">
        <v>4014.69</v>
      </c>
      <c r="I1710">
        <v>433</v>
      </c>
      <c r="J1710" t="s">
        <v>15</v>
      </c>
      <c r="L1710" t="s">
        <v>42</v>
      </c>
    </row>
    <row r="1711" spans="1:12">
      <c r="A1711" t="s">
        <v>3528</v>
      </c>
      <c r="B1711" t="s">
        <v>3529</v>
      </c>
      <c r="C1711" s="27">
        <v>44972</v>
      </c>
      <c r="D1711" s="25">
        <v>44989</v>
      </c>
      <c r="E1711" t="s">
        <v>14</v>
      </c>
      <c r="F1711">
        <v>10516</v>
      </c>
      <c r="G1711">
        <v>109</v>
      </c>
      <c r="H1711">
        <v>149.77</v>
      </c>
      <c r="I1711">
        <v>7</v>
      </c>
      <c r="J1711" t="b">
        <v>1</v>
      </c>
      <c r="L1711" t="s">
        <v>16</v>
      </c>
    </row>
    <row r="1712" spans="1:12">
      <c r="A1712" t="s">
        <v>3530</v>
      </c>
      <c r="B1712" t="s">
        <v>3531</v>
      </c>
      <c r="C1712" s="27">
        <v>45278</v>
      </c>
      <c r="D1712" s="25">
        <v>45308</v>
      </c>
      <c r="E1712" t="s">
        <v>14</v>
      </c>
      <c r="F1712">
        <v>3396</v>
      </c>
      <c r="G1712">
        <v>95</v>
      </c>
      <c r="H1712">
        <v>-65.19</v>
      </c>
      <c r="I1712">
        <v>17</v>
      </c>
      <c r="J1712" t="s">
        <v>15</v>
      </c>
      <c r="L1712" t="s">
        <v>68</v>
      </c>
    </row>
    <row r="1713" spans="1:12">
      <c r="A1713" t="s">
        <v>3532</v>
      </c>
      <c r="B1713" t="s">
        <v>3533</v>
      </c>
      <c r="C1713" t="s">
        <v>3064</v>
      </c>
      <c r="D1713" s="25">
        <v>45261</v>
      </c>
      <c r="E1713" t="s">
        <v>23</v>
      </c>
      <c r="F1713">
        <v>85082</v>
      </c>
      <c r="G1713">
        <v>4176</v>
      </c>
      <c r="H1713">
        <v>2848.54</v>
      </c>
      <c r="J1713">
        <v>0</v>
      </c>
      <c r="L1713" t="s">
        <v>25</v>
      </c>
    </row>
    <row r="1714" spans="1:12">
      <c r="A1714" t="s">
        <v>3534</v>
      </c>
      <c r="B1714" t="s">
        <v>3535</v>
      </c>
      <c r="C1714" s="27">
        <v>45109</v>
      </c>
      <c r="D1714" s="25">
        <v>45115</v>
      </c>
      <c r="E1714" t="s">
        <v>41</v>
      </c>
      <c r="F1714">
        <v>20129</v>
      </c>
      <c r="G1714">
        <v>284</v>
      </c>
      <c r="H1714">
        <v>449.2</v>
      </c>
      <c r="I1714">
        <v>39</v>
      </c>
      <c r="J1714">
        <v>0</v>
      </c>
      <c r="L1714" t="s">
        <v>42</v>
      </c>
    </row>
    <row r="1715" spans="1:12">
      <c r="A1715" t="s">
        <v>3536</v>
      </c>
      <c r="B1715" t="s">
        <v>3537</v>
      </c>
      <c r="C1715" s="27">
        <v>44981</v>
      </c>
      <c r="D1715" s="25">
        <v>44998</v>
      </c>
      <c r="E1715" t="s">
        <v>23</v>
      </c>
      <c r="F1715">
        <v>2591</v>
      </c>
      <c r="G1715">
        <v>82</v>
      </c>
      <c r="H1715">
        <v>63.61</v>
      </c>
      <c r="I1715">
        <v>10</v>
      </c>
      <c r="J1715" t="s">
        <v>30</v>
      </c>
      <c r="L1715" t="s">
        <v>25</v>
      </c>
    </row>
    <row r="1716" spans="1:12">
      <c r="A1716" t="s">
        <v>3538</v>
      </c>
      <c r="B1716" t="s">
        <v>3539</v>
      </c>
      <c r="C1716" s="27">
        <v>45212</v>
      </c>
      <c r="D1716" s="25">
        <v>45240</v>
      </c>
      <c r="E1716" t="s">
        <v>19</v>
      </c>
      <c r="F1716">
        <v>12303</v>
      </c>
      <c r="G1716">
        <v>604</v>
      </c>
      <c r="H1716">
        <v>599.52</v>
      </c>
      <c r="I1716">
        <v>31</v>
      </c>
      <c r="J1716" t="s">
        <v>30</v>
      </c>
      <c r="L1716" t="s">
        <v>20</v>
      </c>
    </row>
    <row r="1717" spans="1:12">
      <c r="A1717" t="s">
        <v>3540</v>
      </c>
      <c r="B1717" t="s">
        <v>3541</v>
      </c>
      <c r="C1717" s="25">
        <v>45151</v>
      </c>
      <c r="D1717" s="25">
        <v>45167</v>
      </c>
      <c r="E1717" t="s">
        <v>19</v>
      </c>
      <c r="F1717">
        <v>31561</v>
      </c>
      <c r="G1717">
        <v>1016</v>
      </c>
      <c r="H1717">
        <v>1250.51</v>
      </c>
      <c r="J1717" t="s">
        <v>24</v>
      </c>
      <c r="L1717" t="s">
        <v>20</v>
      </c>
    </row>
    <row r="1718" spans="1:12">
      <c r="A1718" t="s">
        <v>3542</v>
      </c>
      <c r="B1718" t="s">
        <v>3543</v>
      </c>
      <c r="C1718" s="27">
        <v>45120</v>
      </c>
      <c r="D1718" s="25">
        <v>45125</v>
      </c>
      <c r="E1718" t="s">
        <v>33</v>
      </c>
      <c r="F1718">
        <v>72719</v>
      </c>
      <c r="G1718">
        <v>1279</v>
      </c>
      <c r="H1718">
        <v>687.01</v>
      </c>
      <c r="I1718">
        <v>78</v>
      </c>
      <c r="J1718" t="s">
        <v>30</v>
      </c>
      <c r="L1718" t="s">
        <v>34</v>
      </c>
    </row>
    <row r="1719" spans="1:12">
      <c r="A1719" t="s">
        <v>3544</v>
      </c>
      <c r="B1719" t="s">
        <v>3545</v>
      </c>
      <c r="C1719" s="27">
        <v>44947</v>
      </c>
      <c r="D1719" s="25">
        <v>44973</v>
      </c>
      <c r="E1719" t="s">
        <v>33</v>
      </c>
      <c r="F1719">
        <v>93108</v>
      </c>
      <c r="G1719">
        <v>3099</v>
      </c>
      <c r="H1719">
        <v>2706.14</v>
      </c>
      <c r="I1719">
        <v>474</v>
      </c>
      <c r="J1719" t="s">
        <v>30</v>
      </c>
      <c r="L1719" t="s">
        <v>34</v>
      </c>
    </row>
    <row r="1720" spans="1:12">
      <c r="A1720" t="s">
        <v>3546</v>
      </c>
      <c r="B1720" t="s">
        <v>3547</v>
      </c>
      <c r="C1720" s="27">
        <v>45077</v>
      </c>
      <c r="D1720" s="25">
        <v>45079</v>
      </c>
      <c r="E1720" t="s">
        <v>23</v>
      </c>
      <c r="F1720">
        <v>87231</v>
      </c>
      <c r="G1720">
        <v>1585</v>
      </c>
      <c r="H1720">
        <v>500000</v>
      </c>
      <c r="I1720">
        <v>265</v>
      </c>
      <c r="J1720" t="s">
        <v>24</v>
      </c>
      <c r="L1720" t="s">
        <v>25</v>
      </c>
    </row>
    <row r="1721" spans="1:12">
      <c r="A1721" t="s">
        <v>3548</v>
      </c>
      <c r="B1721" t="s">
        <v>3549</v>
      </c>
      <c r="C1721" s="27">
        <v>45217</v>
      </c>
      <c r="D1721" s="25">
        <v>45224</v>
      </c>
      <c r="E1721" t="s">
        <v>23</v>
      </c>
      <c r="F1721">
        <v>8314</v>
      </c>
      <c r="G1721">
        <v>255</v>
      </c>
      <c r="H1721">
        <v>234.46</v>
      </c>
      <c r="I1721">
        <v>43</v>
      </c>
      <c r="J1721" t="b">
        <v>0</v>
      </c>
      <c r="L1721" t="s">
        <v>25</v>
      </c>
    </row>
    <row r="1722" spans="1:12">
      <c r="A1722" t="s">
        <v>3550</v>
      </c>
      <c r="B1722" t="s">
        <v>3551</v>
      </c>
      <c r="C1722" s="27">
        <v>45166</v>
      </c>
      <c r="D1722" s="25">
        <v>45169</v>
      </c>
      <c r="E1722" t="s">
        <v>33</v>
      </c>
      <c r="F1722">
        <v>20623</v>
      </c>
      <c r="G1722">
        <v>267</v>
      </c>
      <c r="H1722">
        <v>188.12</v>
      </c>
      <c r="I1722">
        <v>18</v>
      </c>
      <c r="J1722" t="s">
        <v>30</v>
      </c>
      <c r="L1722" t="s">
        <v>34</v>
      </c>
    </row>
    <row r="1723" spans="1:12">
      <c r="A1723" t="s">
        <v>3552</v>
      </c>
      <c r="B1723" t="s">
        <v>3553</v>
      </c>
      <c r="C1723" s="27">
        <v>45210</v>
      </c>
      <c r="D1723" s="25">
        <v>45230</v>
      </c>
      <c r="E1723" t="s">
        <v>14</v>
      </c>
      <c r="F1723">
        <v>68675</v>
      </c>
      <c r="G1723">
        <v>2350</v>
      </c>
      <c r="H1723" s="26">
        <v>3741.24</v>
      </c>
      <c r="I1723">
        <v>275</v>
      </c>
      <c r="J1723" t="b">
        <v>0</v>
      </c>
      <c r="L1723" t="s">
        <v>16</v>
      </c>
    </row>
    <row r="1724" spans="1:12">
      <c r="A1724" t="s">
        <v>3554</v>
      </c>
      <c r="B1724" t="s">
        <v>3555</v>
      </c>
      <c r="C1724" s="27">
        <v>45157</v>
      </c>
      <c r="D1724" s="25">
        <v>45169</v>
      </c>
      <c r="E1724" t="s">
        <v>41</v>
      </c>
      <c r="F1724">
        <v>97826</v>
      </c>
      <c r="G1724">
        <v>3000</v>
      </c>
      <c r="H1724">
        <v>5159.16</v>
      </c>
      <c r="I1724">
        <v>523</v>
      </c>
      <c r="J1724" t="b">
        <v>0</v>
      </c>
      <c r="L1724" t="s">
        <v>42</v>
      </c>
    </row>
    <row r="1725" spans="1:12">
      <c r="A1725" t="s">
        <v>3556</v>
      </c>
      <c r="B1725" t="s">
        <v>3557</v>
      </c>
      <c r="C1725" s="27">
        <v>45114</v>
      </c>
      <c r="D1725" s="25">
        <v>45141</v>
      </c>
      <c r="E1725" t="s">
        <v>33</v>
      </c>
      <c r="F1725">
        <v>66082</v>
      </c>
      <c r="G1725">
        <v>2617</v>
      </c>
      <c r="H1725">
        <v>2319.23</v>
      </c>
      <c r="I1725">
        <v>249</v>
      </c>
      <c r="J1725">
        <v>1</v>
      </c>
      <c r="L1725" t="s">
        <v>34</v>
      </c>
    </row>
    <row r="1726" spans="1:12">
      <c r="A1726" t="s">
        <v>3558</v>
      </c>
      <c r="B1726" t="s">
        <v>3559</v>
      </c>
      <c r="C1726" s="27">
        <v>45186</v>
      </c>
      <c r="D1726" s="25">
        <v>45196</v>
      </c>
      <c r="E1726" t="s">
        <v>19</v>
      </c>
      <c r="F1726">
        <v>84624</v>
      </c>
      <c r="G1726">
        <v>2981</v>
      </c>
      <c r="H1726">
        <v>4953.32</v>
      </c>
      <c r="I1726">
        <v>358</v>
      </c>
      <c r="J1726" t="b">
        <v>0</v>
      </c>
      <c r="L1726" t="s">
        <v>20</v>
      </c>
    </row>
    <row r="1727" spans="1:12">
      <c r="A1727" t="s">
        <v>3560</v>
      </c>
      <c r="B1727" t="s">
        <v>3561</v>
      </c>
      <c r="C1727" s="27">
        <v>44936</v>
      </c>
      <c r="D1727" s="25">
        <v>44940</v>
      </c>
      <c r="E1727" t="s">
        <v>14</v>
      </c>
      <c r="F1727">
        <v>34130</v>
      </c>
      <c r="G1727">
        <v>1091</v>
      </c>
      <c r="H1727" s="26">
        <v>1176.46</v>
      </c>
      <c r="I1727">
        <v>99</v>
      </c>
      <c r="J1727" t="b">
        <v>0</v>
      </c>
      <c r="L1727" t="s">
        <v>16</v>
      </c>
    </row>
    <row r="1728" spans="1:12">
      <c r="A1728" t="s">
        <v>3562</v>
      </c>
      <c r="B1728" t="s">
        <v>3563</v>
      </c>
      <c r="C1728" s="27">
        <v>45244</v>
      </c>
      <c r="D1728" s="25">
        <v>45264</v>
      </c>
      <c r="E1728" t="s">
        <v>33</v>
      </c>
      <c r="F1728">
        <v>52756</v>
      </c>
      <c r="G1728">
        <v>1983</v>
      </c>
      <c r="H1728">
        <v>2498.64</v>
      </c>
      <c r="I1728">
        <v>237</v>
      </c>
      <c r="J1728" t="s">
        <v>30</v>
      </c>
      <c r="L1728" t="s">
        <v>34</v>
      </c>
    </row>
    <row r="1729" spans="1:12">
      <c r="A1729" t="s">
        <v>3564</v>
      </c>
      <c r="B1729" t="s">
        <v>3565</v>
      </c>
      <c r="C1729" s="27">
        <v>45264</v>
      </c>
      <c r="D1729" s="25">
        <v>45293</v>
      </c>
      <c r="E1729" t="s">
        <v>19</v>
      </c>
      <c r="F1729">
        <v>98624</v>
      </c>
      <c r="G1729">
        <v>1554</v>
      </c>
      <c r="H1729">
        <v>2772.34</v>
      </c>
      <c r="I1729">
        <v>284</v>
      </c>
      <c r="J1729" t="b">
        <v>0</v>
      </c>
      <c r="L1729" t="s">
        <v>20</v>
      </c>
    </row>
    <row r="1730" spans="1:12">
      <c r="A1730" t="s">
        <v>3566</v>
      </c>
      <c r="B1730" t="s">
        <v>3567</v>
      </c>
      <c r="C1730" s="27">
        <v>45024</v>
      </c>
      <c r="D1730" s="25">
        <v>45038</v>
      </c>
      <c r="E1730" t="s">
        <v>41</v>
      </c>
      <c r="F1730">
        <v>27292</v>
      </c>
      <c r="G1730">
        <v>922</v>
      </c>
      <c r="H1730">
        <v>1498.19</v>
      </c>
      <c r="I1730">
        <v>109</v>
      </c>
      <c r="J1730" t="s">
        <v>15</v>
      </c>
      <c r="L1730" t="s">
        <v>42</v>
      </c>
    </row>
    <row r="1731" spans="1:12">
      <c r="A1731" t="s">
        <v>3568</v>
      </c>
      <c r="B1731" t="s">
        <v>3569</v>
      </c>
      <c r="C1731" s="27">
        <v>45209</v>
      </c>
      <c r="D1731" s="25">
        <v>45222</v>
      </c>
      <c r="E1731" t="s">
        <v>33</v>
      </c>
      <c r="F1731">
        <v>87206</v>
      </c>
      <c r="G1731">
        <v>1472</v>
      </c>
      <c r="H1731">
        <v>2513.7</v>
      </c>
      <c r="I1731">
        <v>196</v>
      </c>
      <c r="J1731" t="s">
        <v>24</v>
      </c>
      <c r="L1731" t="s">
        <v>34</v>
      </c>
    </row>
    <row r="1732" spans="1:12">
      <c r="A1732" t="s">
        <v>3570</v>
      </c>
      <c r="B1732" t="s">
        <v>3571</v>
      </c>
      <c r="C1732" s="27">
        <v>45136</v>
      </c>
      <c r="D1732" s="25">
        <v>45149</v>
      </c>
      <c r="E1732" t="s">
        <v>23</v>
      </c>
      <c r="F1732">
        <v>70274</v>
      </c>
      <c r="G1732">
        <v>3304</v>
      </c>
      <c r="H1732">
        <v>2330.2</v>
      </c>
      <c r="I1732">
        <v>365</v>
      </c>
      <c r="J1732" t="s">
        <v>30</v>
      </c>
      <c r="L1732" t="s">
        <v>25</v>
      </c>
    </row>
    <row r="1733" spans="1:12">
      <c r="A1733" t="s">
        <v>3572</v>
      </c>
      <c r="B1733" t="s">
        <v>3573</v>
      </c>
      <c r="C1733" s="25">
        <v>45194</v>
      </c>
      <c r="D1733" s="25">
        <v>45204</v>
      </c>
      <c r="E1733" t="s">
        <v>23</v>
      </c>
      <c r="F1733">
        <v>3469</v>
      </c>
      <c r="G1733">
        <v>44</v>
      </c>
      <c r="H1733">
        <v>26.6</v>
      </c>
      <c r="I1733">
        <v>5</v>
      </c>
      <c r="J1733" t="s">
        <v>24</v>
      </c>
      <c r="L1733" t="s">
        <v>25</v>
      </c>
    </row>
    <row r="1734" spans="1:12">
      <c r="A1734" t="s">
        <v>3574</v>
      </c>
      <c r="B1734" t="s">
        <v>3575</v>
      </c>
      <c r="C1734" s="25">
        <v>44993</v>
      </c>
      <c r="D1734" s="25">
        <v>45153</v>
      </c>
      <c r="E1734" t="s">
        <v>14</v>
      </c>
      <c r="F1734">
        <v>54947</v>
      </c>
      <c r="G1734">
        <v>1495</v>
      </c>
      <c r="H1734">
        <v>2750.96</v>
      </c>
      <c r="I1734">
        <v>78</v>
      </c>
      <c r="J1734" t="b">
        <v>1</v>
      </c>
      <c r="L1734" t="s">
        <v>16</v>
      </c>
    </row>
    <row r="1735" spans="1:12">
      <c r="A1735" t="s">
        <v>3576</v>
      </c>
      <c r="B1735" t="s">
        <v>3577</v>
      </c>
      <c r="C1735" s="25">
        <v>44981</v>
      </c>
      <c r="D1735" s="25">
        <v>44982</v>
      </c>
      <c r="E1735" t="s">
        <v>41</v>
      </c>
      <c r="F1735">
        <v>23534</v>
      </c>
      <c r="G1735">
        <v>890</v>
      </c>
      <c r="H1735">
        <v>962.76</v>
      </c>
      <c r="I1735">
        <v>82</v>
      </c>
      <c r="J1735" t="s">
        <v>30</v>
      </c>
      <c r="L1735" t="s">
        <v>42</v>
      </c>
    </row>
    <row r="1736" spans="1:12">
      <c r="A1736" t="s">
        <v>3578</v>
      </c>
      <c r="B1736" t="s">
        <v>3579</v>
      </c>
      <c r="C1736" s="27">
        <v>45219</v>
      </c>
      <c r="D1736" s="25">
        <v>45230</v>
      </c>
      <c r="E1736" t="s">
        <v>14</v>
      </c>
      <c r="F1736">
        <v>64620</v>
      </c>
      <c r="G1736">
        <v>1830</v>
      </c>
      <c r="H1736">
        <v>1705.23</v>
      </c>
      <c r="I1736">
        <v>211</v>
      </c>
      <c r="J1736" t="b">
        <v>0</v>
      </c>
      <c r="L1736" t="s">
        <v>16</v>
      </c>
    </row>
    <row r="1737" spans="1:12">
      <c r="A1737" t="s">
        <v>3580</v>
      </c>
      <c r="B1737" t="s">
        <v>3581</v>
      </c>
      <c r="C1737" s="27">
        <v>45177</v>
      </c>
      <c r="D1737" s="25">
        <v>45193</v>
      </c>
      <c r="E1737" t="s">
        <v>23</v>
      </c>
      <c r="F1737">
        <v>49874</v>
      </c>
      <c r="G1737">
        <v>682</v>
      </c>
      <c r="H1737">
        <v>1082.36</v>
      </c>
      <c r="I1737">
        <v>98</v>
      </c>
      <c r="J1737" t="s">
        <v>15</v>
      </c>
      <c r="L1737" t="s">
        <v>25</v>
      </c>
    </row>
    <row r="1738" spans="1:12">
      <c r="A1738" t="s">
        <v>3582</v>
      </c>
      <c r="B1738" t="s">
        <v>3583</v>
      </c>
      <c r="C1738" s="25">
        <v>45265</v>
      </c>
      <c r="D1738" s="25">
        <v>45065</v>
      </c>
      <c r="E1738" t="s">
        <v>41</v>
      </c>
      <c r="F1738">
        <v>50708</v>
      </c>
      <c r="G1738">
        <v>1629</v>
      </c>
      <c r="H1738">
        <v>2858.28</v>
      </c>
      <c r="I1738">
        <v>191</v>
      </c>
      <c r="J1738" t="s">
        <v>24</v>
      </c>
      <c r="L1738" t="s">
        <v>42</v>
      </c>
    </row>
    <row r="1739" spans="1:12">
      <c r="A1739" t="s">
        <v>3584</v>
      </c>
      <c r="B1739" t="s">
        <v>3585</v>
      </c>
      <c r="C1739" s="25">
        <v>45040</v>
      </c>
      <c r="D1739" s="25">
        <v>45065</v>
      </c>
      <c r="E1739" t="s">
        <v>19</v>
      </c>
      <c r="F1739">
        <v>75553</v>
      </c>
      <c r="G1739">
        <v>2694</v>
      </c>
      <c r="H1739">
        <v>4832.32</v>
      </c>
      <c r="I1739">
        <v>271</v>
      </c>
      <c r="J1739" t="s">
        <v>30</v>
      </c>
      <c r="L1739" t="s">
        <v>68</v>
      </c>
    </row>
    <row r="1740" spans="1:12">
      <c r="A1740" t="s">
        <v>3586</v>
      </c>
      <c r="B1740" t="s">
        <v>3587</v>
      </c>
      <c r="C1740" s="27">
        <v>45033</v>
      </c>
      <c r="D1740" s="25">
        <v>45034</v>
      </c>
      <c r="E1740" t="s">
        <v>14</v>
      </c>
      <c r="F1740">
        <v>69344</v>
      </c>
      <c r="G1740">
        <v>2645</v>
      </c>
      <c r="H1740" s="26">
        <v>2576.22</v>
      </c>
      <c r="I1740">
        <v>286</v>
      </c>
      <c r="J1740" t="s">
        <v>15</v>
      </c>
      <c r="L1740" t="s">
        <v>16</v>
      </c>
    </row>
    <row r="1741" spans="1:12">
      <c r="A1741" t="s">
        <v>3588</v>
      </c>
      <c r="B1741" t="s">
        <v>3589</v>
      </c>
      <c r="C1741" s="27">
        <v>44967</v>
      </c>
      <c r="D1741" s="25">
        <v>44974</v>
      </c>
      <c r="E1741" t="s">
        <v>19</v>
      </c>
      <c r="F1741">
        <v>50138</v>
      </c>
      <c r="G1741">
        <v>1249</v>
      </c>
      <c r="H1741">
        <v>2221.12</v>
      </c>
      <c r="I1741">
        <v>107</v>
      </c>
      <c r="J1741" t="s">
        <v>24</v>
      </c>
      <c r="L1741" t="s">
        <v>20</v>
      </c>
    </row>
    <row r="1742" spans="1:12">
      <c r="A1742" t="s">
        <v>3590</v>
      </c>
      <c r="B1742" t="s">
        <v>3591</v>
      </c>
      <c r="C1742" s="27">
        <v>45111</v>
      </c>
      <c r="D1742" s="25">
        <v>45125</v>
      </c>
      <c r="E1742" t="s">
        <v>138</v>
      </c>
      <c r="F1742">
        <v>55302</v>
      </c>
      <c r="G1742">
        <v>1799</v>
      </c>
      <c r="H1742">
        <v>1009.96</v>
      </c>
      <c r="I1742">
        <v>339</v>
      </c>
      <c r="J1742" t="b">
        <v>1</v>
      </c>
      <c r="L1742" t="s">
        <v>139</v>
      </c>
    </row>
    <row r="1743" spans="1:12">
      <c r="A1743" t="s">
        <v>3592</v>
      </c>
      <c r="B1743" t="s">
        <v>3593</v>
      </c>
      <c r="C1743" s="27">
        <v>45139</v>
      </c>
      <c r="D1743" s="25">
        <v>45164</v>
      </c>
      <c r="E1743" t="s">
        <v>33</v>
      </c>
      <c r="F1743">
        <v>48638</v>
      </c>
      <c r="G1743">
        <v>1363</v>
      </c>
      <c r="H1743">
        <v>783.03</v>
      </c>
      <c r="J1743">
        <v>0</v>
      </c>
      <c r="L1743" t="s">
        <v>34</v>
      </c>
    </row>
    <row r="1744" spans="1:12">
      <c r="A1744" t="s">
        <v>3594</v>
      </c>
      <c r="B1744" t="s">
        <v>3595</v>
      </c>
      <c r="C1744" s="27">
        <v>44956</v>
      </c>
      <c r="D1744" s="25">
        <v>44977</v>
      </c>
      <c r="E1744" t="s">
        <v>33</v>
      </c>
      <c r="F1744">
        <v>79249</v>
      </c>
      <c r="G1744">
        <v>2922</v>
      </c>
      <c r="H1744" s="26">
        <v>4193.88</v>
      </c>
      <c r="I1744">
        <v>151</v>
      </c>
      <c r="J1744" t="b">
        <v>1</v>
      </c>
      <c r="L1744" t="s">
        <v>34</v>
      </c>
    </row>
    <row r="1745" spans="1:12">
      <c r="A1745" t="s">
        <v>3596</v>
      </c>
      <c r="B1745" t="s">
        <v>3597</v>
      </c>
      <c r="C1745" s="27">
        <v>44947</v>
      </c>
      <c r="D1745" s="25">
        <v>44972</v>
      </c>
      <c r="E1745" t="s">
        <v>19</v>
      </c>
      <c r="F1745">
        <v>3719</v>
      </c>
      <c r="G1745">
        <v>123</v>
      </c>
      <c r="H1745">
        <v>73.14</v>
      </c>
      <c r="I1745">
        <v>6</v>
      </c>
      <c r="J1745">
        <v>0</v>
      </c>
      <c r="L1745" t="s">
        <v>20</v>
      </c>
    </row>
    <row r="1746" spans="1:12">
      <c r="A1746" t="s">
        <v>3598</v>
      </c>
      <c r="B1746" t="s">
        <v>3599</v>
      </c>
      <c r="C1746" s="27">
        <v>44966</v>
      </c>
      <c r="D1746" s="25">
        <v>44971</v>
      </c>
      <c r="E1746" t="s">
        <v>138</v>
      </c>
      <c r="F1746">
        <v>23890</v>
      </c>
      <c r="G1746">
        <v>741</v>
      </c>
      <c r="H1746">
        <v>731.3</v>
      </c>
      <c r="I1746">
        <v>145</v>
      </c>
      <c r="J1746">
        <v>1</v>
      </c>
      <c r="L1746" t="s">
        <v>68</v>
      </c>
    </row>
    <row r="1747" spans="1:12">
      <c r="A1747" t="s">
        <v>3600</v>
      </c>
      <c r="B1747" t="s">
        <v>3601</v>
      </c>
      <c r="C1747" s="27">
        <v>44976</v>
      </c>
      <c r="D1747" s="25">
        <v>44991</v>
      </c>
      <c r="E1747" t="s">
        <v>19</v>
      </c>
      <c r="F1747">
        <v>78236</v>
      </c>
      <c r="G1747">
        <v>1563</v>
      </c>
      <c r="H1747">
        <v>2358.78</v>
      </c>
      <c r="I1747">
        <v>130</v>
      </c>
      <c r="J1747">
        <v>0</v>
      </c>
      <c r="L1747" t="s">
        <v>20</v>
      </c>
    </row>
    <row r="1748" spans="1:12">
      <c r="A1748" t="s">
        <v>3602</v>
      </c>
      <c r="B1748" t="s">
        <v>3603</v>
      </c>
      <c r="C1748" s="27">
        <v>45124</v>
      </c>
      <c r="D1748" s="25">
        <v>45152</v>
      </c>
      <c r="E1748" t="s">
        <v>19</v>
      </c>
      <c r="F1748">
        <v>37509</v>
      </c>
      <c r="G1748">
        <v>378</v>
      </c>
      <c r="H1748">
        <v>380.23</v>
      </c>
      <c r="I1748">
        <v>64</v>
      </c>
      <c r="J1748">
        <v>1</v>
      </c>
      <c r="L1748" t="s">
        <v>20</v>
      </c>
    </row>
    <row r="1749" spans="1:12">
      <c r="A1749" t="s">
        <v>3604</v>
      </c>
      <c r="B1749" t="s">
        <v>3605</v>
      </c>
      <c r="C1749" s="27">
        <v>45054</v>
      </c>
      <c r="D1749" s="25">
        <v>45073</v>
      </c>
      <c r="E1749" t="s">
        <v>41</v>
      </c>
      <c r="F1749">
        <v>43534</v>
      </c>
      <c r="G1749">
        <v>738</v>
      </c>
      <c r="H1749">
        <v>567.82</v>
      </c>
      <c r="I1749">
        <v>43</v>
      </c>
      <c r="J1749" t="s">
        <v>30</v>
      </c>
      <c r="L1749" t="s">
        <v>42</v>
      </c>
    </row>
    <row r="1750" spans="1:12">
      <c r="A1750" t="s">
        <v>3606</v>
      </c>
      <c r="B1750" t="s">
        <v>3607</v>
      </c>
      <c r="C1750" s="27">
        <v>45212</v>
      </c>
      <c r="D1750" s="25">
        <v>45238</v>
      </c>
      <c r="E1750" t="s">
        <v>14</v>
      </c>
      <c r="F1750">
        <v>93241</v>
      </c>
      <c r="G1750">
        <v>1369</v>
      </c>
      <c r="H1750">
        <v>1262.25</v>
      </c>
      <c r="I1750">
        <v>257</v>
      </c>
      <c r="J1750">
        <v>1</v>
      </c>
      <c r="L1750" t="s">
        <v>16</v>
      </c>
    </row>
    <row r="1751" spans="1:12">
      <c r="A1751" t="s">
        <v>3608</v>
      </c>
      <c r="B1751" t="s">
        <v>3609</v>
      </c>
      <c r="C1751" s="27">
        <v>44981</v>
      </c>
      <c r="D1751" s="25">
        <v>45006</v>
      </c>
      <c r="E1751" t="s">
        <v>41</v>
      </c>
      <c r="F1751">
        <v>19787</v>
      </c>
      <c r="G1751">
        <v>553</v>
      </c>
      <c r="H1751">
        <v>656.06</v>
      </c>
      <c r="I1751">
        <v>100</v>
      </c>
      <c r="J1751" t="s">
        <v>15</v>
      </c>
      <c r="L1751" t="s">
        <v>42</v>
      </c>
    </row>
    <row r="1752" spans="1:12">
      <c r="A1752" t="s">
        <v>3610</v>
      </c>
      <c r="B1752" t="s">
        <v>3611</v>
      </c>
      <c r="C1752" s="27">
        <v>45272</v>
      </c>
      <c r="D1752" s="25">
        <v>45296</v>
      </c>
      <c r="E1752" t="s">
        <v>41</v>
      </c>
      <c r="F1752">
        <v>49845</v>
      </c>
      <c r="G1752">
        <v>1719</v>
      </c>
      <c r="H1752">
        <v>2085.28</v>
      </c>
      <c r="J1752">
        <v>1</v>
      </c>
      <c r="L1752" t="s">
        <v>42</v>
      </c>
    </row>
    <row r="1753" spans="1:12">
      <c r="A1753" t="s">
        <v>3612</v>
      </c>
      <c r="B1753" t="s">
        <v>3613</v>
      </c>
      <c r="C1753" s="27">
        <v>44980</v>
      </c>
      <c r="D1753" s="25">
        <v>44985</v>
      </c>
      <c r="E1753" t="s">
        <v>23</v>
      </c>
      <c r="F1753">
        <v>58932</v>
      </c>
      <c r="G1753">
        <v>1091</v>
      </c>
      <c r="H1753">
        <v>1826.88</v>
      </c>
      <c r="I1753">
        <v>56</v>
      </c>
      <c r="J1753" t="s">
        <v>15</v>
      </c>
      <c r="K1753">
        <v>58956</v>
      </c>
      <c r="L1753" t="s">
        <v>25</v>
      </c>
    </row>
    <row r="1754" spans="1:12">
      <c r="A1754" t="s">
        <v>3614</v>
      </c>
      <c r="B1754" t="s">
        <v>3615</v>
      </c>
      <c r="C1754" s="27">
        <v>45132</v>
      </c>
      <c r="D1754" s="25">
        <v>45153</v>
      </c>
      <c r="E1754" t="s">
        <v>19</v>
      </c>
      <c r="F1754">
        <v>93124</v>
      </c>
      <c r="G1754">
        <v>4429</v>
      </c>
      <c r="H1754">
        <v>7198.14</v>
      </c>
      <c r="J1754" t="s">
        <v>24</v>
      </c>
      <c r="L1754" t="s">
        <v>20</v>
      </c>
    </row>
    <row r="1755" spans="1:12">
      <c r="A1755" t="s">
        <v>3616</v>
      </c>
      <c r="B1755" t="s">
        <v>3617</v>
      </c>
      <c r="C1755" s="27">
        <v>45200</v>
      </c>
      <c r="D1755" s="25">
        <v>45226</v>
      </c>
      <c r="E1755" t="s">
        <v>14</v>
      </c>
      <c r="F1755">
        <v>92659</v>
      </c>
      <c r="G1755">
        <v>951</v>
      </c>
      <c r="H1755">
        <v>1127.15</v>
      </c>
      <c r="I1755">
        <v>105</v>
      </c>
      <c r="J1755" t="s">
        <v>24</v>
      </c>
      <c r="L1755" t="s">
        <v>16</v>
      </c>
    </row>
    <row r="1756" spans="1:12">
      <c r="A1756" t="s">
        <v>3618</v>
      </c>
      <c r="B1756" t="s">
        <v>3619</v>
      </c>
      <c r="C1756" s="27">
        <v>45107</v>
      </c>
      <c r="D1756" s="25">
        <v>45117</v>
      </c>
      <c r="E1756" t="s">
        <v>23</v>
      </c>
      <c r="F1756">
        <v>34062</v>
      </c>
      <c r="G1756">
        <v>1392</v>
      </c>
      <c r="H1756">
        <v>500000</v>
      </c>
      <c r="I1756">
        <v>165</v>
      </c>
      <c r="J1756">
        <v>0</v>
      </c>
      <c r="L1756" t="s">
        <v>68</v>
      </c>
    </row>
    <row r="1757" spans="1:12">
      <c r="A1757" t="s">
        <v>3620</v>
      </c>
      <c r="B1757" t="s">
        <v>3621</v>
      </c>
      <c r="C1757" s="27">
        <v>45093</v>
      </c>
      <c r="D1757" s="25">
        <v>45106</v>
      </c>
      <c r="E1757" t="s">
        <v>14</v>
      </c>
      <c r="F1757">
        <v>76713</v>
      </c>
      <c r="G1757">
        <v>2685</v>
      </c>
      <c r="H1757">
        <v>1802.59</v>
      </c>
      <c r="I1757">
        <v>254</v>
      </c>
      <c r="J1757">
        <v>0</v>
      </c>
      <c r="L1757" t="s">
        <v>16</v>
      </c>
    </row>
    <row r="1758" spans="1:12">
      <c r="A1758" t="s">
        <v>3622</v>
      </c>
      <c r="B1758" t="s">
        <v>3623</v>
      </c>
      <c r="C1758" s="27">
        <v>45251</v>
      </c>
      <c r="D1758" s="25">
        <v>45259</v>
      </c>
      <c r="E1758" t="s">
        <v>33</v>
      </c>
      <c r="F1758">
        <v>88263</v>
      </c>
      <c r="G1758">
        <v>2201</v>
      </c>
      <c r="H1758">
        <v>1943.55</v>
      </c>
      <c r="J1758">
        <v>0</v>
      </c>
      <c r="L1758" t="s">
        <v>34</v>
      </c>
    </row>
    <row r="1759" spans="1:12">
      <c r="A1759" t="s">
        <v>3624</v>
      </c>
      <c r="B1759" t="s">
        <v>3625</v>
      </c>
      <c r="C1759" s="27">
        <v>45238</v>
      </c>
      <c r="D1759" s="25">
        <v>45243</v>
      </c>
      <c r="E1759" t="s">
        <v>23</v>
      </c>
      <c r="F1759">
        <v>96756</v>
      </c>
      <c r="G1759">
        <v>1162</v>
      </c>
      <c r="H1759">
        <v>2024.16</v>
      </c>
      <c r="I1759">
        <v>160</v>
      </c>
      <c r="J1759">
        <v>1</v>
      </c>
      <c r="L1759" t="s">
        <v>25</v>
      </c>
    </row>
    <row r="1760" spans="1:12">
      <c r="A1760" t="s">
        <v>3626</v>
      </c>
      <c r="B1760" t="s">
        <v>3627</v>
      </c>
      <c r="C1760" s="27">
        <v>45119</v>
      </c>
      <c r="D1760" s="25">
        <v>45120</v>
      </c>
      <c r="E1760" t="s">
        <v>33</v>
      </c>
      <c r="F1760">
        <v>61461</v>
      </c>
      <c r="G1760">
        <v>2157</v>
      </c>
      <c r="H1760" s="26">
        <v>2301.5</v>
      </c>
      <c r="J1760">
        <v>0</v>
      </c>
      <c r="L1760" t="s">
        <v>34</v>
      </c>
    </row>
    <row r="1761" spans="1:12">
      <c r="A1761" t="s">
        <v>3628</v>
      </c>
      <c r="B1761" t="s">
        <v>3629</v>
      </c>
      <c r="C1761" s="27">
        <v>45057</v>
      </c>
      <c r="D1761" s="25">
        <v>45052</v>
      </c>
      <c r="E1761" t="s">
        <v>23</v>
      </c>
      <c r="F1761">
        <v>76418</v>
      </c>
      <c r="G1761">
        <v>1942</v>
      </c>
      <c r="H1761">
        <v>3829.18</v>
      </c>
      <c r="I1761">
        <v>179</v>
      </c>
      <c r="J1761">
        <v>1</v>
      </c>
      <c r="L1761" t="s">
        <v>25</v>
      </c>
    </row>
    <row r="1762" spans="1:12">
      <c r="A1762" t="s">
        <v>3630</v>
      </c>
      <c r="B1762" t="s">
        <v>3631</v>
      </c>
      <c r="C1762" t="s">
        <v>1724</v>
      </c>
      <c r="D1762" s="25">
        <v>45138</v>
      </c>
      <c r="E1762" t="s">
        <v>19</v>
      </c>
      <c r="F1762">
        <v>67672</v>
      </c>
      <c r="G1762">
        <v>3211</v>
      </c>
      <c r="H1762">
        <v>3851.21</v>
      </c>
      <c r="I1762">
        <v>178</v>
      </c>
      <c r="J1762">
        <v>1</v>
      </c>
      <c r="L1762" t="s">
        <v>20</v>
      </c>
    </row>
    <row r="1763" spans="1:12">
      <c r="A1763" t="s">
        <v>3632</v>
      </c>
      <c r="B1763" t="s">
        <v>3633</v>
      </c>
      <c r="C1763" s="27">
        <v>44944</v>
      </c>
      <c r="D1763" s="25">
        <v>44973</v>
      </c>
      <c r="E1763" t="s">
        <v>41</v>
      </c>
      <c r="F1763">
        <v>35832</v>
      </c>
      <c r="G1763">
        <v>1135</v>
      </c>
      <c r="H1763">
        <v>1915.77</v>
      </c>
      <c r="I1763">
        <v>226</v>
      </c>
      <c r="J1763" t="b">
        <v>0</v>
      </c>
      <c r="L1763" t="s">
        <v>42</v>
      </c>
    </row>
    <row r="1764" spans="1:12">
      <c r="A1764" t="s">
        <v>3634</v>
      </c>
      <c r="B1764" t="s">
        <v>3635</v>
      </c>
      <c r="C1764" s="27">
        <v>45192</v>
      </c>
      <c r="D1764" s="25">
        <v>45207</v>
      </c>
      <c r="E1764" t="s">
        <v>33</v>
      </c>
      <c r="F1764">
        <v>32966</v>
      </c>
      <c r="G1764">
        <v>1568</v>
      </c>
      <c r="H1764" s="26">
        <v>1730.23</v>
      </c>
      <c r="I1764">
        <v>191</v>
      </c>
      <c r="J1764" t="b">
        <v>0</v>
      </c>
      <c r="L1764" t="s">
        <v>34</v>
      </c>
    </row>
    <row r="1765" spans="1:12">
      <c r="A1765" t="s">
        <v>3636</v>
      </c>
      <c r="B1765" t="s">
        <v>3637</v>
      </c>
      <c r="C1765" s="27">
        <v>44930</v>
      </c>
      <c r="D1765" s="25">
        <v>44939</v>
      </c>
      <c r="E1765" t="s">
        <v>14</v>
      </c>
      <c r="F1765">
        <v>73545</v>
      </c>
      <c r="G1765">
        <v>1384</v>
      </c>
      <c r="H1765">
        <v>1574.2</v>
      </c>
      <c r="I1765">
        <v>226</v>
      </c>
      <c r="J1765">
        <v>1</v>
      </c>
      <c r="L1765" t="s">
        <v>16</v>
      </c>
    </row>
    <row r="1766" spans="1:12">
      <c r="A1766" t="s">
        <v>3638</v>
      </c>
      <c r="B1766" t="s">
        <v>3639</v>
      </c>
      <c r="C1766" s="25">
        <v>45236</v>
      </c>
      <c r="D1766" s="25">
        <v>45104</v>
      </c>
      <c r="E1766" t="s">
        <v>33</v>
      </c>
      <c r="F1766">
        <v>13987</v>
      </c>
      <c r="G1766">
        <v>545</v>
      </c>
      <c r="H1766">
        <v>585.51</v>
      </c>
      <c r="I1766">
        <v>64</v>
      </c>
      <c r="J1766" t="s">
        <v>24</v>
      </c>
      <c r="L1766" t="s">
        <v>34</v>
      </c>
    </row>
    <row r="1767" spans="1:12">
      <c r="A1767" t="s">
        <v>3640</v>
      </c>
      <c r="B1767" t="s">
        <v>3641</v>
      </c>
      <c r="C1767" s="27">
        <v>45280</v>
      </c>
      <c r="D1767" s="25">
        <v>45293</v>
      </c>
      <c r="E1767" t="s">
        <v>41</v>
      </c>
      <c r="F1767">
        <v>38311</v>
      </c>
      <c r="G1767">
        <v>1329</v>
      </c>
      <c r="H1767" s="26">
        <v>2097.98</v>
      </c>
      <c r="I1767">
        <v>75</v>
      </c>
      <c r="J1767" t="s">
        <v>15</v>
      </c>
      <c r="L1767" t="s">
        <v>42</v>
      </c>
    </row>
    <row r="1768" spans="1:12">
      <c r="A1768" t="s">
        <v>3642</v>
      </c>
      <c r="B1768" t="s">
        <v>3643</v>
      </c>
      <c r="C1768" s="27">
        <v>45188</v>
      </c>
      <c r="D1768" s="25">
        <v>45203</v>
      </c>
      <c r="E1768" t="s">
        <v>23</v>
      </c>
      <c r="F1768">
        <v>32575</v>
      </c>
      <c r="G1768">
        <v>1289</v>
      </c>
      <c r="H1768">
        <v>1703.13</v>
      </c>
      <c r="I1768">
        <v>124</v>
      </c>
      <c r="J1768" t="s">
        <v>30</v>
      </c>
      <c r="L1768" t="s">
        <v>25</v>
      </c>
    </row>
    <row r="1769" spans="1:12">
      <c r="A1769" t="s">
        <v>3644</v>
      </c>
      <c r="B1769" t="s">
        <v>3645</v>
      </c>
      <c r="C1769" t="s">
        <v>682</v>
      </c>
      <c r="D1769" s="25">
        <v>45001</v>
      </c>
      <c r="E1769" t="s">
        <v>14</v>
      </c>
      <c r="F1769">
        <v>64852</v>
      </c>
      <c r="G1769">
        <v>1205</v>
      </c>
      <c r="H1769" s="26">
        <v>2308.38</v>
      </c>
      <c r="I1769">
        <v>118</v>
      </c>
      <c r="J1769" t="b">
        <v>1</v>
      </c>
      <c r="L1769" t="s">
        <v>16</v>
      </c>
    </row>
    <row r="1770" spans="1:12">
      <c r="A1770" t="s">
        <v>3646</v>
      </c>
      <c r="B1770" t="s">
        <v>3647</v>
      </c>
      <c r="C1770" s="27">
        <v>45162</v>
      </c>
      <c r="D1770" s="25">
        <v>45177</v>
      </c>
      <c r="E1770" t="s">
        <v>33</v>
      </c>
      <c r="F1770">
        <v>2007</v>
      </c>
      <c r="G1770">
        <v>73</v>
      </c>
      <c r="H1770">
        <v>63.97</v>
      </c>
      <c r="I1770">
        <v>12</v>
      </c>
      <c r="J1770" t="b">
        <v>0</v>
      </c>
      <c r="L1770" t="s">
        <v>34</v>
      </c>
    </row>
    <row r="1771" spans="1:12">
      <c r="A1771" t="s">
        <v>3648</v>
      </c>
      <c r="B1771" t="s">
        <v>3649</v>
      </c>
      <c r="C1771" s="27">
        <v>45114</v>
      </c>
      <c r="D1771" s="25">
        <v>45126</v>
      </c>
      <c r="E1771" t="s">
        <v>19</v>
      </c>
      <c r="F1771">
        <v>71981</v>
      </c>
      <c r="G1771">
        <v>2153</v>
      </c>
      <c r="H1771">
        <v>1401.27</v>
      </c>
      <c r="I1771">
        <v>318</v>
      </c>
      <c r="J1771">
        <v>1</v>
      </c>
      <c r="L1771" t="s">
        <v>68</v>
      </c>
    </row>
    <row r="1772" spans="1:12">
      <c r="A1772" t="s">
        <v>3650</v>
      </c>
      <c r="B1772" t="s">
        <v>3651</v>
      </c>
      <c r="C1772" s="25">
        <v>45058</v>
      </c>
      <c r="D1772" s="25">
        <v>45294</v>
      </c>
      <c r="E1772" t="s">
        <v>14</v>
      </c>
      <c r="F1772">
        <v>77242</v>
      </c>
      <c r="G1772">
        <v>3067</v>
      </c>
      <c r="H1772">
        <v>3342.7</v>
      </c>
      <c r="I1772">
        <v>280</v>
      </c>
      <c r="J1772" t="b">
        <v>1</v>
      </c>
      <c r="L1772" t="s">
        <v>16</v>
      </c>
    </row>
    <row r="1773" spans="1:12">
      <c r="A1773" t="s">
        <v>3652</v>
      </c>
      <c r="B1773" t="s">
        <v>3653</v>
      </c>
      <c r="C1773" s="27">
        <v>45131</v>
      </c>
      <c r="D1773" s="25">
        <v>45138</v>
      </c>
      <c r="E1773" t="s">
        <v>19</v>
      </c>
      <c r="F1773">
        <v>48517</v>
      </c>
      <c r="G1773">
        <v>1119</v>
      </c>
      <c r="H1773">
        <v>1594.65</v>
      </c>
      <c r="J1773" t="b">
        <v>0</v>
      </c>
      <c r="L1773" t="s">
        <v>20</v>
      </c>
    </row>
    <row r="1774" spans="1:12">
      <c r="A1774" t="s">
        <v>3654</v>
      </c>
      <c r="B1774" t="s">
        <v>3655</v>
      </c>
      <c r="C1774" s="27">
        <v>44966</v>
      </c>
      <c r="D1774" s="25">
        <v>44981</v>
      </c>
      <c r="E1774" t="s">
        <v>19</v>
      </c>
      <c r="F1774">
        <v>30257</v>
      </c>
      <c r="G1774">
        <v>1379</v>
      </c>
      <c r="H1774">
        <v>2470.06</v>
      </c>
      <c r="J1774" t="s">
        <v>30</v>
      </c>
      <c r="L1774" t="s">
        <v>20</v>
      </c>
    </row>
    <row r="1775" spans="1:12">
      <c r="A1775" t="s">
        <v>3656</v>
      </c>
      <c r="B1775" t="s">
        <v>3657</v>
      </c>
      <c r="C1775" s="27">
        <v>45015</v>
      </c>
      <c r="D1775" s="25">
        <v>45020</v>
      </c>
      <c r="E1775" t="s">
        <v>19</v>
      </c>
      <c r="F1775">
        <v>88272</v>
      </c>
      <c r="G1775">
        <v>1180</v>
      </c>
      <c r="H1775">
        <v>1202.77</v>
      </c>
      <c r="I1775">
        <v>235</v>
      </c>
      <c r="J1775" t="s">
        <v>15</v>
      </c>
      <c r="K1775">
        <v>88308</v>
      </c>
      <c r="L1775" t="s">
        <v>20</v>
      </c>
    </row>
    <row r="1776" spans="1:12">
      <c r="A1776" t="s">
        <v>3658</v>
      </c>
      <c r="B1776" t="s">
        <v>3659</v>
      </c>
      <c r="C1776" s="27">
        <v>45286</v>
      </c>
      <c r="D1776" s="25">
        <v>45300</v>
      </c>
      <c r="E1776" t="s">
        <v>19</v>
      </c>
      <c r="F1776">
        <v>43207</v>
      </c>
      <c r="G1776">
        <v>1827</v>
      </c>
      <c r="H1776">
        <v>2705.2</v>
      </c>
      <c r="I1776">
        <v>364</v>
      </c>
      <c r="J1776">
        <v>1</v>
      </c>
      <c r="L1776" t="s">
        <v>20</v>
      </c>
    </row>
    <row r="1777" spans="1:12">
      <c r="A1777" t="s">
        <v>3660</v>
      </c>
      <c r="B1777" t="s">
        <v>3661</v>
      </c>
      <c r="C1777" s="25">
        <v>45231</v>
      </c>
      <c r="D1777" s="25">
        <v>44939</v>
      </c>
      <c r="E1777" t="s">
        <v>41</v>
      </c>
      <c r="F1777">
        <v>14281</v>
      </c>
      <c r="G1777">
        <v>634</v>
      </c>
      <c r="H1777">
        <v>650.04</v>
      </c>
      <c r="I1777">
        <v>49</v>
      </c>
      <c r="J1777" t="s">
        <v>30</v>
      </c>
      <c r="L1777" t="s">
        <v>42</v>
      </c>
    </row>
    <row r="1778" spans="1:12">
      <c r="A1778" t="s">
        <v>3662</v>
      </c>
      <c r="B1778" t="s">
        <v>3663</v>
      </c>
      <c r="C1778" s="27">
        <v>45222</v>
      </c>
      <c r="D1778" s="25">
        <v>45230</v>
      </c>
      <c r="E1778" t="s">
        <v>14</v>
      </c>
      <c r="F1778">
        <v>62246</v>
      </c>
      <c r="G1778">
        <v>2657</v>
      </c>
      <c r="H1778">
        <v>3788.43</v>
      </c>
      <c r="I1778">
        <v>257</v>
      </c>
      <c r="J1778" t="s">
        <v>24</v>
      </c>
      <c r="L1778" t="s">
        <v>16</v>
      </c>
    </row>
    <row r="1779" spans="1:12">
      <c r="A1779" t="s">
        <v>3664</v>
      </c>
      <c r="B1779" t="s">
        <v>3665</v>
      </c>
      <c r="C1779" s="27">
        <v>45098</v>
      </c>
      <c r="D1779" s="25">
        <v>45103</v>
      </c>
      <c r="E1779" t="s">
        <v>19</v>
      </c>
      <c r="F1779">
        <v>2435</v>
      </c>
      <c r="G1779">
        <v>74</v>
      </c>
      <c r="H1779">
        <v>135.21</v>
      </c>
      <c r="I1779">
        <v>9</v>
      </c>
      <c r="J1779" t="b">
        <v>0</v>
      </c>
      <c r="K1779">
        <v>2508</v>
      </c>
      <c r="L1779" t="s">
        <v>20</v>
      </c>
    </row>
    <row r="1780" spans="1:12">
      <c r="A1780" t="s">
        <v>3666</v>
      </c>
      <c r="B1780" t="s">
        <v>3667</v>
      </c>
      <c r="C1780" s="27">
        <v>45140</v>
      </c>
      <c r="D1780" s="25">
        <v>45169</v>
      </c>
      <c r="E1780" t="s">
        <v>14</v>
      </c>
      <c r="F1780">
        <v>99875</v>
      </c>
      <c r="G1780">
        <v>2750</v>
      </c>
      <c r="H1780" s="26">
        <v>2329.35</v>
      </c>
      <c r="J1780">
        <v>1</v>
      </c>
      <c r="L1780" t="s">
        <v>16</v>
      </c>
    </row>
    <row r="1781" spans="1:12">
      <c r="A1781" t="s">
        <v>3668</v>
      </c>
      <c r="B1781" t="s">
        <v>3669</v>
      </c>
      <c r="C1781" s="27">
        <v>45043</v>
      </c>
      <c r="D1781" s="25">
        <v>45064</v>
      </c>
      <c r="E1781" t="s">
        <v>138</v>
      </c>
      <c r="F1781">
        <v>92357</v>
      </c>
      <c r="G1781">
        <v>4604</v>
      </c>
      <c r="H1781">
        <v>5093.69</v>
      </c>
      <c r="I1781">
        <v>594</v>
      </c>
      <c r="J1781" t="b">
        <v>1</v>
      </c>
      <c r="L1781" t="s">
        <v>139</v>
      </c>
    </row>
    <row r="1782" spans="1:12">
      <c r="A1782" t="s">
        <v>3670</v>
      </c>
      <c r="B1782" t="s">
        <v>3671</v>
      </c>
      <c r="C1782" s="27">
        <v>44932</v>
      </c>
      <c r="D1782" s="25">
        <v>44962</v>
      </c>
      <c r="E1782" t="s">
        <v>23</v>
      </c>
      <c r="F1782">
        <v>27660</v>
      </c>
      <c r="G1782">
        <v>530</v>
      </c>
      <c r="H1782">
        <v>1054.65</v>
      </c>
      <c r="I1782">
        <v>103</v>
      </c>
      <c r="J1782" t="s">
        <v>24</v>
      </c>
      <c r="L1782" t="s">
        <v>25</v>
      </c>
    </row>
    <row r="1783" spans="1:12">
      <c r="A1783" t="s">
        <v>3672</v>
      </c>
      <c r="B1783" t="s">
        <v>3673</v>
      </c>
      <c r="C1783" s="25">
        <v>44954</v>
      </c>
      <c r="D1783" s="25">
        <v>44958</v>
      </c>
      <c r="E1783" t="s">
        <v>23</v>
      </c>
      <c r="F1783">
        <v>6084</v>
      </c>
      <c r="G1783">
        <v>193</v>
      </c>
      <c r="H1783">
        <v>500000</v>
      </c>
      <c r="J1783" t="s">
        <v>24</v>
      </c>
      <c r="L1783" t="s">
        <v>25</v>
      </c>
    </row>
    <row r="1784" spans="1:12">
      <c r="A1784" t="s">
        <v>3674</v>
      </c>
      <c r="B1784" t="s">
        <v>3675</v>
      </c>
      <c r="C1784" s="27">
        <v>45203</v>
      </c>
      <c r="D1784" s="25">
        <v>45213</v>
      </c>
      <c r="E1784" t="s">
        <v>234</v>
      </c>
      <c r="F1784">
        <v>83197</v>
      </c>
      <c r="G1784">
        <v>3063</v>
      </c>
      <c r="H1784" s="26">
        <v>4125.74</v>
      </c>
      <c r="I1784">
        <v>250</v>
      </c>
      <c r="J1784">
        <v>0</v>
      </c>
      <c r="L1784" t="s">
        <v>16</v>
      </c>
    </row>
    <row r="1785" spans="1:12">
      <c r="A1785" t="s">
        <v>3676</v>
      </c>
      <c r="B1785" t="s">
        <v>3677</v>
      </c>
      <c r="C1785" s="25">
        <v>45284</v>
      </c>
      <c r="D1785" s="25">
        <v>45296</v>
      </c>
      <c r="E1785" t="s">
        <v>33</v>
      </c>
      <c r="F1785">
        <v>14507</v>
      </c>
      <c r="G1785">
        <v>551</v>
      </c>
      <c r="H1785">
        <v>702.49</v>
      </c>
      <c r="I1785">
        <v>36</v>
      </c>
      <c r="J1785" t="s">
        <v>15</v>
      </c>
      <c r="L1785" t="s">
        <v>34</v>
      </c>
    </row>
    <row r="1786" spans="1:12">
      <c r="A1786" t="s">
        <v>3678</v>
      </c>
      <c r="B1786" t="s">
        <v>3679</v>
      </c>
      <c r="C1786" s="27">
        <v>45128</v>
      </c>
      <c r="D1786" s="25">
        <v>45130</v>
      </c>
      <c r="E1786" t="s">
        <v>19</v>
      </c>
      <c r="F1786">
        <v>73595</v>
      </c>
      <c r="G1786">
        <v>1336</v>
      </c>
      <c r="H1786">
        <v>1238.34</v>
      </c>
      <c r="I1786">
        <v>204</v>
      </c>
      <c r="J1786" t="s">
        <v>24</v>
      </c>
      <c r="L1786" t="s">
        <v>20</v>
      </c>
    </row>
    <row r="1787" spans="1:12">
      <c r="A1787" t="s">
        <v>3680</v>
      </c>
      <c r="B1787" t="s">
        <v>3681</v>
      </c>
      <c r="C1787" s="27">
        <v>45221</v>
      </c>
      <c r="D1787" s="25">
        <v>45233</v>
      </c>
      <c r="E1787" t="s">
        <v>23</v>
      </c>
      <c r="F1787">
        <v>84807</v>
      </c>
      <c r="G1787">
        <v>3066</v>
      </c>
      <c r="H1787">
        <v>3911.65</v>
      </c>
      <c r="I1787">
        <v>226</v>
      </c>
      <c r="J1787" t="b">
        <v>0</v>
      </c>
      <c r="L1787" t="s">
        <v>25</v>
      </c>
    </row>
    <row r="1788" spans="1:12">
      <c r="A1788" t="s">
        <v>3682</v>
      </c>
      <c r="B1788" t="s">
        <v>3683</v>
      </c>
      <c r="C1788" s="27">
        <v>45075</v>
      </c>
      <c r="D1788" s="25">
        <v>45090</v>
      </c>
      <c r="E1788" t="s">
        <v>33</v>
      </c>
      <c r="F1788">
        <v>46539</v>
      </c>
      <c r="G1788">
        <v>1988</v>
      </c>
      <c r="H1788">
        <v>3523.28</v>
      </c>
      <c r="I1788">
        <v>334</v>
      </c>
      <c r="J1788" t="s">
        <v>15</v>
      </c>
      <c r="L1788" t="s">
        <v>34</v>
      </c>
    </row>
    <row r="1789" spans="1:12">
      <c r="A1789" t="s">
        <v>3684</v>
      </c>
      <c r="B1789" t="s">
        <v>3685</v>
      </c>
      <c r="C1789" t="s">
        <v>485</v>
      </c>
      <c r="D1789" s="25">
        <v>45129</v>
      </c>
      <c r="E1789" t="s">
        <v>23</v>
      </c>
      <c r="F1789">
        <v>8491</v>
      </c>
      <c r="G1789">
        <v>101</v>
      </c>
      <c r="H1789" s="26">
        <v>154.3</v>
      </c>
      <c r="I1789">
        <v>9</v>
      </c>
      <c r="J1789">
        <v>1</v>
      </c>
      <c r="L1789" t="s">
        <v>25</v>
      </c>
    </row>
    <row r="1790" spans="1:12">
      <c r="A1790" t="s">
        <v>3686</v>
      </c>
      <c r="B1790" t="s">
        <v>3687</v>
      </c>
      <c r="C1790" s="27">
        <v>45219</v>
      </c>
      <c r="D1790" s="25">
        <v>45232</v>
      </c>
      <c r="E1790" t="s">
        <v>19</v>
      </c>
      <c r="F1790">
        <v>51192</v>
      </c>
      <c r="G1790">
        <v>2378</v>
      </c>
      <c r="H1790" s="26">
        <v>2223.59</v>
      </c>
      <c r="I1790">
        <v>235</v>
      </c>
      <c r="J1790">
        <v>0</v>
      </c>
      <c r="L1790" t="s">
        <v>20</v>
      </c>
    </row>
    <row r="1791" spans="1:12">
      <c r="A1791" t="s">
        <v>3688</v>
      </c>
      <c r="B1791" t="s">
        <v>3689</v>
      </c>
      <c r="C1791" t="s">
        <v>3460</v>
      </c>
      <c r="D1791" s="25">
        <v>45090</v>
      </c>
      <c r="E1791" t="s">
        <v>33</v>
      </c>
      <c r="F1791">
        <v>81395</v>
      </c>
      <c r="G1791">
        <v>910</v>
      </c>
      <c r="H1791" s="26">
        <v>730</v>
      </c>
      <c r="I1791">
        <v>46</v>
      </c>
      <c r="J1791" t="s">
        <v>30</v>
      </c>
      <c r="L1791" t="s">
        <v>34</v>
      </c>
    </row>
    <row r="1792" spans="1:12">
      <c r="A1792" t="s">
        <v>3690</v>
      </c>
      <c r="B1792" t="s">
        <v>3691</v>
      </c>
      <c r="C1792" s="27">
        <v>45183</v>
      </c>
      <c r="D1792" s="25">
        <v>45204</v>
      </c>
      <c r="E1792" t="s">
        <v>23</v>
      </c>
      <c r="F1792">
        <v>64888</v>
      </c>
      <c r="G1792">
        <v>1572</v>
      </c>
      <c r="H1792">
        <v>1411.36</v>
      </c>
      <c r="I1792">
        <v>243</v>
      </c>
      <c r="J1792" t="s">
        <v>15</v>
      </c>
      <c r="L1792" t="s">
        <v>25</v>
      </c>
    </row>
    <row r="1793" spans="1:12">
      <c r="A1793" t="s">
        <v>3692</v>
      </c>
      <c r="B1793" t="s">
        <v>3693</v>
      </c>
      <c r="C1793" s="27">
        <v>44996</v>
      </c>
      <c r="D1793" s="25">
        <v>45024</v>
      </c>
      <c r="E1793" t="s">
        <v>33</v>
      </c>
      <c r="F1793">
        <v>74609</v>
      </c>
      <c r="G1793">
        <v>793</v>
      </c>
      <c r="H1793">
        <v>598.43</v>
      </c>
      <c r="I1793">
        <v>53</v>
      </c>
      <c r="J1793" t="b">
        <v>1</v>
      </c>
      <c r="L1793" t="s">
        <v>34</v>
      </c>
    </row>
    <row r="1794" spans="1:12">
      <c r="A1794" t="s">
        <v>3694</v>
      </c>
      <c r="B1794" t="s">
        <v>3695</v>
      </c>
      <c r="C1794" s="27">
        <v>45129</v>
      </c>
      <c r="D1794" s="25">
        <v>45143</v>
      </c>
      <c r="E1794" t="s">
        <v>138</v>
      </c>
      <c r="F1794">
        <v>10077</v>
      </c>
      <c r="G1794">
        <v>131</v>
      </c>
      <c r="H1794">
        <v>84.29</v>
      </c>
      <c r="I1794">
        <v>21</v>
      </c>
      <c r="J1794" t="b">
        <v>0</v>
      </c>
      <c r="L1794" t="s">
        <v>139</v>
      </c>
    </row>
    <row r="1795" spans="1:12">
      <c r="A1795" t="s">
        <v>3696</v>
      </c>
      <c r="B1795" t="s">
        <v>3697</v>
      </c>
      <c r="C1795" s="27">
        <v>45242</v>
      </c>
      <c r="D1795" s="25">
        <v>45245</v>
      </c>
      <c r="E1795" t="s">
        <v>19</v>
      </c>
      <c r="F1795">
        <v>21953</v>
      </c>
      <c r="G1795">
        <v>1019</v>
      </c>
      <c r="H1795">
        <v>1150.15</v>
      </c>
      <c r="I1795">
        <v>126</v>
      </c>
      <c r="J1795" t="b">
        <v>1</v>
      </c>
      <c r="L1795" t="s">
        <v>20</v>
      </c>
    </row>
    <row r="1796" spans="1:12">
      <c r="A1796" t="s">
        <v>3698</v>
      </c>
      <c r="B1796" t="s">
        <v>3699</v>
      </c>
      <c r="C1796" s="25">
        <v>45051</v>
      </c>
      <c r="D1796" s="25">
        <v>45071</v>
      </c>
      <c r="E1796" t="s">
        <v>14</v>
      </c>
      <c r="F1796">
        <v>77919</v>
      </c>
      <c r="G1796">
        <v>1885</v>
      </c>
      <c r="H1796">
        <v>1262.85</v>
      </c>
      <c r="I1796">
        <v>316</v>
      </c>
      <c r="J1796" t="s">
        <v>15</v>
      </c>
      <c r="L1796" t="s">
        <v>16</v>
      </c>
    </row>
    <row r="1797" spans="1:12">
      <c r="A1797" t="s">
        <v>3700</v>
      </c>
      <c r="B1797" t="s">
        <v>3701</v>
      </c>
      <c r="C1797" s="27">
        <v>45147</v>
      </c>
      <c r="D1797" s="25">
        <v>45157</v>
      </c>
      <c r="E1797" t="s">
        <v>19</v>
      </c>
      <c r="F1797">
        <v>68889</v>
      </c>
      <c r="G1797">
        <v>1859</v>
      </c>
      <c r="H1797">
        <v>1408.88</v>
      </c>
      <c r="I1797">
        <v>255</v>
      </c>
      <c r="J1797">
        <v>0</v>
      </c>
      <c r="L1797" t="s">
        <v>20</v>
      </c>
    </row>
    <row r="1798" spans="1:12">
      <c r="A1798" t="s">
        <v>3702</v>
      </c>
      <c r="B1798" t="s">
        <v>3703</v>
      </c>
      <c r="C1798" s="27">
        <v>44972</v>
      </c>
      <c r="D1798" s="25">
        <v>44984</v>
      </c>
      <c r="E1798" t="s">
        <v>33</v>
      </c>
      <c r="F1798">
        <v>24821</v>
      </c>
      <c r="G1798">
        <v>462</v>
      </c>
      <c r="H1798">
        <v>610.3</v>
      </c>
      <c r="J1798" t="s">
        <v>30</v>
      </c>
      <c r="L1798" t="s">
        <v>34</v>
      </c>
    </row>
    <row r="1799" spans="1:12">
      <c r="A1799" t="s">
        <v>3704</v>
      </c>
      <c r="B1799" t="s">
        <v>3705</v>
      </c>
      <c r="C1799" s="27">
        <v>45114</v>
      </c>
      <c r="D1799" s="25">
        <v>45141</v>
      </c>
      <c r="E1799" t="s">
        <v>19</v>
      </c>
      <c r="F1799">
        <v>38567</v>
      </c>
      <c r="G1799">
        <v>1306</v>
      </c>
      <c r="H1799">
        <v>975.45</v>
      </c>
      <c r="I1799">
        <v>215</v>
      </c>
      <c r="J1799" t="s">
        <v>30</v>
      </c>
      <c r="L1799" t="s">
        <v>20</v>
      </c>
    </row>
    <row r="1800" spans="1:12">
      <c r="A1800" t="s">
        <v>3706</v>
      </c>
      <c r="B1800" t="s">
        <v>3707</v>
      </c>
      <c r="C1800" s="27">
        <v>45231</v>
      </c>
      <c r="D1800" s="25">
        <v>45248</v>
      </c>
      <c r="E1800" t="s">
        <v>14</v>
      </c>
      <c r="F1800">
        <v>25860</v>
      </c>
      <c r="G1800">
        <v>873</v>
      </c>
      <c r="H1800">
        <v>520.15</v>
      </c>
      <c r="I1800">
        <v>52</v>
      </c>
      <c r="J1800" t="b">
        <v>1</v>
      </c>
      <c r="L1800" t="s">
        <v>16</v>
      </c>
    </row>
    <row r="1801" spans="1:12">
      <c r="A1801" t="s">
        <v>3708</v>
      </c>
      <c r="B1801" t="s">
        <v>3709</v>
      </c>
      <c r="C1801" s="27">
        <v>45013</v>
      </c>
      <c r="D1801" s="25">
        <v>45031</v>
      </c>
      <c r="E1801" t="s">
        <v>415</v>
      </c>
      <c r="F1801">
        <v>22195</v>
      </c>
      <c r="G1801">
        <v>552</v>
      </c>
      <c r="H1801">
        <v>538.8</v>
      </c>
      <c r="J1801">
        <v>1</v>
      </c>
      <c r="L1801" t="s">
        <v>34</v>
      </c>
    </row>
    <row r="1802" spans="1:12">
      <c r="A1802" t="s">
        <v>3710</v>
      </c>
      <c r="B1802" t="s">
        <v>3711</v>
      </c>
      <c r="C1802" s="27">
        <v>45153</v>
      </c>
      <c r="D1802" s="25">
        <v>45169</v>
      </c>
      <c r="E1802" t="s">
        <v>23</v>
      </c>
      <c r="F1802">
        <v>78475</v>
      </c>
      <c r="G1802">
        <v>1830</v>
      </c>
      <c r="H1802">
        <v>1519.78</v>
      </c>
      <c r="I1802">
        <v>138</v>
      </c>
      <c r="J1802">
        <v>1</v>
      </c>
      <c r="L1802" t="s">
        <v>25</v>
      </c>
    </row>
    <row r="1803" spans="1:12">
      <c r="A1803" t="s">
        <v>3712</v>
      </c>
      <c r="B1803" t="s">
        <v>3713</v>
      </c>
      <c r="C1803" s="27">
        <v>45046</v>
      </c>
      <c r="D1803" s="25">
        <v>45041</v>
      </c>
      <c r="E1803" t="s">
        <v>41</v>
      </c>
      <c r="F1803">
        <v>91874</v>
      </c>
      <c r="G1803">
        <v>4170</v>
      </c>
      <c r="H1803">
        <v>5308.23</v>
      </c>
      <c r="I1803">
        <v>679</v>
      </c>
      <c r="J1803">
        <v>0</v>
      </c>
      <c r="K1803">
        <v>91898</v>
      </c>
      <c r="L1803" t="s">
        <v>42</v>
      </c>
    </row>
    <row r="1804" spans="1:12">
      <c r="A1804" t="s">
        <v>3714</v>
      </c>
      <c r="B1804" t="s">
        <v>3715</v>
      </c>
      <c r="C1804" s="25">
        <v>44970</v>
      </c>
      <c r="D1804" s="25">
        <v>45000</v>
      </c>
      <c r="E1804" t="s">
        <v>23</v>
      </c>
      <c r="F1804">
        <v>88266</v>
      </c>
      <c r="G1804">
        <v>2235</v>
      </c>
      <c r="H1804">
        <v>1460.69</v>
      </c>
      <c r="I1804">
        <v>417</v>
      </c>
      <c r="J1804" t="s">
        <v>30</v>
      </c>
      <c r="L1804" t="s">
        <v>25</v>
      </c>
    </row>
    <row r="1805" spans="1:12">
      <c r="A1805" t="s">
        <v>3716</v>
      </c>
      <c r="B1805" t="s">
        <v>3717</v>
      </c>
      <c r="C1805" s="27">
        <v>45244</v>
      </c>
      <c r="D1805" s="25">
        <v>45272</v>
      </c>
      <c r="E1805" t="s">
        <v>19</v>
      </c>
      <c r="F1805">
        <v>22427</v>
      </c>
      <c r="G1805">
        <v>666</v>
      </c>
      <c r="H1805" s="26">
        <v>1084.02</v>
      </c>
      <c r="I1805">
        <v>88</v>
      </c>
      <c r="J1805" t="b">
        <v>1</v>
      </c>
      <c r="L1805" t="s">
        <v>20</v>
      </c>
    </row>
    <row r="1806" spans="1:12">
      <c r="A1806" t="s">
        <v>3718</v>
      </c>
      <c r="B1806" t="s">
        <v>3719</v>
      </c>
      <c r="C1806" t="s">
        <v>3720</v>
      </c>
      <c r="D1806" s="25">
        <v>45102</v>
      </c>
      <c r="E1806" t="s">
        <v>23</v>
      </c>
      <c r="F1806">
        <v>28083</v>
      </c>
      <c r="G1806">
        <v>599</v>
      </c>
      <c r="H1806">
        <v>1113.75</v>
      </c>
      <c r="I1806">
        <v>77</v>
      </c>
      <c r="J1806" t="b">
        <v>1</v>
      </c>
      <c r="L1806" t="s">
        <v>25</v>
      </c>
    </row>
    <row r="1807" spans="1:12">
      <c r="A1807" t="s">
        <v>3721</v>
      </c>
      <c r="B1807" t="s">
        <v>3722</v>
      </c>
      <c r="C1807" s="27">
        <v>45282</v>
      </c>
      <c r="D1807" s="25">
        <v>45298</v>
      </c>
      <c r="E1807" t="s">
        <v>19</v>
      </c>
      <c r="F1807">
        <v>88046</v>
      </c>
      <c r="G1807">
        <v>3651</v>
      </c>
      <c r="H1807">
        <v>5896.92</v>
      </c>
      <c r="J1807" t="b">
        <v>1</v>
      </c>
      <c r="L1807" t="s">
        <v>20</v>
      </c>
    </row>
    <row r="1808" spans="1:12">
      <c r="A1808" t="s">
        <v>3723</v>
      </c>
      <c r="B1808" t="s">
        <v>3724</v>
      </c>
      <c r="C1808" t="s">
        <v>3725</v>
      </c>
      <c r="D1808" s="25">
        <v>45171</v>
      </c>
      <c r="E1808" t="s">
        <v>138</v>
      </c>
      <c r="F1808">
        <v>58372</v>
      </c>
      <c r="G1808">
        <v>1511</v>
      </c>
      <c r="H1808">
        <v>1963.15</v>
      </c>
      <c r="I1808">
        <v>76</v>
      </c>
      <c r="J1808" t="s">
        <v>15</v>
      </c>
      <c r="L1808" t="s">
        <v>139</v>
      </c>
    </row>
    <row r="1809" spans="1:12">
      <c r="A1809" t="s">
        <v>3726</v>
      </c>
      <c r="B1809" t="s">
        <v>3727</v>
      </c>
      <c r="C1809" s="27">
        <v>45034</v>
      </c>
      <c r="D1809" s="25">
        <v>45046</v>
      </c>
      <c r="E1809" t="s">
        <v>41</v>
      </c>
      <c r="F1809">
        <v>45064</v>
      </c>
      <c r="G1809">
        <v>1376</v>
      </c>
      <c r="H1809">
        <v>2464.42</v>
      </c>
      <c r="I1809">
        <v>258</v>
      </c>
      <c r="J1809">
        <v>0</v>
      </c>
      <c r="L1809" t="s">
        <v>42</v>
      </c>
    </row>
    <row r="1810" spans="1:12">
      <c r="A1810" t="s">
        <v>3728</v>
      </c>
      <c r="B1810" t="s">
        <v>3729</v>
      </c>
      <c r="C1810" s="27">
        <v>45206</v>
      </c>
      <c r="D1810" s="25">
        <v>45217</v>
      </c>
      <c r="E1810" t="s">
        <v>19</v>
      </c>
      <c r="F1810">
        <v>8813</v>
      </c>
      <c r="G1810">
        <v>177</v>
      </c>
      <c r="H1810">
        <v>273</v>
      </c>
      <c r="I1810">
        <v>14</v>
      </c>
      <c r="J1810">
        <v>1</v>
      </c>
      <c r="L1810" t="s">
        <v>20</v>
      </c>
    </row>
    <row r="1811" spans="1:12">
      <c r="A1811" t="s">
        <v>3730</v>
      </c>
      <c r="B1811" t="s">
        <v>3731</v>
      </c>
      <c r="C1811" s="27">
        <v>45174</v>
      </c>
      <c r="D1811" s="25">
        <v>45181</v>
      </c>
      <c r="E1811" t="s">
        <v>33</v>
      </c>
      <c r="F1811">
        <v>32598</v>
      </c>
      <c r="G1811">
        <v>1613</v>
      </c>
      <c r="H1811">
        <v>832.03</v>
      </c>
      <c r="I1811">
        <v>318</v>
      </c>
      <c r="J1811">
        <v>1</v>
      </c>
      <c r="L1811" t="s">
        <v>34</v>
      </c>
    </row>
    <row r="1812" spans="1:12">
      <c r="A1812" t="s">
        <v>3732</v>
      </c>
      <c r="B1812" t="s">
        <v>3733</v>
      </c>
      <c r="C1812" s="25">
        <v>45282</v>
      </c>
      <c r="D1812" s="25">
        <v>45292</v>
      </c>
      <c r="E1812" t="s">
        <v>19</v>
      </c>
      <c r="F1812">
        <v>94106</v>
      </c>
      <c r="G1812">
        <v>2038</v>
      </c>
      <c r="H1812">
        <v>2223.73</v>
      </c>
      <c r="I1812">
        <v>326</v>
      </c>
      <c r="J1812" t="s">
        <v>15</v>
      </c>
      <c r="L1812" t="s">
        <v>20</v>
      </c>
    </row>
    <row r="1813" spans="1:12">
      <c r="A1813" t="s">
        <v>3734</v>
      </c>
      <c r="B1813" t="s">
        <v>3735</v>
      </c>
      <c r="C1813" s="27">
        <v>45225</v>
      </c>
      <c r="D1813" s="25">
        <v>45255</v>
      </c>
      <c r="E1813" t="s">
        <v>14</v>
      </c>
      <c r="F1813">
        <v>28082</v>
      </c>
      <c r="G1813">
        <v>1146</v>
      </c>
      <c r="H1813">
        <v>2035.79</v>
      </c>
      <c r="I1813">
        <v>190</v>
      </c>
      <c r="J1813" t="b">
        <v>0</v>
      </c>
      <c r="L1813" t="s">
        <v>16</v>
      </c>
    </row>
    <row r="1814" spans="1:12">
      <c r="A1814" t="s">
        <v>3736</v>
      </c>
      <c r="B1814" t="s">
        <v>3737</v>
      </c>
      <c r="C1814" s="27">
        <v>45057</v>
      </c>
      <c r="D1814" s="25">
        <v>45074</v>
      </c>
      <c r="E1814" t="s">
        <v>23</v>
      </c>
      <c r="F1814">
        <v>30241</v>
      </c>
      <c r="G1814">
        <v>819</v>
      </c>
      <c r="H1814">
        <v>834.39</v>
      </c>
      <c r="I1814">
        <v>121</v>
      </c>
      <c r="J1814" t="s">
        <v>15</v>
      </c>
      <c r="L1814" t="s">
        <v>25</v>
      </c>
    </row>
    <row r="1815" spans="1:12">
      <c r="A1815" t="s">
        <v>3738</v>
      </c>
      <c r="B1815" t="s">
        <v>3739</v>
      </c>
      <c r="C1815" s="25">
        <v>45283</v>
      </c>
      <c r="D1815" s="25">
        <v>45289</v>
      </c>
      <c r="E1815" t="s">
        <v>33</v>
      </c>
      <c r="F1815">
        <v>97214</v>
      </c>
      <c r="G1815">
        <v>1774</v>
      </c>
      <c r="H1815">
        <v>980.71</v>
      </c>
      <c r="I1815">
        <v>214</v>
      </c>
      <c r="J1815">
        <v>0</v>
      </c>
      <c r="L1815" t="s">
        <v>68</v>
      </c>
    </row>
    <row r="1816" spans="1:12">
      <c r="A1816" t="s">
        <v>3740</v>
      </c>
      <c r="B1816" t="s">
        <v>3741</v>
      </c>
      <c r="C1816" s="25">
        <v>45262</v>
      </c>
      <c r="D1816" s="25">
        <v>44970</v>
      </c>
      <c r="E1816" t="s">
        <v>234</v>
      </c>
      <c r="F1816">
        <v>45569</v>
      </c>
      <c r="G1816">
        <v>1913</v>
      </c>
      <c r="H1816">
        <v>3097.66</v>
      </c>
      <c r="I1816">
        <v>259</v>
      </c>
      <c r="J1816" t="b">
        <v>1</v>
      </c>
      <c r="L1816" t="s">
        <v>16</v>
      </c>
    </row>
    <row r="1817" spans="1:12">
      <c r="A1817" t="s">
        <v>3742</v>
      </c>
      <c r="B1817" t="s">
        <v>3743</v>
      </c>
      <c r="C1817" s="27">
        <v>45265</v>
      </c>
      <c r="D1817" s="25">
        <v>45269</v>
      </c>
      <c r="E1817" t="s">
        <v>41</v>
      </c>
      <c r="F1817">
        <v>12745</v>
      </c>
      <c r="G1817">
        <v>297</v>
      </c>
      <c r="H1817" s="26">
        <v>505.81</v>
      </c>
      <c r="I1817">
        <v>16</v>
      </c>
      <c r="J1817" t="s">
        <v>15</v>
      </c>
      <c r="L1817" t="s">
        <v>42</v>
      </c>
    </row>
    <row r="1818" spans="1:12">
      <c r="A1818" t="s">
        <v>3744</v>
      </c>
      <c r="B1818" t="s">
        <v>3745</v>
      </c>
      <c r="C1818" s="27">
        <v>45264</v>
      </c>
      <c r="D1818" s="25">
        <v>45269</v>
      </c>
      <c r="E1818" t="s">
        <v>14</v>
      </c>
      <c r="F1818">
        <v>27029</v>
      </c>
      <c r="G1818">
        <v>1205</v>
      </c>
      <c r="H1818">
        <v>892.77</v>
      </c>
      <c r="I1818">
        <v>173</v>
      </c>
      <c r="J1818" t="b">
        <v>1</v>
      </c>
      <c r="L1818" t="s">
        <v>16</v>
      </c>
    </row>
    <row r="1819" spans="1:12">
      <c r="A1819" t="s">
        <v>3746</v>
      </c>
      <c r="B1819" t="s">
        <v>3747</v>
      </c>
      <c r="C1819" s="27">
        <v>45076</v>
      </c>
      <c r="D1819" s="25">
        <v>45100</v>
      </c>
      <c r="E1819" t="s">
        <v>41</v>
      </c>
      <c r="F1819">
        <v>14025</v>
      </c>
      <c r="G1819">
        <v>653</v>
      </c>
      <c r="H1819">
        <v>852.83</v>
      </c>
      <c r="I1819">
        <v>93</v>
      </c>
      <c r="J1819">
        <v>0</v>
      </c>
      <c r="L1819" t="s">
        <v>42</v>
      </c>
    </row>
    <row r="1820" spans="1:12">
      <c r="A1820" t="s">
        <v>3748</v>
      </c>
      <c r="B1820" t="s">
        <v>3749</v>
      </c>
      <c r="C1820" s="27">
        <v>45045</v>
      </c>
      <c r="D1820" s="25">
        <v>45068</v>
      </c>
      <c r="E1820" t="s">
        <v>33</v>
      </c>
      <c r="F1820">
        <v>15288</v>
      </c>
      <c r="G1820">
        <v>678</v>
      </c>
      <c r="H1820">
        <v>534.22</v>
      </c>
      <c r="I1820">
        <v>124</v>
      </c>
      <c r="J1820" t="s">
        <v>24</v>
      </c>
      <c r="L1820" t="s">
        <v>34</v>
      </c>
    </row>
    <row r="1821" spans="1:12">
      <c r="A1821" t="s">
        <v>3750</v>
      </c>
      <c r="B1821" t="s">
        <v>3751</v>
      </c>
      <c r="C1821" t="s">
        <v>3752</v>
      </c>
      <c r="D1821" s="25">
        <v>45308</v>
      </c>
      <c r="E1821" t="s">
        <v>41</v>
      </c>
      <c r="F1821">
        <v>90186</v>
      </c>
      <c r="G1821">
        <v>1028</v>
      </c>
      <c r="H1821">
        <v>1623.06</v>
      </c>
      <c r="I1821">
        <v>129</v>
      </c>
      <c r="J1821">
        <v>0</v>
      </c>
      <c r="K1821">
        <v>90254</v>
      </c>
      <c r="L1821" t="s">
        <v>42</v>
      </c>
    </row>
    <row r="1822" spans="1:12">
      <c r="A1822" t="s">
        <v>3753</v>
      </c>
      <c r="B1822" t="s">
        <v>3754</v>
      </c>
      <c r="C1822" s="27">
        <v>45088</v>
      </c>
      <c r="D1822" s="25">
        <v>45097</v>
      </c>
      <c r="E1822" t="s">
        <v>14</v>
      </c>
      <c r="F1822">
        <v>7540</v>
      </c>
      <c r="G1822">
        <v>312</v>
      </c>
      <c r="H1822">
        <v>283.09</v>
      </c>
      <c r="J1822" t="s">
        <v>30</v>
      </c>
      <c r="L1822" t="s">
        <v>16</v>
      </c>
    </row>
    <row r="1823" spans="1:12">
      <c r="A1823" t="s">
        <v>3755</v>
      </c>
      <c r="B1823" t="s">
        <v>3756</v>
      </c>
      <c r="C1823" s="27">
        <v>44972</v>
      </c>
      <c r="D1823" s="25">
        <v>44974</v>
      </c>
      <c r="E1823" t="s">
        <v>14</v>
      </c>
      <c r="F1823">
        <v>98768</v>
      </c>
      <c r="G1823">
        <v>2612</v>
      </c>
      <c r="H1823">
        <v>2544.93</v>
      </c>
      <c r="I1823">
        <v>250</v>
      </c>
      <c r="J1823" t="b">
        <v>1</v>
      </c>
      <c r="L1823" t="s">
        <v>16</v>
      </c>
    </row>
    <row r="1824" spans="1:12">
      <c r="A1824" t="s">
        <v>3757</v>
      </c>
      <c r="B1824" t="s">
        <v>3758</v>
      </c>
      <c r="C1824" s="27">
        <v>45161</v>
      </c>
      <c r="D1824" s="25">
        <v>45162</v>
      </c>
      <c r="E1824" t="s">
        <v>41</v>
      </c>
      <c r="F1824">
        <v>82958</v>
      </c>
      <c r="G1824">
        <v>3728</v>
      </c>
      <c r="H1824" s="26">
        <v>6589.08</v>
      </c>
      <c r="I1824">
        <v>553</v>
      </c>
      <c r="J1824">
        <v>1</v>
      </c>
      <c r="L1824" t="s">
        <v>42</v>
      </c>
    </row>
    <row r="1825" spans="1:12">
      <c r="A1825" t="s">
        <v>3759</v>
      </c>
      <c r="B1825" t="s">
        <v>3760</v>
      </c>
      <c r="C1825" s="27">
        <v>44947</v>
      </c>
      <c r="D1825" s="25">
        <v>44964</v>
      </c>
      <c r="E1825" t="s">
        <v>19</v>
      </c>
      <c r="F1825">
        <v>69878</v>
      </c>
      <c r="G1825">
        <v>2481</v>
      </c>
      <c r="H1825">
        <v>3013.13</v>
      </c>
      <c r="I1825">
        <v>213</v>
      </c>
      <c r="J1825" t="s">
        <v>15</v>
      </c>
      <c r="L1825" t="s">
        <v>20</v>
      </c>
    </row>
    <row r="1826" spans="1:12">
      <c r="A1826" t="s">
        <v>3761</v>
      </c>
      <c r="B1826" t="s">
        <v>3762</v>
      </c>
      <c r="C1826" s="27">
        <v>45097</v>
      </c>
      <c r="D1826" s="25">
        <v>45104</v>
      </c>
      <c r="E1826" t="s">
        <v>33</v>
      </c>
      <c r="F1826">
        <v>42846</v>
      </c>
      <c r="G1826">
        <v>1857</v>
      </c>
      <c r="H1826">
        <v>2794.1</v>
      </c>
      <c r="I1826">
        <v>170</v>
      </c>
      <c r="J1826" t="s">
        <v>24</v>
      </c>
      <c r="L1826" t="s">
        <v>34</v>
      </c>
    </row>
    <row r="1827" spans="1:12">
      <c r="A1827" t="s">
        <v>3763</v>
      </c>
      <c r="B1827" t="s">
        <v>3764</v>
      </c>
      <c r="C1827" s="27">
        <v>44936</v>
      </c>
      <c r="D1827" s="25">
        <v>44957</v>
      </c>
      <c r="E1827" t="s">
        <v>191</v>
      </c>
      <c r="F1827">
        <v>76932</v>
      </c>
      <c r="G1827">
        <v>2306</v>
      </c>
      <c r="H1827">
        <v>2544.81</v>
      </c>
      <c r="I1827">
        <v>399</v>
      </c>
      <c r="J1827">
        <v>0</v>
      </c>
      <c r="L1827" t="s">
        <v>42</v>
      </c>
    </row>
    <row r="1828" spans="1:12">
      <c r="A1828" t="s">
        <v>3765</v>
      </c>
      <c r="B1828" t="s">
        <v>3766</v>
      </c>
      <c r="C1828" s="27">
        <v>45247</v>
      </c>
      <c r="D1828" s="25">
        <v>45264</v>
      </c>
      <c r="E1828" t="s">
        <v>14</v>
      </c>
      <c r="F1828">
        <v>18482</v>
      </c>
      <c r="G1828">
        <v>580</v>
      </c>
      <c r="H1828" s="26">
        <v>549.27</v>
      </c>
      <c r="I1828">
        <v>79</v>
      </c>
      <c r="J1828" t="b">
        <v>1</v>
      </c>
      <c r="L1828" t="s">
        <v>16</v>
      </c>
    </row>
    <row r="1829" spans="1:12">
      <c r="A1829" t="s">
        <v>3767</v>
      </c>
      <c r="B1829" t="s">
        <v>3768</v>
      </c>
      <c r="C1829" s="25">
        <v>45183</v>
      </c>
      <c r="D1829" s="25">
        <v>45195</v>
      </c>
      <c r="E1829" t="s">
        <v>41</v>
      </c>
      <c r="F1829">
        <v>24411</v>
      </c>
      <c r="G1829">
        <v>385</v>
      </c>
      <c r="H1829">
        <v>553.71</v>
      </c>
      <c r="I1829">
        <v>48</v>
      </c>
      <c r="J1829" t="s">
        <v>24</v>
      </c>
      <c r="L1829" t="s">
        <v>42</v>
      </c>
    </row>
    <row r="1830" spans="1:12">
      <c r="A1830" t="s">
        <v>3769</v>
      </c>
      <c r="B1830" t="s">
        <v>3770</v>
      </c>
      <c r="C1830" s="27">
        <v>45058</v>
      </c>
      <c r="D1830" s="25">
        <v>45059</v>
      </c>
      <c r="E1830" t="s">
        <v>33</v>
      </c>
      <c r="F1830">
        <v>51975</v>
      </c>
      <c r="G1830">
        <v>2149</v>
      </c>
      <c r="H1830">
        <v>1573.68</v>
      </c>
      <c r="I1830">
        <v>210</v>
      </c>
      <c r="J1830" t="b">
        <v>0</v>
      </c>
      <c r="L1830" t="s">
        <v>34</v>
      </c>
    </row>
    <row r="1831" spans="1:12">
      <c r="A1831" t="s">
        <v>3771</v>
      </c>
      <c r="B1831" t="s">
        <v>3772</v>
      </c>
      <c r="C1831" s="27">
        <v>44942</v>
      </c>
      <c r="D1831" s="25">
        <v>44957</v>
      </c>
      <c r="E1831" t="s">
        <v>14</v>
      </c>
      <c r="F1831">
        <v>61545</v>
      </c>
      <c r="G1831">
        <v>1647</v>
      </c>
      <c r="H1831">
        <v>1745</v>
      </c>
      <c r="I1831">
        <v>262</v>
      </c>
      <c r="J1831" t="s">
        <v>30</v>
      </c>
      <c r="L1831" t="s">
        <v>68</v>
      </c>
    </row>
    <row r="1832" spans="1:12">
      <c r="A1832" t="s">
        <v>3773</v>
      </c>
      <c r="B1832" t="s">
        <v>3774</v>
      </c>
      <c r="C1832" s="27">
        <v>45042</v>
      </c>
      <c r="D1832" s="25">
        <v>45055</v>
      </c>
      <c r="E1832" t="s">
        <v>41</v>
      </c>
      <c r="F1832">
        <v>79797</v>
      </c>
      <c r="G1832">
        <v>2394</v>
      </c>
      <c r="H1832">
        <v>1947.65</v>
      </c>
      <c r="J1832" t="b">
        <v>0</v>
      </c>
      <c r="L1832" t="s">
        <v>42</v>
      </c>
    </row>
    <row r="1833" spans="1:12">
      <c r="A1833" t="s">
        <v>3775</v>
      </c>
      <c r="B1833" t="s">
        <v>3776</v>
      </c>
      <c r="C1833" s="27">
        <v>45263</v>
      </c>
      <c r="D1833" s="25">
        <v>45274</v>
      </c>
      <c r="E1833" t="s">
        <v>14</v>
      </c>
      <c r="F1833">
        <v>53307</v>
      </c>
      <c r="G1833">
        <v>2207</v>
      </c>
      <c r="H1833">
        <v>3406.93</v>
      </c>
      <c r="I1833">
        <v>354</v>
      </c>
      <c r="J1833">
        <v>0</v>
      </c>
      <c r="L1833" t="s">
        <v>16</v>
      </c>
    </row>
    <row r="1834" spans="1:12">
      <c r="A1834" t="s">
        <v>3777</v>
      </c>
      <c r="B1834" t="s">
        <v>3778</v>
      </c>
      <c r="C1834" s="27">
        <v>45193</v>
      </c>
      <c r="D1834" s="25">
        <v>45219</v>
      </c>
      <c r="E1834" t="s">
        <v>33</v>
      </c>
      <c r="F1834">
        <v>4093</v>
      </c>
      <c r="G1834">
        <v>138</v>
      </c>
      <c r="H1834">
        <v>264.45</v>
      </c>
      <c r="I1834">
        <v>8</v>
      </c>
      <c r="J1834" t="b">
        <v>0</v>
      </c>
      <c r="L1834" t="s">
        <v>34</v>
      </c>
    </row>
    <row r="1835" spans="1:12">
      <c r="A1835" t="s">
        <v>3779</v>
      </c>
      <c r="B1835" t="s">
        <v>3780</v>
      </c>
      <c r="C1835" s="27">
        <v>45247</v>
      </c>
      <c r="D1835" s="25">
        <v>45267</v>
      </c>
      <c r="E1835" t="s">
        <v>14</v>
      </c>
      <c r="F1835">
        <v>78258</v>
      </c>
      <c r="G1835">
        <v>1412</v>
      </c>
      <c r="H1835" s="26">
        <v>2814.49</v>
      </c>
      <c r="I1835">
        <v>253</v>
      </c>
      <c r="J1835" t="b">
        <v>0</v>
      </c>
      <c r="L1835" t="s">
        <v>16</v>
      </c>
    </row>
    <row r="1836" spans="1:12">
      <c r="A1836" t="s">
        <v>3781</v>
      </c>
      <c r="B1836" t="s">
        <v>3782</v>
      </c>
      <c r="C1836" s="27">
        <v>45220</v>
      </c>
      <c r="D1836" s="25">
        <v>45235</v>
      </c>
      <c r="E1836" t="s">
        <v>14</v>
      </c>
      <c r="F1836">
        <v>23042</v>
      </c>
      <c r="G1836">
        <v>774</v>
      </c>
      <c r="H1836">
        <v>909.77</v>
      </c>
      <c r="J1836" t="s">
        <v>30</v>
      </c>
      <c r="L1836" t="s">
        <v>16</v>
      </c>
    </row>
    <row r="1837" spans="1:12">
      <c r="A1837" t="s">
        <v>3783</v>
      </c>
      <c r="B1837" t="s">
        <v>3784</v>
      </c>
      <c r="C1837" s="27">
        <v>45236</v>
      </c>
      <c r="D1837" s="25">
        <v>45248</v>
      </c>
      <c r="E1837" t="s">
        <v>19</v>
      </c>
      <c r="F1837">
        <v>53930</v>
      </c>
      <c r="G1837">
        <v>1418</v>
      </c>
      <c r="H1837" s="26">
        <v>1246.13</v>
      </c>
      <c r="I1837">
        <v>164</v>
      </c>
      <c r="J1837" t="s">
        <v>30</v>
      </c>
      <c r="L1837" t="s">
        <v>20</v>
      </c>
    </row>
    <row r="1838" spans="1:12">
      <c r="A1838" t="s">
        <v>3785</v>
      </c>
      <c r="B1838" t="s">
        <v>3786</v>
      </c>
      <c r="C1838" s="27">
        <v>45032</v>
      </c>
      <c r="D1838" s="25">
        <v>45052</v>
      </c>
      <c r="E1838" t="s">
        <v>33</v>
      </c>
      <c r="F1838">
        <v>45413</v>
      </c>
      <c r="G1838">
        <v>1307</v>
      </c>
      <c r="H1838">
        <v>1521.67</v>
      </c>
      <c r="I1838">
        <v>185</v>
      </c>
      <c r="J1838" t="s">
        <v>30</v>
      </c>
      <c r="L1838" t="s">
        <v>34</v>
      </c>
    </row>
    <row r="1839" spans="1:12">
      <c r="A1839" t="s">
        <v>3787</v>
      </c>
      <c r="B1839" t="s">
        <v>3788</v>
      </c>
      <c r="C1839" s="27">
        <v>45277</v>
      </c>
      <c r="D1839" s="25">
        <v>45288</v>
      </c>
      <c r="E1839" t="s">
        <v>58</v>
      </c>
      <c r="F1839">
        <v>94623</v>
      </c>
      <c r="G1839">
        <v>1053</v>
      </c>
      <c r="H1839">
        <v>1864.76</v>
      </c>
      <c r="I1839">
        <v>151</v>
      </c>
      <c r="J1839" t="s">
        <v>24</v>
      </c>
      <c r="L1839" t="s">
        <v>59</v>
      </c>
    </row>
    <row r="1840" spans="1:12">
      <c r="A1840" t="s">
        <v>3789</v>
      </c>
      <c r="B1840" t="s">
        <v>3790</v>
      </c>
      <c r="C1840" s="27">
        <v>45085</v>
      </c>
      <c r="D1840" s="25">
        <v>45095</v>
      </c>
      <c r="E1840" t="s">
        <v>33</v>
      </c>
      <c r="F1840">
        <v>98883</v>
      </c>
      <c r="G1840">
        <v>1819</v>
      </c>
      <c r="H1840">
        <v>1471.59</v>
      </c>
      <c r="I1840">
        <v>126</v>
      </c>
      <c r="J1840" t="s">
        <v>30</v>
      </c>
      <c r="L1840" t="s">
        <v>34</v>
      </c>
    </row>
    <row r="1841" spans="1:12">
      <c r="A1841" t="s">
        <v>3791</v>
      </c>
      <c r="B1841" t="s">
        <v>3792</v>
      </c>
      <c r="C1841" s="27">
        <v>44996</v>
      </c>
      <c r="D1841" s="25">
        <v>45008</v>
      </c>
      <c r="E1841" t="s">
        <v>41</v>
      </c>
      <c r="F1841">
        <v>34756</v>
      </c>
      <c r="G1841">
        <v>738</v>
      </c>
      <c r="H1841">
        <v>1422.97</v>
      </c>
      <c r="I1841">
        <v>120</v>
      </c>
      <c r="J1841" t="b">
        <v>0</v>
      </c>
      <c r="L1841" t="s">
        <v>42</v>
      </c>
    </row>
    <row r="1842" spans="1:12">
      <c r="A1842" t="s">
        <v>3793</v>
      </c>
      <c r="B1842" t="s">
        <v>3794</v>
      </c>
      <c r="C1842" s="27">
        <v>45001</v>
      </c>
      <c r="D1842" s="25">
        <v>45003</v>
      </c>
      <c r="E1842" t="s">
        <v>138</v>
      </c>
      <c r="F1842">
        <v>54268</v>
      </c>
      <c r="G1842">
        <v>2090</v>
      </c>
      <c r="H1842">
        <v>2116.75</v>
      </c>
      <c r="I1842">
        <v>191</v>
      </c>
      <c r="J1842">
        <v>1</v>
      </c>
      <c r="L1842" t="s">
        <v>139</v>
      </c>
    </row>
    <row r="1843" spans="1:12">
      <c r="A1843" t="s">
        <v>3795</v>
      </c>
      <c r="B1843" t="s">
        <v>3796</v>
      </c>
      <c r="C1843" s="27">
        <v>45007</v>
      </c>
      <c r="D1843" s="25">
        <v>45033</v>
      </c>
      <c r="E1843" t="s">
        <v>14</v>
      </c>
      <c r="F1843">
        <v>40214</v>
      </c>
      <c r="G1843">
        <v>420</v>
      </c>
      <c r="H1843">
        <v>831.06</v>
      </c>
      <c r="I1843">
        <v>78</v>
      </c>
      <c r="J1843">
        <v>1</v>
      </c>
      <c r="L1843" t="s">
        <v>16</v>
      </c>
    </row>
    <row r="1844" spans="1:12">
      <c r="A1844" t="s">
        <v>3797</v>
      </c>
      <c r="B1844" t="s">
        <v>3798</v>
      </c>
      <c r="C1844" s="27">
        <v>44987</v>
      </c>
      <c r="D1844" s="25">
        <v>45004</v>
      </c>
      <c r="E1844" t="s">
        <v>41</v>
      </c>
      <c r="F1844">
        <v>82871</v>
      </c>
      <c r="G1844">
        <v>2183</v>
      </c>
      <c r="H1844">
        <v>3837.52</v>
      </c>
      <c r="I1844">
        <v>376</v>
      </c>
      <c r="J1844" t="s">
        <v>30</v>
      </c>
      <c r="L1844" t="s">
        <v>42</v>
      </c>
    </row>
    <row r="1845" spans="1:12">
      <c r="A1845" t="s">
        <v>3799</v>
      </c>
      <c r="B1845" t="s">
        <v>3800</v>
      </c>
      <c r="C1845" s="27">
        <v>45001</v>
      </c>
      <c r="D1845" s="25">
        <v>45020</v>
      </c>
      <c r="E1845" t="s">
        <v>14</v>
      </c>
      <c r="F1845">
        <v>29602</v>
      </c>
      <c r="G1845">
        <v>1390</v>
      </c>
      <c r="H1845">
        <v>2380.87</v>
      </c>
      <c r="I1845">
        <v>141</v>
      </c>
      <c r="J1845" t="s">
        <v>24</v>
      </c>
      <c r="L1845" t="s">
        <v>16</v>
      </c>
    </row>
    <row r="1846" spans="1:12">
      <c r="A1846" t="s">
        <v>3801</v>
      </c>
      <c r="B1846" t="s">
        <v>3802</v>
      </c>
      <c r="C1846" s="27">
        <v>45138</v>
      </c>
      <c r="D1846" s="25">
        <v>45142</v>
      </c>
      <c r="E1846" t="s">
        <v>33</v>
      </c>
      <c r="F1846">
        <v>54331</v>
      </c>
      <c r="G1846">
        <v>786</v>
      </c>
      <c r="H1846">
        <v>767.81</v>
      </c>
      <c r="I1846">
        <v>134</v>
      </c>
      <c r="J1846" t="s">
        <v>15</v>
      </c>
      <c r="L1846" t="s">
        <v>34</v>
      </c>
    </row>
    <row r="1847" spans="1:12">
      <c r="A1847" t="s">
        <v>3803</v>
      </c>
      <c r="B1847" t="s">
        <v>3804</v>
      </c>
      <c r="C1847" s="27">
        <v>45253</v>
      </c>
      <c r="D1847" s="25">
        <v>45282</v>
      </c>
      <c r="E1847" t="s">
        <v>33</v>
      </c>
      <c r="F1847">
        <v>49901</v>
      </c>
      <c r="G1847">
        <v>1529</v>
      </c>
      <c r="H1847">
        <v>784.63</v>
      </c>
      <c r="I1847">
        <v>158</v>
      </c>
      <c r="J1847" t="b">
        <v>1</v>
      </c>
      <c r="L1847" t="s">
        <v>34</v>
      </c>
    </row>
    <row r="1848" spans="1:12">
      <c r="A1848" t="s">
        <v>3805</v>
      </c>
      <c r="B1848" t="s">
        <v>3806</v>
      </c>
      <c r="C1848" s="27">
        <v>45023</v>
      </c>
      <c r="D1848" s="25">
        <v>45038</v>
      </c>
      <c r="E1848" t="s">
        <v>19</v>
      </c>
      <c r="F1848">
        <v>64416</v>
      </c>
      <c r="G1848">
        <v>2670</v>
      </c>
      <c r="H1848">
        <v>2865.44</v>
      </c>
      <c r="I1848">
        <v>173</v>
      </c>
      <c r="J1848">
        <v>0</v>
      </c>
      <c r="L1848" t="s">
        <v>20</v>
      </c>
    </row>
    <row r="1849" spans="1:12">
      <c r="A1849" t="s">
        <v>3807</v>
      </c>
      <c r="B1849" t="s">
        <v>3808</v>
      </c>
      <c r="C1849" s="27">
        <v>45240</v>
      </c>
      <c r="D1849" s="25">
        <v>45265</v>
      </c>
      <c r="E1849" t="s">
        <v>33</v>
      </c>
      <c r="F1849">
        <v>33196</v>
      </c>
      <c r="G1849">
        <v>1583</v>
      </c>
      <c r="H1849">
        <v>1508.15</v>
      </c>
      <c r="J1849" t="s">
        <v>24</v>
      </c>
      <c r="L1849" t="s">
        <v>34</v>
      </c>
    </row>
    <row r="1850" spans="1:12">
      <c r="A1850" t="s">
        <v>3809</v>
      </c>
      <c r="B1850" t="s">
        <v>3810</v>
      </c>
      <c r="C1850" s="27">
        <v>45240</v>
      </c>
      <c r="D1850" s="25">
        <v>45256</v>
      </c>
      <c r="E1850" t="s">
        <v>14</v>
      </c>
      <c r="F1850">
        <v>6626</v>
      </c>
      <c r="G1850">
        <v>264</v>
      </c>
      <c r="H1850">
        <v>146.81</v>
      </c>
      <c r="I1850">
        <v>39</v>
      </c>
      <c r="J1850" t="s">
        <v>15</v>
      </c>
      <c r="L1850" t="s">
        <v>16</v>
      </c>
    </row>
    <row r="1851" spans="1:12">
      <c r="A1851" t="s">
        <v>3811</v>
      </c>
      <c r="B1851" t="s">
        <v>3812</v>
      </c>
      <c r="C1851" t="s">
        <v>3813</v>
      </c>
      <c r="D1851" s="25">
        <v>45292</v>
      </c>
      <c r="E1851" t="s">
        <v>19</v>
      </c>
      <c r="F1851">
        <v>8424</v>
      </c>
      <c r="G1851">
        <v>327</v>
      </c>
      <c r="H1851">
        <v>411.38</v>
      </c>
      <c r="I1851">
        <v>38</v>
      </c>
      <c r="J1851">
        <v>0</v>
      </c>
      <c r="L1851" t="s">
        <v>20</v>
      </c>
    </row>
    <row r="1852" spans="1:12">
      <c r="A1852" t="s">
        <v>3814</v>
      </c>
      <c r="B1852" t="s">
        <v>3815</v>
      </c>
      <c r="C1852" s="27">
        <v>44967</v>
      </c>
      <c r="D1852" s="25">
        <v>44992</v>
      </c>
      <c r="E1852" t="s">
        <v>23</v>
      </c>
      <c r="F1852">
        <v>13857</v>
      </c>
      <c r="G1852">
        <v>596</v>
      </c>
      <c r="H1852">
        <v>658.31</v>
      </c>
      <c r="J1852" t="s">
        <v>15</v>
      </c>
      <c r="L1852" t="s">
        <v>25</v>
      </c>
    </row>
    <row r="1853" spans="1:12">
      <c r="A1853" t="s">
        <v>3816</v>
      </c>
      <c r="B1853" t="s">
        <v>3817</v>
      </c>
      <c r="C1853" s="27">
        <v>45184</v>
      </c>
      <c r="D1853" s="25">
        <v>45201</v>
      </c>
      <c r="E1853" t="s">
        <v>33</v>
      </c>
      <c r="F1853">
        <v>20982</v>
      </c>
      <c r="G1853">
        <v>584</v>
      </c>
      <c r="H1853">
        <v>847.87</v>
      </c>
      <c r="I1853">
        <v>57</v>
      </c>
      <c r="J1853" t="s">
        <v>15</v>
      </c>
      <c r="L1853" t="s">
        <v>34</v>
      </c>
    </row>
    <row r="1854" spans="1:12">
      <c r="A1854" t="s">
        <v>3818</v>
      </c>
      <c r="B1854" t="s">
        <v>3819</v>
      </c>
      <c r="C1854" s="27">
        <v>45259</v>
      </c>
      <c r="D1854" s="25">
        <v>45261</v>
      </c>
      <c r="E1854" t="s">
        <v>23</v>
      </c>
      <c r="F1854">
        <v>77961</v>
      </c>
      <c r="G1854">
        <v>3292</v>
      </c>
      <c r="H1854">
        <v>4713.42</v>
      </c>
      <c r="I1854">
        <v>649</v>
      </c>
      <c r="J1854">
        <v>1</v>
      </c>
      <c r="L1854" t="s">
        <v>68</v>
      </c>
    </row>
    <row r="1855" spans="1:12">
      <c r="A1855" t="s">
        <v>3820</v>
      </c>
      <c r="B1855" t="s">
        <v>3821</v>
      </c>
      <c r="C1855" s="27">
        <v>45178</v>
      </c>
      <c r="D1855" s="25">
        <v>45200</v>
      </c>
      <c r="E1855" t="s">
        <v>138</v>
      </c>
      <c r="F1855">
        <v>2980</v>
      </c>
      <c r="G1855">
        <v>30</v>
      </c>
      <c r="H1855" s="26">
        <v>20.43</v>
      </c>
      <c r="J1855" t="b">
        <v>1</v>
      </c>
      <c r="L1855" t="s">
        <v>139</v>
      </c>
    </row>
    <row r="1856" spans="1:12">
      <c r="A1856" t="s">
        <v>3822</v>
      </c>
      <c r="B1856" t="s">
        <v>3823</v>
      </c>
      <c r="C1856" t="s">
        <v>3824</v>
      </c>
      <c r="D1856" s="25">
        <v>45067</v>
      </c>
      <c r="E1856" t="s">
        <v>33</v>
      </c>
      <c r="F1856">
        <v>49290</v>
      </c>
      <c r="G1856">
        <v>2315</v>
      </c>
      <c r="H1856" s="26">
        <v>4550.01</v>
      </c>
      <c r="I1856">
        <v>225</v>
      </c>
      <c r="J1856" t="s">
        <v>15</v>
      </c>
      <c r="L1856" t="s">
        <v>34</v>
      </c>
    </row>
    <row r="1857" spans="1:12">
      <c r="A1857" t="s">
        <v>3825</v>
      </c>
      <c r="B1857" t="s">
        <v>3826</v>
      </c>
      <c r="C1857" s="27">
        <v>44934</v>
      </c>
      <c r="D1857" s="25">
        <v>44952</v>
      </c>
      <c r="E1857" t="s">
        <v>41</v>
      </c>
      <c r="F1857">
        <v>27431</v>
      </c>
      <c r="G1857">
        <v>760</v>
      </c>
      <c r="H1857">
        <v>593.1</v>
      </c>
      <c r="I1857">
        <v>93</v>
      </c>
      <c r="J1857" t="s">
        <v>30</v>
      </c>
      <c r="L1857" t="s">
        <v>68</v>
      </c>
    </row>
    <row r="1858" spans="1:12">
      <c r="A1858" t="s">
        <v>3827</v>
      </c>
      <c r="B1858" t="s">
        <v>3828</v>
      </c>
      <c r="C1858" s="27">
        <v>45040</v>
      </c>
      <c r="D1858" s="25">
        <v>45064</v>
      </c>
      <c r="E1858" t="s">
        <v>33</v>
      </c>
      <c r="F1858">
        <v>85976</v>
      </c>
      <c r="G1858">
        <v>2762</v>
      </c>
      <c r="H1858" s="26">
        <v>3225.77</v>
      </c>
      <c r="I1858">
        <v>336</v>
      </c>
      <c r="J1858">
        <v>0</v>
      </c>
      <c r="L1858" t="s">
        <v>34</v>
      </c>
    </row>
    <row r="1859" spans="1:12">
      <c r="A1859" t="s">
        <v>3829</v>
      </c>
      <c r="B1859" t="s">
        <v>3830</v>
      </c>
      <c r="C1859" t="s">
        <v>3831</v>
      </c>
      <c r="D1859" s="25">
        <v>45055</v>
      </c>
      <c r="E1859" t="s">
        <v>23</v>
      </c>
      <c r="F1859">
        <v>83711</v>
      </c>
      <c r="G1859">
        <v>1690</v>
      </c>
      <c r="H1859">
        <v>2082.38</v>
      </c>
      <c r="I1859">
        <v>203</v>
      </c>
      <c r="J1859" t="s">
        <v>24</v>
      </c>
      <c r="L1859" t="s">
        <v>25</v>
      </c>
    </row>
    <row r="1860" spans="1:12">
      <c r="A1860" t="s">
        <v>3832</v>
      </c>
      <c r="B1860" t="s">
        <v>3833</v>
      </c>
      <c r="C1860" s="27">
        <v>45151</v>
      </c>
      <c r="D1860" s="25">
        <v>45170</v>
      </c>
      <c r="E1860" t="s">
        <v>19</v>
      </c>
      <c r="F1860">
        <v>27385</v>
      </c>
      <c r="G1860">
        <v>1087</v>
      </c>
      <c r="H1860">
        <v>1869.2</v>
      </c>
      <c r="I1860">
        <v>83</v>
      </c>
      <c r="J1860">
        <v>1</v>
      </c>
      <c r="L1860" t="s">
        <v>20</v>
      </c>
    </row>
    <row r="1861" spans="1:12">
      <c r="A1861" t="s">
        <v>3834</v>
      </c>
      <c r="B1861" t="s">
        <v>3835</v>
      </c>
      <c r="C1861" s="27">
        <v>45093</v>
      </c>
      <c r="D1861" s="25">
        <v>45110</v>
      </c>
      <c r="E1861" t="s">
        <v>23</v>
      </c>
      <c r="F1861">
        <v>39158</v>
      </c>
      <c r="G1861">
        <v>511</v>
      </c>
      <c r="H1861">
        <v>331.56</v>
      </c>
      <c r="I1861">
        <v>36</v>
      </c>
      <c r="J1861">
        <v>0</v>
      </c>
      <c r="L1861" t="s">
        <v>25</v>
      </c>
    </row>
    <row r="1862" spans="1:12">
      <c r="A1862" t="s">
        <v>3836</v>
      </c>
      <c r="B1862" t="s">
        <v>3837</v>
      </c>
      <c r="C1862" s="25">
        <v>45145</v>
      </c>
      <c r="D1862" s="25">
        <v>45118</v>
      </c>
      <c r="E1862" t="s">
        <v>33</v>
      </c>
      <c r="F1862">
        <v>24019</v>
      </c>
      <c r="G1862">
        <v>1078</v>
      </c>
      <c r="H1862">
        <v>1232.12</v>
      </c>
      <c r="I1862">
        <v>95</v>
      </c>
      <c r="J1862" t="s">
        <v>30</v>
      </c>
      <c r="L1862" t="s">
        <v>34</v>
      </c>
    </row>
    <row r="1863" spans="1:12">
      <c r="A1863" t="s">
        <v>3838</v>
      </c>
      <c r="B1863" t="s">
        <v>3839</v>
      </c>
      <c r="C1863" s="27">
        <v>45121</v>
      </c>
      <c r="D1863" s="25">
        <v>45126</v>
      </c>
      <c r="E1863" t="s">
        <v>14</v>
      </c>
      <c r="F1863">
        <v>19639</v>
      </c>
      <c r="G1863">
        <v>846</v>
      </c>
      <c r="H1863">
        <v>1220.57</v>
      </c>
      <c r="J1863" t="s">
        <v>30</v>
      </c>
      <c r="L1863" t="s">
        <v>16</v>
      </c>
    </row>
    <row r="1864" spans="1:12">
      <c r="A1864" t="s">
        <v>3840</v>
      </c>
      <c r="B1864" t="s">
        <v>3841</v>
      </c>
      <c r="C1864" s="27">
        <v>45219</v>
      </c>
      <c r="D1864" s="25">
        <v>45249</v>
      </c>
      <c r="E1864" t="s">
        <v>23</v>
      </c>
      <c r="F1864">
        <v>86530</v>
      </c>
      <c r="G1864">
        <v>1613</v>
      </c>
      <c r="H1864">
        <v>1327.07</v>
      </c>
      <c r="J1864" t="s">
        <v>15</v>
      </c>
      <c r="L1864" t="s">
        <v>25</v>
      </c>
    </row>
    <row r="1865" spans="1:12">
      <c r="A1865" t="s">
        <v>3842</v>
      </c>
      <c r="B1865" t="s">
        <v>3843</v>
      </c>
      <c r="C1865" s="27">
        <v>45287</v>
      </c>
      <c r="D1865" s="25">
        <v>45314</v>
      </c>
      <c r="E1865" t="s">
        <v>19</v>
      </c>
      <c r="F1865">
        <v>22563</v>
      </c>
      <c r="G1865">
        <v>956</v>
      </c>
      <c r="H1865">
        <v>1377.79</v>
      </c>
      <c r="I1865">
        <v>156</v>
      </c>
      <c r="J1865" t="s">
        <v>30</v>
      </c>
      <c r="L1865" t="s">
        <v>20</v>
      </c>
    </row>
    <row r="1866" spans="1:12">
      <c r="A1866" t="s">
        <v>3844</v>
      </c>
      <c r="B1866" t="s">
        <v>3845</v>
      </c>
      <c r="C1866" s="27">
        <v>45158</v>
      </c>
      <c r="D1866" s="25">
        <v>45171</v>
      </c>
      <c r="E1866" t="s">
        <v>41</v>
      </c>
      <c r="F1866">
        <v>40341</v>
      </c>
      <c r="G1866">
        <v>1672</v>
      </c>
      <c r="H1866">
        <v>3152.55</v>
      </c>
      <c r="I1866">
        <v>273</v>
      </c>
      <c r="J1866" t="b">
        <v>1</v>
      </c>
      <c r="L1866" t="s">
        <v>42</v>
      </c>
    </row>
    <row r="1867" spans="1:12">
      <c r="A1867" t="s">
        <v>3846</v>
      </c>
      <c r="B1867" t="s">
        <v>3847</v>
      </c>
      <c r="C1867" s="27">
        <v>45052</v>
      </c>
      <c r="D1867" s="25">
        <v>45063</v>
      </c>
      <c r="E1867" t="s">
        <v>138</v>
      </c>
      <c r="F1867">
        <v>6776</v>
      </c>
      <c r="G1867">
        <v>239</v>
      </c>
      <c r="H1867">
        <v>477.11</v>
      </c>
      <c r="J1867" t="s">
        <v>30</v>
      </c>
      <c r="L1867" t="s">
        <v>139</v>
      </c>
    </row>
    <row r="1868" spans="1:12">
      <c r="A1868" t="s">
        <v>3848</v>
      </c>
      <c r="B1868" t="s">
        <v>3849</v>
      </c>
      <c r="C1868" s="27">
        <v>44947</v>
      </c>
      <c r="D1868" s="25">
        <v>44969</v>
      </c>
      <c r="E1868" t="s">
        <v>33</v>
      </c>
      <c r="F1868">
        <v>37444</v>
      </c>
      <c r="G1868">
        <v>933</v>
      </c>
      <c r="H1868">
        <v>511.92</v>
      </c>
      <c r="I1868">
        <v>170</v>
      </c>
      <c r="J1868" t="s">
        <v>15</v>
      </c>
      <c r="L1868" t="s">
        <v>34</v>
      </c>
    </row>
    <row r="1869" spans="1:12">
      <c r="A1869" t="s">
        <v>3850</v>
      </c>
      <c r="B1869" t="s">
        <v>3851</v>
      </c>
      <c r="C1869" s="27">
        <v>45249</v>
      </c>
      <c r="D1869" s="25">
        <v>45272</v>
      </c>
      <c r="E1869" t="s">
        <v>19</v>
      </c>
      <c r="F1869">
        <v>69916</v>
      </c>
      <c r="G1869">
        <v>1458</v>
      </c>
      <c r="H1869">
        <v>1244.23</v>
      </c>
      <c r="I1869">
        <v>130</v>
      </c>
      <c r="J1869">
        <v>0</v>
      </c>
      <c r="L1869" t="s">
        <v>20</v>
      </c>
    </row>
    <row r="1870" spans="1:12">
      <c r="A1870" t="s">
        <v>3852</v>
      </c>
      <c r="B1870" t="s">
        <v>3853</v>
      </c>
      <c r="C1870" s="27">
        <v>45152</v>
      </c>
      <c r="D1870" s="25">
        <v>45167</v>
      </c>
      <c r="E1870" t="s">
        <v>19</v>
      </c>
      <c r="F1870">
        <v>9711</v>
      </c>
      <c r="G1870">
        <v>187</v>
      </c>
      <c r="H1870">
        <v>180.54</v>
      </c>
      <c r="I1870">
        <v>15</v>
      </c>
      <c r="J1870" t="s">
        <v>30</v>
      </c>
      <c r="L1870" t="s">
        <v>20</v>
      </c>
    </row>
    <row r="1871" spans="1:12">
      <c r="A1871" t="s">
        <v>3854</v>
      </c>
      <c r="B1871" t="s">
        <v>3855</v>
      </c>
      <c r="C1871" s="27">
        <v>45073</v>
      </c>
      <c r="D1871" s="25">
        <v>45097</v>
      </c>
      <c r="E1871" t="s">
        <v>41</v>
      </c>
      <c r="F1871">
        <v>75318</v>
      </c>
      <c r="G1871">
        <v>1713</v>
      </c>
      <c r="H1871" s="26">
        <v>1882.05</v>
      </c>
      <c r="J1871">
        <v>1</v>
      </c>
      <c r="L1871" t="s">
        <v>42</v>
      </c>
    </row>
    <row r="1872" spans="1:12">
      <c r="A1872" t="s">
        <v>3856</v>
      </c>
      <c r="B1872" t="s">
        <v>3857</v>
      </c>
      <c r="C1872" s="27">
        <v>45240</v>
      </c>
      <c r="D1872" s="25">
        <v>45264</v>
      </c>
      <c r="E1872" t="s">
        <v>14</v>
      </c>
      <c r="F1872">
        <v>83970</v>
      </c>
      <c r="G1872">
        <v>3874</v>
      </c>
      <c r="H1872">
        <v>3344.76</v>
      </c>
      <c r="I1872">
        <v>347</v>
      </c>
      <c r="J1872" t="s">
        <v>24</v>
      </c>
      <c r="L1872" t="s">
        <v>16</v>
      </c>
    </row>
    <row r="1873" spans="1:12">
      <c r="A1873" t="s">
        <v>3858</v>
      </c>
      <c r="B1873" t="s">
        <v>3859</v>
      </c>
      <c r="C1873" s="27">
        <v>44999</v>
      </c>
      <c r="D1873" s="25">
        <v>45020</v>
      </c>
      <c r="E1873" t="s">
        <v>23</v>
      </c>
      <c r="F1873">
        <v>86553</v>
      </c>
      <c r="G1873">
        <v>1134</v>
      </c>
      <c r="H1873">
        <v>913.13</v>
      </c>
      <c r="J1873">
        <v>1</v>
      </c>
      <c r="L1873" t="s">
        <v>25</v>
      </c>
    </row>
    <row r="1874" spans="1:12">
      <c r="A1874" t="s">
        <v>3860</v>
      </c>
      <c r="B1874" t="s">
        <v>3861</v>
      </c>
      <c r="C1874" s="27">
        <v>44973</v>
      </c>
      <c r="D1874" s="25">
        <v>44982</v>
      </c>
      <c r="E1874" t="s">
        <v>33</v>
      </c>
      <c r="F1874">
        <v>31707</v>
      </c>
      <c r="G1874">
        <v>1368</v>
      </c>
      <c r="H1874">
        <v>2642.74</v>
      </c>
      <c r="I1874">
        <v>198</v>
      </c>
      <c r="J1874">
        <v>1</v>
      </c>
      <c r="L1874" t="s">
        <v>34</v>
      </c>
    </row>
    <row r="1875" spans="1:12">
      <c r="A1875" t="s">
        <v>3862</v>
      </c>
      <c r="B1875" t="s">
        <v>3863</v>
      </c>
      <c r="C1875" s="27">
        <v>45226</v>
      </c>
      <c r="D1875" s="25">
        <v>45231</v>
      </c>
      <c r="E1875" t="s">
        <v>14</v>
      </c>
      <c r="F1875">
        <v>40110</v>
      </c>
      <c r="G1875">
        <v>960</v>
      </c>
      <c r="H1875">
        <v>1802.67</v>
      </c>
      <c r="I1875">
        <v>173</v>
      </c>
      <c r="J1875">
        <v>0</v>
      </c>
      <c r="L1875" t="s">
        <v>16</v>
      </c>
    </row>
    <row r="1876" spans="1:12">
      <c r="A1876" t="s">
        <v>3864</v>
      </c>
      <c r="B1876" t="s">
        <v>3865</v>
      </c>
      <c r="C1876" s="27">
        <v>44996</v>
      </c>
      <c r="D1876" s="25">
        <v>45001</v>
      </c>
      <c r="E1876" t="s">
        <v>41</v>
      </c>
      <c r="F1876">
        <v>62788</v>
      </c>
      <c r="G1876">
        <v>1937</v>
      </c>
      <c r="H1876" s="26">
        <v>1105.04</v>
      </c>
      <c r="J1876" t="b">
        <v>0</v>
      </c>
      <c r="L1876" t="s">
        <v>68</v>
      </c>
    </row>
    <row r="1877" spans="1:12">
      <c r="A1877" t="s">
        <v>3866</v>
      </c>
      <c r="B1877" t="s">
        <v>3867</v>
      </c>
      <c r="C1877" s="27">
        <v>44939</v>
      </c>
      <c r="D1877" s="25">
        <v>44964</v>
      </c>
      <c r="E1877" t="s">
        <v>19</v>
      </c>
      <c r="F1877">
        <v>83879</v>
      </c>
      <c r="G1877">
        <v>3504</v>
      </c>
      <c r="H1877">
        <v>3532.8</v>
      </c>
      <c r="I1877">
        <v>656</v>
      </c>
      <c r="J1877" t="s">
        <v>24</v>
      </c>
      <c r="L1877" t="s">
        <v>20</v>
      </c>
    </row>
    <row r="1878" spans="1:12">
      <c r="A1878" t="s">
        <v>3868</v>
      </c>
      <c r="B1878" t="s">
        <v>3869</v>
      </c>
      <c r="C1878" s="27">
        <v>45291</v>
      </c>
      <c r="D1878" s="25">
        <v>45321</v>
      </c>
      <c r="E1878" t="s">
        <v>33</v>
      </c>
      <c r="F1878">
        <v>39827</v>
      </c>
      <c r="G1878">
        <v>1807</v>
      </c>
      <c r="H1878">
        <v>2001.66</v>
      </c>
      <c r="J1878">
        <v>1</v>
      </c>
      <c r="L1878" t="s">
        <v>34</v>
      </c>
    </row>
    <row r="1879" spans="1:12">
      <c r="A1879" t="s">
        <v>3870</v>
      </c>
      <c r="B1879" t="s">
        <v>3871</v>
      </c>
      <c r="C1879" s="27">
        <v>44973</v>
      </c>
      <c r="D1879" s="25">
        <v>44980</v>
      </c>
      <c r="E1879" t="s">
        <v>41</v>
      </c>
      <c r="F1879">
        <v>6655</v>
      </c>
      <c r="G1879">
        <v>158</v>
      </c>
      <c r="H1879">
        <v>135.65</v>
      </c>
      <c r="I1879">
        <v>19</v>
      </c>
      <c r="J1879">
        <v>1</v>
      </c>
      <c r="L1879" t="s">
        <v>42</v>
      </c>
    </row>
    <row r="1880" spans="1:12">
      <c r="A1880" t="s">
        <v>3872</v>
      </c>
      <c r="B1880" t="s">
        <v>3873</v>
      </c>
      <c r="C1880" s="27">
        <v>45291</v>
      </c>
      <c r="D1880" s="25">
        <v>45294</v>
      </c>
      <c r="E1880" t="s">
        <v>23</v>
      </c>
      <c r="F1880">
        <v>45859</v>
      </c>
      <c r="G1880">
        <v>1305</v>
      </c>
      <c r="H1880">
        <v>1883.52</v>
      </c>
      <c r="I1880">
        <v>151</v>
      </c>
      <c r="J1880" t="b">
        <v>0</v>
      </c>
      <c r="L1880" t="s">
        <v>25</v>
      </c>
    </row>
    <row r="1881" spans="1:12">
      <c r="A1881" t="s">
        <v>3874</v>
      </c>
      <c r="B1881" t="s">
        <v>3875</v>
      </c>
      <c r="C1881" s="25">
        <v>45049</v>
      </c>
      <c r="D1881" s="25">
        <v>45010</v>
      </c>
      <c r="E1881" t="s">
        <v>41</v>
      </c>
      <c r="F1881">
        <v>54625</v>
      </c>
      <c r="G1881">
        <v>1451</v>
      </c>
      <c r="H1881">
        <v>2119.29</v>
      </c>
      <c r="I1881">
        <v>238</v>
      </c>
      <c r="J1881">
        <v>0</v>
      </c>
      <c r="L1881" t="s">
        <v>42</v>
      </c>
    </row>
    <row r="1882" spans="1:12">
      <c r="A1882" t="s">
        <v>3876</v>
      </c>
      <c r="B1882" t="s">
        <v>3877</v>
      </c>
      <c r="C1882" s="27">
        <v>45288</v>
      </c>
      <c r="D1882" s="25">
        <v>45301</v>
      </c>
      <c r="E1882" t="s">
        <v>41</v>
      </c>
      <c r="F1882">
        <v>53098</v>
      </c>
      <c r="G1882">
        <v>559</v>
      </c>
      <c r="H1882">
        <v>992.65</v>
      </c>
      <c r="I1882">
        <v>63</v>
      </c>
      <c r="J1882" t="s">
        <v>24</v>
      </c>
      <c r="L1882" t="s">
        <v>42</v>
      </c>
    </row>
    <row r="1883" spans="1:12">
      <c r="A1883" t="s">
        <v>3878</v>
      </c>
      <c r="B1883" t="s">
        <v>3879</v>
      </c>
      <c r="C1883" s="27">
        <v>45195</v>
      </c>
      <c r="D1883" s="25">
        <v>45204</v>
      </c>
      <c r="E1883" t="s">
        <v>14</v>
      </c>
      <c r="F1883">
        <v>16251</v>
      </c>
      <c r="G1883">
        <v>354</v>
      </c>
      <c r="H1883" s="26">
        <v>570.4</v>
      </c>
      <c r="I1883">
        <v>67</v>
      </c>
      <c r="J1883">
        <v>1</v>
      </c>
      <c r="L1883" t="s">
        <v>16</v>
      </c>
    </row>
    <row r="1884" spans="1:12">
      <c r="A1884" t="s">
        <v>3880</v>
      </c>
      <c r="B1884" t="s">
        <v>3881</v>
      </c>
      <c r="C1884" s="27">
        <v>45188</v>
      </c>
      <c r="D1884" s="25">
        <v>45201</v>
      </c>
      <c r="E1884" t="s">
        <v>19</v>
      </c>
      <c r="F1884">
        <v>1526</v>
      </c>
      <c r="G1884">
        <v>43</v>
      </c>
      <c r="H1884">
        <v>56.5</v>
      </c>
      <c r="I1884">
        <v>7</v>
      </c>
      <c r="J1884" t="s">
        <v>15</v>
      </c>
      <c r="L1884" t="s">
        <v>20</v>
      </c>
    </row>
    <row r="1885" spans="1:12">
      <c r="A1885" t="s">
        <v>3882</v>
      </c>
      <c r="B1885" t="s">
        <v>3883</v>
      </c>
      <c r="C1885" s="27">
        <v>45208</v>
      </c>
      <c r="D1885" s="25">
        <v>45216</v>
      </c>
      <c r="E1885" t="s">
        <v>23</v>
      </c>
      <c r="F1885">
        <v>69760</v>
      </c>
      <c r="G1885">
        <v>1844</v>
      </c>
      <c r="H1885">
        <v>2729.82</v>
      </c>
      <c r="J1885">
        <v>0</v>
      </c>
      <c r="L1885" t="s">
        <v>25</v>
      </c>
    </row>
    <row r="1886" spans="1:12">
      <c r="A1886" t="s">
        <v>3884</v>
      </c>
      <c r="B1886" t="s">
        <v>3885</v>
      </c>
      <c r="C1886" s="27">
        <v>45098</v>
      </c>
      <c r="D1886" s="25">
        <v>45100</v>
      </c>
      <c r="E1886" t="s">
        <v>23</v>
      </c>
      <c r="F1886">
        <v>48837</v>
      </c>
      <c r="G1886">
        <v>1898</v>
      </c>
      <c r="H1886">
        <v>1729.05</v>
      </c>
      <c r="I1886">
        <v>115</v>
      </c>
      <c r="J1886" t="s">
        <v>24</v>
      </c>
      <c r="L1886" t="s">
        <v>25</v>
      </c>
    </row>
    <row r="1887" spans="1:12">
      <c r="A1887" t="s">
        <v>3886</v>
      </c>
      <c r="B1887" t="s">
        <v>3887</v>
      </c>
      <c r="C1887" s="27">
        <v>45003</v>
      </c>
      <c r="D1887" s="25">
        <v>45005</v>
      </c>
      <c r="E1887" t="s">
        <v>33</v>
      </c>
      <c r="F1887">
        <v>12536</v>
      </c>
      <c r="G1887">
        <v>318</v>
      </c>
      <c r="H1887">
        <v>441.89</v>
      </c>
      <c r="I1887">
        <v>56</v>
      </c>
      <c r="J1887">
        <v>1</v>
      </c>
      <c r="L1887" t="s">
        <v>34</v>
      </c>
    </row>
    <row r="1888" spans="1:12">
      <c r="A1888" t="s">
        <v>3888</v>
      </c>
      <c r="B1888" t="s">
        <v>3889</v>
      </c>
      <c r="C1888" t="s">
        <v>3890</v>
      </c>
      <c r="D1888" s="25">
        <v>45301</v>
      </c>
      <c r="E1888" t="s">
        <v>14</v>
      </c>
      <c r="F1888">
        <v>29541</v>
      </c>
      <c r="G1888">
        <v>873</v>
      </c>
      <c r="H1888">
        <v>1077.14</v>
      </c>
      <c r="I1888">
        <v>146</v>
      </c>
      <c r="J1888">
        <v>1</v>
      </c>
      <c r="L1888" t="s">
        <v>16</v>
      </c>
    </row>
    <row r="1889" spans="1:12">
      <c r="A1889" t="s">
        <v>3891</v>
      </c>
      <c r="B1889" t="s">
        <v>3892</v>
      </c>
      <c r="C1889" s="27">
        <v>45084</v>
      </c>
      <c r="D1889" s="25">
        <v>45085</v>
      </c>
      <c r="E1889" t="s">
        <v>19</v>
      </c>
      <c r="F1889">
        <v>80083</v>
      </c>
      <c r="G1889">
        <v>2177</v>
      </c>
      <c r="H1889">
        <v>1523.94</v>
      </c>
      <c r="I1889">
        <v>142</v>
      </c>
      <c r="J1889" t="b">
        <v>0</v>
      </c>
      <c r="L1889" t="s">
        <v>20</v>
      </c>
    </row>
    <row r="1890" spans="1:12">
      <c r="A1890" t="s">
        <v>3893</v>
      </c>
      <c r="B1890" t="s">
        <v>3894</v>
      </c>
      <c r="C1890" s="27">
        <v>45155</v>
      </c>
      <c r="D1890" s="25">
        <v>45160</v>
      </c>
      <c r="E1890" t="s">
        <v>23</v>
      </c>
      <c r="F1890">
        <v>52027</v>
      </c>
      <c r="G1890">
        <v>2061</v>
      </c>
      <c r="H1890">
        <v>1780.33</v>
      </c>
      <c r="I1890">
        <v>136</v>
      </c>
      <c r="J1890" t="s">
        <v>24</v>
      </c>
      <c r="L1890" t="s">
        <v>25</v>
      </c>
    </row>
    <row r="1891" spans="1:12">
      <c r="A1891" t="s">
        <v>3895</v>
      </c>
      <c r="B1891" t="s">
        <v>3896</v>
      </c>
      <c r="C1891" s="25">
        <v>44994</v>
      </c>
      <c r="D1891" s="25">
        <v>45179</v>
      </c>
      <c r="E1891" t="s">
        <v>14</v>
      </c>
      <c r="F1891">
        <v>35531</v>
      </c>
      <c r="G1891">
        <v>1581</v>
      </c>
      <c r="H1891">
        <v>1482.25</v>
      </c>
      <c r="J1891" t="s">
        <v>15</v>
      </c>
      <c r="L1891" t="s">
        <v>16</v>
      </c>
    </row>
    <row r="1892" spans="1:12">
      <c r="A1892" t="s">
        <v>3897</v>
      </c>
      <c r="B1892" t="s">
        <v>3898</v>
      </c>
      <c r="C1892" s="25">
        <v>45204</v>
      </c>
      <c r="D1892" s="25">
        <v>45070</v>
      </c>
      <c r="E1892" t="s">
        <v>33</v>
      </c>
      <c r="F1892">
        <v>9712</v>
      </c>
      <c r="G1892">
        <v>303</v>
      </c>
      <c r="H1892" s="26">
        <v>571.6</v>
      </c>
      <c r="I1892">
        <v>15</v>
      </c>
      <c r="J1892">
        <v>0</v>
      </c>
      <c r="L1892" t="s">
        <v>34</v>
      </c>
    </row>
    <row r="1893" spans="1:12">
      <c r="A1893" t="s">
        <v>3899</v>
      </c>
      <c r="B1893" t="s">
        <v>3900</v>
      </c>
      <c r="C1893" s="27">
        <v>45181</v>
      </c>
      <c r="D1893" s="25">
        <v>45200</v>
      </c>
      <c r="E1893" t="s">
        <v>415</v>
      </c>
      <c r="F1893">
        <v>66455</v>
      </c>
      <c r="G1893">
        <v>2763</v>
      </c>
      <c r="H1893">
        <v>2336.34</v>
      </c>
      <c r="I1893">
        <v>365</v>
      </c>
      <c r="J1893" t="s">
        <v>30</v>
      </c>
      <c r="L1893" t="s">
        <v>34</v>
      </c>
    </row>
    <row r="1894" spans="1:12">
      <c r="A1894" t="s">
        <v>3901</v>
      </c>
      <c r="B1894" t="s">
        <v>3902</v>
      </c>
      <c r="C1894" s="27">
        <v>44929</v>
      </c>
      <c r="D1894" s="25">
        <v>44936</v>
      </c>
      <c r="E1894" t="s">
        <v>33</v>
      </c>
      <c r="F1894">
        <v>75744</v>
      </c>
      <c r="G1894">
        <v>1656</v>
      </c>
      <c r="H1894">
        <v>1546.48</v>
      </c>
      <c r="I1894">
        <v>324</v>
      </c>
      <c r="J1894" t="b">
        <v>1</v>
      </c>
      <c r="L1894" t="s">
        <v>34</v>
      </c>
    </row>
    <row r="1895" spans="1:12">
      <c r="A1895" t="s">
        <v>3903</v>
      </c>
      <c r="B1895" t="s">
        <v>3904</v>
      </c>
      <c r="C1895" s="27">
        <v>45038</v>
      </c>
      <c r="D1895" s="25">
        <v>45052</v>
      </c>
      <c r="E1895" t="s">
        <v>41</v>
      </c>
      <c r="F1895">
        <v>6109</v>
      </c>
      <c r="G1895">
        <v>193</v>
      </c>
      <c r="H1895">
        <v>203.43</v>
      </c>
      <c r="I1895">
        <v>22</v>
      </c>
      <c r="J1895" t="s">
        <v>15</v>
      </c>
      <c r="L1895" t="s">
        <v>42</v>
      </c>
    </row>
    <row r="1896" spans="1:12">
      <c r="A1896" t="s">
        <v>3905</v>
      </c>
      <c r="B1896" t="s">
        <v>3906</v>
      </c>
      <c r="C1896" s="27">
        <v>45136</v>
      </c>
      <c r="D1896" s="25">
        <v>45162</v>
      </c>
      <c r="E1896" t="s">
        <v>23</v>
      </c>
      <c r="F1896">
        <v>50268</v>
      </c>
      <c r="G1896">
        <v>1196</v>
      </c>
      <c r="H1896">
        <v>1788.75</v>
      </c>
      <c r="I1896">
        <v>156</v>
      </c>
      <c r="J1896" t="s">
        <v>30</v>
      </c>
      <c r="L1896" t="s">
        <v>25</v>
      </c>
    </row>
    <row r="1897" spans="1:12">
      <c r="A1897" t="s">
        <v>3907</v>
      </c>
      <c r="B1897" t="s">
        <v>3908</v>
      </c>
      <c r="C1897" s="27">
        <v>44930</v>
      </c>
      <c r="D1897" s="25">
        <v>44957</v>
      </c>
      <c r="E1897" t="s">
        <v>41</v>
      </c>
      <c r="F1897">
        <v>55615</v>
      </c>
      <c r="G1897">
        <v>1477</v>
      </c>
      <c r="H1897">
        <v>1000.46</v>
      </c>
      <c r="I1897">
        <v>288</v>
      </c>
      <c r="J1897" t="s">
        <v>15</v>
      </c>
      <c r="L1897" t="s">
        <v>42</v>
      </c>
    </row>
    <row r="1898" spans="1:12">
      <c r="A1898" t="s">
        <v>3909</v>
      </c>
      <c r="B1898" t="s">
        <v>3910</v>
      </c>
      <c r="C1898" s="27">
        <v>45244</v>
      </c>
      <c r="D1898" s="25">
        <v>45273</v>
      </c>
      <c r="E1898" t="s">
        <v>19</v>
      </c>
      <c r="F1898">
        <v>83503</v>
      </c>
      <c r="G1898">
        <v>3281</v>
      </c>
      <c r="H1898">
        <v>6335.34</v>
      </c>
      <c r="I1898">
        <v>289</v>
      </c>
      <c r="J1898" t="s">
        <v>24</v>
      </c>
      <c r="L1898" t="s">
        <v>20</v>
      </c>
    </row>
    <row r="1899" spans="1:12">
      <c r="A1899" t="s">
        <v>3911</v>
      </c>
      <c r="B1899" t="s">
        <v>3912</v>
      </c>
      <c r="C1899" t="s">
        <v>3913</v>
      </c>
      <c r="D1899" s="25">
        <v>45038</v>
      </c>
      <c r="E1899" t="s">
        <v>138</v>
      </c>
      <c r="F1899">
        <v>30759</v>
      </c>
      <c r="G1899">
        <v>1392</v>
      </c>
      <c r="H1899">
        <v>-2503.31</v>
      </c>
      <c r="J1899" t="s">
        <v>30</v>
      </c>
      <c r="L1899" t="s">
        <v>139</v>
      </c>
    </row>
    <row r="1900" spans="1:12">
      <c r="A1900" t="s">
        <v>3914</v>
      </c>
      <c r="B1900" t="s">
        <v>3915</v>
      </c>
      <c r="C1900" t="s">
        <v>865</v>
      </c>
      <c r="D1900" s="25">
        <v>45016</v>
      </c>
      <c r="E1900" t="s">
        <v>23</v>
      </c>
      <c r="F1900">
        <v>86708</v>
      </c>
      <c r="G1900">
        <v>1288</v>
      </c>
      <c r="H1900">
        <v>1759.18</v>
      </c>
      <c r="J1900" t="s">
        <v>24</v>
      </c>
      <c r="L1900" t="s">
        <v>25</v>
      </c>
    </row>
    <row r="1901" spans="1:12">
      <c r="A1901" t="s">
        <v>3916</v>
      </c>
      <c r="B1901" t="s">
        <v>3917</v>
      </c>
      <c r="C1901" t="s">
        <v>3918</v>
      </c>
      <c r="D1901" s="25">
        <v>45123</v>
      </c>
      <c r="E1901" t="s">
        <v>23</v>
      </c>
      <c r="F1901">
        <v>61112</v>
      </c>
      <c r="G1901">
        <v>2162</v>
      </c>
      <c r="H1901">
        <v>3266.9</v>
      </c>
      <c r="I1901">
        <v>292</v>
      </c>
      <c r="J1901" t="s">
        <v>30</v>
      </c>
      <c r="L1901" t="s">
        <v>25</v>
      </c>
    </row>
    <row r="1902" spans="1:12">
      <c r="A1902" t="s">
        <v>3919</v>
      </c>
      <c r="B1902" t="s">
        <v>3920</v>
      </c>
      <c r="C1902" s="27">
        <v>44943</v>
      </c>
      <c r="D1902" s="25">
        <v>44962</v>
      </c>
      <c r="E1902" t="s">
        <v>33</v>
      </c>
      <c r="F1902">
        <v>27589</v>
      </c>
      <c r="G1902">
        <v>918</v>
      </c>
      <c r="H1902">
        <v>481.94</v>
      </c>
      <c r="I1902">
        <v>93</v>
      </c>
      <c r="J1902" t="s">
        <v>15</v>
      </c>
      <c r="L1902" t="s">
        <v>34</v>
      </c>
    </row>
    <row r="1903" spans="1:12">
      <c r="A1903" t="s">
        <v>3921</v>
      </c>
      <c r="B1903" t="s">
        <v>3922</v>
      </c>
      <c r="C1903" s="25">
        <v>45079</v>
      </c>
      <c r="D1903" s="25">
        <v>44972</v>
      </c>
      <c r="E1903" t="s">
        <v>33</v>
      </c>
      <c r="F1903">
        <v>31015</v>
      </c>
      <c r="G1903">
        <v>457</v>
      </c>
      <c r="H1903">
        <v>460.85</v>
      </c>
      <c r="I1903">
        <v>61</v>
      </c>
      <c r="J1903" t="b">
        <v>0</v>
      </c>
      <c r="L1903" t="s">
        <v>34</v>
      </c>
    </row>
    <row r="1904" spans="1:12">
      <c r="A1904" t="s">
        <v>3923</v>
      </c>
      <c r="B1904" t="s">
        <v>3924</v>
      </c>
      <c r="C1904" s="27">
        <v>44982</v>
      </c>
      <c r="D1904" s="25">
        <v>45012</v>
      </c>
      <c r="E1904" t="s">
        <v>23</v>
      </c>
      <c r="F1904">
        <v>30009</v>
      </c>
      <c r="G1904">
        <v>554</v>
      </c>
      <c r="H1904" s="26">
        <v>938.19</v>
      </c>
      <c r="I1904">
        <v>33</v>
      </c>
      <c r="J1904" t="s">
        <v>15</v>
      </c>
      <c r="L1904" t="s">
        <v>25</v>
      </c>
    </row>
    <row r="1905" spans="1:12">
      <c r="A1905" t="s">
        <v>3925</v>
      </c>
      <c r="B1905" t="s">
        <v>3926</v>
      </c>
      <c r="C1905" s="27">
        <v>45271</v>
      </c>
      <c r="D1905" s="25">
        <v>45278</v>
      </c>
      <c r="E1905" t="s">
        <v>33</v>
      </c>
      <c r="F1905">
        <v>84309</v>
      </c>
      <c r="G1905">
        <v>1891</v>
      </c>
      <c r="H1905">
        <v>1165.28</v>
      </c>
      <c r="I1905">
        <v>311</v>
      </c>
      <c r="J1905" t="s">
        <v>24</v>
      </c>
      <c r="L1905" t="s">
        <v>34</v>
      </c>
    </row>
    <row r="1906" spans="1:12">
      <c r="A1906" t="s">
        <v>3927</v>
      </c>
      <c r="B1906" t="s">
        <v>3928</v>
      </c>
      <c r="C1906" s="27">
        <v>45285</v>
      </c>
      <c r="D1906" s="25">
        <v>45286</v>
      </c>
      <c r="E1906" t="s">
        <v>14</v>
      </c>
      <c r="F1906">
        <v>63046</v>
      </c>
      <c r="G1906">
        <v>1051</v>
      </c>
      <c r="H1906">
        <v>970.57</v>
      </c>
      <c r="J1906" t="s">
        <v>15</v>
      </c>
      <c r="L1906" t="s">
        <v>16</v>
      </c>
    </row>
    <row r="1907" spans="1:12">
      <c r="A1907" t="s">
        <v>3929</v>
      </c>
      <c r="B1907" t="s">
        <v>3930</v>
      </c>
      <c r="C1907" s="27">
        <v>45017</v>
      </c>
      <c r="D1907" s="25">
        <v>45020</v>
      </c>
      <c r="E1907" t="s">
        <v>23</v>
      </c>
      <c r="F1907">
        <v>27143</v>
      </c>
      <c r="G1907">
        <v>536</v>
      </c>
      <c r="H1907">
        <v>738.58</v>
      </c>
      <c r="I1907">
        <v>98</v>
      </c>
      <c r="J1907" t="s">
        <v>30</v>
      </c>
      <c r="L1907" t="s">
        <v>25</v>
      </c>
    </row>
    <row r="1908" spans="1:12">
      <c r="A1908" t="s">
        <v>3931</v>
      </c>
      <c r="B1908" t="s">
        <v>3932</v>
      </c>
      <c r="C1908" s="25">
        <v>45111</v>
      </c>
      <c r="D1908" s="25">
        <v>45029</v>
      </c>
      <c r="E1908" t="s">
        <v>19</v>
      </c>
      <c r="F1908">
        <v>7154</v>
      </c>
      <c r="G1908">
        <v>148</v>
      </c>
      <c r="H1908">
        <v>130.92</v>
      </c>
      <c r="I1908">
        <v>15</v>
      </c>
      <c r="J1908" t="b">
        <v>1</v>
      </c>
      <c r="L1908" t="s">
        <v>20</v>
      </c>
    </row>
    <row r="1909" spans="1:12">
      <c r="A1909" t="s">
        <v>3933</v>
      </c>
      <c r="B1909" t="s">
        <v>3934</v>
      </c>
      <c r="C1909" s="27">
        <v>45080</v>
      </c>
      <c r="D1909" s="25">
        <v>45108</v>
      </c>
      <c r="E1909" t="s">
        <v>138</v>
      </c>
      <c r="F1909">
        <v>22804</v>
      </c>
      <c r="G1909">
        <v>534</v>
      </c>
      <c r="H1909" s="26">
        <v>1015.12</v>
      </c>
      <c r="I1909">
        <v>38</v>
      </c>
      <c r="J1909" t="s">
        <v>30</v>
      </c>
      <c r="L1909" t="s">
        <v>139</v>
      </c>
    </row>
    <row r="1910" spans="1:12">
      <c r="A1910" t="s">
        <v>3935</v>
      </c>
      <c r="B1910" t="s">
        <v>3936</v>
      </c>
      <c r="C1910" s="27">
        <v>44961</v>
      </c>
      <c r="D1910" s="25">
        <v>44963</v>
      </c>
      <c r="E1910" t="s">
        <v>14</v>
      </c>
      <c r="F1910">
        <v>42688</v>
      </c>
      <c r="G1910">
        <v>1706</v>
      </c>
      <c r="H1910">
        <v>1188.38</v>
      </c>
      <c r="I1910">
        <v>263</v>
      </c>
      <c r="J1910">
        <v>1</v>
      </c>
      <c r="L1910" t="s">
        <v>16</v>
      </c>
    </row>
    <row r="1911" spans="1:12">
      <c r="A1911" t="s">
        <v>3937</v>
      </c>
      <c r="B1911" t="s">
        <v>3938</v>
      </c>
      <c r="C1911" s="27">
        <v>44960</v>
      </c>
      <c r="D1911" s="25">
        <v>44969</v>
      </c>
      <c r="E1911" t="s">
        <v>41</v>
      </c>
      <c r="F1911">
        <v>65288</v>
      </c>
      <c r="G1911">
        <v>2146</v>
      </c>
      <c r="H1911">
        <v>3639.81</v>
      </c>
      <c r="I1911">
        <v>160</v>
      </c>
      <c r="J1911" t="s">
        <v>15</v>
      </c>
      <c r="L1911" t="s">
        <v>42</v>
      </c>
    </row>
    <row r="1912" spans="1:12">
      <c r="A1912" t="s">
        <v>3939</v>
      </c>
      <c r="B1912" t="s">
        <v>3940</v>
      </c>
      <c r="C1912" s="27">
        <v>45282</v>
      </c>
      <c r="D1912" s="25">
        <v>45306</v>
      </c>
      <c r="E1912" t="s">
        <v>19</v>
      </c>
      <c r="F1912">
        <v>52195</v>
      </c>
      <c r="G1912">
        <v>2581</v>
      </c>
      <c r="H1912">
        <v>3257.02</v>
      </c>
      <c r="I1912">
        <v>420</v>
      </c>
      <c r="J1912">
        <v>0</v>
      </c>
      <c r="L1912" t="s">
        <v>20</v>
      </c>
    </row>
    <row r="1913" spans="1:12">
      <c r="A1913" t="s">
        <v>3941</v>
      </c>
      <c r="B1913" t="s">
        <v>3942</v>
      </c>
      <c r="C1913" s="27">
        <v>45138</v>
      </c>
      <c r="D1913" s="25">
        <v>45154</v>
      </c>
      <c r="E1913" t="s">
        <v>33</v>
      </c>
      <c r="F1913">
        <v>21581</v>
      </c>
      <c r="G1913">
        <v>573</v>
      </c>
      <c r="H1913">
        <v>931.41</v>
      </c>
      <c r="J1913" t="s">
        <v>15</v>
      </c>
      <c r="L1913" t="s">
        <v>34</v>
      </c>
    </row>
    <row r="1914" spans="1:12">
      <c r="A1914" t="s">
        <v>3943</v>
      </c>
      <c r="B1914" t="s">
        <v>3944</v>
      </c>
      <c r="C1914" s="25">
        <v>45210</v>
      </c>
      <c r="D1914" s="25">
        <v>45266</v>
      </c>
      <c r="E1914" t="s">
        <v>19</v>
      </c>
      <c r="F1914">
        <v>53648</v>
      </c>
      <c r="G1914">
        <v>2154</v>
      </c>
      <c r="H1914">
        <v>2080.92</v>
      </c>
      <c r="I1914">
        <v>359</v>
      </c>
      <c r="J1914" t="b">
        <v>0</v>
      </c>
      <c r="L1914" t="s">
        <v>20</v>
      </c>
    </row>
    <row r="1915" spans="1:12">
      <c r="A1915" t="s">
        <v>3945</v>
      </c>
      <c r="B1915" t="s">
        <v>3946</v>
      </c>
      <c r="C1915" s="27">
        <v>45219</v>
      </c>
      <c r="D1915" s="25">
        <v>45222</v>
      </c>
      <c r="E1915" t="s">
        <v>23</v>
      </c>
      <c r="F1915">
        <v>31087</v>
      </c>
      <c r="G1915">
        <v>1394</v>
      </c>
      <c r="H1915">
        <v>1772.8</v>
      </c>
      <c r="I1915">
        <v>74</v>
      </c>
      <c r="J1915" t="s">
        <v>24</v>
      </c>
      <c r="L1915" t="s">
        <v>25</v>
      </c>
    </row>
    <row r="1916" spans="1:12">
      <c r="A1916" t="s">
        <v>3947</v>
      </c>
      <c r="B1916" t="s">
        <v>3948</v>
      </c>
      <c r="C1916" s="27">
        <v>44971</v>
      </c>
      <c r="D1916" s="25">
        <v>44979</v>
      </c>
      <c r="E1916" t="s">
        <v>138</v>
      </c>
      <c r="F1916">
        <v>50930</v>
      </c>
      <c r="G1916">
        <v>1892</v>
      </c>
      <c r="H1916" s="26">
        <v>3377.7</v>
      </c>
      <c r="I1916">
        <v>264</v>
      </c>
      <c r="J1916">
        <v>0</v>
      </c>
      <c r="L1916" t="s">
        <v>139</v>
      </c>
    </row>
    <row r="1917" spans="1:12">
      <c r="A1917" t="s">
        <v>3949</v>
      </c>
      <c r="B1917" t="s">
        <v>3950</v>
      </c>
      <c r="C1917" s="27">
        <v>45288</v>
      </c>
      <c r="D1917" s="25">
        <v>45303</v>
      </c>
      <c r="E1917" t="s">
        <v>33</v>
      </c>
      <c r="F1917">
        <v>33981</v>
      </c>
      <c r="G1917">
        <v>899</v>
      </c>
      <c r="H1917">
        <v>1079.09</v>
      </c>
      <c r="I1917">
        <v>138</v>
      </c>
      <c r="J1917" t="s">
        <v>30</v>
      </c>
      <c r="L1917" t="s">
        <v>34</v>
      </c>
    </row>
    <row r="1918" spans="1:12">
      <c r="A1918" t="s">
        <v>3951</v>
      </c>
      <c r="B1918" t="s">
        <v>3952</v>
      </c>
      <c r="C1918" s="27">
        <v>45089</v>
      </c>
      <c r="D1918" s="25">
        <v>45119</v>
      </c>
      <c r="E1918" t="s">
        <v>41</v>
      </c>
      <c r="F1918">
        <v>70298</v>
      </c>
      <c r="G1918">
        <v>2822</v>
      </c>
      <c r="H1918">
        <v>2933.69</v>
      </c>
      <c r="I1918">
        <v>490</v>
      </c>
      <c r="J1918" t="b">
        <v>0</v>
      </c>
      <c r="L1918" t="s">
        <v>42</v>
      </c>
    </row>
    <row r="1919" spans="1:12">
      <c r="A1919" t="s">
        <v>3953</v>
      </c>
      <c r="B1919" t="s">
        <v>3954</v>
      </c>
      <c r="C1919" s="27">
        <v>45246</v>
      </c>
      <c r="D1919" s="25">
        <v>45252</v>
      </c>
      <c r="E1919" t="s">
        <v>33</v>
      </c>
      <c r="F1919">
        <v>47167</v>
      </c>
      <c r="G1919">
        <v>855</v>
      </c>
      <c r="H1919" s="26">
        <v>1115.12</v>
      </c>
      <c r="I1919">
        <v>49</v>
      </c>
      <c r="J1919" t="s">
        <v>15</v>
      </c>
      <c r="L1919" t="s">
        <v>34</v>
      </c>
    </row>
    <row r="1920" spans="1:12">
      <c r="A1920" t="s">
        <v>3955</v>
      </c>
      <c r="B1920" t="s">
        <v>3956</v>
      </c>
      <c r="C1920" s="27">
        <v>45215</v>
      </c>
      <c r="D1920" s="25">
        <v>45245</v>
      </c>
      <c r="E1920" t="s">
        <v>23</v>
      </c>
      <c r="F1920">
        <v>76304</v>
      </c>
      <c r="G1920">
        <v>1762</v>
      </c>
      <c r="H1920">
        <v>2776.99</v>
      </c>
      <c r="I1920">
        <v>214</v>
      </c>
      <c r="J1920" t="s">
        <v>30</v>
      </c>
      <c r="L1920" t="s">
        <v>25</v>
      </c>
    </row>
    <row r="1921" spans="1:12">
      <c r="A1921" t="s">
        <v>3957</v>
      </c>
      <c r="B1921" t="s">
        <v>3958</v>
      </c>
      <c r="C1921" s="27">
        <v>45181</v>
      </c>
      <c r="D1921" s="25">
        <v>45203</v>
      </c>
      <c r="E1921" t="s">
        <v>19</v>
      </c>
      <c r="F1921">
        <v>44408</v>
      </c>
      <c r="G1921">
        <v>1415</v>
      </c>
      <c r="H1921">
        <v>1648.96</v>
      </c>
      <c r="I1921">
        <v>184</v>
      </c>
      <c r="J1921" t="s">
        <v>30</v>
      </c>
      <c r="L1921" t="s">
        <v>20</v>
      </c>
    </row>
    <row r="1922" spans="1:12">
      <c r="A1922" t="s">
        <v>3959</v>
      </c>
      <c r="B1922" t="s">
        <v>3960</v>
      </c>
      <c r="C1922" s="27">
        <v>45239</v>
      </c>
      <c r="D1922" s="25">
        <v>45255</v>
      </c>
      <c r="E1922" t="s">
        <v>41</v>
      </c>
      <c r="F1922">
        <v>40499</v>
      </c>
      <c r="G1922">
        <v>1337</v>
      </c>
      <c r="H1922">
        <v>2551.42</v>
      </c>
      <c r="I1922">
        <v>100</v>
      </c>
      <c r="J1922">
        <v>1</v>
      </c>
      <c r="L1922" t="s">
        <v>42</v>
      </c>
    </row>
    <row r="1923" spans="1:12">
      <c r="A1923" t="s">
        <v>3961</v>
      </c>
      <c r="B1923" t="s">
        <v>3962</v>
      </c>
      <c r="C1923" s="25">
        <v>45203</v>
      </c>
      <c r="D1923" s="25">
        <v>45030</v>
      </c>
      <c r="E1923" t="s">
        <v>41</v>
      </c>
      <c r="F1923">
        <v>53269</v>
      </c>
      <c r="G1923">
        <v>579</v>
      </c>
      <c r="H1923">
        <v>545.66</v>
      </c>
      <c r="I1923">
        <v>56</v>
      </c>
      <c r="J1923">
        <v>1</v>
      </c>
      <c r="L1923" t="s">
        <v>42</v>
      </c>
    </row>
    <row r="1924" spans="1:12">
      <c r="A1924" t="s">
        <v>3963</v>
      </c>
      <c r="B1924" t="s">
        <v>3964</v>
      </c>
      <c r="C1924" s="27">
        <v>44939</v>
      </c>
      <c r="D1924" s="25">
        <v>44942</v>
      </c>
      <c r="E1924" t="s">
        <v>19</v>
      </c>
      <c r="F1924">
        <v>39559</v>
      </c>
      <c r="G1924">
        <v>1891</v>
      </c>
      <c r="H1924">
        <v>2294.15</v>
      </c>
      <c r="I1924">
        <v>219</v>
      </c>
      <c r="J1924" t="b">
        <v>1</v>
      </c>
      <c r="L1924" t="s">
        <v>20</v>
      </c>
    </row>
    <row r="1925" spans="1:12">
      <c r="A1925" t="s">
        <v>3965</v>
      </c>
      <c r="B1925" t="s">
        <v>3966</v>
      </c>
      <c r="C1925" s="27">
        <v>45033</v>
      </c>
      <c r="D1925" s="25">
        <v>45055</v>
      </c>
      <c r="E1925" t="s">
        <v>33</v>
      </c>
      <c r="F1925">
        <v>75319</v>
      </c>
      <c r="G1925">
        <v>2851</v>
      </c>
      <c r="H1925">
        <v>4662.5</v>
      </c>
      <c r="I1925">
        <v>498</v>
      </c>
      <c r="J1925">
        <v>1</v>
      </c>
      <c r="L1925" t="s">
        <v>34</v>
      </c>
    </row>
    <row r="1926" spans="1:12">
      <c r="A1926" t="s">
        <v>3967</v>
      </c>
      <c r="B1926" t="s">
        <v>3968</v>
      </c>
      <c r="C1926" t="s">
        <v>617</v>
      </c>
      <c r="D1926" s="25">
        <v>45153</v>
      </c>
      <c r="E1926" t="s">
        <v>33</v>
      </c>
      <c r="F1926">
        <v>96317</v>
      </c>
      <c r="G1926">
        <v>2872</v>
      </c>
      <c r="H1926">
        <v>4404.73</v>
      </c>
      <c r="I1926">
        <v>543</v>
      </c>
      <c r="J1926" t="s">
        <v>24</v>
      </c>
      <c r="L1926" t="s">
        <v>34</v>
      </c>
    </row>
    <row r="1927" spans="1:12">
      <c r="A1927" t="s">
        <v>3969</v>
      </c>
      <c r="B1927" t="s">
        <v>3970</v>
      </c>
      <c r="C1927" s="27">
        <v>45106</v>
      </c>
      <c r="D1927" s="25">
        <v>45132</v>
      </c>
      <c r="E1927" t="s">
        <v>19</v>
      </c>
      <c r="F1927">
        <v>97347</v>
      </c>
      <c r="G1927">
        <v>4606</v>
      </c>
      <c r="H1927">
        <v>8269.9</v>
      </c>
      <c r="I1927">
        <v>664</v>
      </c>
      <c r="J1927">
        <v>0</v>
      </c>
      <c r="L1927" t="s">
        <v>20</v>
      </c>
    </row>
    <row r="1928" spans="1:12">
      <c r="A1928" t="s">
        <v>3971</v>
      </c>
      <c r="B1928" t="s">
        <v>3972</v>
      </c>
      <c r="C1928" s="27">
        <v>44932</v>
      </c>
      <c r="D1928" s="25">
        <v>44961</v>
      </c>
      <c r="E1928" t="s">
        <v>23</v>
      </c>
      <c r="F1928">
        <v>49787</v>
      </c>
      <c r="G1928">
        <v>1372</v>
      </c>
      <c r="H1928" s="26">
        <v>2737.43</v>
      </c>
      <c r="I1928">
        <v>149</v>
      </c>
      <c r="J1928" t="s">
        <v>30</v>
      </c>
      <c r="L1928" t="s">
        <v>25</v>
      </c>
    </row>
    <row r="1929" spans="1:12">
      <c r="A1929" t="s">
        <v>3973</v>
      </c>
      <c r="B1929" t="s">
        <v>3974</v>
      </c>
      <c r="C1929" s="27">
        <v>45057</v>
      </c>
      <c r="D1929" s="25">
        <v>45068</v>
      </c>
      <c r="E1929" t="s">
        <v>41</v>
      </c>
      <c r="F1929">
        <v>36488</v>
      </c>
      <c r="G1929">
        <v>1795</v>
      </c>
      <c r="H1929">
        <v>2046.82</v>
      </c>
      <c r="I1929">
        <v>158</v>
      </c>
      <c r="J1929">
        <v>1</v>
      </c>
      <c r="L1929" t="s">
        <v>42</v>
      </c>
    </row>
    <row r="1930" spans="1:12">
      <c r="A1930" t="s">
        <v>3975</v>
      </c>
      <c r="B1930" t="s">
        <v>3976</v>
      </c>
      <c r="C1930" s="27">
        <v>45186</v>
      </c>
      <c r="D1930" s="25">
        <v>45206</v>
      </c>
      <c r="E1930" t="s">
        <v>23</v>
      </c>
      <c r="F1930">
        <v>75441</v>
      </c>
      <c r="G1930">
        <v>2300</v>
      </c>
      <c r="H1930">
        <v>1533.47</v>
      </c>
      <c r="I1930">
        <v>453</v>
      </c>
      <c r="J1930" t="b">
        <v>1</v>
      </c>
      <c r="L1930" t="s">
        <v>68</v>
      </c>
    </row>
    <row r="1931" spans="1:12">
      <c r="A1931" t="s">
        <v>3977</v>
      </c>
      <c r="B1931" t="s">
        <v>3978</v>
      </c>
      <c r="C1931" s="27">
        <v>44985</v>
      </c>
      <c r="D1931" s="25">
        <v>45009</v>
      </c>
      <c r="E1931" t="s">
        <v>33</v>
      </c>
      <c r="F1931">
        <v>75663</v>
      </c>
      <c r="G1931">
        <v>1102</v>
      </c>
      <c r="H1931">
        <v>601.28</v>
      </c>
      <c r="I1931">
        <v>217</v>
      </c>
      <c r="J1931" t="s">
        <v>15</v>
      </c>
      <c r="L1931" t="s">
        <v>34</v>
      </c>
    </row>
    <row r="1932" spans="1:12">
      <c r="A1932" t="s">
        <v>3979</v>
      </c>
      <c r="B1932" t="s">
        <v>3980</v>
      </c>
      <c r="C1932" s="25">
        <v>45218</v>
      </c>
      <c r="D1932" s="25">
        <v>45230</v>
      </c>
      <c r="E1932" t="s">
        <v>138</v>
      </c>
      <c r="F1932">
        <v>23431</v>
      </c>
      <c r="G1932">
        <v>951</v>
      </c>
      <c r="H1932">
        <v>1512.39</v>
      </c>
      <c r="I1932">
        <v>179</v>
      </c>
      <c r="J1932">
        <v>0</v>
      </c>
      <c r="L1932" t="s">
        <v>139</v>
      </c>
    </row>
    <row r="1933" spans="1:12">
      <c r="A1933" t="s">
        <v>3981</v>
      </c>
      <c r="B1933" t="s">
        <v>3982</v>
      </c>
      <c r="C1933" s="27">
        <v>45016</v>
      </c>
      <c r="D1933" s="25">
        <v>45044</v>
      </c>
      <c r="E1933" t="s">
        <v>19</v>
      </c>
      <c r="F1933">
        <v>62681</v>
      </c>
      <c r="G1933">
        <v>2328</v>
      </c>
      <c r="H1933">
        <v>4216.06</v>
      </c>
      <c r="I1933">
        <v>390</v>
      </c>
      <c r="J1933">
        <v>1</v>
      </c>
      <c r="L1933" t="s">
        <v>20</v>
      </c>
    </row>
    <row r="1934" spans="1:12">
      <c r="A1934" t="s">
        <v>3983</v>
      </c>
      <c r="B1934" t="s">
        <v>3984</v>
      </c>
      <c r="C1934" s="27">
        <v>45271</v>
      </c>
      <c r="D1934" s="25">
        <v>45287</v>
      </c>
      <c r="E1934" t="s">
        <v>19</v>
      </c>
      <c r="F1934">
        <v>64483</v>
      </c>
      <c r="G1934">
        <v>2638</v>
      </c>
      <c r="H1934" s="26">
        <v>2192.36</v>
      </c>
      <c r="I1934">
        <v>260</v>
      </c>
      <c r="J1934" t="s">
        <v>30</v>
      </c>
      <c r="L1934" t="s">
        <v>20</v>
      </c>
    </row>
    <row r="1935" spans="1:12">
      <c r="A1935" t="s">
        <v>3985</v>
      </c>
      <c r="B1935" t="s">
        <v>3986</v>
      </c>
      <c r="C1935" s="27">
        <v>44945</v>
      </c>
      <c r="D1935" s="25">
        <v>44954</v>
      </c>
      <c r="E1935" t="s">
        <v>33</v>
      </c>
      <c r="F1935">
        <v>50153</v>
      </c>
      <c r="G1935">
        <v>2410</v>
      </c>
      <c r="H1935">
        <v>1777.79</v>
      </c>
      <c r="I1935">
        <v>415</v>
      </c>
      <c r="J1935" t="s">
        <v>15</v>
      </c>
      <c r="L1935" t="s">
        <v>34</v>
      </c>
    </row>
    <row r="1936" spans="1:12">
      <c r="A1936" t="s">
        <v>3987</v>
      </c>
      <c r="B1936" t="s">
        <v>3988</v>
      </c>
      <c r="C1936" s="27">
        <v>45248</v>
      </c>
      <c r="D1936" s="25">
        <v>45267</v>
      </c>
      <c r="E1936" t="s">
        <v>41</v>
      </c>
      <c r="F1936">
        <v>7368</v>
      </c>
      <c r="G1936">
        <v>302</v>
      </c>
      <c r="H1936" s="26">
        <v>179.18</v>
      </c>
      <c r="I1936">
        <v>33</v>
      </c>
      <c r="J1936" t="s">
        <v>24</v>
      </c>
      <c r="L1936" t="s">
        <v>42</v>
      </c>
    </row>
    <row r="1937" spans="1:12">
      <c r="A1937" t="s">
        <v>3989</v>
      </c>
      <c r="B1937" t="s">
        <v>3990</v>
      </c>
      <c r="C1937" s="27">
        <v>45098</v>
      </c>
      <c r="D1937" s="25">
        <v>45116</v>
      </c>
      <c r="E1937" t="s">
        <v>19</v>
      </c>
      <c r="F1937">
        <v>28424</v>
      </c>
      <c r="G1937">
        <v>979</v>
      </c>
      <c r="H1937">
        <v>-1697.64</v>
      </c>
      <c r="I1937">
        <v>96</v>
      </c>
      <c r="J1937" t="s">
        <v>30</v>
      </c>
      <c r="L1937" t="s">
        <v>20</v>
      </c>
    </row>
    <row r="1938" spans="1:12">
      <c r="A1938" t="s">
        <v>3991</v>
      </c>
      <c r="B1938" t="s">
        <v>3992</v>
      </c>
      <c r="C1938" s="27">
        <v>44955</v>
      </c>
      <c r="D1938" s="25">
        <v>44973</v>
      </c>
      <c r="E1938" t="s">
        <v>23</v>
      </c>
      <c r="F1938">
        <v>46004</v>
      </c>
      <c r="G1938">
        <v>2037</v>
      </c>
      <c r="H1938" s="26">
        <v>1969.93</v>
      </c>
      <c r="I1938">
        <v>329</v>
      </c>
      <c r="J1938" t="s">
        <v>15</v>
      </c>
      <c r="L1938" t="s">
        <v>25</v>
      </c>
    </row>
    <row r="1939" spans="1:12">
      <c r="A1939" t="s">
        <v>3993</v>
      </c>
      <c r="B1939" t="s">
        <v>3994</v>
      </c>
      <c r="C1939" s="27">
        <v>45274</v>
      </c>
      <c r="D1939" s="25">
        <v>45303</v>
      </c>
      <c r="E1939" t="s">
        <v>14</v>
      </c>
      <c r="F1939">
        <v>84869</v>
      </c>
      <c r="G1939">
        <v>3134</v>
      </c>
      <c r="H1939">
        <v>3455.38</v>
      </c>
      <c r="I1939">
        <v>194</v>
      </c>
      <c r="J1939" t="s">
        <v>24</v>
      </c>
      <c r="L1939" t="s">
        <v>16</v>
      </c>
    </row>
    <row r="1940" spans="1:12">
      <c r="A1940" t="s">
        <v>3995</v>
      </c>
      <c r="B1940" t="s">
        <v>3996</v>
      </c>
      <c r="C1940" s="27">
        <v>45033</v>
      </c>
      <c r="D1940" s="25">
        <v>45062</v>
      </c>
      <c r="E1940" t="s">
        <v>41</v>
      </c>
      <c r="F1940">
        <v>89652</v>
      </c>
      <c r="G1940">
        <v>2360</v>
      </c>
      <c r="H1940">
        <v>2959.74</v>
      </c>
      <c r="I1940">
        <v>135</v>
      </c>
      <c r="J1940" t="s">
        <v>24</v>
      </c>
      <c r="L1940" t="s">
        <v>42</v>
      </c>
    </row>
    <row r="1941" spans="1:12">
      <c r="A1941" t="s">
        <v>3997</v>
      </c>
      <c r="B1941" t="s">
        <v>3998</v>
      </c>
      <c r="C1941" s="25">
        <v>44933</v>
      </c>
      <c r="D1941" s="25">
        <v>45135</v>
      </c>
      <c r="E1941" t="s">
        <v>23</v>
      </c>
      <c r="F1941">
        <v>57985</v>
      </c>
      <c r="G1941">
        <v>2633</v>
      </c>
      <c r="H1941">
        <v>4631.92</v>
      </c>
      <c r="I1941">
        <v>308</v>
      </c>
      <c r="J1941">
        <v>0</v>
      </c>
      <c r="L1941" t="s">
        <v>25</v>
      </c>
    </row>
    <row r="1942" spans="1:12">
      <c r="A1942" t="s">
        <v>3999</v>
      </c>
      <c r="B1942" t="s">
        <v>4000</v>
      </c>
      <c r="C1942" s="25">
        <v>45003</v>
      </c>
      <c r="D1942" s="25">
        <v>45027</v>
      </c>
      <c r="E1942" t="s">
        <v>14</v>
      </c>
      <c r="F1942">
        <v>51069</v>
      </c>
      <c r="G1942">
        <v>963</v>
      </c>
      <c r="H1942" s="26">
        <v>1421.63</v>
      </c>
      <c r="I1942">
        <v>112</v>
      </c>
      <c r="J1942" t="s">
        <v>30</v>
      </c>
      <c r="L1942" t="s">
        <v>16</v>
      </c>
    </row>
    <row r="1943" spans="1:12">
      <c r="A1943" t="s">
        <v>4001</v>
      </c>
      <c r="B1943" t="s">
        <v>4002</v>
      </c>
      <c r="C1943" s="27">
        <v>45119</v>
      </c>
      <c r="D1943" s="25">
        <v>45114</v>
      </c>
      <c r="E1943" t="s">
        <v>41</v>
      </c>
      <c r="F1943">
        <v>53326</v>
      </c>
      <c r="G1943">
        <v>2057</v>
      </c>
      <c r="H1943">
        <v>2926.28</v>
      </c>
      <c r="I1943">
        <v>379</v>
      </c>
      <c r="J1943">
        <v>1</v>
      </c>
      <c r="L1943" t="s">
        <v>42</v>
      </c>
    </row>
    <row r="1944" spans="1:12">
      <c r="A1944" t="s">
        <v>4003</v>
      </c>
      <c r="B1944" t="s">
        <v>4004</v>
      </c>
      <c r="C1944" s="27">
        <v>45219</v>
      </c>
      <c r="D1944" s="25">
        <v>45240</v>
      </c>
      <c r="E1944" t="s">
        <v>14</v>
      </c>
      <c r="F1944">
        <v>82061</v>
      </c>
      <c r="G1944">
        <v>3714</v>
      </c>
      <c r="H1944">
        <v>2835.67</v>
      </c>
      <c r="I1944">
        <v>255</v>
      </c>
      <c r="J1944">
        <v>1</v>
      </c>
      <c r="L1944" t="s">
        <v>16</v>
      </c>
    </row>
    <row r="1945" spans="1:12">
      <c r="A1945" t="s">
        <v>4005</v>
      </c>
      <c r="B1945" t="s">
        <v>4006</v>
      </c>
      <c r="C1945" s="27">
        <v>44986</v>
      </c>
      <c r="D1945" s="25">
        <v>45008</v>
      </c>
      <c r="E1945" t="s">
        <v>33</v>
      </c>
      <c r="F1945">
        <v>24398</v>
      </c>
      <c r="G1945">
        <v>957</v>
      </c>
      <c r="H1945">
        <v>1215.18</v>
      </c>
      <c r="I1945">
        <v>65</v>
      </c>
      <c r="J1945" t="b">
        <v>1</v>
      </c>
      <c r="L1945" t="s">
        <v>34</v>
      </c>
    </row>
    <row r="1946" spans="1:12">
      <c r="A1946" t="s">
        <v>4007</v>
      </c>
      <c r="B1946" t="s">
        <v>4008</v>
      </c>
      <c r="C1946" s="27">
        <v>45288</v>
      </c>
      <c r="D1946" s="25">
        <v>45299</v>
      </c>
      <c r="E1946" t="s">
        <v>14</v>
      </c>
      <c r="F1946">
        <v>99393</v>
      </c>
      <c r="G1946">
        <v>3766</v>
      </c>
      <c r="H1946">
        <v>5924.19</v>
      </c>
      <c r="I1946">
        <v>271</v>
      </c>
      <c r="J1946" t="s">
        <v>15</v>
      </c>
      <c r="K1946">
        <v>99483</v>
      </c>
      <c r="L1946" t="s">
        <v>16</v>
      </c>
    </row>
    <row r="1947" spans="1:12">
      <c r="A1947" t="s">
        <v>4009</v>
      </c>
      <c r="B1947" t="s">
        <v>4010</v>
      </c>
      <c r="C1947" s="27">
        <v>45066</v>
      </c>
      <c r="D1947" s="25">
        <v>45083</v>
      </c>
      <c r="E1947" t="s">
        <v>14</v>
      </c>
      <c r="F1947">
        <v>51861</v>
      </c>
      <c r="G1947">
        <v>2079</v>
      </c>
      <c r="H1947">
        <v>4074.61</v>
      </c>
      <c r="I1947">
        <v>113</v>
      </c>
      <c r="J1947" t="b">
        <v>1</v>
      </c>
      <c r="L1947" t="s">
        <v>16</v>
      </c>
    </row>
    <row r="1948" spans="1:12">
      <c r="A1948" t="s">
        <v>4011</v>
      </c>
      <c r="B1948" t="s">
        <v>4012</v>
      </c>
      <c r="C1948" s="27">
        <v>45048</v>
      </c>
      <c r="D1948" s="25">
        <v>45053</v>
      </c>
      <c r="E1948" t="s">
        <v>33</v>
      </c>
      <c r="F1948">
        <v>76897</v>
      </c>
      <c r="G1948">
        <v>2199</v>
      </c>
      <c r="H1948">
        <v>1763.84</v>
      </c>
      <c r="I1948">
        <v>133</v>
      </c>
      <c r="J1948" t="b">
        <v>0</v>
      </c>
      <c r="L1948" t="s">
        <v>34</v>
      </c>
    </row>
    <row r="1949" spans="1:12">
      <c r="A1949" t="s">
        <v>4013</v>
      </c>
      <c r="B1949" t="s">
        <v>4014</v>
      </c>
      <c r="C1949" s="27">
        <v>45081</v>
      </c>
      <c r="D1949" s="25">
        <v>45103</v>
      </c>
      <c r="E1949" t="s">
        <v>33</v>
      </c>
      <c r="F1949">
        <v>82905</v>
      </c>
      <c r="G1949">
        <v>3727</v>
      </c>
      <c r="H1949">
        <v>1916.85</v>
      </c>
      <c r="I1949">
        <v>555</v>
      </c>
      <c r="J1949">
        <v>1</v>
      </c>
      <c r="L1949" t="s">
        <v>34</v>
      </c>
    </row>
    <row r="1950" spans="1:12">
      <c r="A1950" t="s">
        <v>4015</v>
      </c>
      <c r="B1950" t="s">
        <v>4016</v>
      </c>
      <c r="C1950" s="25">
        <v>44984</v>
      </c>
      <c r="D1950" s="25">
        <v>45006</v>
      </c>
      <c r="E1950" t="s">
        <v>14</v>
      </c>
      <c r="F1950">
        <v>69577</v>
      </c>
      <c r="G1950">
        <v>1261</v>
      </c>
      <c r="H1950" s="26">
        <v>772.93</v>
      </c>
      <c r="I1950">
        <v>144</v>
      </c>
      <c r="J1950" t="s">
        <v>15</v>
      </c>
      <c r="L1950" t="s">
        <v>16</v>
      </c>
    </row>
    <row r="1951" spans="1:12">
      <c r="A1951" t="s">
        <v>4017</v>
      </c>
      <c r="B1951" t="s">
        <v>4018</v>
      </c>
      <c r="C1951" s="27">
        <v>45030</v>
      </c>
      <c r="D1951" s="25">
        <v>45057</v>
      </c>
      <c r="E1951" t="s">
        <v>33</v>
      </c>
      <c r="F1951">
        <v>66641</v>
      </c>
      <c r="G1951">
        <v>1005</v>
      </c>
      <c r="H1951">
        <v>1069.1</v>
      </c>
      <c r="I1951">
        <v>165</v>
      </c>
      <c r="J1951">
        <v>0</v>
      </c>
      <c r="L1951" t="s">
        <v>34</v>
      </c>
    </row>
    <row r="1952" spans="1:12">
      <c r="A1952" t="s">
        <v>4019</v>
      </c>
      <c r="B1952" t="s">
        <v>4020</v>
      </c>
      <c r="C1952" s="27">
        <v>44939</v>
      </c>
      <c r="D1952" s="25">
        <v>44962</v>
      </c>
      <c r="E1952" t="s">
        <v>19</v>
      </c>
      <c r="F1952">
        <v>10078</v>
      </c>
      <c r="G1952">
        <v>215</v>
      </c>
      <c r="H1952">
        <v>372.13</v>
      </c>
      <c r="I1952">
        <v>42</v>
      </c>
      <c r="J1952" t="b">
        <v>1</v>
      </c>
      <c r="L1952" t="s">
        <v>20</v>
      </c>
    </row>
    <row r="1953" spans="1:12">
      <c r="A1953" t="s">
        <v>4021</v>
      </c>
      <c r="B1953" t="s">
        <v>4022</v>
      </c>
      <c r="C1953" s="27">
        <v>45005</v>
      </c>
      <c r="D1953" s="25">
        <v>45024</v>
      </c>
      <c r="E1953" t="s">
        <v>138</v>
      </c>
      <c r="F1953">
        <v>26003</v>
      </c>
      <c r="G1953">
        <v>812</v>
      </c>
      <c r="H1953" s="26">
        <v>414.7</v>
      </c>
      <c r="I1953">
        <v>120</v>
      </c>
      <c r="J1953">
        <v>0</v>
      </c>
      <c r="L1953" t="s">
        <v>139</v>
      </c>
    </row>
    <row r="1954" spans="1:12">
      <c r="A1954" t="s">
        <v>4023</v>
      </c>
      <c r="B1954" t="s">
        <v>4024</v>
      </c>
      <c r="C1954" s="27">
        <v>45195</v>
      </c>
      <c r="D1954" s="25">
        <v>45190</v>
      </c>
      <c r="E1954" t="s">
        <v>23</v>
      </c>
      <c r="F1954">
        <v>63768</v>
      </c>
      <c r="G1954">
        <v>1939</v>
      </c>
      <c r="H1954">
        <v>2297.9</v>
      </c>
      <c r="I1954">
        <v>111</v>
      </c>
      <c r="J1954">
        <v>0</v>
      </c>
      <c r="L1954" t="s">
        <v>25</v>
      </c>
    </row>
    <row r="1955" spans="1:12">
      <c r="A1955" t="s">
        <v>4025</v>
      </c>
      <c r="B1955" t="s">
        <v>4026</v>
      </c>
      <c r="C1955" s="27">
        <v>44977</v>
      </c>
      <c r="D1955" s="25">
        <v>44999</v>
      </c>
      <c r="E1955" t="s">
        <v>33</v>
      </c>
      <c r="F1955">
        <v>52047</v>
      </c>
      <c r="G1955">
        <v>2228</v>
      </c>
      <c r="H1955">
        <v>2214.29</v>
      </c>
      <c r="J1955">
        <v>0</v>
      </c>
      <c r="L1955" t="s">
        <v>34</v>
      </c>
    </row>
    <row r="1956" spans="1:12">
      <c r="A1956" t="s">
        <v>4027</v>
      </c>
      <c r="B1956" t="s">
        <v>4028</v>
      </c>
      <c r="C1956" s="27">
        <v>45273</v>
      </c>
      <c r="D1956" s="25">
        <v>45282</v>
      </c>
      <c r="E1956" t="s">
        <v>33</v>
      </c>
      <c r="F1956">
        <v>72626</v>
      </c>
      <c r="G1956">
        <v>1901</v>
      </c>
      <c r="H1956">
        <v>1100.15</v>
      </c>
      <c r="I1956">
        <v>346</v>
      </c>
      <c r="J1956" t="b">
        <v>1</v>
      </c>
      <c r="L1956" t="s">
        <v>34</v>
      </c>
    </row>
    <row r="1957" spans="1:12">
      <c r="A1957" t="s">
        <v>4029</v>
      </c>
      <c r="B1957" t="s">
        <v>4030</v>
      </c>
      <c r="C1957" s="27">
        <v>44945</v>
      </c>
      <c r="D1957" s="25">
        <v>44971</v>
      </c>
      <c r="E1957" t="s">
        <v>14</v>
      </c>
      <c r="F1957">
        <v>58660</v>
      </c>
      <c r="G1957">
        <v>1723</v>
      </c>
      <c r="H1957">
        <v>2025.14</v>
      </c>
      <c r="I1957">
        <v>222</v>
      </c>
      <c r="J1957" t="b">
        <v>0</v>
      </c>
      <c r="L1957" t="s">
        <v>68</v>
      </c>
    </row>
    <row r="1958" spans="1:12">
      <c r="A1958" t="s">
        <v>4031</v>
      </c>
      <c r="B1958" t="s">
        <v>4032</v>
      </c>
      <c r="C1958" s="27">
        <v>45194</v>
      </c>
      <c r="D1958" s="25">
        <v>45214</v>
      </c>
      <c r="E1958" t="s">
        <v>23</v>
      </c>
      <c r="F1958">
        <v>50786</v>
      </c>
      <c r="G1958">
        <v>535</v>
      </c>
      <c r="H1958">
        <v>471.94</v>
      </c>
      <c r="I1958">
        <v>92</v>
      </c>
      <c r="J1958" t="s">
        <v>24</v>
      </c>
      <c r="L1958" t="s">
        <v>25</v>
      </c>
    </row>
    <row r="1959" spans="1:12">
      <c r="A1959" t="s">
        <v>4033</v>
      </c>
      <c r="B1959" t="s">
        <v>4034</v>
      </c>
      <c r="C1959" s="27">
        <v>44949</v>
      </c>
      <c r="D1959" s="25">
        <v>44974</v>
      </c>
      <c r="E1959" t="s">
        <v>19</v>
      </c>
      <c r="F1959">
        <v>2925</v>
      </c>
      <c r="G1959">
        <v>77</v>
      </c>
      <c r="H1959">
        <v>79.14</v>
      </c>
      <c r="I1959">
        <v>13</v>
      </c>
      <c r="J1959" t="s">
        <v>24</v>
      </c>
      <c r="L1959" t="s">
        <v>20</v>
      </c>
    </row>
    <row r="1960" spans="1:12">
      <c r="A1960" t="s">
        <v>4035</v>
      </c>
      <c r="B1960" t="s">
        <v>4036</v>
      </c>
      <c r="C1960" s="27">
        <v>44971</v>
      </c>
      <c r="D1960" s="25">
        <v>45000</v>
      </c>
      <c r="E1960" t="s">
        <v>14</v>
      </c>
      <c r="F1960">
        <v>84976</v>
      </c>
      <c r="G1960">
        <v>3051</v>
      </c>
      <c r="H1960">
        <v>4754.75</v>
      </c>
      <c r="I1960">
        <v>577</v>
      </c>
      <c r="J1960" t="b">
        <v>1</v>
      </c>
      <c r="L1960" t="s">
        <v>16</v>
      </c>
    </row>
    <row r="1961" spans="1:12">
      <c r="A1961" t="s">
        <v>4037</v>
      </c>
      <c r="B1961" t="s">
        <v>4038</v>
      </c>
      <c r="C1961" s="27">
        <v>44979</v>
      </c>
      <c r="D1961" s="25">
        <v>44987</v>
      </c>
      <c r="E1961" t="s">
        <v>19</v>
      </c>
      <c r="F1961">
        <v>27015</v>
      </c>
      <c r="G1961">
        <v>286</v>
      </c>
      <c r="H1961">
        <v>366.75</v>
      </c>
      <c r="I1961">
        <v>55</v>
      </c>
      <c r="J1961" t="s">
        <v>24</v>
      </c>
      <c r="L1961" t="s">
        <v>20</v>
      </c>
    </row>
    <row r="1962" spans="1:12">
      <c r="A1962" t="s">
        <v>4039</v>
      </c>
      <c r="B1962" t="s">
        <v>4040</v>
      </c>
      <c r="C1962" s="25">
        <v>45175</v>
      </c>
      <c r="D1962" s="25">
        <v>45094</v>
      </c>
      <c r="E1962" t="s">
        <v>19</v>
      </c>
      <c r="F1962">
        <v>34320</v>
      </c>
      <c r="G1962">
        <v>728</v>
      </c>
      <c r="H1962">
        <v>500.11</v>
      </c>
      <c r="I1962">
        <v>96</v>
      </c>
      <c r="J1962" t="s">
        <v>30</v>
      </c>
      <c r="L1962" t="s">
        <v>68</v>
      </c>
    </row>
    <row r="1963" spans="1:12">
      <c r="A1963" t="s">
        <v>4041</v>
      </c>
      <c r="B1963" t="s">
        <v>4042</v>
      </c>
      <c r="C1963" s="27">
        <v>45086</v>
      </c>
      <c r="D1963" s="25">
        <v>45113</v>
      </c>
      <c r="E1963" t="s">
        <v>19</v>
      </c>
      <c r="F1963">
        <v>65881</v>
      </c>
      <c r="G1963">
        <v>1206</v>
      </c>
      <c r="H1963">
        <v>2342.2</v>
      </c>
      <c r="I1963">
        <v>121</v>
      </c>
      <c r="J1963" t="s">
        <v>24</v>
      </c>
      <c r="L1963" t="s">
        <v>20</v>
      </c>
    </row>
    <row r="1964" spans="1:12">
      <c r="A1964" t="s">
        <v>4043</v>
      </c>
      <c r="B1964" t="s">
        <v>4044</v>
      </c>
      <c r="C1964" s="27">
        <v>45029</v>
      </c>
      <c r="D1964" s="25">
        <v>45030</v>
      </c>
      <c r="E1964" t="s">
        <v>138</v>
      </c>
      <c r="F1964">
        <v>91827</v>
      </c>
      <c r="G1964">
        <v>1072</v>
      </c>
      <c r="H1964">
        <v>1558.54</v>
      </c>
      <c r="I1964">
        <v>208</v>
      </c>
      <c r="J1964">
        <v>1</v>
      </c>
      <c r="L1964" t="s">
        <v>139</v>
      </c>
    </row>
    <row r="1965" spans="1:12">
      <c r="A1965" t="s">
        <v>4045</v>
      </c>
      <c r="B1965" t="s">
        <v>4046</v>
      </c>
      <c r="C1965" s="27">
        <v>45090</v>
      </c>
      <c r="D1965" s="25">
        <v>45104</v>
      </c>
      <c r="E1965" t="s">
        <v>19</v>
      </c>
      <c r="F1965">
        <v>27289</v>
      </c>
      <c r="G1965">
        <v>796</v>
      </c>
      <c r="H1965">
        <v>1312.45</v>
      </c>
      <c r="I1965">
        <v>105</v>
      </c>
      <c r="J1965" t="b">
        <v>1</v>
      </c>
      <c r="L1965" t="s">
        <v>20</v>
      </c>
    </row>
    <row r="1966" spans="1:12">
      <c r="A1966" t="s">
        <v>4047</v>
      </c>
      <c r="B1966" t="s">
        <v>4048</v>
      </c>
      <c r="C1966" s="27">
        <v>45066</v>
      </c>
      <c r="D1966" s="25">
        <v>45082</v>
      </c>
      <c r="E1966" t="s">
        <v>19</v>
      </c>
      <c r="F1966">
        <v>4389</v>
      </c>
      <c r="G1966">
        <v>75</v>
      </c>
      <c r="H1966" s="26">
        <v>46.41</v>
      </c>
      <c r="I1966">
        <v>4</v>
      </c>
      <c r="J1966" t="s">
        <v>24</v>
      </c>
      <c r="L1966" t="s">
        <v>20</v>
      </c>
    </row>
    <row r="1967" spans="1:12">
      <c r="A1967" t="s">
        <v>4049</v>
      </c>
      <c r="B1967" t="s">
        <v>4050</v>
      </c>
      <c r="C1967" s="27">
        <v>44934</v>
      </c>
      <c r="D1967" s="25">
        <v>44943</v>
      </c>
      <c r="E1967" t="s">
        <v>41</v>
      </c>
      <c r="F1967">
        <v>26683</v>
      </c>
      <c r="G1967">
        <v>1059</v>
      </c>
      <c r="H1967">
        <v>604.25</v>
      </c>
      <c r="I1967">
        <v>155</v>
      </c>
      <c r="J1967" t="b">
        <v>1</v>
      </c>
      <c r="L1967" t="s">
        <v>42</v>
      </c>
    </row>
    <row r="1968" spans="1:12">
      <c r="A1968" t="s">
        <v>4051</v>
      </c>
      <c r="B1968" t="s">
        <v>4052</v>
      </c>
      <c r="C1968" s="27">
        <v>44979</v>
      </c>
      <c r="D1968" s="25">
        <v>44990</v>
      </c>
      <c r="E1968" t="s">
        <v>19</v>
      </c>
      <c r="F1968">
        <v>14629</v>
      </c>
      <c r="G1968">
        <v>642</v>
      </c>
      <c r="H1968">
        <v>339.73</v>
      </c>
      <c r="I1968">
        <v>88</v>
      </c>
      <c r="J1968" t="b">
        <v>0</v>
      </c>
      <c r="L1968" t="s">
        <v>20</v>
      </c>
    </row>
    <row r="1969" spans="1:12">
      <c r="A1969" t="s">
        <v>4053</v>
      </c>
      <c r="B1969" t="s">
        <v>4054</v>
      </c>
      <c r="C1969" s="27">
        <v>45090</v>
      </c>
      <c r="D1969" s="25">
        <v>45107</v>
      </c>
      <c r="E1969" t="s">
        <v>14</v>
      </c>
      <c r="F1969">
        <v>62550</v>
      </c>
      <c r="G1969">
        <v>1990</v>
      </c>
      <c r="H1969">
        <v>1558.55</v>
      </c>
      <c r="I1969">
        <v>366</v>
      </c>
      <c r="J1969" t="s">
        <v>30</v>
      </c>
      <c r="L1969" t="s">
        <v>16</v>
      </c>
    </row>
    <row r="1970" spans="1:12">
      <c r="A1970" t="s">
        <v>4055</v>
      </c>
      <c r="B1970" t="s">
        <v>4056</v>
      </c>
      <c r="C1970" s="27">
        <v>45072</v>
      </c>
      <c r="D1970" s="25">
        <v>45082</v>
      </c>
      <c r="E1970" t="s">
        <v>14</v>
      </c>
      <c r="F1970">
        <v>25826</v>
      </c>
      <c r="G1970">
        <v>1272</v>
      </c>
      <c r="H1970">
        <v>1426.69</v>
      </c>
      <c r="I1970">
        <v>188</v>
      </c>
      <c r="J1970" t="b">
        <v>1</v>
      </c>
      <c r="L1970" t="s">
        <v>16</v>
      </c>
    </row>
    <row r="1971" spans="1:12">
      <c r="A1971" t="s">
        <v>4057</v>
      </c>
      <c r="B1971" t="s">
        <v>4058</v>
      </c>
      <c r="C1971" s="27">
        <v>45086</v>
      </c>
      <c r="D1971" s="25">
        <v>45102</v>
      </c>
      <c r="E1971" t="s">
        <v>41</v>
      </c>
      <c r="F1971">
        <v>27630</v>
      </c>
      <c r="G1971">
        <v>774</v>
      </c>
      <c r="H1971">
        <v>1473.49</v>
      </c>
      <c r="I1971">
        <v>79</v>
      </c>
      <c r="J1971">
        <v>1</v>
      </c>
      <c r="L1971" t="s">
        <v>42</v>
      </c>
    </row>
    <row r="1972" spans="1:12">
      <c r="A1972" t="s">
        <v>4059</v>
      </c>
      <c r="B1972" t="s">
        <v>4060</v>
      </c>
      <c r="C1972" t="s">
        <v>4061</v>
      </c>
      <c r="D1972" s="25">
        <v>45178</v>
      </c>
      <c r="E1972" t="s">
        <v>33</v>
      </c>
      <c r="F1972">
        <v>99762</v>
      </c>
      <c r="G1972">
        <v>3046</v>
      </c>
      <c r="H1972">
        <v>3611.31</v>
      </c>
      <c r="I1972">
        <v>593</v>
      </c>
      <c r="J1972" t="s">
        <v>24</v>
      </c>
      <c r="L1972" t="s">
        <v>34</v>
      </c>
    </row>
    <row r="1973" spans="1:12">
      <c r="A1973" t="s">
        <v>4062</v>
      </c>
      <c r="B1973" t="s">
        <v>4063</v>
      </c>
      <c r="C1973" s="27">
        <v>44941</v>
      </c>
      <c r="D1973" s="25">
        <v>44954</v>
      </c>
      <c r="E1973" t="s">
        <v>23</v>
      </c>
      <c r="F1973">
        <v>47163</v>
      </c>
      <c r="G1973">
        <v>2337</v>
      </c>
      <c r="H1973">
        <v>2185.99</v>
      </c>
      <c r="J1973">
        <v>1</v>
      </c>
      <c r="L1973" t="s">
        <v>25</v>
      </c>
    </row>
    <row r="1974" spans="1:12">
      <c r="A1974" t="s">
        <v>4064</v>
      </c>
      <c r="B1974" t="s">
        <v>4065</v>
      </c>
      <c r="C1974" s="25">
        <v>44981</v>
      </c>
      <c r="D1974" s="25">
        <v>44983</v>
      </c>
      <c r="E1974" t="s">
        <v>23</v>
      </c>
      <c r="F1974">
        <v>99511</v>
      </c>
      <c r="G1974">
        <v>1916</v>
      </c>
      <c r="H1974">
        <v>2573</v>
      </c>
      <c r="I1974">
        <v>276</v>
      </c>
      <c r="J1974" t="s">
        <v>24</v>
      </c>
      <c r="L1974" t="s">
        <v>25</v>
      </c>
    </row>
    <row r="1975" spans="1:12">
      <c r="A1975" t="s">
        <v>4066</v>
      </c>
      <c r="B1975" t="s">
        <v>4067</v>
      </c>
      <c r="C1975" s="27">
        <v>45127</v>
      </c>
      <c r="D1975" s="25">
        <v>45146</v>
      </c>
      <c r="E1975" t="s">
        <v>138</v>
      </c>
      <c r="F1975">
        <v>67435</v>
      </c>
      <c r="G1975">
        <v>3216</v>
      </c>
      <c r="H1975">
        <v>2147.97</v>
      </c>
      <c r="I1975">
        <v>302</v>
      </c>
      <c r="J1975" t="b">
        <v>1</v>
      </c>
      <c r="L1975" t="s">
        <v>139</v>
      </c>
    </row>
    <row r="1976" spans="1:12">
      <c r="A1976" t="s">
        <v>4068</v>
      </c>
      <c r="B1976" t="s">
        <v>4069</v>
      </c>
      <c r="C1976" s="27">
        <v>45230</v>
      </c>
      <c r="D1976" s="25">
        <v>45240</v>
      </c>
      <c r="E1976" t="s">
        <v>41</v>
      </c>
      <c r="F1976">
        <v>12653</v>
      </c>
      <c r="G1976">
        <v>148</v>
      </c>
      <c r="H1976">
        <v>209.31</v>
      </c>
      <c r="I1976">
        <v>15</v>
      </c>
      <c r="J1976">
        <v>0</v>
      </c>
      <c r="L1976" t="s">
        <v>42</v>
      </c>
    </row>
    <row r="1977" spans="1:12">
      <c r="A1977" t="s">
        <v>4070</v>
      </c>
      <c r="B1977" t="s">
        <v>4071</v>
      </c>
      <c r="C1977" s="27">
        <v>45155</v>
      </c>
      <c r="D1977" s="25">
        <v>45181</v>
      </c>
      <c r="E1977" t="s">
        <v>14</v>
      </c>
      <c r="F1977">
        <v>28961</v>
      </c>
      <c r="G1977">
        <v>806</v>
      </c>
      <c r="H1977">
        <v>1090.23</v>
      </c>
      <c r="I1977">
        <v>121</v>
      </c>
      <c r="J1977" t="s">
        <v>24</v>
      </c>
      <c r="L1977" t="s">
        <v>16</v>
      </c>
    </row>
    <row r="1978" spans="1:12">
      <c r="A1978" t="s">
        <v>4072</v>
      </c>
      <c r="B1978" t="s">
        <v>4073</v>
      </c>
      <c r="C1978" s="27">
        <v>45028</v>
      </c>
      <c r="D1978" s="25">
        <v>45056</v>
      </c>
      <c r="E1978" t="s">
        <v>415</v>
      </c>
      <c r="F1978">
        <v>82941</v>
      </c>
      <c r="G1978">
        <v>1061</v>
      </c>
      <c r="H1978">
        <v>1790.96</v>
      </c>
      <c r="I1978">
        <v>64</v>
      </c>
      <c r="J1978">
        <v>0</v>
      </c>
      <c r="L1978" t="s">
        <v>34</v>
      </c>
    </row>
    <row r="1979" spans="1:12">
      <c r="A1979" t="s">
        <v>4074</v>
      </c>
      <c r="B1979" t="s">
        <v>4075</v>
      </c>
      <c r="C1979" s="25">
        <v>44936</v>
      </c>
      <c r="D1979" s="25">
        <v>45209</v>
      </c>
      <c r="E1979" t="s">
        <v>14</v>
      </c>
      <c r="F1979">
        <v>75137</v>
      </c>
      <c r="G1979">
        <v>2943</v>
      </c>
      <c r="H1979">
        <v>5827.23</v>
      </c>
      <c r="I1979">
        <v>260</v>
      </c>
      <c r="J1979" t="s">
        <v>30</v>
      </c>
      <c r="L1979" t="s">
        <v>16</v>
      </c>
    </row>
    <row r="1980" spans="1:12">
      <c r="A1980" t="s">
        <v>4076</v>
      </c>
      <c r="B1980" t="s">
        <v>4077</v>
      </c>
      <c r="C1980" s="25">
        <v>45165</v>
      </c>
      <c r="D1980" s="25">
        <v>45169</v>
      </c>
      <c r="E1980" t="s">
        <v>41</v>
      </c>
      <c r="F1980">
        <v>34662</v>
      </c>
      <c r="G1980">
        <v>1190</v>
      </c>
      <c r="H1980">
        <v>1042.81</v>
      </c>
      <c r="I1980">
        <v>186</v>
      </c>
      <c r="J1980">
        <v>1</v>
      </c>
      <c r="L1980" t="s">
        <v>42</v>
      </c>
    </row>
    <row r="1981" spans="1:12">
      <c r="A1981" t="s">
        <v>4078</v>
      </c>
      <c r="B1981" t="s">
        <v>4079</v>
      </c>
      <c r="C1981" s="27">
        <v>45284</v>
      </c>
      <c r="D1981" s="25">
        <v>45311</v>
      </c>
      <c r="E1981" t="s">
        <v>33</v>
      </c>
      <c r="F1981">
        <v>99818</v>
      </c>
      <c r="G1981">
        <v>3819</v>
      </c>
      <c r="H1981">
        <v>4829.07</v>
      </c>
      <c r="I1981">
        <v>465</v>
      </c>
      <c r="J1981">
        <v>0</v>
      </c>
      <c r="L1981" t="s">
        <v>34</v>
      </c>
    </row>
    <row r="1982" spans="1:12">
      <c r="A1982" t="s">
        <v>4080</v>
      </c>
      <c r="B1982" t="s">
        <v>4081</v>
      </c>
      <c r="C1982" s="27">
        <v>45277</v>
      </c>
      <c r="D1982" s="25">
        <v>45282</v>
      </c>
      <c r="E1982" t="s">
        <v>14</v>
      </c>
      <c r="F1982">
        <v>57446</v>
      </c>
      <c r="G1982">
        <v>1434</v>
      </c>
      <c r="H1982">
        <v>2671.97</v>
      </c>
      <c r="I1982">
        <v>158</v>
      </c>
      <c r="J1982">
        <v>1</v>
      </c>
      <c r="K1982">
        <v>57539</v>
      </c>
      <c r="L1982" t="s">
        <v>68</v>
      </c>
    </row>
    <row r="1983" spans="1:12">
      <c r="A1983" t="s">
        <v>4082</v>
      </c>
      <c r="B1983" t="s">
        <v>4083</v>
      </c>
      <c r="C1983" s="27">
        <v>45167</v>
      </c>
      <c r="D1983" s="25">
        <v>45185</v>
      </c>
      <c r="E1983" t="s">
        <v>19</v>
      </c>
      <c r="F1983">
        <v>22288</v>
      </c>
      <c r="G1983">
        <v>552</v>
      </c>
      <c r="H1983">
        <v>926.14</v>
      </c>
      <c r="J1983" t="s">
        <v>24</v>
      </c>
      <c r="L1983" t="s">
        <v>20</v>
      </c>
    </row>
    <row r="1984" spans="1:12">
      <c r="A1984" t="s">
        <v>4084</v>
      </c>
      <c r="B1984" t="s">
        <v>4085</v>
      </c>
      <c r="C1984" s="27">
        <v>45242</v>
      </c>
      <c r="D1984" s="25">
        <v>45250</v>
      </c>
      <c r="E1984" t="s">
        <v>19</v>
      </c>
      <c r="F1984">
        <v>96081</v>
      </c>
      <c r="G1984">
        <v>1134</v>
      </c>
      <c r="H1984">
        <v>1396.08</v>
      </c>
      <c r="I1984">
        <v>131</v>
      </c>
      <c r="J1984" t="s">
        <v>24</v>
      </c>
      <c r="L1984" t="s">
        <v>20</v>
      </c>
    </row>
    <row r="1985" spans="1:12">
      <c r="A1985" t="s">
        <v>4086</v>
      </c>
      <c r="B1985" t="s">
        <v>4087</v>
      </c>
      <c r="C1985" s="27">
        <v>45020</v>
      </c>
      <c r="D1985" s="25">
        <v>45048</v>
      </c>
      <c r="E1985" t="s">
        <v>41</v>
      </c>
      <c r="F1985">
        <v>37877</v>
      </c>
      <c r="G1985">
        <v>908</v>
      </c>
      <c r="H1985">
        <v>1741.6</v>
      </c>
      <c r="I1985">
        <v>150</v>
      </c>
      <c r="J1985" t="s">
        <v>30</v>
      </c>
      <c r="L1985" t="s">
        <v>42</v>
      </c>
    </row>
    <row r="1986" spans="1:12">
      <c r="A1986" t="s">
        <v>4088</v>
      </c>
      <c r="B1986" t="s">
        <v>4089</v>
      </c>
      <c r="C1986" s="25">
        <v>45093</v>
      </c>
      <c r="D1986" s="25">
        <v>45119</v>
      </c>
      <c r="E1986" t="s">
        <v>138</v>
      </c>
      <c r="F1986">
        <v>16313</v>
      </c>
      <c r="G1986">
        <v>769</v>
      </c>
      <c r="H1986">
        <v>450.52</v>
      </c>
      <c r="I1986">
        <v>68</v>
      </c>
      <c r="J1986" t="s">
        <v>24</v>
      </c>
      <c r="L1986" t="s">
        <v>139</v>
      </c>
    </row>
    <row r="1987" spans="1:12">
      <c r="A1987" t="s">
        <v>4090</v>
      </c>
      <c r="B1987" t="s">
        <v>4091</v>
      </c>
      <c r="C1987" s="27">
        <v>45170</v>
      </c>
      <c r="D1987" s="25">
        <v>45178</v>
      </c>
      <c r="E1987" t="s">
        <v>41</v>
      </c>
      <c r="F1987">
        <v>81885</v>
      </c>
      <c r="G1987">
        <v>2060</v>
      </c>
      <c r="H1987">
        <v>3906.79</v>
      </c>
      <c r="I1987">
        <v>104</v>
      </c>
      <c r="J1987" t="s">
        <v>30</v>
      </c>
      <c r="L1987" t="s">
        <v>42</v>
      </c>
    </row>
    <row r="1988" spans="1:12">
      <c r="A1988" t="s">
        <v>4092</v>
      </c>
      <c r="B1988" t="s">
        <v>4093</v>
      </c>
      <c r="C1988" s="27">
        <v>45014</v>
      </c>
      <c r="D1988" s="25">
        <v>45043</v>
      </c>
      <c r="E1988" t="s">
        <v>19</v>
      </c>
      <c r="F1988">
        <v>73715</v>
      </c>
      <c r="G1988">
        <v>3188</v>
      </c>
      <c r="H1988">
        <v>1835.53</v>
      </c>
      <c r="I1988">
        <v>479</v>
      </c>
      <c r="J1988">
        <v>0</v>
      </c>
      <c r="L1988" t="s">
        <v>20</v>
      </c>
    </row>
    <row r="1989" spans="1:12">
      <c r="A1989" t="s">
        <v>4094</v>
      </c>
      <c r="B1989" t="s">
        <v>4095</v>
      </c>
      <c r="C1989" s="27">
        <v>45221</v>
      </c>
      <c r="D1989" s="25">
        <v>45229</v>
      </c>
      <c r="E1989" t="s">
        <v>23</v>
      </c>
      <c r="F1989">
        <v>11326</v>
      </c>
      <c r="G1989">
        <v>494</v>
      </c>
      <c r="H1989">
        <v>652.55</v>
      </c>
      <c r="I1989">
        <v>96</v>
      </c>
      <c r="J1989" t="s">
        <v>24</v>
      </c>
      <c r="L1989" t="s">
        <v>25</v>
      </c>
    </row>
    <row r="1990" spans="1:12">
      <c r="A1990" t="s">
        <v>4096</v>
      </c>
      <c r="B1990" t="s">
        <v>4097</v>
      </c>
      <c r="C1990" s="27">
        <v>45292</v>
      </c>
      <c r="D1990" s="25">
        <v>45307</v>
      </c>
      <c r="E1990" t="s">
        <v>14</v>
      </c>
      <c r="F1990">
        <v>2560</v>
      </c>
      <c r="G1990">
        <v>63</v>
      </c>
      <c r="H1990">
        <v>115.65</v>
      </c>
      <c r="I1990">
        <v>8</v>
      </c>
      <c r="J1990" t="b">
        <v>1</v>
      </c>
      <c r="L1990" t="s">
        <v>16</v>
      </c>
    </row>
    <row r="1991" spans="1:12">
      <c r="A1991" t="s">
        <v>4098</v>
      </c>
      <c r="B1991" t="s">
        <v>4099</v>
      </c>
      <c r="C1991" t="s">
        <v>687</v>
      </c>
      <c r="D1991" s="25">
        <v>45288</v>
      </c>
      <c r="E1991" t="s">
        <v>23</v>
      </c>
      <c r="F1991">
        <v>80148</v>
      </c>
      <c r="G1991">
        <v>2827</v>
      </c>
      <c r="H1991" s="26">
        <v>2527.57</v>
      </c>
      <c r="I1991">
        <v>192</v>
      </c>
      <c r="J1991" t="s">
        <v>15</v>
      </c>
      <c r="L1991" t="s">
        <v>25</v>
      </c>
    </row>
    <row r="1992" spans="1:12">
      <c r="A1992" t="s">
        <v>4100</v>
      </c>
      <c r="B1992" t="s">
        <v>4101</v>
      </c>
      <c r="C1992" s="27">
        <v>45081</v>
      </c>
      <c r="D1992" s="25">
        <v>45086</v>
      </c>
      <c r="E1992" t="s">
        <v>14</v>
      </c>
      <c r="F1992">
        <v>84186</v>
      </c>
      <c r="G1992">
        <v>1163</v>
      </c>
      <c r="H1992">
        <v>1405.34</v>
      </c>
      <c r="I1992">
        <v>114</v>
      </c>
      <c r="J1992" t="b">
        <v>0</v>
      </c>
      <c r="L1992" t="s">
        <v>16</v>
      </c>
    </row>
    <row r="1993" spans="1:12">
      <c r="A1993" t="s">
        <v>4102</v>
      </c>
      <c r="B1993" t="s">
        <v>4103</v>
      </c>
      <c r="C1993" s="27">
        <v>45138</v>
      </c>
      <c r="D1993" s="25">
        <v>45168</v>
      </c>
      <c r="E1993" t="s">
        <v>41</v>
      </c>
      <c r="F1993">
        <v>27745</v>
      </c>
      <c r="G1993">
        <v>392</v>
      </c>
      <c r="H1993">
        <v>386.71</v>
      </c>
      <c r="I1993">
        <v>70</v>
      </c>
      <c r="J1993" t="s">
        <v>15</v>
      </c>
      <c r="L1993" t="s">
        <v>42</v>
      </c>
    </row>
    <row r="1994" spans="1:12">
      <c r="A1994" t="s">
        <v>4104</v>
      </c>
      <c r="B1994" t="s">
        <v>4105</v>
      </c>
      <c r="C1994" s="27">
        <v>45008</v>
      </c>
      <c r="D1994" s="25">
        <v>45012</v>
      </c>
      <c r="E1994" t="s">
        <v>41</v>
      </c>
      <c r="F1994">
        <v>32890</v>
      </c>
      <c r="G1994">
        <v>392</v>
      </c>
      <c r="H1994" s="26">
        <v>755.86</v>
      </c>
      <c r="I1994">
        <v>33</v>
      </c>
      <c r="J1994" t="s">
        <v>15</v>
      </c>
      <c r="L1994" t="s">
        <v>42</v>
      </c>
    </row>
    <row r="1995" spans="1:12">
      <c r="A1995" t="s">
        <v>4106</v>
      </c>
      <c r="B1995" t="s">
        <v>4107</v>
      </c>
      <c r="C1995" s="27">
        <v>45101</v>
      </c>
      <c r="D1995" s="25">
        <v>45124</v>
      </c>
      <c r="E1995" t="s">
        <v>19</v>
      </c>
      <c r="F1995">
        <v>21022</v>
      </c>
      <c r="G1995">
        <v>698</v>
      </c>
      <c r="H1995">
        <v>1211.36</v>
      </c>
      <c r="I1995">
        <v>98</v>
      </c>
      <c r="J1995">
        <v>1</v>
      </c>
      <c r="L1995" t="s">
        <v>20</v>
      </c>
    </row>
    <row r="1996" spans="1:12">
      <c r="A1996" t="s">
        <v>4108</v>
      </c>
      <c r="B1996" t="s">
        <v>4109</v>
      </c>
      <c r="C1996" s="27">
        <v>45147</v>
      </c>
      <c r="D1996" s="25">
        <v>45165</v>
      </c>
      <c r="E1996" t="s">
        <v>14</v>
      </c>
      <c r="F1996">
        <v>53579</v>
      </c>
      <c r="G1996">
        <v>1448</v>
      </c>
      <c r="H1996">
        <v>2263.95</v>
      </c>
      <c r="I1996">
        <v>159</v>
      </c>
      <c r="J1996" t="s">
        <v>30</v>
      </c>
      <c r="L1996" t="s">
        <v>16</v>
      </c>
    </row>
    <row r="1997" spans="1:12">
      <c r="A1997" t="s">
        <v>4110</v>
      </c>
      <c r="B1997" t="s">
        <v>4111</v>
      </c>
      <c r="C1997" s="27">
        <v>45102</v>
      </c>
      <c r="D1997" s="25">
        <v>45119</v>
      </c>
      <c r="E1997" t="s">
        <v>41</v>
      </c>
      <c r="F1997">
        <v>71316</v>
      </c>
      <c r="G1997">
        <v>2276</v>
      </c>
      <c r="H1997">
        <v>3144.16</v>
      </c>
      <c r="I1997">
        <v>184</v>
      </c>
      <c r="J1997">
        <v>1</v>
      </c>
      <c r="L1997" t="s">
        <v>42</v>
      </c>
    </row>
    <row r="1998" spans="1:12">
      <c r="A1998" t="s">
        <v>4112</v>
      </c>
      <c r="B1998" t="s">
        <v>4113</v>
      </c>
      <c r="C1998" s="27">
        <v>45266</v>
      </c>
      <c r="D1998" s="25">
        <v>45278</v>
      </c>
      <c r="E1998" t="s">
        <v>19</v>
      </c>
      <c r="F1998">
        <v>84847</v>
      </c>
      <c r="G1998">
        <v>2616</v>
      </c>
      <c r="H1998">
        <v>4528</v>
      </c>
      <c r="I1998">
        <v>449</v>
      </c>
      <c r="J1998">
        <v>0</v>
      </c>
      <c r="L1998" t="s">
        <v>20</v>
      </c>
    </row>
    <row r="1999" spans="1:12">
      <c r="A1999" t="s">
        <v>4114</v>
      </c>
      <c r="B1999" t="s">
        <v>4115</v>
      </c>
      <c r="C1999" s="27">
        <v>45291</v>
      </c>
      <c r="D1999" s="25">
        <v>45305</v>
      </c>
      <c r="E1999" t="s">
        <v>33</v>
      </c>
      <c r="F1999">
        <v>29380</v>
      </c>
      <c r="G1999">
        <v>705</v>
      </c>
      <c r="H1999">
        <v>767.32</v>
      </c>
      <c r="J1999" t="b">
        <v>0</v>
      </c>
      <c r="L1999" t="s">
        <v>34</v>
      </c>
    </row>
    <row r="2000" spans="1:12">
      <c r="A2000" t="s">
        <v>4116</v>
      </c>
      <c r="B2000" t="s">
        <v>4117</v>
      </c>
      <c r="C2000" s="27">
        <v>45230</v>
      </c>
      <c r="D2000" s="25">
        <v>45254</v>
      </c>
      <c r="E2000" t="s">
        <v>33</v>
      </c>
      <c r="F2000">
        <v>3356</v>
      </c>
      <c r="G2000">
        <v>124</v>
      </c>
      <c r="H2000">
        <v>145.24</v>
      </c>
      <c r="I2000">
        <v>18</v>
      </c>
      <c r="J2000">
        <v>0</v>
      </c>
      <c r="L2000" t="s">
        <v>34</v>
      </c>
    </row>
    <row r="2001" spans="1:12">
      <c r="A2001" t="s">
        <v>4118</v>
      </c>
      <c r="B2001" t="s">
        <v>4119</v>
      </c>
      <c r="C2001" s="27">
        <v>44976</v>
      </c>
      <c r="D2001" s="25">
        <v>44989</v>
      </c>
      <c r="E2001" t="s">
        <v>14</v>
      </c>
      <c r="F2001">
        <v>71326</v>
      </c>
      <c r="G2001">
        <v>2877</v>
      </c>
      <c r="H2001">
        <v>4588.82</v>
      </c>
      <c r="I2001">
        <v>245</v>
      </c>
      <c r="J2001" t="b">
        <v>1</v>
      </c>
      <c r="L2001" t="s">
        <v>16</v>
      </c>
    </row>
    <row r="2002" spans="1:12">
      <c r="A2002" t="s">
        <v>3876</v>
      </c>
      <c r="B2002" t="s">
        <v>3877</v>
      </c>
      <c r="C2002" s="27">
        <v>45288</v>
      </c>
      <c r="D2002" s="25">
        <v>45301</v>
      </c>
      <c r="E2002" t="s">
        <v>41</v>
      </c>
      <c r="F2002">
        <v>53098</v>
      </c>
      <c r="G2002">
        <v>559</v>
      </c>
      <c r="H2002">
        <v>992.65</v>
      </c>
      <c r="I2002">
        <v>63</v>
      </c>
      <c r="J2002" t="s">
        <v>24</v>
      </c>
      <c r="L2002" t="s">
        <v>42</v>
      </c>
    </row>
    <row r="2003" spans="1:12">
      <c r="A2003" t="s">
        <v>2677</v>
      </c>
      <c r="B2003" t="s">
        <v>2678</v>
      </c>
      <c r="C2003" s="27">
        <v>45114</v>
      </c>
      <c r="D2003" s="25">
        <v>45127</v>
      </c>
      <c r="E2003" t="s">
        <v>41</v>
      </c>
      <c r="F2003">
        <v>39258</v>
      </c>
      <c r="G2003">
        <v>1290</v>
      </c>
      <c r="H2003">
        <v>2331</v>
      </c>
      <c r="I2003">
        <v>123</v>
      </c>
      <c r="J2003" t="b">
        <v>0</v>
      </c>
      <c r="L2003" t="s">
        <v>42</v>
      </c>
    </row>
    <row r="2004" spans="1:12">
      <c r="A2004" t="s">
        <v>2948</v>
      </c>
      <c r="B2004" t="s">
        <v>2949</v>
      </c>
      <c r="C2004" s="27">
        <v>44947</v>
      </c>
      <c r="D2004" s="25">
        <v>44955</v>
      </c>
      <c r="E2004" t="s">
        <v>23</v>
      </c>
      <c r="F2004">
        <v>30373</v>
      </c>
      <c r="G2004">
        <v>1454</v>
      </c>
      <c r="H2004" s="26">
        <v>2640.72</v>
      </c>
      <c r="I2004">
        <v>110</v>
      </c>
      <c r="J2004" t="s">
        <v>30</v>
      </c>
      <c r="L2004" t="s">
        <v>25</v>
      </c>
    </row>
    <row r="2005" spans="1:12">
      <c r="A2005" t="s">
        <v>2211</v>
      </c>
      <c r="B2005" t="s">
        <v>2212</v>
      </c>
      <c r="C2005" s="27">
        <v>45048</v>
      </c>
      <c r="D2005" s="25">
        <v>45074</v>
      </c>
      <c r="E2005" t="s">
        <v>19</v>
      </c>
      <c r="F2005">
        <v>64076</v>
      </c>
      <c r="G2005">
        <v>1065</v>
      </c>
      <c r="H2005">
        <v>1371.03</v>
      </c>
      <c r="I2005">
        <v>169</v>
      </c>
      <c r="J2005">
        <v>1</v>
      </c>
      <c r="L2005" t="s">
        <v>20</v>
      </c>
    </row>
    <row r="2006" spans="1:12">
      <c r="A2006" t="s">
        <v>3309</v>
      </c>
      <c r="B2006" t="s">
        <v>3310</v>
      </c>
      <c r="C2006" s="25">
        <v>45241</v>
      </c>
      <c r="D2006" s="25">
        <v>45251</v>
      </c>
      <c r="E2006" t="s">
        <v>41</v>
      </c>
      <c r="F2006">
        <v>11816</v>
      </c>
      <c r="G2006">
        <v>374</v>
      </c>
      <c r="H2006">
        <v>460.42</v>
      </c>
      <c r="I2006">
        <v>67</v>
      </c>
      <c r="J2006" t="b">
        <v>0</v>
      </c>
      <c r="L2006" t="s">
        <v>42</v>
      </c>
    </row>
    <row r="2007" spans="1:12">
      <c r="A2007" t="s">
        <v>2602</v>
      </c>
      <c r="B2007" t="s">
        <v>2603</v>
      </c>
      <c r="C2007" s="27">
        <v>45186</v>
      </c>
      <c r="D2007" s="25">
        <v>45209</v>
      </c>
      <c r="E2007" t="s">
        <v>23</v>
      </c>
      <c r="F2007">
        <v>11395</v>
      </c>
      <c r="G2007">
        <v>320</v>
      </c>
      <c r="H2007">
        <v>232.66</v>
      </c>
      <c r="I2007">
        <v>40</v>
      </c>
      <c r="J2007">
        <v>1</v>
      </c>
      <c r="L2007" t="s">
        <v>25</v>
      </c>
    </row>
    <row r="2008" spans="1:12">
      <c r="A2008" t="s">
        <v>3221</v>
      </c>
      <c r="B2008" t="s">
        <v>3222</v>
      </c>
      <c r="C2008" s="27">
        <v>45277</v>
      </c>
      <c r="D2008" s="25">
        <v>45280</v>
      </c>
      <c r="E2008" t="s">
        <v>41</v>
      </c>
      <c r="F2008">
        <v>79187</v>
      </c>
      <c r="G2008">
        <v>2248</v>
      </c>
      <c r="H2008">
        <v>1796.19</v>
      </c>
      <c r="I2008">
        <v>148</v>
      </c>
      <c r="J2008" t="s">
        <v>15</v>
      </c>
      <c r="L2008" t="s">
        <v>42</v>
      </c>
    </row>
    <row r="2009" spans="1:12">
      <c r="A2009" t="s">
        <v>3080</v>
      </c>
      <c r="B2009" t="s">
        <v>3081</v>
      </c>
      <c r="C2009" s="27">
        <v>45075</v>
      </c>
      <c r="D2009" s="25">
        <v>45081</v>
      </c>
      <c r="E2009" t="s">
        <v>138</v>
      </c>
      <c r="F2009">
        <v>7960</v>
      </c>
      <c r="G2009">
        <v>271</v>
      </c>
      <c r="H2009">
        <v>141.35</v>
      </c>
      <c r="I2009">
        <v>35</v>
      </c>
      <c r="J2009" t="s">
        <v>15</v>
      </c>
      <c r="L2009" t="s">
        <v>139</v>
      </c>
    </row>
    <row r="2010" spans="1:12">
      <c r="A2010" t="s">
        <v>2849</v>
      </c>
      <c r="B2010" t="s">
        <v>2850</v>
      </c>
      <c r="C2010" s="27">
        <v>45281</v>
      </c>
      <c r="D2010" s="25">
        <v>45289</v>
      </c>
      <c r="E2010" t="s">
        <v>58</v>
      </c>
      <c r="F2010">
        <v>87143</v>
      </c>
      <c r="G2010">
        <v>2204</v>
      </c>
      <c r="H2010">
        <v>2649.14</v>
      </c>
      <c r="I2010">
        <v>391</v>
      </c>
      <c r="J2010" t="s">
        <v>30</v>
      </c>
      <c r="L2010" t="s">
        <v>59</v>
      </c>
    </row>
    <row r="2011" spans="1:12">
      <c r="A2011" t="s">
        <v>2736</v>
      </c>
      <c r="B2011" t="s">
        <v>2737</v>
      </c>
      <c r="C2011" s="27">
        <v>45110</v>
      </c>
      <c r="D2011" s="25">
        <v>45128</v>
      </c>
      <c r="E2011" t="s">
        <v>19</v>
      </c>
      <c r="F2011">
        <v>32480</v>
      </c>
      <c r="G2011">
        <v>943</v>
      </c>
      <c r="H2011">
        <v>1374.45</v>
      </c>
      <c r="I2011">
        <v>173</v>
      </c>
      <c r="J2011" t="s">
        <v>30</v>
      </c>
      <c r="L2011" t="s">
        <v>20</v>
      </c>
    </row>
    <row r="2012" spans="1:12">
      <c r="A2012" t="s">
        <v>931</v>
      </c>
      <c r="B2012" t="s">
        <v>932</v>
      </c>
      <c r="C2012" s="27">
        <v>45141</v>
      </c>
      <c r="D2012" s="25">
        <v>45165</v>
      </c>
      <c r="E2012" t="s">
        <v>41</v>
      </c>
      <c r="F2012">
        <v>88235</v>
      </c>
      <c r="G2012">
        <v>3182</v>
      </c>
      <c r="H2012">
        <v>5093.82</v>
      </c>
      <c r="I2012">
        <v>385</v>
      </c>
      <c r="J2012">
        <v>1</v>
      </c>
      <c r="L2012" t="s">
        <v>42</v>
      </c>
    </row>
    <row r="2013" spans="1:12">
      <c r="A2013" t="s">
        <v>2137</v>
      </c>
      <c r="B2013" t="s">
        <v>2138</v>
      </c>
      <c r="C2013" s="27">
        <v>45284</v>
      </c>
      <c r="D2013" s="25">
        <v>45296</v>
      </c>
      <c r="E2013" t="s">
        <v>14</v>
      </c>
      <c r="F2013">
        <v>54441</v>
      </c>
      <c r="G2013">
        <v>2158</v>
      </c>
      <c r="H2013" s="26">
        <v>2422.76</v>
      </c>
      <c r="I2013">
        <v>252</v>
      </c>
      <c r="J2013" t="s">
        <v>30</v>
      </c>
      <c r="L2013" t="s">
        <v>16</v>
      </c>
    </row>
    <row r="2014" spans="1:12">
      <c r="A2014" t="s">
        <v>2489</v>
      </c>
      <c r="B2014" t="s">
        <v>2490</v>
      </c>
      <c r="C2014" s="27">
        <v>45194</v>
      </c>
      <c r="D2014" s="25">
        <v>45214</v>
      </c>
      <c r="E2014" t="s">
        <v>23</v>
      </c>
      <c r="F2014">
        <v>54028</v>
      </c>
      <c r="G2014">
        <v>2254</v>
      </c>
      <c r="H2014">
        <v>1991.67</v>
      </c>
      <c r="I2014">
        <v>139</v>
      </c>
      <c r="J2014">
        <v>0</v>
      </c>
      <c r="L2014" t="s">
        <v>25</v>
      </c>
    </row>
    <row r="2015" spans="1:12">
      <c r="A2015" t="s">
        <v>823</v>
      </c>
      <c r="B2015" t="s">
        <v>824</v>
      </c>
      <c r="C2015" s="27">
        <v>45097</v>
      </c>
      <c r="D2015" s="25">
        <v>45102</v>
      </c>
      <c r="E2015" t="s">
        <v>14</v>
      </c>
      <c r="F2015">
        <v>57958</v>
      </c>
      <c r="G2015">
        <v>2328</v>
      </c>
      <c r="H2015" s="26">
        <v>2135.23</v>
      </c>
      <c r="I2015">
        <v>280</v>
      </c>
      <c r="J2015" t="s">
        <v>15</v>
      </c>
      <c r="L2015" t="s">
        <v>16</v>
      </c>
    </row>
    <row r="2016" spans="1:12">
      <c r="A2016" t="s">
        <v>405</v>
      </c>
      <c r="B2016" t="s">
        <v>406</v>
      </c>
      <c r="C2016" s="27">
        <v>45141</v>
      </c>
      <c r="D2016" s="25">
        <v>45165</v>
      </c>
      <c r="E2016" t="s">
        <v>266</v>
      </c>
      <c r="F2016">
        <v>56016</v>
      </c>
      <c r="G2016">
        <v>1728</v>
      </c>
      <c r="H2016">
        <v>1890.33</v>
      </c>
      <c r="I2016">
        <v>128</v>
      </c>
      <c r="J2016" t="s">
        <v>24</v>
      </c>
      <c r="L2016" t="s">
        <v>20</v>
      </c>
    </row>
    <row r="2017" spans="1:12">
      <c r="A2017" t="s">
        <v>848</v>
      </c>
      <c r="B2017" t="s">
        <v>849</v>
      </c>
      <c r="C2017" s="27">
        <v>45230</v>
      </c>
      <c r="D2017" s="25">
        <v>45243</v>
      </c>
      <c r="E2017" t="s">
        <v>14</v>
      </c>
      <c r="F2017">
        <v>30592</v>
      </c>
      <c r="G2017">
        <v>586</v>
      </c>
      <c r="H2017" s="26">
        <v>503.95</v>
      </c>
      <c r="I2017">
        <v>77</v>
      </c>
      <c r="J2017">
        <v>1</v>
      </c>
      <c r="L2017" t="s">
        <v>16</v>
      </c>
    </row>
    <row r="2018" spans="1:12">
      <c r="A2018" t="s">
        <v>2600</v>
      </c>
      <c r="B2018" t="s">
        <v>2601</v>
      </c>
      <c r="C2018" s="27">
        <v>45170</v>
      </c>
      <c r="D2018" s="25">
        <v>45195</v>
      </c>
      <c r="E2018" t="s">
        <v>41</v>
      </c>
      <c r="F2018">
        <v>20097</v>
      </c>
      <c r="G2018">
        <v>897</v>
      </c>
      <c r="H2018">
        <v>1641</v>
      </c>
      <c r="I2018">
        <v>162</v>
      </c>
      <c r="J2018">
        <v>0</v>
      </c>
      <c r="L2018" t="s">
        <v>42</v>
      </c>
    </row>
    <row r="2019" spans="1:12">
      <c r="A2019" t="s">
        <v>2183</v>
      </c>
      <c r="B2019" t="s">
        <v>2184</v>
      </c>
      <c r="C2019" s="27">
        <v>44966</v>
      </c>
      <c r="D2019" s="25">
        <v>44978</v>
      </c>
      <c r="E2019" t="s">
        <v>33</v>
      </c>
      <c r="F2019">
        <v>33254</v>
      </c>
      <c r="G2019">
        <v>1117</v>
      </c>
      <c r="H2019">
        <v>883.82</v>
      </c>
      <c r="I2019">
        <v>214</v>
      </c>
      <c r="J2019">
        <v>0</v>
      </c>
      <c r="L2019" t="s">
        <v>34</v>
      </c>
    </row>
    <row r="2020" spans="1:12">
      <c r="A2020" t="s">
        <v>2321</v>
      </c>
      <c r="B2020" t="s">
        <v>2322</v>
      </c>
      <c r="C2020" s="27">
        <v>45015</v>
      </c>
      <c r="D2020" s="25">
        <v>45043</v>
      </c>
      <c r="E2020" t="s">
        <v>19</v>
      </c>
      <c r="F2020">
        <v>68728</v>
      </c>
      <c r="G2020">
        <v>2960</v>
      </c>
      <c r="H2020">
        <v>4198.5</v>
      </c>
      <c r="I2020">
        <v>591</v>
      </c>
      <c r="J2020" t="s">
        <v>30</v>
      </c>
      <c r="L2020" t="s">
        <v>20</v>
      </c>
    </row>
    <row r="2021" spans="1:12">
      <c r="A2021" t="s">
        <v>3211</v>
      </c>
      <c r="B2021" t="s">
        <v>3212</v>
      </c>
      <c r="C2021" s="27">
        <v>45103</v>
      </c>
      <c r="D2021" s="25">
        <v>45116</v>
      </c>
      <c r="E2021" t="s">
        <v>23</v>
      </c>
      <c r="F2021">
        <v>96402</v>
      </c>
      <c r="G2021">
        <v>1090</v>
      </c>
      <c r="H2021">
        <v>1315.59</v>
      </c>
      <c r="I2021">
        <v>66</v>
      </c>
      <c r="J2021" t="s">
        <v>15</v>
      </c>
      <c r="L202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21"/>
  <sheetViews>
    <sheetView zoomScaleSheetLayoutView="60" topLeftCell="O1" workbookViewId="0">
      <selection activeCell="V10" sqref="V4:W10"/>
    </sheetView>
  </sheetViews>
  <sheetFormatPr defaultColWidth="10" defaultRowHeight="14.4"/>
  <cols>
    <col min="1" max="1" width="30.5555555555556" customWidth="1"/>
    <col min="2" max="2" width="32.2222222222222" customWidth="1"/>
    <col min="3" max="8" width="26.4444444444444" customWidth="1"/>
    <col min="9" max="9" width="21.6666666666667" customWidth="1"/>
    <col min="10" max="10" width="21.6666666666667" style="22" customWidth="1"/>
    <col min="11" max="11" width="18.7777777777778" customWidth="1"/>
    <col min="12" max="12" width="17.4444444444444" customWidth="1"/>
    <col min="13" max="13" width="19.4444444444444" customWidth="1"/>
    <col min="14" max="15" width="20" customWidth="1"/>
    <col min="16" max="16" width="16.8888888888889" customWidth="1"/>
    <col min="17" max="17" width="16.2222222222222" customWidth="1"/>
    <col min="19" max="19" width="18" customWidth="1"/>
    <col min="20" max="20" width="17.7777777777778" customWidth="1"/>
    <col min="23" max="23" width="10.6666666666667"/>
  </cols>
  <sheetData>
    <row r="1" spans="1:19">
      <c r="A1" t="s">
        <v>0</v>
      </c>
      <c r="B1" t="s">
        <v>1</v>
      </c>
      <c r="C1" t="s">
        <v>4120</v>
      </c>
      <c r="D1" t="s">
        <v>2</v>
      </c>
      <c r="E1" t="s">
        <v>4121</v>
      </c>
      <c r="F1" t="s">
        <v>4122</v>
      </c>
      <c r="G1" t="s">
        <v>4123</v>
      </c>
      <c r="H1" t="s">
        <v>4124</v>
      </c>
      <c r="I1" t="s">
        <v>3</v>
      </c>
      <c r="J1" s="24" t="s">
        <v>4125</v>
      </c>
      <c r="K1" t="s">
        <v>4</v>
      </c>
      <c r="L1" t="s">
        <v>5</v>
      </c>
      <c r="M1" t="s">
        <v>6</v>
      </c>
      <c r="N1" t="s">
        <v>7</v>
      </c>
      <c r="O1" t="s">
        <v>4126</v>
      </c>
      <c r="P1" t="s">
        <v>8</v>
      </c>
      <c r="Q1" t="s">
        <v>9</v>
      </c>
      <c r="R1" t="s">
        <v>10</v>
      </c>
      <c r="S1" t="s">
        <v>11</v>
      </c>
    </row>
    <row r="2" spans="1:19">
      <c r="A2" t="s">
        <v>12</v>
      </c>
      <c r="B2" t="s">
        <v>13</v>
      </c>
      <c r="C2" s="23" t="s">
        <v>4127</v>
      </c>
      <c r="D2" s="23">
        <v>45254</v>
      </c>
      <c r="E2" s="22">
        <v>11</v>
      </c>
      <c r="F2" s="22">
        <v>24</v>
      </c>
      <c r="G2" s="22">
        <v>2023</v>
      </c>
      <c r="H2" s="23">
        <f>IF(E2&gt;12,DATE(G2,F2,E2),D2)</f>
        <v>45254</v>
      </c>
      <c r="I2" s="25">
        <v>45273</v>
      </c>
      <c r="J2" s="22">
        <f>DATEDIF(H2,I2,"D")</f>
        <v>19</v>
      </c>
      <c r="K2" t="s">
        <v>14</v>
      </c>
      <c r="L2">
        <v>16795</v>
      </c>
      <c r="M2">
        <v>197</v>
      </c>
      <c r="N2" s="26">
        <v>102.82</v>
      </c>
      <c r="O2" s="26">
        <f>IF(N2&lt;$W$8,$W$8,IF(N2&gt;$W$9,$W$9,N2))</f>
        <v>102.82</v>
      </c>
      <c r="P2">
        <v>20</v>
      </c>
      <c r="Q2" t="b">
        <v>1</v>
      </c>
      <c r="S2" t="s">
        <v>16</v>
      </c>
    </row>
    <row r="3" spans="1:19">
      <c r="A3" t="s">
        <v>17</v>
      </c>
      <c r="B3" t="s">
        <v>18</v>
      </c>
      <c r="C3" s="23" t="s">
        <v>4128</v>
      </c>
      <c r="D3" s="23">
        <v>45052</v>
      </c>
      <c r="E3" s="22">
        <v>5</v>
      </c>
      <c r="F3" s="22">
        <v>6</v>
      </c>
      <c r="G3" s="22">
        <v>2023</v>
      </c>
      <c r="H3" s="23">
        <f t="shared" ref="H3:H66" si="0">IF(E3&gt;12,DATE(G3,F3,E3),D3)</f>
        <v>45052</v>
      </c>
      <c r="I3" s="25">
        <v>45058</v>
      </c>
      <c r="J3" s="22">
        <f t="shared" ref="J3:J66" si="1">DATEDIF(H3,I3,"D")</f>
        <v>6</v>
      </c>
      <c r="K3" t="s">
        <v>19</v>
      </c>
      <c r="L3">
        <v>1860</v>
      </c>
      <c r="M3">
        <v>30</v>
      </c>
      <c r="N3" s="26">
        <v>24.33</v>
      </c>
      <c r="O3" s="26">
        <f t="shared" ref="O3:O66" si="2">IF(N3&lt;$W$8,$W$8,IF(N3&gt;$W$9,$W$9,N3))</f>
        <v>24.33</v>
      </c>
      <c r="P3">
        <v>1</v>
      </c>
      <c r="Q3" t="b">
        <v>0</v>
      </c>
      <c r="S3" t="s">
        <v>20</v>
      </c>
    </row>
    <row r="4" spans="1:23">
      <c r="A4" t="s">
        <v>21</v>
      </c>
      <c r="B4" t="s">
        <v>22</v>
      </c>
      <c r="C4" s="23" t="s">
        <v>4129</v>
      </c>
      <c r="D4" s="23">
        <v>45273</v>
      </c>
      <c r="E4" s="22">
        <v>12</v>
      </c>
      <c r="F4" s="22">
        <v>13</v>
      </c>
      <c r="G4" s="22">
        <v>2023</v>
      </c>
      <c r="H4" s="23">
        <f t="shared" si="0"/>
        <v>45273</v>
      </c>
      <c r="I4" s="25">
        <v>45280</v>
      </c>
      <c r="J4" s="22">
        <f t="shared" si="1"/>
        <v>7</v>
      </c>
      <c r="K4" t="s">
        <v>23</v>
      </c>
      <c r="L4">
        <v>77820</v>
      </c>
      <c r="M4">
        <v>843</v>
      </c>
      <c r="N4" s="26">
        <v>1323.39</v>
      </c>
      <c r="O4" s="26">
        <f t="shared" si="2"/>
        <v>1323.39</v>
      </c>
      <c r="P4">
        <v>51</v>
      </c>
      <c r="Q4" t="b">
        <v>0</v>
      </c>
      <c r="S4" t="s">
        <v>25</v>
      </c>
      <c r="V4" t="s">
        <v>4130</v>
      </c>
      <c r="W4">
        <f>QUARTILE($N$2:$N$2021,1)</f>
        <v>649.9975</v>
      </c>
    </row>
    <row r="5" spans="1:23">
      <c r="A5" t="s">
        <v>26</v>
      </c>
      <c r="B5" t="s">
        <v>27</v>
      </c>
      <c r="C5" s="23" t="s">
        <v>4131</v>
      </c>
      <c r="D5" s="23">
        <v>45229</v>
      </c>
      <c r="E5" s="22">
        <v>10</v>
      </c>
      <c r="F5" s="22">
        <v>30</v>
      </c>
      <c r="G5" s="22">
        <v>2023</v>
      </c>
      <c r="H5" s="23">
        <f t="shared" si="0"/>
        <v>45229</v>
      </c>
      <c r="I5" s="25">
        <v>45233</v>
      </c>
      <c r="J5" s="22">
        <f t="shared" si="1"/>
        <v>4</v>
      </c>
      <c r="K5" t="s">
        <v>14</v>
      </c>
      <c r="L5">
        <v>55886</v>
      </c>
      <c r="M5">
        <v>2019</v>
      </c>
      <c r="N5" s="26">
        <v>2180.38</v>
      </c>
      <c r="O5" s="26">
        <f t="shared" si="2"/>
        <v>2180.38</v>
      </c>
      <c r="P5">
        <v>135</v>
      </c>
      <c r="Q5" t="b">
        <v>1</v>
      </c>
      <c r="S5" t="s">
        <v>16</v>
      </c>
      <c r="V5" t="s">
        <v>4132</v>
      </c>
      <c r="W5">
        <f>QUARTILE($N$2:$N$2021,3)</f>
        <v>2638.3825</v>
      </c>
    </row>
    <row r="6" spans="1:19">
      <c r="A6" t="s">
        <v>28</v>
      </c>
      <c r="B6" t="s">
        <v>29</v>
      </c>
      <c r="C6" s="23" t="s">
        <v>4129</v>
      </c>
      <c r="D6" s="23">
        <v>45038</v>
      </c>
      <c r="E6" s="22">
        <v>4</v>
      </c>
      <c r="F6" s="22">
        <v>22</v>
      </c>
      <c r="G6" s="22">
        <v>2023</v>
      </c>
      <c r="H6" s="23">
        <f t="shared" si="0"/>
        <v>45038</v>
      </c>
      <c r="I6" s="25">
        <v>45039</v>
      </c>
      <c r="J6" s="22">
        <f t="shared" si="1"/>
        <v>1</v>
      </c>
      <c r="K6" t="s">
        <v>19</v>
      </c>
      <c r="L6">
        <v>7265</v>
      </c>
      <c r="M6">
        <v>169</v>
      </c>
      <c r="N6" s="26">
        <v>252.44</v>
      </c>
      <c r="O6" s="26">
        <f t="shared" si="2"/>
        <v>252.44</v>
      </c>
      <c r="P6">
        <v>30</v>
      </c>
      <c r="Q6" t="b">
        <v>1</v>
      </c>
      <c r="S6" t="s">
        <v>20</v>
      </c>
    </row>
    <row r="7" spans="1:23">
      <c r="A7" t="s">
        <v>31</v>
      </c>
      <c r="B7" t="s">
        <v>32</v>
      </c>
      <c r="C7" s="23" t="s">
        <v>4131</v>
      </c>
      <c r="D7" s="23">
        <v>45214</v>
      </c>
      <c r="E7" s="22">
        <v>10</v>
      </c>
      <c r="F7" s="22">
        <v>15</v>
      </c>
      <c r="G7" s="22">
        <v>2023</v>
      </c>
      <c r="H7" s="23">
        <f t="shared" si="0"/>
        <v>45214</v>
      </c>
      <c r="I7" s="25">
        <v>45227</v>
      </c>
      <c r="J7" s="22">
        <f t="shared" si="1"/>
        <v>13</v>
      </c>
      <c r="K7" t="s">
        <v>33</v>
      </c>
      <c r="L7">
        <v>83386</v>
      </c>
      <c r="M7">
        <v>2643</v>
      </c>
      <c r="N7" s="26">
        <v>2697.03</v>
      </c>
      <c r="O7" s="26">
        <f t="shared" si="2"/>
        <v>2697.03</v>
      </c>
      <c r="P7">
        <v>0</v>
      </c>
      <c r="Q7" t="b">
        <v>1</v>
      </c>
      <c r="S7" t="s">
        <v>34</v>
      </c>
      <c r="V7" t="s">
        <v>4133</v>
      </c>
      <c r="W7">
        <f>W5-W4</f>
        <v>1988.385</v>
      </c>
    </row>
    <row r="8" spans="1:23">
      <c r="A8" t="s">
        <v>35</v>
      </c>
      <c r="B8" t="s">
        <v>36</v>
      </c>
      <c r="C8" s="23" t="s">
        <v>4128</v>
      </c>
      <c r="D8" s="23">
        <v>45206</v>
      </c>
      <c r="E8" s="22">
        <v>10</v>
      </c>
      <c r="F8" s="22">
        <v>7</v>
      </c>
      <c r="G8" s="22">
        <v>2023</v>
      </c>
      <c r="H8" s="23">
        <f t="shared" si="0"/>
        <v>45206</v>
      </c>
      <c r="I8" s="25">
        <v>45222</v>
      </c>
      <c r="J8" s="22">
        <f t="shared" si="1"/>
        <v>16</v>
      </c>
      <c r="K8" t="s">
        <v>19</v>
      </c>
      <c r="L8">
        <v>38194</v>
      </c>
      <c r="M8">
        <v>1135</v>
      </c>
      <c r="N8" s="26">
        <v>1232.76</v>
      </c>
      <c r="O8" s="26">
        <f t="shared" si="2"/>
        <v>1232.76</v>
      </c>
      <c r="P8">
        <v>178</v>
      </c>
      <c r="Q8" t="b">
        <v>1</v>
      </c>
      <c r="S8" t="s">
        <v>20</v>
      </c>
      <c r="V8" t="s">
        <v>4134</v>
      </c>
      <c r="W8">
        <f>W4-(W7*0.5)</f>
        <v>-344.195</v>
      </c>
    </row>
    <row r="9" spans="1:23">
      <c r="A9" t="s">
        <v>37</v>
      </c>
      <c r="B9" t="s">
        <v>38</v>
      </c>
      <c r="C9" s="23" t="s">
        <v>4128</v>
      </c>
      <c r="D9" s="23">
        <v>45069</v>
      </c>
      <c r="E9" s="22">
        <v>5</v>
      </c>
      <c r="F9" s="22">
        <v>23</v>
      </c>
      <c r="G9" s="22">
        <v>2023</v>
      </c>
      <c r="H9" s="23">
        <f t="shared" si="0"/>
        <v>45069</v>
      </c>
      <c r="I9" s="25">
        <v>45074</v>
      </c>
      <c r="J9" s="22">
        <f t="shared" si="1"/>
        <v>5</v>
      </c>
      <c r="K9" t="s">
        <v>33</v>
      </c>
      <c r="L9">
        <v>88498</v>
      </c>
      <c r="M9">
        <v>1173</v>
      </c>
      <c r="N9" s="26">
        <v>865.7</v>
      </c>
      <c r="O9" s="26">
        <f t="shared" si="2"/>
        <v>865.7</v>
      </c>
      <c r="P9">
        <v>127</v>
      </c>
      <c r="Q9" t="b">
        <v>1</v>
      </c>
      <c r="S9" t="s">
        <v>34</v>
      </c>
      <c r="V9" t="s">
        <v>4135</v>
      </c>
      <c r="W9">
        <f>W5+(W7*0.5)</f>
        <v>3632.575</v>
      </c>
    </row>
    <row r="10" spans="1:19">
      <c r="A10" t="s">
        <v>39</v>
      </c>
      <c r="B10" t="s">
        <v>40</v>
      </c>
      <c r="C10" s="23" t="s">
        <v>4131</v>
      </c>
      <c r="D10" s="23">
        <v>45008</v>
      </c>
      <c r="E10" s="22">
        <v>3</v>
      </c>
      <c r="F10" s="22">
        <v>23</v>
      </c>
      <c r="G10" s="22">
        <v>2023</v>
      </c>
      <c r="H10" s="23">
        <f t="shared" si="0"/>
        <v>45008</v>
      </c>
      <c r="I10" s="25">
        <v>45017</v>
      </c>
      <c r="J10" s="22">
        <f t="shared" si="1"/>
        <v>9</v>
      </c>
      <c r="K10" t="s">
        <v>41</v>
      </c>
      <c r="L10">
        <v>45131</v>
      </c>
      <c r="M10">
        <v>1179</v>
      </c>
      <c r="N10" s="26">
        <v>1046.18</v>
      </c>
      <c r="O10" s="26">
        <f t="shared" si="2"/>
        <v>1046.18</v>
      </c>
      <c r="P10">
        <v>104</v>
      </c>
      <c r="Q10" t="b">
        <v>1</v>
      </c>
      <c r="S10" t="s">
        <v>42</v>
      </c>
    </row>
    <row r="11" spans="1:19">
      <c r="A11" t="s">
        <v>43</v>
      </c>
      <c r="B11" t="s">
        <v>44</v>
      </c>
      <c r="C11" s="23" t="s">
        <v>4129</v>
      </c>
      <c r="D11" s="23">
        <v>45006</v>
      </c>
      <c r="E11" s="22">
        <v>3</v>
      </c>
      <c r="F11" s="22">
        <v>21</v>
      </c>
      <c r="G11" s="22">
        <v>2023</v>
      </c>
      <c r="H11" s="23">
        <f t="shared" si="0"/>
        <v>45006</v>
      </c>
      <c r="I11" s="25">
        <v>45017</v>
      </c>
      <c r="J11" s="22">
        <f t="shared" si="1"/>
        <v>11</v>
      </c>
      <c r="K11" t="s">
        <v>23</v>
      </c>
      <c r="L11">
        <v>61263</v>
      </c>
      <c r="M11">
        <v>1153</v>
      </c>
      <c r="N11" s="26">
        <v>1623.56</v>
      </c>
      <c r="O11" s="26">
        <f t="shared" si="2"/>
        <v>1623.56</v>
      </c>
      <c r="P11">
        <v>0</v>
      </c>
      <c r="Q11" t="b">
        <v>0</v>
      </c>
      <c r="S11" t="s">
        <v>25</v>
      </c>
    </row>
    <row r="12" spans="1:19">
      <c r="A12" t="s">
        <v>45</v>
      </c>
      <c r="B12" t="s">
        <v>46</v>
      </c>
      <c r="C12" s="23" t="s">
        <v>4128</v>
      </c>
      <c r="D12" s="23" t="s">
        <v>47</v>
      </c>
      <c r="E12" s="22">
        <v>22</v>
      </c>
      <c r="F12" s="22">
        <v>2</v>
      </c>
      <c r="G12" s="22">
        <v>2023</v>
      </c>
      <c r="H12" s="23">
        <f t="shared" si="0"/>
        <v>44979</v>
      </c>
      <c r="I12" s="25">
        <v>44986</v>
      </c>
      <c r="J12" s="22">
        <f t="shared" si="1"/>
        <v>7</v>
      </c>
      <c r="K12" t="s">
        <v>33</v>
      </c>
      <c r="L12">
        <v>17023</v>
      </c>
      <c r="M12">
        <v>455</v>
      </c>
      <c r="N12" s="26">
        <v>523.13</v>
      </c>
      <c r="O12" s="26">
        <f t="shared" si="2"/>
        <v>523.13</v>
      </c>
      <c r="P12">
        <v>76</v>
      </c>
      <c r="Q12" t="b">
        <v>1</v>
      </c>
      <c r="S12" t="s">
        <v>34</v>
      </c>
    </row>
    <row r="13" spans="1:20">
      <c r="A13" t="s">
        <v>48</v>
      </c>
      <c r="B13" t="s">
        <v>49</v>
      </c>
      <c r="C13" s="23" t="s">
        <v>4128</v>
      </c>
      <c r="D13" s="23">
        <v>44976</v>
      </c>
      <c r="E13" s="22">
        <v>2</v>
      </c>
      <c r="F13" s="22">
        <v>19</v>
      </c>
      <c r="G13" s="22">
        <v>2023</v>
      </c>
      <c r="H13" s="23">
        <f t="shared" si="0"/>
        <v>44976</v>
      </c>
      <c r="I13" s="25">
        <v>44977</v>
      </c>
      <c r="J13" s="22">
        <f t="shared" si="1"/>
        <v>1</v>
      </c>
      <c r="K13" t="s">
        <v>41</v>
      </c>
      <c r="L13">
        <v>42090</v>
      </c>
      <c r="M13">
        <v>763</v>
      </c>
      <c r="N13" s="26">
        <v>1267.69</v>
      </c>
      <c r="O13" s="26">
        <f t="shared" si="2"/>
        <v>1267.69</v>
      </c>
      <c r="P13">
        <v>109</v>
      </c>
      <c r="Q13" t="b">
        <v>0</v>
      </c>
      <c r="S13" t="s">
        <v>42</v>
      </c>
      <c r="T13" t="s">
        <v>4136</v>
      </c>
    </row>
    <row r="14" spans="1:19">
      <c r="A14" t="s">
        <v>50</v>
      </c>
      <c r="B14" t="s">
        <v>51</v>
      </c>
      <c r="C14" s="23" t="s">
        <v>4128</v>
      </c>
      <c r="D14" s="23">
        <v>45062</v>
      </c>
      <c r="E14" s="22">
        <v>5</v>
      </c>
      <c r="F14" s="22">
        <v>16</v>
      </c>
      <c r="G14" s="22">
        <v>2023</v>
      </c>
      <c r="H14" s="23">
        <f t="shared" si="0"/>
        <v>45062</v>
      </c>
      <c r="I14" s="25">
        <v>45078</v>
      </c>
      <c r="J14" s="22">
        <f t="shared" si="1"/>
        <v>16</v>
      </c>
      <c r="K14" t="s">
        <v>41</v>
      </c>
      <c r="L14">
        <v>68221</v>
      </c>
      <c r="M14">
        <v>2975</v>
      </c>
      <c r="N14" s="26">
        <v>5292.16</v>
      </c>
      <c r="O14" s="26">
        <f t="shared" si="2"/>
        <v>3632.575</v>
      </c>
      <c r="P14">
        <v>567</v>
      </c>
      <c r="Q14" t="b">
        <v>0</v>
      </c>
      <c r="S14" t="s">
        <v>42</v>
      </c>
    </row>
    <row r="15" spans="1:19">
      <c r="A15" t="s">
        <v>52</v>
      </c>
      <c r="B15" t="s">
        <v>53</v>
      </c>
      <c r="C15" s="23" t="s">
        <v>4128</v>
      </c>
      <c r="D15" s="23">
        <v>45201</v>
      </c>
      <c r="E15" s="22">
        <v>10</v>
      </c>
      <c r="F15" s="22">
        <v>2</v>
      </c>
      <c r="G15" s="22">
        <v>2023</v>
      </c>
      <c r="H15" s="23">
        <f t="shared" si="0"/>
        <v>45201</v>
      </c>
      <c r="I15" s="25">
        <v>45214</v>
      </c>
      <c r="J15" s="22">
        <f t="shared" si="1"/>
        <v>13</v>
      </c>
      <c r="K15" t="s">
        <v>14</v>
      </c>
      <c r="L15">
        <v>65820</v>
      </c>
      <c r="M15">
        <v>1116</v>
      </c>
      <c r="N15" s="26">
        <v>1464.72</v>
      </c>
      <c r="O15" s="26">
        <f t="shared" si="2"/>
        <v>1464.72</v>
      </c>
      <c r="P15">
        <v>169</v>
      </c>
      <c r="Q15" t="b">
        <v>1</v>
      </c>
      <c r="S15" t="s">
        <v>16</v>
      </c>
    </row>
    <row r="16" spans="1:19">
      <c r="A16" t="s">
        <v>54</v>
      </c>
      <c r="B16" t="s">
        <v>55</v>
      </c>
      <c r="C16" s="23" t="s">
        <v>4127</v>
      </c>
      <c r="D16" s="23">
        <v>44967</v>
      </c>
      <c r="E16" s="22">
        <v>2</v>
      </c>
      <c r="F16" s="22">
        <v>10</v>
      </c>
      <c r="G16" s="22">
        <v>2023</v>
      </c>
      <c r="H16" s="23">
        <f t="shared" si="0"/>
        <v>44967</v>
      </c>
      <c r="I16" s="25">
        <v>44973</v>
      </c>
      <c r="J16" s="22">
        <f t="shared" si="1"/>
        <v>6</v>
      </c>
      <c r="K16" t="s">
        <v>41</v>
      </c>
      <c r="L16">
        <v>1769</v>
      </c>
      <c r="M16">
        <v>85</v>
      </c>
      <c r="N16" s="26">
        <v>139.18</v>
      </c>
      <c r="O16" s="26">
        <f t="shared" si="2"/>
        <v>139.18</v>
      </c>
      <c r="P16">
        <v>11</v>
      </c>
      <c r="Q16" t="b">
        <v>1</v>
      </c>
      <c r="S16" t="s">
        <v>42</v>
      </c>
    </row>
    <row r="17" spans="1:19">
      <c r="A17" t="s">
        <v>56</v>
      </c>
      <c r="B17" t="s">
        <v>57</v>
      </c>
      <c r="C17" s="23" t="s">
        <v>4131</v>
      </c>
      <c r="D17" s="23">
        <v>45243</v>
      </c>
      <c r="E17" s="22">
        <v>11</v>
      </c>
      <c r="F17" s="22">
        <v>13</v>
      </c>
      <c r="G17" s="22">
        <v>2023</v>
      </c>
      <c r="H17" s="23">
        <f t="shared" si="0"/>
        <v>45243</v>
      </c>
      <c r="I17" s="25">
        <v>45253</v>
      </c>
      <c r="J17" s="22">
        <f t="shared" si="1"/>
        <v>10</v>
      </c>
      <c r="K17" t="s">
        <v>58</v>
      </c>
      <c r="L17">
        <v>60735</v>
      </c>
      <c r="M17">
        <v>1617</v>
      </c>
      <c r="N17" s="26">
        <v>1552.9</v>
      </c>
      <c r="O17" s="26">
        <f t="shared" si="2"/>
        <v>1552.9</v>
      </c>
      <c r="P17">
        <v>228</v>
      </c>
      <c r="Q17" t="b">
        <v>1</v>
      </c>
      <c r="S17" t="s">
        <v>59</v>
      </c>
    </row>
    <row r="18" spans="1:19">
      <c r="A18" t="s">
        <v>60</v>
      </c>
      <c r="B18" t="s">
        <v>61</v>
      </c>
      <c r="C18" s="23" t="s">
        <v>4129</v>
      </c>
      <c r="D18" s="23">
        <v>45025</v>
      </c>
      <c r="E18" s="22">
        <v>4</v>
      </c>
      <c r="F18" s="22">
        <v>9</v>
      </c>
      <c r="G18" s="22">
        <v>2023</v>
      </c>
      <c r="H18" s="23">
        <f t="shared" si="0"/>
        <v>45025</v>
      </c>
      <c r="I18" s="25">
        <v>45200</v>
      </c>
      <c r="J18" s="22">
        <f t="shared" si="1"/>
        <v>175</v>
      </c>
      <c r="K18" t="s">
        <v>23</v>
      </c>
      <c r="L18">
        <v>63955</v>
      </c>
      <c r="M18">
        <v>2804</v>
      </c>
      <c r="N18" s="26">
        <v>3147.37</v>
      </c>
      <c r="O18" s="26">
        <f t="shared" si="2"/>
        <v>3147.37</v>
      </c>
      <c r="P18">
        <v>536</v>
      </c>
      <c r="Q18" t="b">
        <v>0</v>
      </c>
      <c r="S18" t="s">
        <v>25</v>
      </c>
    </row>
    <row r="19" spans="1:19">
      <c r="A19" t="s">
        <v>62</v>
      </c>
      <c r="B19" t="s">
        <v>63</v>
      </c>
      <c r="C19" s="23" t="s">
        <v>4131</v>
      </c>
      <c r="D19" s="23">
        <v>45043</v>
      </c>
      <c r="E19" s="22">
        <v>4</v>
      </c>
      <c r="F19" s="22">
        <v>27</v>
      </c>
      <c r="G19" s="22">
        <v>2023</v>
      </c>
      <c r="H19" s="23">
        <f t="shared" si="0"/>
        <v>45043</v>
      </c>
      <c r="I19" s="25">
        <v>45071</v>
      </c>
      <c r="J19" s="22">
        <f t="shared" si="1"/>
        <v>28</v>
      </c>
      <c r="K19" t="s">
        <v>33</v>
      </c>
      <c r="L19">
        <v>65925</v>
      </c>
      <c r="M19">
        <v>2317</v>
      </c>
      <c r="N19" s="26">
        <v>3635.76</v>
      </c>
      <c r="O19" s="26">
        <f t="shared" si="2"/>
        <v>3632.575</v>
      </c>
      <c r="P19">
        <v>389</v>
      </c>
      <c r="Q19" t="b">
        <v>1</v>
      </c>
      <c r="S19" t="s">
        <v>34</v>
      </c>
    </row>
    <row r="20" spans="1:19">
      <c r="A20" t="s">
        <v>64</v>
      </c>
      <c r="B20" t="s">
        <v>65</v>
      </c>
      <c r="C20" s="23" t="s">
        <v>4129</v>
      </c>
      <c r="D20" s="23">
        <v>45046</v>
      </c>
      <c r="E20" s="22">
        <v>4</v>
      </c>
      <c r="F20" s="22">
        <v>30</v>
      </c>
      <c r="G20" s="22">
        <v>2023</v>
      </c>
      <c r="H20" s="23">
        <f t="shared" si="0"/>
        <v>45046</v>
      </c>
      <c r="I20" s="25">
        <v>45064</v>
      </c>
      <c r="J20" s="22">
        <f t="shared" si="1"/>
        <v>18</v>
      </c>
      <c r="K20" t="s">
        <v>19</v>
      </c>
      <c r="L20">
        <v>68969</v>
      </c>
      <c r="M20">
        <v>2718</v>
      </c>
      <c r="N20" s="26">
        <v>2933.59</v>
      </c>
      <c r="O20" s="26">
        <f t="shared" si="2"/>
        <v>2933.59</v>
      </c>
      <c r="P20">
        <v>145</v>
      </c>
      <c r="Q20" t="b">
        <v>0</v>
      </c>
      <c r="S20" t="s">
        <v>20</v>
      </c>
    </row>
    <row r="21" spans="1:19">
      <c r="A21" t="s">
        <v>66</v>
      </c>
      <c r="B21" t="s">
        <v>67</v>
      </c>
      <c r="C21" s="23" t="s">
        <v>4127</v>
      </c>
      <c r="D21" s="23">
        <v>45159</v>
      </c>
      <c r="E21" s="22">
        <v>8</v>
      </c>
      <c r="F21" s="22">
        <v>21</v>
      </c>
      <c r="G21" s="22">
        <v>2023</v>
      </c>
      <c r="H21" s="23">
        <f t="shared" si="0"/>
        <v>45159</v>
      </c>
      <c r="I21" s="25">
        <v>45168</v>
      </c>
      <c r="J21" s="22">
        <f t="shared" si="1"/>
        <v>9</v>
      </c>
      <c r="K21" t="s">
        <v>23</v>
      </c>
      <c r="L21">
        <v>6311</v>
      </c>
      <c r="M21">
        <v>256</v>
      </c>
      <c r="N21" s="26">
        <v>353.99</v>
      </c>
      <c r="O21" s="26">
        <f t="shared" si="2"/>
        <v>353.99</v>
      </c>
      <c r="P21">
        <v>0</v>
      </c>
      <c r="Q21" t="b">
        <v>1</v>
      </c>
      <c r="S21" t="s">
        <v>68</v>
      </c>
    </row>
    <row r="22" spans="1:19">
      <c r="A22" t="s">
        <v>69</v>
      </c>
      <c r="B22" t="s">
        <v>70</v>
      </c>
      <c r="C22" s="23" t="s">
        <v>4131</v>
      </c>
      <c r="D22" s="23">
        <v>45116</v>
      </c>
      <c r="E22" s="22">
        <v>7</v>
      </c>
      <c r="F22" s="22">
        <v>9</v>
      </c>
      <c r="G22" s="22">
        <v>2023</v>
      </c>
      <c r="H22" s="23">
        <f t="shared" si="0"/>
        <v>45116</v>
      </c>
      <c r="I22" s="25">
        <v>45124</v>
      </c>
      <c r="J22" s="22">
        <f t="shared" si="1"/>
        <v>8</v>
      </c>
      <c r="K22" t="s">
        <v>19</v>
      </c>
      <c r="L22">
        <v>84104</v>
      </c>
      <c r="M22">
        <v>2539</v>
      </c>
      <c r="N22" s="26">
        <v>1975.49</v>
      </c>
      <c r="O22" s="26">
        <f t="shared" si="2"/>
        <v>1975.49</v>
      </c>
      <c r="P22">
        <v>0</v>
      </c>
      <c r="Q22" t="b">
        <v>1</v>
      </c>
      <c r="S22" t="s">
        <v>20</v>
      </c>
    </row>
    <row r="23" spans="1:19">
      <c r="A23" t="s">
        <v>71</v>
      </c>
      <c r="B23" t="s">
        <v>72</v>
      </c>
      <c r="C23" s="23" t="s">
        <v>4131</v>
      </c>
      <c r="D23" s="23">
        <v>45286</v>
      </c>
      <c r="E23" s="22">
        <v>12</v>
      </c>
      <c r="F23" s="22">
        <v>26</v>
      </c>
      <c r="G23" s="22">
        <v>2023</v>
      </c>
      <c r="H23" s="23">
        <f t="shared" si="0"/>
        <v>45286</v>
      </c>
      <c r="I23" s="25">
        <v>45293</v>
      </c>
      <c r="J23" s="22">
        <f t="shared" si="1"/>
        <v>7</v>
      </c>
      <c r="K23" t="s">
        <v>41</v>
      </c>
      <c r="L23">
        <v>54707</v>
      </c>
      <c r="M23">
        <v>1735</v>
      </c>
      <c r="N23" s="26">
        <v>2428.4</v>
      </c>
      <c r="O23" s="26">
        <f t="shared" si="2"/>
        <v>2428.4</v>
      </c>
      <c r="P23">
        <v>0</v>
      </c>
      <c r="Q23" t="b">
        <v>1</v>
      </c>
      <c r="S23" t="s">
        <v>42</v>
      </c>
    </row>
    <row r="24" spans="1:19">
      <c r="A24" t="s">
        <v>73</v>
      </c>
      <c r="B24" t="s">
        <v>74</v>
      </c>
      <c r="C24" s="23" t="s">
        <v>4129</v>
      </c>
      <c r="D24" s="23">
        <v>45238</v>
      </c>
      <c r="E24" s="22">
        <v>11</v>
      </c>
      <c r="F24" s="22">
        <v>8</v>
      </c>
      <c r="G24" s="22">
        <v>2023</v>
      </c>
      <c r="H24" s="23">
        <f t="shared" si="0"/>
        <v>45238</v>
      </c>
      <c r="I24" s="25">
        <v>45254</v>
      </c>
      <c r="J24" s="22">
        <f t="shared" si="1"/>
        <v>16</v>
      </c>
      <c r="K24" t="s">
        <v>41</v>
      </c>
      <c r="L24">
        <v>86305</v>
      </c>
      <c r="M24">
        <v>2637</v>
      </c>
      <c r="N24" s="26">
        <v>4726.22</v>
      </c>
      <c r="O24" s="26">
        <f t="shared" si="2"/>
        <v>3632.575</v>
      </c>
      <c r="P24">
        <v>216</v>
      </c>
      <c r="Q24" t="b">
        <v>0</v>
      </c>
      <c r="R24">
        <v>86385</v>
      </c>
      <c r="S24" t="s">
        <v>42</v>
      </c>
    </row>
    <row r="25" spans="1:19">
      <c r="A25" t="s">
        <v>75</v>
      </c>
      <c r="B25" t="s">
        <v>76</v>
      </c>
      <c r="C25" s="23" t="s">
        <v>4129</v>
      </c>
      <c r="D25" s="23">
        <v>45052</v>
      </c>
      <c r="E25" s="22">
        <v>5</v>
      </c>
      <c r="F25" s="22">
        <v>6</v>
      </c>
      <c r="G25" s="22">
        <v>2023</v>
      </c>
      <c r="H25" s="23">
        <f t="shared" si="0"/>
        <v>45052</v>
      </c>
      <c r="I25" s="25">
        <v>45047</v>
      </c>
      <c r="J25" s="22">
        <f t="shared" si="1"/>
        <v>-5</v>
      </c>
      <c r="K25" t="s">
        <v>33</v>
      </c>
      <c r="L25">
        <v>29693</v>
      </c>
      <c r="M25">
        <v>995</v>
      </c>
      <c r="N25" s="26">
        <v>1793.94</v>
      </c>
      <c r="O25" s="26">
        <f t="shared" si="2"/>
        <v>1793.94</v>
      </c>
      <c r="P25">
        <v>179</v>
      </c>
      <c r="Q25" t="b">
        <v>0</v>
      </c>
      <c r="S25" t="s">
        <v>34</v>
      </c>
    </row>
    <row r="26" spans="1:19">
      <c r="A26" t="s">
        <v>77</v>
      </c>
      <c r="B26" t="s">
        <v>78</v>
      </c>
      <c r="C26" s="23" t="s">
        <v>4129</v>
      </c>
      <c r="D26" s="23">
        <v>45254</v>
      </c>
      <c r="E26" s="22">
        <v>11</v>
      </c>
      <c r="F26" s="22">
        <v>24</v>
      </c>
      <c r="G26" s="22">
        <v>2023</v>
      </c>
      <c r="H26" s="23">
        <f t="shared" si="0"/>
        <v>45254</v>
      </c>
      <c r="I26" s="25">
        <v>45278</v>
      </c>
      <c r="J26" s="22">
        <f t="shared" si="1"/>
        <v>24</v>
      </c>
      <c r="K26" t="s">
        <v>23</v>
      </c>
      <c r="L26">
        <v>72932</v>
      </c>
      <c r="M26">
        <v>815</v>
      </c>
      <c r="N26" s="26">
        <v>1293.01</v>
      </c>
      <c r="O26" s="26">
        <f t="shared" si="2"/>
        <v>1293.01</v>
      </c>
      <c r="P26">
        <v>157</v>
      </c>
      <c r="Q26" t="b">
        <v>0</v>
      </c>
      <c r="S26" t="s">
        <v>25</v>
      </c>
    </row>
    <row r="27" spans="1:19">
      <c r="A27" t="s">
        <v>79</v>
      </c>
      <c r="B27" t="s">
        <v>80</v>
      </c>
      <c r="C27" s="23" t="s">
        <v>4129</v>
      </c>
      <c r="D27" s="23">
        <v>45093</v>
      </c>
      <c r="E27" s="22">
        <v>6</v>
      </c>
      <c r="F27" s="22">
        <v>16</v>
      </c>
      <c r="G27" s="22">
        <v>2023</v>
      </c>
      <c r="H27" s="23">
        <f t="shared" si="0"/>
        <v>45093</v>
      </c>
      <c r="I27" s="25">
        <v>45109</v>
      </c>
      <c r="J27" s="22">
        <f t="shared" si="1"/>
        <v>16</v>
      </c>
      <c r="K27" t="s">
        <v>41</v>
      </c>
      <c r="L27">
        <v>94016</v>
      </c>
      <c r="M27">
        <v>2427</v>
      </c>
      <c r="N27" s="26">
        <v>3928.42</v>
      </c>
      <c r="O27" s="26">
        <f t="shared" si="2"/>
        <v>3632.575</v>
      </c>
      <c r="P27">
        <v>207</v>
      </c>
      <c r="Q27" t="b">
        <v>0</v>
      </c>
      <c r="S27" t="s">
        <v>42</v>
      </c>
    </row>
    <row r="28" spans="1:19">
      <c r="A28" t="s">
        <v>81</v>
      </c>
      <c r="B28" t="s">
        <v>82</v>
      </c>
      <c r="C28" s="23" t="s">
        <v>4129</v>
      </c>
      <c r="D28" s="23">
        <v>45044</v>
      </c>
      <c r="E28" s="22">
        <v>4</v>
      </c>
      <c r="F28" s="22">
        <v>28</v>
      </c>
      <c r="G28" s="22">
        <v>2023</v>
      </c>
      <c r="H28" s="23">
        <f t="shared" si="0"/>
        <v>45044</v>
      </c>
      <c r="I28" s="25">
        <v>45058</v>
      </c>
      <c r="J28" s="22">
        <f t="shared" si="1"/>
        <v>14</v>
      </c>
      <c r="K28" t="s">
        <v>14</v>
      </c>
      <c r="L28">
        <v>26658</v>
      </c>
      <c r="M28">
        <v>912</v>
      </c>
      <c r="N28" s="26">
        <v>1219.24</v>
      </c>
      <c r="O28" s="26">
        <f t="shared" si="2"/>
        <v>1219.24</v>
      </c>
      <c r="P28">
        <v>166</v>
      </c>
      <c r="Q28" t="b">
        <v>1</v>
      </c>
      <c r="S28" t="s">
        <v>16</v>
      </c>
    </row>
    <row r="29" spans="1:19">
      <c r="A29" t="s">
        <v>83</v>
      </c>
      <c r="B29" t="s">
        <v>84</v>
      </c>
      <c r="C29" s="23" t="s">
        <v>4127</v>
      </c>
      <c r="D29" s="23">
        <v>45132</v>
      </c>
      <c r="E29" s="22">
        <v>7</v>
      </c>
      <c r="F29" s="22">
        <v>25</v>
      </c>
      <c r="G29" s="22">
        <v>2023</v>
      </c>
      <c r="H29" s="23">
        <f t="shared" si="0"/>
        <v>45132</v>
      </c>
      <c r="I29" s="25">
        <v>45146</v>
      </c>
      <c r="J29" s="22">
        <f t="shared" si="1"/>
        <v>14</v>
      </c>
      <c r="K29" t="s">
        <v>23</v>
      </c>
      <c r="L29">
        <v>85478</v>
      </c>
      <c r="M29">
        <v>2898</v>
      </c>
      <c r="N29" s="26">
        <v>3990.55</v>
      </c>
      <c r="O29" s="26">
        <f t="shared" si="2"/>
        <v>3632.575</v>
      </c>
      <c r="P29">
        <v>187</v>
      </c>
      <c r="Q29" t="b">
        <v>1</v>
      </c>
      <c r="S29" t="s">
        <v>25</v>
      </c>
    </row>
    <row r="30" spans="1:19">
      <c r="A30" t="s">
        <v>85</v>
      </c>
      <c r="B30" t="s">
        <v>86</v>
      </c>
      <c r="C30" s="23" t="s">
        <v>4131</v>
      </c>
      <c r="D30" s="23">
        <v>45217</v>
      </c>
      <c r="E30" s="22">
        <v>10</v>
      </c>
      <c r="F30" s="22">
        <v>18</v>
      </c>
      <c r="G30" s="22">
        <v>2023</v>
      </c>
      <c r="H30" s="23">
        <f t="shared" si="0"/>
        <v>45217</v>
      </c>
      <c r="I30" s="25">
        <v>45245</v>
      </c>
      <c r="J30" s="22">
        <f t="shared" si="1"/>
        <v>28</v>
      </c>
      <c r="K30" t="s">
        <v>33</v>
      </c>
      <c r="L30">
        <v>19431</v>
      </c>
      <c r="M30">
        <v>810</v>
      </c>
      <c r="N30" s="26">
        <v>567.39</v>
      </c>
      <c r="O30" s="26">
        <f t="shared" si="2"/>
        <v>567.39</v>
      </c>
      <c r="P30">
        <v>47</v>
      </c>
      <c r="Q30" t="b">
        <v>1</v>
      </c>
      <c r="S30" t="s">
        <v>34</v>
      </c>
    </row>
    <row r="31" spans="1:19">
      <c r="A31" t="s">
        <v>87</v>
      </c>
      <c r="B31" t="s">
        <v>88</v>
      </c>
      <c r="C31" s="23" t="s">
        <v>4127</v>
      </c>
      <c r="D31" s="23">
        <v>45262</v>
      </c>
      <c r="E31" s="22">
        <v>12</v>
      </c>
      <c r="F31" s="22">
        <v>2</v>
      </c>
      <c r="G31" s="22">
        <v>2023</v>
      </c>
      <c r="H31" s="23">
        <f t="shared" si="0"/>
        <v>45262</v>
      </c>
      <c r="I31" s="25">
        <v>45268</v>
      </c>
      <c r="J31" s="22">
        <f t="shared" si="1"/>
        <v>6</v>
      </c>
      <c r="K31" t="s">
        <v>33</v>
      </c>
      <c r="L31">
        <v>3747</v>
      </c>
      <c r="M31">
        <v>135</v>
      </c>
      <c r="N31" s="26">
        <v>157.38</v>
      </c>
      <c r="O31" s="26">
        <f t="shared" si="2"/>
        <v>157.38</v>
      </c>
      <c r="P31">
        <v>9</v>
      </c>
      <c r="Q31" t="b">
        <v>0</v>
      </c>
      <c r="S31" t="s">
        <v>34</v>
      </c>
    </row>
    <row r="32" spans="1:19">
      <c r="A32" t="s">
        <v>89</v>
      </c>
      <c r="B32" t="s">
        <v>90</v>
      </c>
      <c r="C32" s="23" t="s">
        <v>4128</v>
      </c>
      <c r="D32" s="23">
        <v>45256</v>
      </c>
      <c r="E32" s="22">
        <v>11</v>
      </c>
      <c r="F32" s="22">
        <v>26</v>
      </c>
      <c r="G32" s="22">
        <v>2023</v>
      </c>
      <c r="H32" s="23">
        <f t="shared" si="0"/>
        <v>45256</v>
      </c>
      <c r="I32" s="25">
        <v>45272</v>
      </c>
      <c r="J32" s="22">
        <f t="shared" si="1"/>
        <v>16</v>
      </c>
      <c r="K32" t="s">
        <v>41</v>
      </c>
      <c r="L32">
        <v>60150</v>
      </c>
      <c r="M32">
        <v>2988</v>
      </c>
      <c r="N32" s="26">
        <v>3514.38</v>
      </c>
      <c r="O32" s="26">
        <f t="shared" si="2"/>
        <v>3514.38</v>
      </c>
      <c r="P32">
        <v>175</v>
      </c>
      <c r="Q32" t="b">
        <v>1</v>
      </c>
      <c r="S32" t="s">
        <v>42</v>
      </c>
    </row>
    <row r="33" spans="1:19">
      <c r="A33" t="s">
        <v>91</v>
      </c>
      <c r="B33" t="s">
        <v>92</v>
      </c>
      <c r="C33" s="23" t="s">
        <v>4127</v>
      </c>
      <c r="D33" s="23">
        <v>45053</v>
      </c>
      <c r="E33" s="22">
        <v>5</v>
      </c>
      <c r="F33" s="22">
        <v>7</v>
      </c>
      <c r="G33" s="22">
        <v>2023</v>
      </c>
      <c r="H33" s="23">
        <f t="shared" si="0"/>
        <v>45053</v>
      </c>
      <c r="I33" s="25">
        <v>45075</v>
      </c>
      <c r="J33" s="22">
        <f t="shared" si="1"/>
        <v>22</v>
      </c>
      <c r="K33" t="s">
        <v>33</v>
      </c>
      <c r="L33">
        <v>66725</v>
      </c>
      <c r="M33">
        <v>1424</v>
      </c>
      <c r="N33" s="26">
        <v>2759.35</v>
      </c>
      <c r="O33" s="26">
        <f t="shared" si="2"/>
        <v>2759.35</v>
      </c>
      <c r="P33">
        <v>251</v>
      </c>
      <c r="Q33" t="b">
        <v>1</v>
      </c>
      <c r="S33" t="s">
        <v>34</v>
      </c>
    </row>
    <row r="34" spans="1:19">
      <c r="A34" t="s">
        <v>93</v>
      </c>
      <c r="B34" t="s">
        <v>94</v>
      </c>
      <c r="C34" s="23" t="s">
        <v>4131</v>
      </c>
      <c r="D34" s="23">
        <v>45226</v>
      </c>
      <c r="E34" s="22">
        <v>10</v>
      </c>
      <c r="F34" s="22">
        <v>27</v>
      </c>
      <c r="G34" s="22">
        <v>2023</v>
      </c>
      <c r="H34" s="23">
        <f t="shared" si="0"/>
        <v>45226</v>
      </c>
      <c r="I34" s="25">
        <v>45228</v>
      </c>
      <c r="J34" s="22">
        <f t="shared" si="1"/>
        <v>2</v>
      </c>
      <c r="K34" t="s">
        <v>33</v>
      </c>
      <c r="L34">
        <v>85654</v>
      </c>
      <c r="M34">
        <v>2087</v>
      </c>
      <c r="N34" s="26">
        <v>2393.02</v>
      </c>
      <c r="O34" s="26">
        <f t="shared" si="2"/>
        <v>2393.02</v>
      </c>
      <c r="P34">
        <v>122</v>
      </c>
      <c r="Q34" t="b">
        <v>0</v>
      </c>
      <c r="S34" t="s">
        <v>34</v>
      </c>
    </row>
    <row r="35" spans="1:19">
      <c r="A35" t="s">
        <v>95</v>
      </c>
      <c r="B35" t="s">
        <v>96</v>
      </c>
      <c r="C35" s="23" t="s">
        <v>4127</v>
      </c>
      <c r="D35" s="23">
        <v>45112</v>
      </c>
      <c r="E35" s="22">
        <v>7</v>
      </c>
      <c r="F35" s="22">
        <v>5</v>
      </c>
      <c r="G35" s="22">
        <v>2023</v>
      </c>
      <c r="H35" s="23">
        <f t="shared" si="0"/>
        <v>45112</v>
      </c>
      <c r="I35" s="25">
        <v>45124</v>
      </c>
      <c r="J35" s="22">
        <f t="shared" si="1"/>
        <v>12</v>
      </c>
      <c r="K35" t="s">
        <v>19</v>
      </c>
      <c r="L35">
        <v>36773</v>
      </c>
      <c r="M35">
        <v>932</v>
      </c>
      <c r="N35" s="26">
        <v>1233.98</v>
      </c>
      <c r="O35" s="26">
        <f t="shared" si="2"/>
        <v>1233.98</v>
      </c>
      <c r="P35">
        <v>84</v>
      </c>
      <c r="Q35" t="b">
        <v>0</v>
      </c>
      <c r="S35" t="s">
        <v>20</v>
      </c>
    </row>
    <row r="36" spans="1:19">
      <c r="A36" t="s">
        <v>97</v>
      </c>
      <c r="B36" t="s">
        <v>98</v>
      </c>
      <c r="C36" s="23" t="s">
        <v>4127</v>
      </c>
      <c r="D36" s="23">
        <v>45187</v>
      </c>
      <c r="E36" s="22">
        <v>9</v>
      </c>
      <c r="F36" s="22">
        <v>18</v>
      </c>
      <c r="G36" s="22">
        <v>2023</v>
      </c>
      <c r="H36" s="23">
        <f t="shared" si="0"/>
        <v>45187</v>
      </c>
      <c r="I36" s="25">
        <v>45191</v>
      </c>
      <c r="J36" s="22">
        <f t="shared" si="1"/>
        <v>4</v>
      </c>
      <c r="K36" t="s">
        <v>33</v>
      </c>
      <c r="L36">
        <v>68435</v>
      </c>
      <c r="M36">
        <v>1959</v>
      </c>
      <c r="N36" s="26">
        <v>2546.46</v>
      </c>
      <c r="O36" s="26">
        <f t="shared" si="2"/>
        <v>2546.46</v>
      </c>
      <c r="P36">
        <v>128</v>
      </c>
      <c r="Q36" t="b">
        <v>1</v>
      </c>
      <c r="S36" t="s">
        <v>34</v>
      </c>
    </row>
    <row r="37" spans="1:19">
      <c r="A37" t="s">
        <v>99</v>
      </c>
      <c r="B37" t="s">
        <v>100</v>
      </c>
      <c r="C37" s="23" t="s">
        <v>4128</v>
      </c>
      <c r="D37" s="23">
        <v>44983</v>
      </c>
      <c r="E37" s="22">
        <v>2</v>
      </c>
      <c r="F37" s="22">
        <v>26</v>
      </c>
      <c r="G37" s="22">
        <v>2023</v>
      </c>
      <c r="H37" s="23">
        <f t="shared" si="0"/>
        <v>44983</v>
      </c>
      <c r="I37" s="25">
        <v>44986</v>
      </c>
      <c r="J37" s="22">
        <f t="shared" si="1"/>
        <v>3</v>
      </c>
      <c r="K37" t="s">
        <v>14</v>
      </c>
      <c r="L37">
        <v>57886</v>
      </c>
      <c r="M37">
        <v>2514</v>
      </c>
      <c r="N37" s="26">
        <v>3658.23</v>
      </c>
      <c r="O37" s="26">
        <f t="shared" si="2"/>
        <v>3632.575</v>
      </c>
      <c r="P37">
        <v>237</v>
      </c>
      <c r="Q37" t="b">
        <v>1</v>
      </c>
      <c r="S37" t="s">
        <v>16</v>
      </c>
    </row>
    <row r="38" spans="1:19">
      <c r="A38" t="s">
        <v>101</v>
      </c>
      <c r="B38" t="s">
        <v>102</v>
      </c>
      <c r="C38" s="23" t="s">
        <v>4129</v>
      </c>
      <c r="D38" s="23">
        <v>45275</v>
      </c>
      <c r="E38" s="22">
        <v>12</v>
      </c>
      <c r="F38" s="22">
        <v>15</v>
      </c>
      <c r="G38" s="22">
        <v>2023</v>
      </c>
      <c r="H38" s="23">
        <f t="shared" si="0"/>
        <v>45275</v>
      </c>
      <c r="I38" s="25">
        <v>45286</v>
      </c>
      <c r="J38" s="22">
        <f t="shared" si="1"/>
        <v>11</v>
      </c>
      <c r="K38" t="s">
        <v>33</v>
      </c>
      <c r="L38">
        <v>67803</v>
      </c>
      <c r="M38">
        <v>1317</v>
      </c>
      <c r="N38" s="26">
        <v>2136.63</v>
      </c>
      <c r="O38" s="26">
        <f t="shared" si="2"/>
        <v>2136.63</v>
      </c>
      <c r="P38">
        <v>83</v>
      </c>
      <c r="Q38" t="b">
        <v>1</v>
      </c>
      <c r="S38" t="s">
        <v>34</v>
      </c>
    </row>
    <row r="39" spans="1:19">
      <c r="A39" t="s">
        <v>103</v>
      </c>
      <c r="B39" t="s">
        <v>104</v>
      </c>
      <c r="C39" s="23" t="s">
        <v>4129</v>
      </c>
      <c r="D39" s="23">
        <v>45122</v>
      </c>
      <c r="E39" s="22">
        <v>7</v>
      </c>
      <c r="F39" s="22">
        <v>15</v>
      </c>
      <c r="G39" s="22">
        <v>2023</v>
      </c>
      <c r="H39" s="23">
        <f t="shared" si="0"/>
        <v>45122</v>
      </c>
      <c r="I39" s="25">
        <v>45145</v>
      </c>
      <c r="J39" s="22">
        <f t="shared" si="1"/>
        <v>23</v>
      </c>
      <c r="K39" t="s">
        <v>14</v>
      </c>
      <c r="L39">
        <v>32551</v>
      </c>
      <c r="M39">
        <v>1335</v>
      </c>
      <c r="N39" s="26">
        <v>1118.15</v>
      </c>
      <c r="O39" s="26">
        <f t="shared" si="2"/>
        <v>1118.15</v>
      </c>
      <c r="P39">
        <v>200</v>
      </c>
      <c r="Q39" t="b">
        <v>1</v>
      </c>
      <c r="S39" t="s">
        <v>16</v>
      </c>
    </row>
    <row r="40" spans="1:19">
      <c r="A40" t="s">
        <v>105</v>
      </c>
      <c r="B40" t="s">
        <v>106</v>
      </c>
      <c r="C40" s="23" t="s">
        <v>4128</v>
      </c>
      <c r="D40" s="23">
        <v>45055</v>
      </c>
      <c r="E40" s="22">
        <v>5</v>
      </c>
      <c r="F40" s="22">
        <v>9</v>
      </c>
      <c r="G40" s="22">
        <v>2023</v>
      </c>
      <c r="H40" s="23">
        <f t="shared" si="0"/>
        <v>45055</v>
      </c>
      <c r="I40" s="25">
        <v>45071</v>
      </c>
      <c r="J40" s="22">
        <f t="shared" si="1"/>
        <v>16</v>
      </c>
      <c r="K40" t="s">
        <v>23</v>
      </c>
      <c r="L40">
        <v>12394</v>
      </c>
      <c r="M40">
        <v>324</v>
      </c>
      <c r="N40" s="26">
        <v>418.96</v>
      </c>
      <c r="O40" s="26">
        <f t="shared" si="2"/>
        <v>418.96</v>
      </c>
      <c r="P40">
        <v>22</v>
      </c>
      <c r="Q40" t="b">
        <v>1</v>
      </c>
      <c r="S40" t="s">
        <v>25</v>
      </c>
    </row>
    <row r="41" spans="1:19">
      <c r="A41" t="s">
        <v>107</v>
      </c>
      <c r="B41" t="s">
        <v>108</v>
      </c>
      <c r="C41" s="23" t="s">
        <v>4131</v>
      </c>
      <c r="D41" s="23">
        <v>44932</v>
      </c>
      <c r="E41" s="22">
        <v>1</v>
      </c>
      <c r="F41" s="22">
        <v>6</v>
      </c>
      <c r="G41" s="22">
        <v>2023</v>
      </c>
      <c r="H41" s="23">
        <f t="shared" si="0"/>
        <v>44932</v>
      </c>
      <c r="I41" s="25">
        <v>44952</v>
      </c>
      <c r="J41" s="22">
        <f t="shared" si="1"/>
        <v>20</v>
      </c>
      <c r="K41" t="s">
        <v>23</v>
      </c>
      <c r="L41">
        <v>70092</v>
      </c>
      <c r="M41">
        <v>2388</v>
      </c>
      <c r="N41" s="26">
        <v>4152.44</v>
      </c>
      <c r="O41" s="26">
        <f t="shared" si="2"/>
        <v>3632.575</v>
      </c>
      <c r="P41">
        <v>424</v>
      </c>
      <c r="Q41" t="b">
        <v>0</v>
      </c>
      <c r="S41" t="s">
        <v>25</v>
      </c>
    </row>
    <row r="42" spans="1:19">
      <c r="A42" t="s">
        <v>109</v>
      </c>
      <c r="B42" t="s">
        <v>110</v>
      </c>
      <c r="C42" s="23" t="s">
        <v>4127</v>
      </c>
      <c r="D42" s="23">
        <v>45201</v>
      </c>
      <c r="E42" s="22">
        <v>10</v>
      </c>
      <c r="F42" s="22">
        <v>2</v>
      </c>
      <c r="G42" s="22">
        <v>2023</v>
      </c>
      <c r="H42" s="23">
        <f t="shared" si="0"/>
        <v>45201</v>
      </c>
      <c r="I42" s="25">
        <v>45211</v>
      </c>
      <c r="J42" s="22">
        <f t="shared" si="1"/>
        <v>10</v>
      </c>
      <c r="K42" t="s">
        <v>23</v>
      </c>
      <c r="L42">
        <v>4890</v>
      </c>
      <c r="M42">
        <v>172</v>
      </c>
      <c r="N42" s="26">
        <v>205.48</v>
      </c>
      <c r="O42" s="26">
        <f t="shared" si="2"/>
        <v>205.48</v>
      </c>
      <c r="P42">
        <v>29</v>
      </c>
      <c r="Q42" t="b">
        <v>1</v>
      </c>
      <c r="S42" t="s">
        <v>25</v>
      </c>
    </row>
    <row r="43" spans="1:19">
      <c r="A43" t="s">
        <v>111</v>
      </c>
      <c r="B43" t="s">
        <v>112</v>
      </c>
      <c r="C43" s="23" t="s">
        <v>4127</v>
      </c>
      <c r="D43" s="23">
        <v>45101</v>
      </c>
      <c r="E43" s="22">
        <v>6</v>
      </c>
      <c r="F43" s="22">
        <v>24</v>
      </c>
      <c r="G43" s="22">
        <v>2023</v>
      </c>
      <c r="H43" s="23">
        <f t="shared" si="0"/>
        <v>45101</v>
      </c>
      <c r="I43" s="25">
        <v>45106</v>
      </c>
      <c r="J43" s="22">
        <f t="shared" si="1"/>
        <v>5</v>
      </c>
      <c r="K43" t="s">
        <v>14</v>
      </c>
      <c r="L43">
        <v>42606</v>
      </c>
      <c r="M43">
        <v>1061</v>
      </c>
      <c r="N43" s="26">
        <v>973.67</v>
      </c>
      <c r="O43" s="26">
        <f t="shared" si="2"/>
        <v>973.67</v>
      </c>
      <c r="P43">
        <v>55</v>
      </c>
      <c r="Q43" t="b">
        <v>1</v>
      </c>
      <c r="S43" t="s">
        <v>16</v>
      </c>
    </row>
    <row r="44" spans="1:24">
      <c r="A44" t="s">
        <v>113</v>
      </c>
      <c r="B44" t="s">
        <v>114</v>
      </c>
      <c r="C44" s="23" t="s">
        <v>4127</v>
      </c>
      <c r="D44" s="23" t="s">
        <v>115</v>
      </c>
      <c r="E44" s="22">
        <v>21</v>
      </c>
      <c r="F44" s="22">
        <v>8</v>
      </c>
      <c r="G44" s="22">
        <v>2023</v>
      </c>
      <c r="H44" s="23">
        <f t="shared" si="0"/>
        <v>45159</v>
      </c>
      <c r="I44" s="25">
        <v>45167</v>
      </c>
      <c r="J44" s="22">
        <f t="shared" si="1"/>
        <v>8</v>
      </c>
      <c r="K44" t="s">
        <v>33</v>
      </c>
      <c r="L44">
        <v>97276</v>
      </c>
      <c r="M44">
        <v>2967</v>
      </c>
      <c r="N44" s="26">
        <v>4397.28</v>
      </c>
      <c r="O44" s="26">
        <f t="shared" si="2"/>
        <v>3632.575</v>
      </c>
      <c r="P44">
        <v>546</v>
      </c>
      <c r="Q44" t="b">
        <v>1</v>
      </c>
      <c r="S44" t="s">
        <v>34</v>
      </c>
      <c r="X44">
        <v>1</v>
      </c>
    </row>
    <row r="45" spans="1:24">
      <c r="A45" t="s">
        <v>116</v>
      </c>
      <c r="B45" t="s">
        <v>117</v>
      </c>
      <c r="C45" s="23" t="s">
        <v>4129</v>
      </c>
      <c r="D45" s="23">
        <v>45061</v>
      </c>
      <c r="E45" s="22">
        <v>5</v>
      </c>
      <c r="F45" s="22">
        <v>15</v>
      </c>
      <c r="G45" s="22">
        <v>2023</v>
      </c>
      <c r="H45" s="23">
        <f t="shared" si="0"/>
        <v>45061</v>
      </c>
      <c r="I45" s="25">
        <v>45078</v>
      </c>
      <c r="J45" s="22">
        <f t="shared" si="1"/>
        <v>17</v>
      </c>
      <c r="K45" t="s">
        <v>58</v>
      </c>
      <c r="L45">
        <v>81038</v>
      </c>
      <c r="M45">
        <v>2149</v>
      </c>
      <c r="N45" s="26">
        <v>3729.91</v>
      </c>
      <c r="O45" s="26">
        <f t="shared" si="2"/>
        <v>3632.575</v>
      </c>
      <c r="P45">
        <v>116</v>
      </c>
      <c r="Q45" t="b">
        <v>1</v>
      </c>
      <c r="R45">
        <v>81075</v>
      </c>
      <c r="S45" t="s">
        <v>59</v>
      </c>
      <c r="X45">
        <v>2</v>
      </c>
    </row>
    <row r="46" spans="1:24">
      <c r="A46" t="s">
        <v>118</v>
      </c>
      <c r="B46" t="s">
        <v>119</v>
      </c>
      <c r="C46" s="23" t="s">
        <v>4127</v>
      </c>
      <c r="D46" s="23">
        <v>45186</v>
      </c>
      <c r="E46" s="22">
        <v>9</v>
      </c>
      <c r="F46" s="22">
        <v>17</v>
      </c>
      <c r="G46" s="22">
        <v>2023</v>
      </c>
      <c r="H46" s="23">
        <f t="shared" si="0"/>
        <v>45186</v>
      </c>
      <c r="I46" s="25">
        <v>45202</v>
      </c>
      <c r="J46" s="22">
        <f t="shared" si="1"/>
        <v>16</v>
      </c>
      <c r="K46" t="s">
        <v>14</v>
      </c>
      <c r="L46">
        <v>88313</v>
      </c>
      <c r="M46">
        <v>1127</v>
      </c>
      <c r="N46" s="26">
        <v>670.24</v>
      </c>
      <c r="O46" s="26">
        <f t="shared" si="2"/>
        <v>670.24</v>
      </c>
      <c r="P46">
        <v>96</v>
      </c>
      <c r="Q46" t="b">
        <v>0</v>
      </c>
      <c r="S46" t="s">
        <v>16</v>
      </c>
      <c r="X46">
        <v>3</v>
      </c>
    </row>
    <row r="47" spans="1:24">
      <c r="A47" t="s">
        <v>120</v>
      </c>
      <c r="B47" t="s">
        <v>121</v>
      </c>
      <c r="C47" s="23" t="s">
        <v>4128</v>
      </c>
      <c r="D47" s="23">
        <v>45079</v>
      </c>
      <c r="E47" s="22">
        <v>6</v>
      </c>
      <c r="F47" s="22">
        <v>2</v>
      </c>
      <c r="G47" s="22">
        <v>2023</v>
      </c>
      <c r="H47" s="23">
        <f t="shared" si="0"/>
        <v>45079</v>
      </c>
      <c r="I47" s="25">
        <v>45105</v>
      </c>
      <c r="J47" s="22">
        <f t="shared" si="1"/>
        <v>26</v>
      </c>
      <c r="K47" t="s">
        <v>33</v>
      </c>
      <c r="L47">
        <v>11627</v>
      </c>
      <c r="M47">
        <v>319</v>
      </c>
      <c r="N47" s="26">
        <v>531.19</v>
      </c>
      <c r="O47" s="26">
        <f t="shared" si="2"/>
        <v>531.19</v>
      </c>
      <c r="P47">
        <v>17</v>
      </c>
      <c r="Q47" t="b">
        <v>1</v>
      </c>
      <c r="S47" t="s">
        <v>34</v>
      </c>
      <c r="X47">
        <v>4</v>
      </c>
    </row>
    <row r="48" spans="1:24">
      <c r="A48" t="s">
        <v>122</v>
      </c>
      <c r="B48" t="s">
        <v>123</v>
      </c>
      <c r="C48" s="23" t="s">
        <v>4131</v>
      </c>
      <c r="D48" s="23">
        <v>45028</v>
      </c>
      <c r="E48" s="22">
        <v>4</v>
      </c>
      <c r="F48" s="22">
        <v>12</v>
      </c>
      <c r="G48" s="22">
        <v>2023</v>
      </c>
      <c r="H48" s="23">
        <f t="shared" si="0"/>
        <v>45028</v>
      </c>
      <c r="I48" s="25">
        <v>45035</v>
      </c>
      <c r="J48" s="22">
        <f t="shared" si="1"/>
        <v>7</v>
      </c>
      <c r="K48" t="s">
        <v>41</v>
      </c>
      <c r="L48">
        <v>9792</v>
      </c>
      <c r="M48">
        <v>136</v>
      </c>
      <c r="N48" s="26">
        <v>235.62</v>
      </c>
      <c r="O48" s="26">
        <f t="shared" si="2"/>
        <v>235.62</v>
      </c>
      <c r="P48">
        <v>13</v>
      </c>
      <c r="Q48" t="b">
        <v>1</v>
      </c>
      <c r="S48" t="s">
        <v>42</v>
      </c>
      <c r="X48">
        <v>5</v>
      </c>
    </row>
    <row r="49" spans="1:24">
      <c r="A49" t="s">
        <v>124</v>
      </c>
      <c r="B49" t="s">
        <v>125</v>
      </c>
      <c r="C49" s="23" t="s">
        <v>4129</v>
      </c>
      <c r="D49" s="23">
        <v>45203</v>
      </c>
      <c r="E49" s="22">
        <v>10</v>
      </c>
      <c r="F49" s="22">
        <v>4</v>
      </c>
      <c r="G49" s="22">
        <v>2023</v>
      </c>
      <c r="H49" s="23">
        <f t="shared" si="0"/>
        <v>45203</v>
      </c>
      <c r="I49" s="25">
        <v>45217</v>
      </c>
      <c r="J49" s="22">
        <f t="shared" si="1"/>
        <v>14</v>
      </c>
      <c r="K49" t="s">
        <v>23</v>
      </c>
      <c r="L49">
        <v>74969</v>
      </c>
      <c r="M49">
        <v>1964</v>
      </c>
      <c r="N49" s="26">
        <v>2341.65</v>
      </c>
      <c r="O49" s="26">
        <f t="shared" si="2"/>
        <v>2341.65</v>
      </c>
      <c r="P49">
        <v>249</v>
      </c>
      <c r="Q49" t="b">
        <v>1</v>
      </c>
      <c r="S49" t="s">
        <v>25</v>
      </c>
      <c r="X49">
        <v>6</v>
      </c>
    </row>
    <row r="50" spans="1:24">
      <c r="A50" t="s">
        <v>126</v>
      </c>
      <c r="B50" t="s">
        <v>127</v>
      </c>
      <c r="C50" s="23" t="s">
        <v>4129</v>
      </c>
      <c r="D50" s="23">
        <v>44927</v>
      </c>
      <c r="E50" s="22">
        <v>1</v>
      </c>
      <c r="F50" s="22">
        <v>1</v>
      </c>
      <c r="G50" s="22">
        <v>2023</v>
      </c>
      <c r="H50" s="23">
        <f t="shared" si="0"/>
        <v>44927</v>
      </c>
      <c r="I50" s="25">
        <v>44943</v>
      </c>
      <c r="J50" s="22">
        <f t="shared" si="1"/>
        <v>16</v>
      </c>
      <c r="K50" t="s">
        <v>19</v>
      </c>
      <c r="L50">
        <v>44001</v>
      </c>
      <c r="M50">
        <v>1483</v>
      </c>
      <c r="N50" s="26">
        <v>2928.86</v>
      </c>
      <c r="O50" s="26">
        <f t="shared" si="2"/>
        <v>2928.86</v>
      </c>
      <c r="P50">
        <v>0</v>
      </c>
      <c r="Q50" t="b">
        <v>0</v>
      </c>
      <c r="S50" t="s">
        <v>20</v>
      </c>
      <c r="X50">
        <v>7</v>
      </c>
    </row>
    <row r="51" spans="1:19">
      <c r="A51" t="s">
        <v>128</v>
      </c>
      <c r="B51" t="s">
        <v>129</v>
      </c>
      <c r="C51" s="23" t="s">
        <v>4127</v>
      </c>
      <c r="D51" s="23">
        <v>44984</v>
      </c>
      <c r="E51" s="22">
        <v>2</v>
      </c>
      <c r="F51" s="22">
        <v>27</v>
      </c>
      <c r="G51" s="22">
        <v>2023</v>
      </c>
      <c r="H51" s="23">
        <f t="shared" si="0"/>
        <v>44984</v>
      </c>
      <c r="I51" s="25">
        <v>44985</v>
      </c>
      <c r="J51" s="22">
        <f t="shared" si="1"/>
        <v>1</v>
      </c>
      <c r="K51" t="s">
        <v>23</v>
      </c>
      <c r="L51">
        <v>77552</v>
      </c>
      <c r="M51">
        <v>2572</v>
      </c>
      <c r="N51" s="26">
        <v>4321.12</v>
      </c>
      <c r="O51" s="26">
        <f t="shared" si="2"/>
        <v>3632.575</v>
      </c>
      <c r="P51">
        <v>258</v>
      </c>
      <c r="Q51" t="b">
        <v>1</v>
      </c>
      <c r="S51" t="s">
        <v>68</v>
      </c>
    </row>
    <row r="52" spans="1:19">
      <c r="A52" t="s">
        <v>130</v>
      </c>
      <c r="B52" t="s">
        <v>131</v>
      </c>
      <c r="C52" s="23" t="s">
        <v>4129</v>
      </c>
      <c r="D52" s="23">
        <v>45084</v>
      </c>
      <c r="E52" s="22">
        <v>6</v>
      </c>
      <c r="F52" s="22">
        <v>7</v>
      </c>
      <c r="G52" s="22">
        <v>2023</v>
      </c>
      <c r="H52" s="23">
        <f t="shared" si="0"/>
        <v>45084</v>
      </c>
      <c r="I52" s="25">
        <v>45094</v>
      </c>
      <c r="J52" s="22">
        <f t="shared" si="1"/>
        <v>10</v>
      </c>
      <c r="K52" t="s">
        <v>41</v>
      </c>
      <c r="L52">
        <v>24897</v>
      </c>
      <c r="M52">
        <v>908</v>
      </c>
      <c r="N52" s="26">
        <v>1507.73</v>
      </c>
      <c r="O52" s="26">
        <f t="shared" si="2"/>
        <v>1507.73</v>
      </c>
      <c r="P52">
        <v>141</v>
      </c>
      <c r="Q52" t="b">
        <v>1</v>
      </c>
      <c r="S52" t="s">
        <v>42</v>
      </c>
    </row>
    <row r="53" spans="1:19">
      <c r="A53" t="s">
        <v>132</v>
      </c>
      <c r="B53" t="s">
        <v>133</v>
      </c>
      <c r="C53" s="23" t="s">
        <v>4128</v>
      </c>
      <c r="D53" s="23">
        <v>45217</v>
      </c>
      <c r="E53" s="22">
        <v>10</v>
      </c>
      <c r="F53" s="22">
        <v>18</v>
      </c>
      <c r="G53" s="22">
        <v>2023</v>
      </c>
      <c r="H53" s="23">
        <f t="shared" si="0"/>
        <v>45217</v>
      </c>
      <c r="I53" s="25">
        <v>45238</v>
      </c>
      <c r="J53" s="22">
        <f t="shared" si="1"/>
        <v>21</v>
      </c>
      <c r="K53" t="s">
        <v>14</v>
      </c>
      <c r="L53">
        <v>69148</v>
      </c>
      <c r="M53">
        <v>954</v>
      </c>
      <c r="N53" s="26">
        <v>1547.16</v>
      </c>
      <c r="O53" s="26">
        <f t="shared" si="2"/>
        <v>1547.16</v>
      </c>
      <c r="P53">
        <v>74</v>
      </c>
      <c r="Q53" t="b">
        <v>0</v>
      </c>
      <c r="S53" t="s">
        <v>16</v>
      </c>
    </row>
    <row r="54" spans="1:19">
      <c r="A54" t="s">
        <v>134</v>
      </c>
      <c r="B54" t="s">
        <v>135</v>
      </c>
      <c r="C54" s="23" t="s">
        <v>4129</v>
      </c>
      <c r="D54" s="23">
        <v>45175</v>
      </c>
      <c r="E54" s="22">
        <v>9</v>
      </c>
      <c r="F54" s="22">
        <v>6</v>
      </c>
      <c r="G54" s="22">
        <v>2023</v>
      </c>
      <c r="H54" s="23">
        <f t="shared" si="0"/>
        <v>45175</v>
      </c>
      <c r="I54" s="25">
        <v>45181</v>
      </c>
      <c r="J54" s="22">
        <f t="shared" si="1"/>
        <v>6</v>
      </c>
      <c r="K54" t="s">
        <v>19</v>
      </c>
      <c r="L54">
        <v>24483</v>
      </c>
      <c r="M54">
        <v>883</v>
      </c>
      <c r="N54" s="26">
        <v>640.98</v>
      </c>
      <c r="O54" s="26">
        <f t="shared" si="2"/>
        <v>640.98</v>
      </c>
      <c r="P54">
        <v>0</v>
      </c>
      <c r="Q54" t="b">
        <v>0</v>
      </c>
      <c r="S54" t="s">
        <v>20</v>
      </c>
    </row>
    <row r="55" spans="1:19">
      <c r="A55" t="s">
        <v>136</v>
      </c>
      <c r="B55" t="s">
        <v>137</v>
      </c>
      <c r="C55" s="23" t="s">
        <v>4129</v>
      </c>
      <c r="D55" s="23">
        <v>45199</v>
      </c>
      <c r="E55" s="22">
        <v>9</v>
      </c>
      <c r="F55" s="22">
        <v>30</v>
      </c>
      <c r="G55" s="22">
        <v>2023</v>
      </c>
      <c r="H55" s="23">
        <f t="shared" si="0"/>
        <v>45199</v>
      </c>
      <c r="I55" s="25">
        <v>45210</v>
      </c>
      <c r="J55" s="22">
        <f t="shared" si="1"/>
        <v>11</v>
      </c>
      <c r="K55" t="s">
        <v>138</v>
      </c>
      <c r="L55">
        <v>49555</v>
      </c>
      <c r="M55">
        <v>1114</v>
      </c>
      <c r="N55" s="26">
        <v>919.99</v>
      </c>
      <c r="O55" s="26">
        <f t="shared" si="2"/>
        <v>919.99</v>
      </c>
      <c r="P55">
        <v>95</v>
      </c>
      <c r="Q55" t="b">
        <v>0</v>
      </c>
      <c r="S55" t="s">
        <v>139</v>
      </c>
    </row>
    <row r="56" spans="1:19">
      <c r="A56" t="s">
        <v>140</v>
      </c>
      <c r="B56" t="s">
        <v>141</v>
      </c>
      <c r="C56" s="23" t="s">
        <v>4128</v>
      </c>
      <c r="D56" s="23">
        <v>45170</v>
      </c>
      <c r="E56" s="22">
        <v>9</v>
      </c>
      <c r="F56" s="22">
        <v>1</v>
      </c>
      <c r="G56" s="22">
        <v>2023</v>
      </c>
      <c r="H56" s="23">
        <f t="shared" si="0"/>
        <v>45170</v>
      </c>
      <c r="I56" s="25">
        <v>45165</v>
      </c>
      <c r="J56" s="22">
        <f t="shared" si="1"/>
        <v>-5</v>
      </c>
      <c r="K56" t="s">
        <v>41</v>
      </c>
      <c r="L56">
        <v>18159</v>
      </c>
      <c r="M56">
        <v>471</v>
      </c>
      <c r="N56" s="26">
        <v>563.31</v>
      </c>
      <c r="O56" s="26">
        <f t="shared" si="2"/>
        <v>563.31</v>
      </c>
      <c r="P56">
        <v>33</v>
      </c>
      <c r="Q56" t="b">
        <v>0</v>
      </c>
      <c r="S56" t="s">
        <v>42</v>
      </c>
    </row>
    <row r="57" spans="1:19">
      <c r="A57" t="s">
        <v>142</v>
      </c>
      <c r="B57" t="s">
        <v>143</v>
      </c>
      <c r="C57" s="23" t="s">
        <v>4131</v>
      </c>
      <c r="D57" s="23">
        <v>45197</v>
      </c>
      <c r="E57" s="22">
        <v>9</v>
      </c>
      <c r="F57" s="22">
        <v>28</v>
      </c>
      <c r="G57" s="22">
        <v>2023</v>
      </c>
      <c r="H57" s="23">
        <f t="shared" si="0"/>
        <v>45197</v>
      </c>
      <c r="I57" s="25">
        <v>45207</v>
      </c>
      <c r="J57" s="22">
        <f t="shared" si="1"/>
        <v>10</v>
      </c>
      <c r="K57" t="s">
        <v>19</v>
      </c>
      <c r="L57">
        <v>81077</v>
      </c>
      <c r="M57">
        <v>3593</v>
      </c>
      <c r="N57" s="26">
        <v>3219.35</v>
      </c>
      <c r="O57" s="26">
        <f t="shared" si="2"/>
        <v>3219.35</v>
      </c>
      <c r="P57">
        <v>279</v>
      </c>
      <c r="Q57" t="b">
        <v>0</v>
      </c>
      <c r="S57" t="s">
        <v>20</v>
      </c>
    </row>
    <row r="58" spans="1:19">
      <c r="A58" t="s">
        <v>144</v>
      </c>
      <c r="B58" t="s">
        <v>145</v>
      </c>
      <c r="C58" s="23" t="s">
        <v>4128</v>
      </c>
      <c r="D58" s="23">
        <v>45035</v>
      </c>
      <c r="E58" s="22">
        <v>4</v>
      </c>
      <c r="F58" s="22">
        <v>19</v>
      </c>
      <c r="G58" s="22">
        <v>2023</v>
      </c>
      <c r="H58" s="23">
        <f t="shared" si="0"/>
        <v>45035</v>
      </c>
      <c r="I58" s="25">
        <v>45057</v>
      </c>
      <c r="J58" s="22">
        <f t="shared" si="1"/>
        <v>22</v>
      </c>
      <c r="K58" t="s">
        <v>23</v>
      </c>
      <c r="L58">
        <v>36920</v>
      </c>
      <c r="M58">
        <v>382</v>
      </c>
      <c r="N58" s="26">
        <v>428.93</v>
      </c>
      <c r="O58" s="26">
        <f t="shared" si="2"/>
        <v>428.93</v>
      </c>
      <c r="P58">
        <v>29</v>
      </c>
      <c r="Q58" t="b">
        <v>1</v>
      </c>
      <c r="S58" t="s">
        <v>25</v>
      </c>
    </row>
    <row r="59" spans="1:19">
      <c r="A59" t="s">
        <v>146</v>
      </c>
      <c r="B59" t="s">
        <v>147</v>
      </c>
      <c r="C59" s="23" t="s">
        <v>4127</v>
      </c>
      <c r="D59" s="23">
        <v>45280</v>
      </c>
      <c r="E59" s="22">
        <v>12</v>
      </c>
      <c r="F59" s="22">
        <v>20</v>
      </c>
      <c r="G59" s="22">
        <v>2023</v>
      </c>
      <c r="H59" s="23">
        <f t="shared" si="0"/>
        <v>45280</v>
      </c>
      <c r="I59" s="25">
        <v>45300</v>
      </c>
      <c r="J59" s="22">
        <f t="shared" si="1"/>
        <v>20</v>
      </c>
      <c r="K59" t="s">
        <v>14</v>
      </c>
      <c r="L59">
        <v>93067</v>
      </c>
      <c r="M59">
        <v>3121</v>
      </c>
      <c r="N59" s="26">
        <v>5719.84</v>
      </c>
      <c r="O59" s="26">
        <f t="shared" si="2"/>
        <v>3632.575</v>
      </c>
      <c r="P59">
        <v>396</v>
      </c>
      <c r="Q59" t="b">
        <v>1</v>
      </c>
      <c r="S59" t="s">
        <v>16</v>
      </c>
    </row>
    <row r="60" spans="1:19">
      <c r="A60" t="s">
        <v>148</v>
      </c>
      <c r="B60" t="s">
        <v>149</v>
      </c>
      <c r="C60" s="23" t="s">
        <v>4128</v>
      </c>
      <c r="D60" s="23">
        <v>45270</v>
      </c>
      <c r="E60" s="22">
        <v>12</v>
      </c>
      <c r="F60" s="22">
        <v>10</v>
      </c>
      <c r="G60" s="22">
        <v>2023</v>
      </c>
      <c r="H60" s="23">
        <f t="shared" si="0"/>
        <v>45270</v>
      </c>
      <c r="I60" s="25">
        <v>45284</v>
      </c>
      <c r="J60" s="22">
        <f t="shared" si="1"/>
        <v>14</v>
      </c>
      <c r="K60" t="s">
        <v>19</v>
      </c>
      <c r="L60">
        <v>68121</v>
      </c>
      <c r="M60">
        <v>2312</v>
      </c>
      <c r="N60" s="26">
        <v>4014.77</v>
      </c>
      <c r="O60" s="26">
        <f t="shared" si="2"/>
        <v>3632.575</v>
      </c>
      <c r="P60">
        <v>408</v>
      </c>
      <c r="Q60" t="b">
        <v>1</v>
      </c>
      <c r="S60" t="s">
        <v>20</v>
      </c>
    </row>
    <row r="61" spans="1:19">
      <c r="A61" t="s">
        <v>150</v>
      </c>
      <c r="B61" t="s">
        <v>151</v>
      </c>
      <c r="C61" s="23" t="s">
        <v>4131</v>
      </c>
      <c r="D61" s="23">
        <v>45191</v>
      </c>
      <c r="E61" s="22">
        <v>9</v>
      </c>
      <c r="F61" s="22">
        <v>22</v>
      </c>
      <c r="G61" s="22">
        <v>2023</v>
      </c>
      <c r="H61" s="23">
        <f t="shared" si="0"/>
        <v>45191</v>
      </c>
      <c r="I61" s="25">
        <v>45211</v>
      </c>
      <c r="J61" s="22">
        <f t="shared" si="1"/>
        <v>20</v>
      </c>
      <c r="K61" t="s">
        <v>23</v>
      </c>
      <c r="L61">
        <v>70479</v>
      </c>
      <c r="M61">
        <v>1823</v>
      </c>
      <c r="N61" s="26">
        <v>2634.34</v>
      </c>
      <c r="O61" s="26">
        <f t="shared" si="2"/>
        <v>2634.34</v>
      </c>
      <c r="P61">
        <v>112</v>
      </c>
      <c r="Q61" t="b">
        <v>1</v>
      </c>
      <c r="S61" t="s">
        <v>25</v>
      </c>
    </row>
    <row r="62" spans="1:19">
      <c r="A62" t="s">
        <v>152</v>
      </c>
      <c r="B62" t="s">
        <v>153</v>
      </c>
      <c r="C62" s="23" t="s">
        <v>4127</v>
      </c>
      <c r="D62" s="23">
        <v>44959</v>
      </c>
      <c r="E62" s="22">
        <v>2</v>
      </c>
      <c r="F62" s="22">
        <v>2</v>
      </c>
      <c r="G62" s="22">
        <v>2023</v>
      </c>
      <c r="H62" s="23">
        <f t="shared" si="0"/>
        <v>44959</v>
      </c>
      <c r="I62" s="25">
        <v>44963</v>
      </c>
      <c r="J62" s="22">
        <f t="shared" si="1"/>
        <v>4</v>
      </c>
      <c r="K62" t="s">
        <v>41</v>
      </c>
      <c r="L62">
        <v>90475</v>
      </c>
      <c r="M62">
        <v>1762</v>
      </c>
      <c r="N62" s="26">
        <v>3149.01</v>
      </c>
      <c r="O62" s="26">
        <f t="shared" si="2"/>
        <v>3149.01</v>
      </c>
      <c r="P62">
        <v>274</v>
      </c>
      <c r="Q62" t="b">
        <v>1</v>
      </c>
      <c r="S62" t="s">
        <v>42</v>
      </c>
    </row>
    <row r="63" spans="1:19">
      <c r="A63" t="s">
        <v>154</v>
      </c>
      <c r="B63" t="s">
        <v>155</v>
      </c>
      <c r="C63" s="23" t="s">
        <v>4131</v>
      </c>
      <c r="D63" s="23">
        <v>45044</v>
      </c>
      <c r="E63" s="22">
        <v>4</v>
      </c>
      <c r="F63" s="22">
        <v>28</v>
      </c>
      <c r="G63" s="22">
        <v>2023</v>
      </c>
      <c r="H63" s="23">
        <f t="shared" si="0"/>
        <v>45044</v>
      </c>
      <c r="I63" s="25">
        <v>45064</v>
      </c>
      <c r="J63" s="22">
        <f t="shared" si="1"/>
        <v>20</v>
      </c>
      <c r="K63" t="s">
        <v>41</v>
      </c>
      <c r="L63">
        <v>20457</v>
      </c>
      <c r="M63">
        <v>396</v>
      </c>
      <c r="N63" s="26">
        <v>663.56</v>
      </c>
      <c r="O63" s="26">
        <f t="shared" si="2"/>
        <v>663.56</v>
      </c>
      <c r="P63">
        <v>58</v>
      </c>
      <c r="Q63" t="b">
        <v>1</v>
      </c>
      <c r="S63" t="s">
        <v>42</v>
      </c>
    </row>
    <row r="64" spans="1:19">
      <c r="A64" t="s">
        <v>156</v>
      </c>
      <c r="B64" t="s">
        <v>157</v>
      </c>
      <c r="C64" s="23" t="s">
        <v>4127</v>
      </c>
      <c r="D64" s="23">
        <v>45289</v>
      </c>
      <c r="E64" s="22">
        <v>12</v>
      </c>
      <c r="F64" s="22">
        <v>29</v>
      </c>
      <c r="G64" s="22">
        <v>2023</v>
      </c>
      <c r="H64" s="23">
        <f t="shared" si="0"/>
        <v>45289</v>
      </c>
      <c r="I64" s="25">
        <v>45294</v>
      </c>
      <c r="J64" s="22">
        <f t="shared" si="1"/>
        <v>5</v>
      </c>
      <c r="K64" t="s">
        <v>19</v>
      </c>
      <c r="L64">
        <v>67557</v>
      </c>
      <c r="M64">
        <v>3063</v>
      </c>
      <c r="N64" s="26">
        <v>3502.47</v>
      </c>
      <c r="O64" s="26">
        <f t="shared" si="2"/>
        <v>3502.47</v>
      </c>
      <c r="P64">
        <v>554</v>
      </c>
      <c r="Q64" t="b">
        <v>0</v>
      </c>
      <c r="S64" t="s">
        <v>20</v>
      </c>
    </row>
    <row r="65" spans="1:19">
      <c r="A65" t="s">
        <v>158</v>
      </c>
      <c r="B65" t="s">
        <v>159</v>
      </c>
      <c r="C65" s="23" t="s">
        <v>4131</v>
      </c>
      <c r="D65" s="23">
        <v>44943</v>
      </c>
      <c r="E65" s="22">
        <v>1</v>
      </c>
      <c r="F65" s="22">
        <v>17</v>
      </c>
      <c r="G65" s="22">
        <v>2023</v>
      </c>
      <c r="H65" s="23">
        <f t="shared" si="0"/>
        <v>44943</v>
      </c>
      <c r="I65" s="25">
        <v>44960</v>
      </c>
      <c r="J65" s="22">
        <f t="shared" si="1"/>
        <v>17</v>
      </c>
      <c r="K65" t="s">
        <v>23</v>
      </c>
      <c r="L65">
        <v>78189</v>
      </c>
      <c r="M65">
        <v>2164</v>
      </c>
      <c r="N65" s="26">
        <v>1734.66</v>
      </c>
      <c r="O65" s="26">
        <f t="shared" si="2"/>
        <v>1734.66</v>
      </c>
      <c r="P65">
        <v>187</v>
      </c>
      <c r="Q65" t="b">
        <v>1</v>
      </c>
      <c r="R65">
        <v>78213</v>
      </c>
      <c r="S65" t="s">
        <v>25</v>
      </c>
    </row>
    <row r="66" spans="1:19">
      <c r="A66" t="s">
        <v>160</v>
      </c>
      <c r="B66" t="s">
        <v>161</v>
      </c>
      <c r="C66" s="23" t="s">
        <v>4127</v>
      </c>
      <c r="D66" s="23">
        <v>45048</v>
      </c>
      <c r="E66" s="22">
        <v>5</v>
      </c>
      <c r="F66" s="22">
        <v>2</v>
      </c>
      <c r="G66" s="22">
        <v>2023</v>
      </c>
      <c r="H66" s="23">
        <f t="shared" si="0"/>
        <v>45048</v>
      </c>
      <c r="I66" s="25">
        <v>45058</v>
      </c>
      <c r="J66" s="22">
        <f t="shared" si="1"/>
        <v>10</v>
      </c>
      <c r="K66" t="s">
        <v>23</v>
      </c>
      <c r="L66">
        <v>79953</v>
      </c>
      <c r="M66">
        <v>1857</v>
      </c>
      <c r="N66" s="26">
        <v>2360.81</v>
      </c>
      <c r="O66" s="26">
        <f t="shared" si="2"/>
        <v>2360.81</v>
      </c>
      <c r="P66">
        <v>218</v>
      </c>
      <c r="Q66" t="b">
        <v>0</v>
      </c>
      <c r="S66" t="s">
        <v>25</v>
      </c>
    </row>
    <row r="67" spans="1:19">
      <c r="A67" t="s">
        <v>162</v>
      </c>
      <c r="B67" t="s">
        <v>163</v>
      </c>
      <c r="C67" s="23" t="s">
        <v>4129</v>
      </c>
      <c r="D67" s="23">
        <v>45203</v>
      </c>
      <c r="E67" s="22">
        <v>10</v>
      </c>
      <c r="F67" s="22">
        <v>4</v>
      </c>
      <c r="G67" s="22">
        <v>2023</v>
      </c>
      <c r="H67" s="23">
        <f t="shared" ref="H67:H130" si="3">IF(E67&gt;12,DATE(G67,F67,E67),D67)</f>
        <v>45203</v>
      </c>
      <c r="I67" s="25">
        <v>45214</v>
      </c>
      <c r="J67" s="22">
        <f t="shared" ref="J67:J130" si="4">DATEDIF(H67,I67,"D")</f>
        <v>11</v>
      </c>
      <c r="K67" t="s">
        <v>14</v>
      </c>
      <c r="L67">
        <v>53995</v>
      </c>
      <c r="M67">
        <v>1509</v>
      </c>
      <c r="N67" s="26">
        <v>2420.95</v>
      </c>
      <c r="O67" s="26">
        <f t="shared" ref="O67:O130" si="5">IF(N67&lt;$W$8,$W$8,IF(N67&gt;$W$9,$W$9,N67))</f>
        <v>2420.95</v>
      </c>
      <c r="P67">
        <v>285</v>
      </c>
      <c r="Q67" t="b">
        <v>1</v>
      </c>
      <c r="S67" t="s">
        <v>16</v>
      </c>
    </row>
    <row r="68" spans="1:19">
      <c r="A68" t="s">
        <v>164</v>
      </c>
      <c r="B68" t="s">
        <v>165</v>
      </c>
      <c r="C68" s="23" t="s">
        <v>4131</v>
      </c>
      <c r="D68" s="23">
        <v>45219</v>
      </c>
      <c r="E68" s="22">
        <v>10</v>
      </c>
      <c r="F68" s="22">
        <v>20</v>
      </c>
      <c r="G68" s="22">
        <v>2023</v>
      </c>
      <c r="H68" s="23">
        <f t="shared" si="3"/>
        <v>45219</v>
      </c>
      <c r="I68" s="25">
        <v>45243</v>
      </c>
      <c r="J68" s="22">
        <f t="shared" si="4"/>
        <v>24</v>
      </c>
      <c r="K68" t="s">
        <v>41</v>
      </c>
      <c r="L68">
        <v>41757</v>
      </c>
      <c r="M68">
        <v>1535</v>
      </c>
      <c r="N68" s="26">
        <v>1772.36</v>
      </c>
      <c r="O68" s="26">
        <f t="shared" si="5"/>
        <v>1772.36</v>
      </c>
      <c r="P68">
        <v>0</v>
      </c>
      <c r="Q68" t="b">
        <v>1</v>
      </c>
      <c r="S68" t="s">
        <v>42</v>
      </c>
    </row>
    <row r="69" spans="1:19">
      <c r="A69" t="s">
        <v>166</v>
      </c>
      <c r="B69" t="s">
        <v>167</v>
      </c>
      <c r="C69" s="23" t="s">
        <v>4129</v>
      </c>
      <c r="D69" s="23">
        <v>45169</v>
      </c>
      <c r="E69" s="22">
        <v>8</v>
      </c>
      <c r="F69" s="22">
        <v>31</v>
      </c>
      <c r="G69" s="22">
        <v>2023</v>
      </c>
      <c r="H69" s="23">
        <f t="shared" si="3"/>
        <v>45169</v>
      </c>
      <c r="I69" s="25">
        <v>45181</v>
      </c>
      <c r="J69" s="22">
        <f t="shared" si="4"/>
        <v>12</v>
      </c>
      <c r="K69" t="s">
        <v>19</v>
      </c>
      <c r="L69">
        <v>10692</v>
      </c>
      <c r="M69">
        <v>169</v>
      </c>
      <c r="N69" s="26">
        <v>253.53</v>
      </c>
      <c r="O69" s="26">
        <f t="shared" si="5"/>
        <v>253.53</v>
      </c>
      <c r="P69">
        <v>18</v>
      </c>
      <c r="Q69" t="b">
        <v>1</v>
      </c>
      <c r="S69" t="s">
        <v>20</v>
      </c>
    </row>
    <row r="70" spans="1:19">
      <c r="A70" t="s">
        <v>168</v>
      </c>
      <c r="B70" t="s">
        <v>169</v>
      </c>
      <c r="C70" s="23" t="s">
        <v>4129</v>
      </c>
      <c r="D70" s="23">
        <v>44976</v>
      </c>
      <c r="E70" s="22">
        <v>2</v>
      </c>
      <c r="F70" s="22">
        <v>19</v>
      </c>
      <c r="G70" s="22">
        <v>2023</v>
      </c>
      <c r="H70" s="23">
        <f t="shared" si="3"/>
        <v>44976</v>
      </c>
      <c r="I70" s="25">
        <v>45002</v>
      </c>
      <c r="J70" s="22">
        <f t="shared" si="4"/>
        <v>26</v>
      </c>
      <c r="K70" t="s">
        <v>23</v>
      </c>
      <c r="L70">
        <v>46758</v>
      </c>
      <c r="M70">
        <v>1308</v>
      </c>
      <c r="N70" s="26">
        <v>839.07</v>
      </c>
      <c r="O70" s="26">
        <f t="shared" si="5"/>
        <v>839.07</v>
      </c>
      <c r="P70">
        <v>91</v>
      </c>
      <c r="Q70" t="b">
        <v>1</v>
      </c>
      <c r="S70" t="s">
        <v>25</v>
      </c>
    </row>
    <row r="71" spans="1:19">
      <c r="A71" t="s">
        <v>170</v>
      </c>
      <c r="B71" t="s">
        <v>171</v>
      </c>
      <c r="C71" s="23" t="s">
        <v>4127</v>
      </c>
      <c r="D71" s="23">
        <v>45137</v>
      </c>
      <c r="E71" s="22">
        <v>7</v>
      </c>
      <c r="F71" s="22">
        <v>30</v>
      </c>
      <c r="G71" s="22">
        <v>2023</v>
      </c>
      <c r="H71" s="23">
        <f t="shared" si="3"/>
        <v>45137</v>
      </c>
      <c r="I71" s="25">
        <v>45160</v>
      </c>
      <c r="J71" s="22">
        <f t="shared" si="4"/>
        <v>23</v>
      </c>
      <c r="K71" t="s">
        <v>23</v>
      </c>
      <c r="L71">
        <v>73409</v>
      </c>
      <c r="M71">
        <v>2460</v>
      </c>
      <c r="N71" s="26">
        <v>3990.14</v>
      </c>
      <c r="O71" s="26">
        <f t="shared" si="5"/>
        <v>3632.575</v>
      </c>
      <c r="P71">
        <v>219</v>
      </c>
      <c r="Q71" t="b">
        <v>1</v>
      </c>
      <c r="S71" t="s">
        <v>25</v>
      </c>
    </row>
    <row r="72" spans="1:19">
      <c r="A72" t="s">
        <v>172</v>
      </c>
      <c r="B72" t="s">
        <v>173</v>
      </c>
      <c r="C72" s="23" t="s">
        <v>4128</v>
      </c>
      <c r="D72" s="23">
        <v>45271</v>
      </c>
      <c r="E72" s="22">
        <v>12</v>
      </c>
      <c r="F72" s="22">
        <v>11</v>
      </c>
      <c r="G72" s="22">
        <v>2023</v>
      </c>
      <c r="H72" s="23">
        <f t="shared" si="3"/>
        <v>45271</v>
      </c>
      <c r="I72" s="25">
        <v>45299</v>
      </c>
      <c r="J72" s="22">
        <f t="shared" si="4"/>
        <v>28</v>
      </c>
      <c r="K72" t="s">
        <v>14</v>
      </c>
      <c r="L72">
        <v>72211</v>
      </c>
      <c r="M72">
        <v>3462</v>
      </c>
      <c r="N72" s="26">
        <v>5951.42</v>
      </c>
      <c r="O72" s="26">
        <f t="shared" si="5"/>
        <v>3632.575</v>
      </c>
      <c r="P72">
        <v>474</v>
      </c>
      <c r="Q72" t="b">
        <v>1</v>
      </c>
      <c r="S72" t="s">
        <v>16</v>
      </c>
    </row>
    <row r="73" spans="1:19">
      <c r="A73" t="s">
        <v>174</v>
      </c>
      <c r="B73" t="s">
        <v>175</v>
      </c>
      <c r="C73" s="23" t="s">
        <v>4127</v>
      </c>
      <c r="D73" s="23">
        <v>44958</v>
      </c>
      <c r="E73" s="22">
        <v>2</v>
      </c>
      <c r="F73" s="22">
        <v>1</v>
      </c>
      <c r="G73" s="22">
        <v>2023</v>
      </c>
      <c r="H73" s="23">
        <f t="shared" si="3"/>
        <v>44958</v>
      </c>
      <c r="I73" s="25">
        <v>44953</v>
      </c>
      <c r="J73" s="22">
        <f t="shared" si="4"/>
        <v>-5</v>
      </c>
      <c r="K73" t="s">
        <v>23</v>
      </c>
      <c r="L73">
        <v>66697</v>
      </c>
      <c r="M73">
        <v>1340</v>
      </c>
      <c r="N73" s="26">
        <v>2090.74</v>
      </c>
      <c r="O73" s="26">
        <f t="shared" si="5"/>
        <v>2090.74</v>
      </c>
      <c r="P73">
        <v>0</v>
      </c>
      <c r="Q73" t="b">
        <v>1</v>
      </c>
      <c r="S73" t="s">
        <v>25</v>
      </c>
    </row>
    <row r="74" spans="1:19">
      <c r="A74" t="s">
        <v>176</v>
      </c>
      <c r="B74" t="s">
        <v>177</v>
      </c>
      <c r="C74" s="23" t="s">
        <v>4127</v>
      </c>
      <c r="D74" s="23">
        <v>44982</v>
      </c>
      <c r="E74" s="22">
        <v>2</v>
      </c>
      <c r="F74" s="22">
        <v>25</v>
      </c>
      <c r="G74" s="22">
        <v>2023</v>
      </c>
      <c r="H74" s="23">
        <f t="shared" si="3"/>
        <v>44982</v>
      </c>
      <c r="I74" s="25">
        <v>44994</v>
      </c>
      <c r="J74" s="22">
        <f t="shared" si="4"/>
        <v>12</v>
      </c>
      <c r="K74" t="s">
        <v>41</v>
      </c>
      <c r="L74">
        <v>38065</v>
      </c>
      <c r="M74">
        <v>927</v>
      </c>
      <c r="N74" s="26">
        <v>1808.48</v>
      </c>
      <c r="O74" s="26">
        <f t="shared" si="5"/>
        <v>1808.48</v>
      </c>
      <c r="P74">
        <v>0</v>
      </c>
      <c r="Q74" t="b">
        <v>0</v>
      </c>
      <c r="S74" t="s">
        <v>42</v>
      </c>
    </row>
    <row r="75" spans="1:19">
      <c r="A75" t="s">
        <v>178</v>
      </c>
      <c r="B75" t="s">
        <v>179</v>
      </c>
      <c r="C75" s="23" t="s">
        <v>4127</v>
      </c>
      <c r="D75" s="23">
        <v>45156</v>
      </c>
      <c r="E75" s="22">
        <v>8</v>
      </c>
      <c r="F75" s="22">
        <v>18</v>
      </c>
      <c r="G75" s="22">
        <v>2023</v>
      </c>
      <c r="H75" s="23">
        <f t="shared" si="3"/>
        <v>45156</v>
      </c>
      <c r="I75" s="25">
        <v>45175</v>
      </c>
      <c r="J75" s="22">
        <f t="shared" si="4"/>
        <v>19</v>
      </c>
      <c r="K75" t="s">
        <v>58</v>
      </c>
      <c r="L75">
        <v>93093</v>
      </c>
      <c r="M75">
        <v>2343</v>
      </c>
      <c r="N75" s="26">
        <v>4076.77</v>
      </c>
      <c r="O75" s="26">
        <f t="shared" si="5"/>
        <v>3632.575</v>
      </c>
      <c r="P75">
        <v>327</v>
      </c>
      <c r="Q75" t="b">
        <v>0</v>
      </c>
      <c r="S75" t="s">
        <v>59</v>
      </c>
    </row>
    <row r="76" spans="1:19">
      <c r="A76" t="s">
        <v>180</v>
      </c>
      <c r="B76" t="s">
        <v>181</v>
      </c>
      <c r="C76" s="23" t="s">
        <v>4131</v>
      </c>
      <c r="D76" s="23">
        <v>45163</v>
      </c>
      <c r="E76" s="22">
        <v>8</v>
      </c>
      <c r="F76" s="22">
        <v>25</v>
      </c>
      <c r="G76" s="22">
        <v>2023</v>
      </c>
      <c r="H76" s="23">
        <f t="shared" si="3"/>
        <v>45163</v>
      </c>
      <c r="I76" s="25">
        <v>45179</v>
      </c>
      <c r="J76" s="22">
        <f t="shared" si="4"/>
        <v>16</v>
      </c>
      <c r="K76" t="s">
        <v>14</v>
      </c>
      <c r="L76">
        <v>33606</v>
      </c>
      <c r="M76">
        <v>1150</v>
      </c>
      <c r="N76" s="26">
        <v>2132.84</v>
      </c>
      <c r="O76" s="26">
        <f t="shared" si="5"/>
        <v>2132.84</v>
      </c>
      <c r="P76">
        <v>152</v>
      </c>
      <c r="Q76" t="b">
        <v>1</v>
      </c>
      <c r="S76" t="s">
        <v>16</v>
      </c>
    </row>
    <row r="77" spans="1:19">
      <c r="A77" t="s">
        <v>182</v>
      </c>
      <c r="B77" t="s">
        <v>183</v>
      </c>
      <c r="C77" s="23" t="s">
        <v>4129</v>
      </c>
      <c r="D77" s="23">
        <v>45153</v>
      </c>
      <c r="E77" s="22">
        <v>8</v>
      </c>
      <c r="F77" s="22">
        <v>15</v>
      </c>
      <c r="G77" s="22">
        <v>2023</v>
      </c>
      <c r="H77" s="23">
        <f t="shared" si="3"/>
        <v>45153</v>
      </c>
      <c r="I77" s="25">
        <v>45156</v>
      </c>
      <c r="J77" s="22">
        <f t="shared" si="4"/>
        <v>3</v>
      </c>
      <c r="K77" t="s">
        <v>23</v>
      </c>
      <c r="L77">
        <v>12534</v>
      </c>
      <c r="M77">
        <v>304</v>
      </c>
      <c r="N77" s="26">
        <v>577.71</v>
      </c>
      <c r="O77" s="26">
        <f t="shared" si="5"/>
        <v>577.71</v>
      </c>
      <c r="P77">
        <v>38</v>
      </c>
      <c r="Q77" t="b">
        <v>1</v>
      </c>
      <c r="S77" t="s">
        <v>25</v>
      </c>
    </row>
    <row r="78" spans="1:19">
      <c r="A78" t="s">
        <v>184</v>
      </c>
      <c r="B78" t="s">
        <v>185</v>
      </c>
      <c r="C78" s="23" t="s">
        <v>4128</v>
      </c>
      <c r="D78" s="23" t="s">
        <v>186</v>
      </c>
      <c r="E78" s="22">
        <v>20</v>
      </c>
      <c r="F78" s="22">
        <v>2</v>
      </c>
      <c r="G78" s="22">
        <v>2023</v>
      </c>
      <c r="H78" s="23">
        <f t="shared" si="3"/>
        <v>44977</v>
      </c>
      <c r="I78" s="25">
        <v>44978</v>
      </c>
      <c r="J78" s="22">
        <f t="shared" si="4"/>
        <v>1</v>
      </c>
      <c r="K78" t="s">
        <v>41</v>
      </c>
      <c r="L78">
        <v>95663</v>
      </c>
      <c r="M78">
        <v>2998</v>
      </c>
      <c r="N78" s="26">
        <v>5102.66</v>
      </c>
      <c r="O78" s="26">
        <f t="shared" si="5"/>
        <v>3632.575</v>
      </c>
      <c r="P78">
        <v>460</v>
      </c>
      <c r="Q78" t="b">
        <v>0</v>
      </c>
      <c r="S78" t="s">
        <v>42</v>
      </c>
    </row>
    <row r="79" spans="1:19">
      <c r="A79" t="s">
        <v>187</v>
      </c>
      <c r="B79" t="s">
        <v>188</v>
      </c>
      <c r="C79" s="23" t="s">
        <v>4129</v>
      </c>
      <c r="D79" s="23">
        <v>45203</v>
      </c>
      <c r="E79" s="22">
        <v>10</v>
      </c>
      <c r="F79" s="22">
        <v>4</v>
      </c>
      <c r="G79" s="22">
        <v>2023</v>
      </c>
      <c r="H79" s="23">
        <f t="shared" si="3"/>
        <v>45203</v>
      </c>
      <c r="I79" s="25">
        <v>45218</v>
      </c>
      <c r="J79" s="22">
        <f t="shared" si="4"/>
        <v>15</v>
      </c>
      <c r="K79" t="s">
        <v>23</v>
      </c>
      <c r="L79">
        <v>41397</v>
      </c>
      <c r="M79">
        <v>1708</v>
      </c>
      <c r="N79" s="26">
        <v>2581.45</v>
      </c>
      <c r="O79" s="26">
        <f t="shared" si="5"/>
        <v>2581.45</v>
      </c>
      <c r="P79">
        <v>299</v>
      </c>
      <c r="Q79" t="b">
        <v>0</v>
      </c>
      <c r="S79" t="s">
        <v>25</v>
      </c>
    </row>
    <row r="80" spans="1:19">
      <c r="A80" t="s">
        <v>189</v>
      </c>
      <c r="B80" t="s">
        <v>190</v>
      </c>
      <c r="C80" s="23" t="s">
        <v>4131</v>
      </c>
      <c r="D80" s="23">
        <v>45048</v>
      </c>
      <c r="E80" s="22">
        <v>5</v>
      </c>
      <c r="F80" s="22">
        <v>2</v>
      </c>
      <c r="G80" s="22">
        <v>2023</v>
      </c>
      <c r="H80" s="23">
        <f t="shared" si="3"/>
        <v>45048</v>
      </c>
      <c r="I80" s="25">
        <v>45060</v>
      </c>
      <c r="J80" s="22">
        <f t="shared" si="4"/>
        <v>12</v>
      </c>
      <c r="K80" t="s">
        <v>191</v>
      </c>
      <c r="L80">
        <v>92387</v>
      </c>
      <c r="M80">
        <v>3530</v>
      </c>
      <c r="N80" s="26">
        <v>1795.28</v>
      </c>
      <c r="O80" s="26">
        <f t="shared" si="5"/>
        <v>1795.28</v>
      </c>
      <c r="P80">
        <v>347</v>
      </c>
      <c r="Q80" t="b">
        <v>1</v>
      </c>
      <c r="S80" t="s">
        <v>42</v>
      </c>
    </row>
    <row r="81" spans="1:19">
      <c r="A81" t="s">
        <v>192</v>
      </c>
      <c r="B81" t="s">
        <v>193</v>
      </c>
      <c r="C81" s="23" t="s">
        <v>4127</v>
      </c>
      <c r="D81" s="23">
        <v>45036</v>
      </c>
      <c r="E81" s="22">
        <v>4</v>
      </c>
      <c r="F81" s="22">
        <v>20</v>
      </c>
      <c r="G81" s="22">
        <v>2023</v>
      </c>
      <c r="H81" s="23">
        <f t="shared" si="3"/>
        <v>45036</v>
      </c>
      <c r="I81" s="25">
        <v>45050</v>
      </c>
      <c r="J81" s="22">
        <f t="shared" si="4"/>
        <v>14</v>
      </c>
      <c r="K81" t="s">
        <v>19</v>
      </c>
      <c r="L81">
        <v>2016</v>
      </c>
      <c r="M81">
        <v>56</v>
      </c>
      <c r="N81" s="26">
        <v>67.13</v>
      </c>
      <c r="O81" s="26">
        <f t="shared" si="5"/>
        <v>67.13</v>
      </c>
      <c r="P81">
        <v>10</v>
      </c>
      <c r="Q81" t="b">
        <v>1</v>
      </c>
      <c r="S81" t="s">
        <v>20</v>
      </c>
    </row>
    <row r="82" spans="1:19">
      <c r="A82" t="s">
        <v>194</v>
      </c>
      <c r="B82" t="s">
        <v>195</v>
      </c>
      <c r="C82" s="23" t="s">
        <v>4127</v>
      </c>
      <c r="D82" s="23">
        <v>45011</v>
      </c>
      <c r="E82" s="22">
        <v>3</v>
      </c>
      <c r="F82" s="22">
        <v>26</v>
      </c>
      <c r="G82" s="22">
        <v>2023</v>
      </c>
      <c r="H82" s="23">
        <f t="shared" si="3"/>
        <v>45011</v>
      </c>
      <c r="I82" s="25">
        <v>45019</v>
      </c>
      <c r="J82" s="22">
        <f t="shared" si="4"/>
        <v>8</v>
      </c>
      <c r="K82" t="s">
        <v>23</v>
      </c>
      <c r="L82">
        <v>90789</v>
      </c>
      <c r="M82">
        <v>4046</v>
      </c>
      <c r="N82" s="26">
        <v>5489.38</v>
      </c>
      <c r="O82" s="26">
        <f t="shared" si="5"/>
        <v>3632.575</v>
      </c>
      <c r="P82">
        <v>299</v>
      </c>
      <c r="Q82" t="b">
        <v>1</v>
      </c>
      <c r="S82" t="s">
        <v>25</v>
      </c>
    </row>
    <row r="83" spans="1:19">
      <c r="A83" t="s">
        <v>196</v>
      </c>
      <c r="B83" t="s">
        <v>197</v>
      </c>
      <c r="C83" s="23" t="s">
        <v>4128</v>
      </c>
      <c r="D83" s="23">
        <v>45062</v>
      </c>
      <c r="E83" s="22">
        <v>5</v>
      </c>
      <c r="F83" s="22">
        <v>16</v>
      </c>
      <c r="G83" s="22">
        <v>2023</v>
      </c>
      <c r="H83" s="23">
        <f t="shared" si="3"/>
        <v>45062</v>
      </c>
      <c r="I83" s="25">
        <v>45069</v>
      </c>
      <c r="J83" s="22">
        <f t="shared" si="4"/>
        <v>7</v>
      </c>
      <c r="K83" t="s">
        <v>14</v>
      </c>
      <c r="L83">
        <v>56591</v>
      </c>
      <c r="M83">
        <v>1829</v>
      </c>
      <c r="N83" s="26">
        <v>1748.61</v>
      </c>
      <c r="O83" s="26">
        <f t="shared" si="5"/>
        <v>1748.61</v>
      </c>
      <c r="P83">
        <v>138</v>
      </c>
      <c r="Q83" t="b">
        <v>0</v>
      </c>
      <c r="S83" t="s">
        <v>16</v>
      </c>
    </row>
    <row r="84" spans="1:19">
      <c r="A84" t="s">
        <v>198</v>
      </c>
      <c r="B84" t="s">
        <v>199</v>
      </c>
      <c r="C84" s="23" t="s">
        <v>4131</v>
      </c>
      <c r="D84" s="23">
        <v>45073</v>
      </c>
      <c r="E84" s="22">
        <v>5</v>
      </c>
      <c r="F84" s="22">
        <v>27</v>
      </c>
      <c r="G84" s="22">
        <v>2023</v>
      </c>
      <c r="H84" s="23">
        <f t="shared" si="3"/>
        <v>45073</v>
      </c>
      <c r="I84" s="25">
        <v>45084</v>
      </c>
      <c r="J84" s="22">
        <f t="shared" si="4"/>
        <v>11</v>
      </c>
      <c r="K84" t="s">
        <v>33</v>
      </c>
      <c r="L84">
        <v>90812</v>
      </c>
      <c r="M84">
        <v>2869</v>
      </c>
      <c r="N84" s="26">
        <v>2803.46</v>
      </c>
      <c r="O84" s="26">
        <f t="shared" si="5"/>
        <v>2803.46</v>
      </c>
      <c r="P84">
        <v>258</v>
      </c>
      <c r="Q84" t="b">
        <v>1</v>
      </c>
      <c r="S84" t="s">
        <v>34</v>
      </c>
    </row>
    <row r="85" spans="1:19">
      <c r="A85" t="s">
        <v>200</v>
      </c>
      <c r="B85" t="s">
        <v>201</v>
      </c>
      <c r="C85" s="23" t="s">
        <v>4129</v>
      </c>
      <c r="D85" s="23">
        <v>45211</v>
      </c>
      <c r="E85" s="22">
        <v>10</v>
      </c>
      <c r="F85" s="22">
        <v>12</v>
      </c>
      <c r="G85" s="22">
        <v>2023</v>
      </c>
      <c r="H85" s="23">
        <f t="shared" si="3"/>
        <v>45211</v>
      </c>
      <c r="I85" s="25">
        <v>45234</v>
      </c>
      <c r="J85" s="22">
        <f t="shared" si="4"/>
        <v>23</v>
      </c>
      <c r="K85" t="s">
        <v>33</v>
      </c>
      <c r="L85">
        <v>24247</v>
      </c>
      <c r="M85">
        <v>275</v>
      </c>
      <c r="N85" s="26">
        <v>533.98</v>
      </c>
      <c r="O85" s="26">
        <f t="shared" si="5"/>
        <v>533.98</v>
      </c>
      <c r="P85">
        <v>18</v>
      </c>
      <c r="Q85" t="b">
        <v>0</v>
      </c>
      <c r="S85" t="s">
        <v>34</v>
      </c>
    </row>
    <row r="86" spans="1:19">
      <c r="A86" t="s">
        <v>202</v>
      </c>
      <c r="B86" t="s">
        <v>203</v>
      </c>
      <c r="C86" s="23" t="s">
        <v>4127</v>
      </c>
      <c r="D86" s="23">
        <v>45024</v>
      </c>
      <c r="E86" s="22">
        <v>4</v>
      </c>
      <c r="F86" s="22">
        <v>8</v>
      </c>
      <c r="G86" s="22">
        <v>2023</v>
      </c>
      <c r="H86" s="23">
        <f t="shared" si="3"/>
        <v>45024</v>
      </c>
      <c r="I86" s="25">
        <v>45032</v>
      </c>
      <c r="J86" s="22">
        <f t="shared" si="4"/>
        <v>8</v>
      </c>
      <c r="K86" t="s">
        <v>23</v>
      </c>
      <c r="L86">
        <v>25300</v>
      </c>
      <c r="M86">
        <v>1251</v>
      </c>
      <c r="N86" s="26">
        <v>2298.8</v>
      </c>
      <c r="O86" s="26">
        <f t="shared" si="5"/>
        <v>2298.8</v>
      </c>
      <c r="P86">
        <v>105</v>
      </c>
      <c r="Q86" t="b">
        <v>1</v>
      </c>
      <c r="S86" t="s">
        <v>25</v>
      </c>
    </row>
    <row r="87" spans="1:19">
      <c r="A87" t="s">
        <v>204</v>
      </c>
      <c r="B87" t="s">
        <v>205</v>
      </c>
      <c r="C87" s="23" t="s">
        <v>4129</v>
      </c>
      <c r="D87" s="23">
        <v>45223</v>
      </c>
      <c r="E87" s="22">
        <v>10</v>
      </c>
      <c r="F87" s="22">
        <v>24</v>
      </c>
      <c r="G87" s="22">
        <v>2023</v>
      </c>
      <c r="H87" s="23">
        <f t="shared" si="3"/>
        <v>45223</v>
      </c>
      <c r="I87" s="25">
        <v>45253</v>
      </c>
      <c r="J87" s="22">
        <f t="shared" si="4"/>
        <v>30</v>
      </c>
      <c r="K87" t="s">
        <v>41</v>
      </c>
      <c r="L87">
        <v>75065</v>
      </c>
      <c r="M87">
        <v>1119</v>
      </c>
      <c r="N87" s="26">
        <v>1984.85</v>
      </c>
      <c r="O87" s="26">
        <f t="shared" si="5"/>
        <v>1984.85</v>
      </c>
      <c r="P87">
        <v>73</v>
      </c>
      <c r="Q87" t="b">
        <v>1</v>
      </c>
      <c r="S87" t="s">
        <v>68</v>
      </c>
    </row>
    <row r="88" spans="1:19">
      <c r="A88" t="s">
        <v>206</v>
      </c>
      <c r="B88" t="s">
        <v>207</v>
      </c>
      <c r="C88" s="23" t="s">
        <v>4129</v>
      </c>
      <c r="D88" s="23">
        <v>45205</v>
      </c>
      <c r="E88" s="22">
        <v>10</v>
      </c>
      <c r="F88" s="22">
        <v>6</v>
      </c>
      <c r="G88" s="22">
        <v>2023</v>
      </c>
      <c r="H88" s="23">
        <f t="shared" si="3"/>
        <v>45205</v>
      </c>
      <c r="I88" s="25">
        <v>45115</v>
      </c>
      <c r="J88" s="22">
        <f t="shared" si="4"/>
        <v>-90</v>
      </c>
      <c r="K88" t="s">
        <v>33</v>
      </c>
      <c r="L88">
        <v>83798</v>
      </c>
      <c r="M88">
        <v>1612</v>
      </c>
      <c r="N88" s="26">
        <v>1787.74</v>
      </c>
      <c r="O88" s="26">
        <f t="shared" si="5"/>
        <v>1787.74</v>
      </c>
      <c r="P88">
        <v>279</v>
      </c>
      <c r="Q88" t="b">
        <v>1</v>
      </c>
      <c r="S88" t="s">
        <v>34</v>
      </c>
    </row>
    <row r="89" spans="1:19">
      <c r="A89" t="s">
        <v>208</v>
      </c>
      <c r="B89" t="s">
        <v>209</v>
      </c>
      <c r="C89" s="23" t="s">
        <v>4131</v>
      </c>
      <c r="D89" s="23">
        <v>45226</v>
      </c>
      <c r="E89" s="22">
        <v>10</v>
      </c>
      <c r="F89" s="22">
        <v>27</v>
      </c>
      <c r="G89" s="22">
        <v>2023</v>
      </c>
      <c r="H89" s="23">
        <f t="shared" si="3"/>
        <v>45226</v>
      </c>
      <c r="I89" s="25">
        <v>45255</v>
      </c>
      <c r="J89" s="22">
        <f t="shared" si="4"/>
        <v>29</v>
      </c>
      <c r="K89" t="s">
        <v>33</v>
      </c>
      <c r="L89">
        <v>10268</v>
      </c>
      <c r="M89">
        <v>123</v>
      </c>
      <c r="N89" s="26">
        <v>64.03</v>
      </c>
      <c r="O89" s="26">
        <f t="shared" si="5"/>
        <v>64.03</v>
      </c>
      <c r="P89">
        <v>8</v>
      </c>
      <c r="Q89" t="b">
        <v>0</v>
      </c>
      <c r="S89" t="s">
        <v>34</v>
      </c>
    </row>
    <row r="90" spans="1:19">
      <c r="A90" t="s">
        <v>210</v>
      </c>
      <c r="B90" t="s">
        <v>211</v>
      </c>
      <c r="C90" s="23" t="s">
        <v>4129</v>
      </c>
      <c r="D90" s="23">
        <v>45198</v>
      </c>
      <c r="E90" s="22">
        <v>9</v>
      </c>
      <c r="F90" s="22">
        <v>29</v>
      </c>
      <c r="G90" s="22">
        <v>2023</v>
      </c>
      <c r="H90" s="23">
        <f t="shared" si="3"/>
        <v>45198</v>
      </c>
      <c r="I90" s="25">
        <v>45209</v>
      </c>
      <c r="J90" s="22">
        <f t="shared" si="4"/>
        <v>11</v>
      </c>
      <c r="K90" t="s">
        <v>138</v>
      </c>
      <c r="L90">
        <v>87807</v>
      </c>
      <c r="M90">
        <v>3125</v>
      </c>
      <c r="N90" s="26">
        <v>1938.54</v>
      </c>
      <c r="O90" s="26">
        <f t="shared" si="5"/>
        <v>1938.54</v>
      </c>
      <c r="P90">
        <v>506</v>
      </c>
      <c r="Q90" t="b">
        <v>1</v>
      </c>
      <c r="R90">
        <v>87884</v>
      </c>
      <c r="S90" t="s">
        <v>139</v>
      </c>
    </row>
    <row r="91" spans="1:19">
      <c r="A91" t="s">
        <v>212</v>
      </c>
      <c r="B91" t="s">
        <v>213</v>
      </c>
      <c r="C91" s="23" t="s">
        <v>4131</v>
      </c>
      <c r="D91" s="23">
        <v>44968</v>
      </c>
      <c r="E91" s="22">
        <v>2</v>
      </c>
      <c r="F91" s="22">
        <v>11</v>
      </c>
      <c r="G91" s="22">
        <v>2023</v>
      </c>
      <c r="H91" s="23">
        <f t="shared" si="3"/>
        <v>44968</v>
      </c>
      <c r="I91" s="25">
        <v>45253</v>
      </c>
      <c r="J91" s="22">
        <f t="shared" si="4"/>
        <v>285</v>
      </c>
      <c r="K91" t="s">
        <v>33</v>
      </c>
      <c r="L91">
        <v>13185</v>
      </c>
      <c r="M91">
        <v>250</v>
      </c>
      <c r="N91" s="26">
        <v>242.07</v>
      </c>
      <c r="O91" s="26">
        <f t="shared" si="5"/>
        <v>242.07</v>
      </c>
      <c r="P91">
        <v>14</v>
      </c>
      <c r="Q91" t="b">
        <v>1</v>
      </c>
      <c r="S91" t="s">
        <v>34</v>
      </c>
    </row>
    <row r="92" spans="1:19">
      <c r="A92" t="s">
        <v>214</v>
      </c>
      <c r="B92" t="s">
        <v>215</v>
      </c>
      <c r="C92" s="23" t="s">
        <v>4128</v>
      </c>
      <c r="D92" s="23">
        <v>44961</v>
      </c>
      <c r="E92" s="22">
        <v>2</v>
      </c>
      <c r="F92" s="22">
        <v>4</v>
      </c>
      <c r="G92" s="22">
        <v>2023</v>
      </c>
      <c r="H92" s="23">
        <f t="shared" si="3"/>
        <v>44961</v>
      </c>
      <c r="I92" s="25">
        <v>44991</v>
      </c>
      <c r="J92" s="22">
        <f t="shared" si="4"/>
        <v>30</v>
      </c>
      <c r="K92" t="s">
        <v>33</v>
      </c>
      <c r="L92">
        <v>64704</v>
      </c>
      <c r="M92">
        <v>1112</v>
      </c>
      <c r="N92" s="26">
        <v>582.26</v>
      </c>
      <c r="O92" s="26">
        <f t="shared" si="5"/>
        <v>582.26</v>
      </c>
      <c r="P92">
        <v>213</v>
      </c>
      <c r="Q92" t="b">
        <v>1</v>
      </c>
      <c r="S92" t="s">
        <v>34</v>
      </c>
    </row>
    <row r="93" spans="1:19">
      <c r="A93" t="s">
        <v>216</v>
      </c>
      <c r="B93" t="s">
        <v>217</v>
      </c>
      <c r="C93" s="23" t="s">
        <v>4128</v>
      </c>
      <c r="D93" s="23">
        <v>44988</v>
      </c>
      <c r="E93" s="22">
        <v>3</v>
      </c>
      <c r="F93" s="22">
        <v>3</v>
      </c>
      <c r="G93" s="22">
        <v>2023</v>
      </c>
      <c r="H93" s="23">
        <f t="shared" si="3"/>
        <v>44988</v>
      </c>
      <c r="I93" s="25">
        <v>45017</v>
      </c>
      <c r="J93" s="22">
        <f t="shared" si="4"/>
        <v>29</v>
      </c>
      <c r="K93" t="s">
        <v>41</v>
      </c>
      <c r="L93">
        <v>87779</v>
      </c>
      <c r="M93">
        <v>1188</v>
      </c>
      <c r="N93" s="26">
        <v>624.56</v>
      </c>
      <c r="O93" s="26">
        <f t="shared" si="5"/>
        <v>624.56</v>
      </c>
      <c r="P93">
        <v>186</v>
      </c>
      <c r="Q93" t="b">
        <v>0</v>
      </c>
      <c r="S93" t="s">
        <v>42</v>
      </c>
    </row>
    <row r="94" spans="1:19">
      <c r="A94" t="s">
        <v>218</v>
      </c>
      <c r="B94" t="s">
        <v>219</v>
      </c>
      <c r="C94" s="23" t="s">
        <v>4129</v>
      </c>
      <c r="D94" s="23">
        <v>45223</v>
      </c>
      <c r="E94" s="22">
        <v>10</v>
      </c>
      <c r="F94" s="22">
        <v>24</v>
      </c>
      <c r="G94" s="22">
        <v>2023</v>
      </c>
      <c r="H94" s="23">
        <f t="shared" si="3"/>
        <v>45223</v>
      </c>
      <c r="I94" s="25">
        <v>45239</v>
      </c>
      <c r="J94" s="22">
        <f t="shared" si="4"/>
        <v>16</v>
      </c>
      <c r="K94" t="s">
        <v>41</v>
      </c>
      <c r="L94">
        <v>40099</v>
      </c>
      <c r="M94">
        <v>566</v>
      </c>
      <c r="N94" s="26">
        <v>1061.2</v>
      </c>
      <c r="O94" s="26">
        <f t="shared" si="5"/>
        <v>1061.2</v>
      </c>
      <c r="P94">
        <v>28</v>
      </c>
      <c r="Q94" t="b">
        <v>0</v>
      </c>
      <c r="S94" t="s">
        <v>42</v>
      </c>
    </row>
    <row r="95" spans="1:19">
      <c r="A95" t="s">
        <v>220</v>
      </c>
      <c r="B95" t="s">
        <v>221</v>
      </c>
      <c r="C95" s="23" t="s">
        <v>4129</v>
      </c>
      <c r="D95" s="23">
        <v>45141</v>
      </c>
      <c r="E95" s="22">
        <v>8</v>
      </c>
      <c r="F95" s="22">
        <v>3</v>
      </c>
      <c r="G95" s="22">
        <v>2023</v>
      </c>
      <c r="H95" s="23">
        <f t="shared" si="3"/>
        <v>45141</v>
      </c>
      <c r="I95" s="25">
        <v>45167</v>
      </c>
      <c r="J95" s="22">
        <f t="shared" si="4"/>
        <v>26</v>
      </c>
      <c r="K95" t="s">
        <v>138</v>
      </c>
      <c r="L95">
        <v>9571</v>
      </c>
      <c r="M95">
        <v>319</v>
      </c>
      <c r="N95" s="26">
        <v>497.4</v>
      </c>
      <c r="O95" s="26">
        <f t="shared" si="5"/>
        <v>497.4</v>
      </c>
      <c r="P95">
        <v>52</v>
      </c>
      <c r="Q95" t="b">
        <v>0</v>
      </c>
      <c r="S95" t="s">
        <v>139</v>
      </c>
    </row>
    <row r="96" spans="1:19">
      <c r="A96" t="s">
        <v>222</v>
      </c>
      <c r="B96" t="s">
        <v>223</v>
      </c>
      <c r="C96" s="23" t="s">
        <v>4127</v>
      </c>
      <c r="D96" s="23">
        <v>45088</v>
      </c>
      <c r="E96" s="22">
        <v>6</v>
      </c>
      <c r="F96" s="22">
        <v>11</v>
      </c>
      <c r="G96" s="22">
        <v>2023</v>
      </c>
      <c r="H96" s="23">
        <f t="shared" si="3"/>
        <v>45088</v>
      </c>
      <c r="I96" s="25">
        <v>45097</v>
      </c>
      <c r="J96" s="22">
        <f t="shared" si="4"/>
        <v>9</v>
      </c>
      <c r="K96" t="s">
        <v>14</v>
      </c>
      <c r="L96">
        <v>39044</v>
      </c>
      <c r="M96">
        <v>1465</v>
      </c>
      <c r="N96" s="26">
        <v>1411.43</v>
      </c>
      <c r="O96" s="26">
        <f t="shared" si="5"/>
        <v>1411.43</v>
      </c>
      <c r="P96">
        <v>186</v>
      </c>
      <c r="Q96" t="b">
        <v>1</v>
      </c>
      <c r="S96" t="s">
        <v>16</v>
      </c>
    </row>
    <row r="97" spans="1:19">
      <c r="A97" t="s">
        <v>224</v>
      </c>
      <c r="B97" t="s">
        <v>225</v>
      </c>
      <c r="C97" s="23" t="s">
        <v>4129</v>
      </c>
      <c r="D97" s="23">
        <v>45087</v>
      </c>
      <c r="E97" s="22">
        <v>6</v>
      </c>
      <c r="F97" s="22">
        <v>10</v>
      </c>
      <c r="G97" s="22">
        <v>2023</v>
      </c>
      <c r="H97" s="23">
        <f t="shared" si="3"/>
        <v>45087</v>
      </c>
      <c r="I97" s="25">
        <v>45105</v>
      </c>
      <c r="J97" s="22">
        <f t="shared" si="4"/>
        <v>18</v>
      </c>
      <c r="K97" t="s">
        <v>41</v>
      </c>
      <c r="L97">
        <v>52214</v>
      </c>
      <c r="M97">
        <v>1352</v>
      </c>
      <c r="N97" s="26">
        <v>945</v>
      </c>
      <c r="O97" s="26">
        <f t="shared" si="5"/>
        <v>945</v>
      </c>
      <c r="P97">
        <v>225</v>
      </c>
      <c r="Q97" t="b">
        <v>0</v>
      </c>
      <c r="S97" t="s">
        <v>42</v>
      </c>
    </row>
    <row r="98" spans="1:19">
      <c r="A98" t="s">
        <v>226</v>
      </c>
      <c r="B98" t="s">
        <v>227</v>
      </c>
      <c r="C98" s="23" t="s">
        <v>4127</v>
      </c>
      <c r="D98" s="23">
        <v>45270</v>
      </c>
      <c r="E98" s="22">
        <v>12</v>
      </c>
      <c r="F98" s="22">
        <v>10</v>
      </c>
      <c r="G98" s="22">
        <v>2023</v>
      </c>
      <c r="H98" s="23">
        <f t="shared" si="3"/>
        <v>45270</v>
      </c>
      <c r="I98" s="25">
        <v>45281</v>
      </c>
      <c r="J98" s="22">
        <f t="shared" si="4"/>
        <v>11</v>
      </c>
      <c r="K98" t="s">
        <v>23</v>
      </c>
      <c r="L98">
        <v>62228</v>
      </c>
      <c r="M98">
        <v>1816</v>
      </c>
      <c r="N98" s="26">
        <v>2301.7</v>
      </c>
      <c r="O98" s="26">
        <f t="shared" si="5"/>
        <v>2301.7</v>
      </c>
      <c r="P98">
        <v>233</v>
      </c>
      <c r="Q98" t="b">
        <v>0</v>
      </c>
      <c r="S98" t="s">
        <v>25</v>
      </c>
    </row>
    <row r="99" spans="1:19">
      <c r="A99" t="s">
        <v>228</v>
      </c>
      <c r="B99" t="s">
        <v>229</v>
      </c>
      <c r="C99" s="23" t="s">
        <v>4127</v>
      </c>
      <c r="D99" s="23">
        <v>45109</v>
      </c>
      <c r="E99" s="22">
        <v>7</v>
      </c>
      <c r="F99" s="22">
        <v>2</v>
      </c>
      <c r="G99" s="22">
        <v>2023</v>
      </c>
      <c r="H99" s="23">
        <f t="shared" si="3"/>
        <v>45109</v>
      </c>
      <c r="I99" s="25">
        <v>44983</v>
      </c>
      <c r="J99" s="22">
        <f t="shared" si="4"/>
        <v>-126</v>
      </c>
      <c r="K99" t="s">
        <v>138</v>
      </c>
      <c r="L99">
        <v>49984</v>
      </c>
      <c r="M99">
        <v>1871</v>
      </c>
      <c r="N99" s="26">
        <v>950.5</v>
      </c>
      <c r="O99" s="26">
        <f t="shared" si="5"/>
        <v>950.5</v>
      </c>
      <c r="P99">
        <v>273</v>
      </c>
      <c r="Q99" t="b">
        <v>0</v>
      </c>
      <c r="S99" t="s">
        <v>139</v>
      </c>
    </row>
    <row r="100" spans="1:19">
      <c r="A100" t="s">
        <v>230</v>
      </c>
      <c r="B100" t="s">
        <v>231</v>
      </c>
      <c r="C100" s="23" t="s">
        <v>4131</v>
      </c>
      <c r="D100" s="23">
        <v>45245</v>
      </c>
      <c r="E100" s="22">
        <v>11</v>
      </c>
      <c r="F100" s="22">
        <v>15</v>
      </c>
      <c r="G100" s="22">
        <v>2023</v>
      </c>
      <c r="H100" s="23">
        <f t="shared" si="3"/>
        <v>45245</v>
      </c>
      <c r="I100" s="25">
        <v>45271</v>
      </c>
      <c r="J100" s="22">
        <f t="shared" si="4"/>
        <v>26</v>
      </c>
      <c r="K100" t="s">
        <v>33</v>
      </c>
      <c r="L100">
        <v>41774</v>
      </c>
      <c r="M100">
        <v>446</v>
      </c>
      <c r="N100" s="26">
        <v>850.8</v>
      </c>
      <c r="O100" s="26">
        <f t="shared" si="5"/>
        <v>850.8</v>
      </c>
      <c r="P100">
        <v>74</v>
      </c>
      <c r="Q100" t="b">
        <v>0</v>
      </c>
      <c r="S100" t="s">
        <v>34</v>
      </c>
    </row>
    <row r="101" spans="1:19">
      <c r="A101" t="s">
        <v>232</v>
      </c>
      <c r="B101" t="s">
        <v>233</v>
      </c>
      <c r="C101" s="23" t="s">
        <v>4131</v>
      </c>
      <c r="D101" s="23">
        <v>44964</v>
      </c>
      <c r="E101" s="22">
        <v>2</v>
      </c>
      <c r="F101" s="22">
        <v>7</v>
      </c>
      <c r="G101" s="22">
        <v>2023</v>
      </c>
      <c r="H101" s="23">
        <f t="shared" si="3"/>
        <v>44964</v>
      </c>
      <c r="I101" s="25">
        <v>44975</v>
      </c>
      <c r="J101" s="22">
        <f t="shared" si="4"/>
        <v>11</v>
      </c>
      <c r="K101" t="s">
        <v>234</v>
      </c>
      <c r="L101">
        <v>3568</v>
      </c>
      <c r="M101">
        <v>81</v>
      </c>
      <c r="N101" s="26">
        <v>90.9</v>
      </c>
      <c r="O101" s="26">
        <f t="shared" si="5"/>
        <v>90.9</v>
      </c>
      <c r="P101">
        <v>8</v>
      </c>
      <c r="Q101" t="b">
        <v>1</v>
      </c>
      <c r="S101" t="s">
        <v>16</v>
      </c>
    </row>
    <row r="102" spans="1:19">
      <c r="A102" t="s">
        <v>235</v>
      </c>
      <c r="B102" t="s">
        <v>236</v>
      </c>
      <c r="C102" s="23" t="s">
        <v>4127</v>
      </c>
      <c r="D102" s="23">
        <v>44994</v>
      </c>
      <c r="E102" s="22">
        <v>3</v>
      </c>
      <c r="F102" s="22">
        <v>9</v>
      </c>
      <c r="G102" s="22">
        <v>2023</v>
      </c>
      <c r="H102" s="23">
        <f t="shared" si="3"/>
        <v>44994</v>
      </c>
      <c r="I102" s="25">
        <v>45017</v>
      </c>
      <c r="J102" s="22">
        <f t="shared" si="4"/>
        <v>23</v>
      </c>
      <c r="K102" t="s">
        <v>14</v>
      </c>
      <c r="L102">
        <v>63592</v>
      </c>
      <c r="M102">
        <v>3111</v>
      </c>
      <c r="N102" s="26">
        <v>3433</v>
      </c>
      <c r="O102" s="26">
        <f t="shared" si="5"/>
        <v>3433</v>
      </c>
      <c r="P102">
        <v>156</v>
      </c>
      <c r="Q102" t="b">
        <v>0</v>
      </c>
      <c r="S102" t="s">
        <v>16</v>
      </c>
    </row>
    <row r="103" spans="1:19">
      <c r="A103" t="s">
        <v>237</v>
      </c>
      <c r="B103" t="s">
        <v>238</v>
      </c>
      <c r="C103" s="23" t="s">
        <v>4131</v>
      </c>
      <c r="D103" s="23">
        <v>45052</v>
      </c>
      <c r="E103" s="22">
        <v>5</v>
      </c>
      <c r="F103" s="22">
        <v>6</v>
      </c>
      <c r="G103" s="22">
        <v>2023</v>
      </c>
      <c r="H103" s="23">
        <f t="shared" si="3"/>
        <v>45052</v>
      </c>
      <c r="I103" s="25">
        <v>45059</v>
      </c>
      <c r="J103" s="22">
        <f t="shared" si="4"/>
        <v>7</v>
      </c>
      <c r="K103" t="s">
        <v>41</v>
      </c>
      <c r="L103">
        <v>68563</v>
      </c>
      <c r="M103">
        <v>2276</v>
      </c>
      <c r="N103" s="26">
        <v>2471.49</v>
      </c>
      <c r="O103" s="26">
        <f t="shared" si="5"/>
        <v>2471.49</v>
      </c>
      <c r="P103">
        <v>403</v>
      </c>
      <c r="Q103" t="b">
        <v>1</v>
      </c>
      <c r="S103" t="s">
        <v>42</v>
      </c>
    </row>
    <row r="104" spans="1:19">
      <c r="A104" t="s">
        <v>239</v>
      </c>
      <c r="B104" t="s">
        <v>240</v>
      </c>
      <c r="C104" s="23" t="s">
        <v>4127</v>
      </c>
      <c r="D104" s="23">
        <v>45205</v>
      </c>
      <c r="E104" s="22">
        <v>10</v>
      </c>
      <c r="F104" s="22">
        <v>6</v>
      </c>
      <c r="G104" s="22">
        <v>2023</v>
      </c>
      <c r="H104" s="23">
        <f t="shared" si="3"/>
        <v>45205</v>
      </c>
      <c r="I104" s="25">
        <v>45234</v>
      </c>
      <c r="J104" s="22">
        <f t="shared" si="4"/>
        <v>29</v>
      </c>
      <c r="K104" t="s">
        <v>138</v>
      </c>
      <c r="L104">
        <v>3695</v>
      </c>
      <c r="M104">
        <v>74</v>
      </c>
      <c r="N104" s="26">
        <v>44.7</v>
      </c>
      <c r="O104" s="26">
        <f t="shared" si="5"/>
        <v>44.7</v>
      </c>
      <c r="P104">
        <v>7</v>
      </c>
      <c r="Q104" t="b">
        <v>0</v>
      </c>
      <c r="S104" t="s">
        <v>139</v>
      </c>
    </row>
    <row r="105" spans="1:19">
      <c r="A105" t="s">
        <v>241</v>
      </c>
      <c r="B105" t="s">
        <v>242</v>
      </c>
      <c r="C105" s="23" t="s">
        <v>4129</v>
      </c>
      <c r="D105" s="23">
        <v>45261</v>
      </c>
      <c r="E105" s="22">
        <v>12</v>
      </c>
      <c r="F105" s="22">
        <v>1</v>
      </c>
      <c r="G105" s="22">
        <v>2023</v>
      </c>
      <c r="H105" s="23">
        <f t="shared" si="3"/>
        <v>45261</v>
      </c>
      <c r="I105" s="25">
        <v>45266</v>
      </c>
      <c r="J105" s="22">
        <f t="shared" si="4"/>
        <v>5</v>
      </c>
      <c r="K105" t="s">
        <v>23</v>
      </c>
      <c r="L105">
        <v>49190</v>
      </c>
      <c r="M105">
        <v>1518</v>
      </c>
      <c r="N105" s="26">
        <v>2212.46</v>
      </c>
      <c r="O105" s="26">
        <f t="shared" si="5"/>
        <v>2212.46</v>
      </c>
      <c r="P105">
        <v>188</v>
      </c>
      <c r="Q105" t="b">
        <v>1</v>
      </c>
      <c r="S105" t="s">
        <v>25</v>
      </c>
    </row>
    <row r="106" spans="1:19">
      <c r="A106" t="s">
        <v>243</v>
      </c>
      <c r="B106" t="s">
        <v>244</v>
      </c>
      <c r="C106" s="23" t="s">
        <v>4131</v>
      </c>
      <c r="D106" s="23">
        <v>45210</v>
      </c>
      <c r="E106" s="22">
        <v>10</v>
      </c>
      <c r="F106" s="22">
        <v>11</v>
      </c>
      <c r="G106" s="22">
        <v>2023</v>
      </c>
      <c r="H106" s="23">
        <f t="shared" si="3"/>
        <v>45210</v>
      </c>
      <c r="I106" s="25">
        <v>45221</v>
      </c>
      <c r="J106" s="22">
        <f t="shared" si="4"/>
        <v>11</v>
      </c>
      <c r="K106" t="s">
        <v>14</v>
      </c>
      <c r="L106">
        <v>6258</v>
      </c>
      <c r="M106">
        <v>148</v>
      </c>
      <c r="N106" s="26">
        <v>236.73</v>
      </c>
      <c r="O106" s="26">
        <f t="shared" si="5"/>
        <v>236.73</v>
      </c>
      <c r="P106">
        <v>7</v>
      </c>
      <c r="Q106" t="b">
        <v>1</v>
      </c>
      <c r="S106" t="s">
        <v>16</v>
      </c>
    </row>
    <row r="107" spans="1:19">
      <c r="A107" t="s">
        <v>245</v>
      </c>
      <c r="B107" t="s">
        <v>246</v>
      </c>
      <c r="C107" s="23" t="s">
        <v>4131</v>
      </c>
      <c r="D107" s="23">
        <v>44995</v>
      </c>
      <c r="E107" s="22">
        <v>3</v>
      </c>
      <c r="F107" s="22">
        <v>10</v>
      </c>
      <c r="G107" s="22">
        <v>2023</v>
      </c>
      <c r="H107" s="23">
        <f t="shared" si="3"/>
        <v>44995</v>
      </c>
      <c r="I107" s="25">
        <v>45021</v>
      </c>
      <c r="J107" s="22">
        <f t="shared" si="4"/>
        <v>26</v>
      </c>
      <c r="K107" t="s">
        <v>41</v>
      </c>
      <c r="L107">
        <v>88538</v>
      </c>
      <c r="M107">
        <v>2770</v>
      </c>
      <c r="N107" s="26">
        <v>4194.3</v>
      </c>
      <c r="O107" s="26">
        <f t="shared" si="5"/>
        <v>3632.575</v>
      </c>
      <c r="P107">
        <v>342</v>
      </c>
      <c r="Q107" t="b">
        <v>0</v>
      </c>
      <c r="S107" t="s">
        <v>42</v>
      </c>
    </row>
    <row r="108" spans="1:19">
      <c r="A108" t="s">
        <v>247</v>
      </c>
      <c r="B108" t="s">
        <v>248</v>
      </c>
      <c r="C108" s="23" t="s">
        <v>4129</v>
      </c>
      <c r="D108" s="23">
        <v>45210</v>
      </c>
      <c r="E108" s="22">
        <v>10</v>
      </c>
      <c r="F108" s="22">
        <v>11</v>
      </c>
      <c r="G108" s="22">
        <v>2023</v>
      </c>
      <c r="H108" s="23">
        <f t="shared" si="3"/>
        <v>45210</v>
      </c>
      <c r="I108" s="25">
        <v>45231</v>
      </c>
      <c r="J108" s="22">
        <f t="shared" si="4"/>
        <v>21</v>
      </c>
      <c r="K108" t="s">
        <v>41</v>
      </c>
      <c r="L108">
        <v>40504</v>
      </c>
      <c r="M108">
        <v>608</v>
      </c>
      <c r="N108" s="26">
        <v>430.25</v>
      </c>
      <c r="O108" s="26">
        <f t="shared" si="5"/>
        <v>430.25</v>
      </c>
      <c r="P108">
        <v>120</v>
      </c>
      <c r="Q108" t="b">
        <v>0</v>
      </c>
      <c r="S108" t="s">
        <v>42</v>
      </c>
    </row>
    <row r="109" spans="1:19">
      <c r="A109" t="s">
        <v>249</v>
      </c>
      <c r="B109" t="s">
        <v>250</v>
      </c>
      <c r="C109" s="23" t="s">
        <v>4128</v>
      </c>
      <c r="D109" s="23">
        <v>45034</v>
      </c>
      <c r="E109" s="22">
        <v>4</v>
      </c>
      <c r="F109" s="22">
        <v>18</v>
      </c>
      <c r="G109" s="22">
        <v>2023</v>
      </c>
      <c r="H109" s="23">
        <f t="shared" si="3"/>
        <v>45034</v>
      </c>
      <c r="I109" s="25">
        <v>45053</v>
      </c>
      <c r="J109" s="22">
        <f t="shared" si="4"/>
        <v>19</v>
      </c>
      <c r="K109" t="s">
        <v>41</v>
      </c>
      <c r="L109">
        <v>34159</v>
      </c>
      <c r="M109">
        <v>522</v>
      </c>
      <c r="N109" s="26">
        <v>714.23</v>
      </c>
      <c r="O109" s="26">
        <f t="shared" si="5"/>
        <v>714.23</v>
      </c>
      <c r="P109">
        <v>47</v>
      </c>
      <c r="Q109" t="b">
        <v>0</v>
      </c>
      <c r="S109" t="s">
        <v>42</v>
      </c>
    </row>
    <row r="110" spans="1:19">
      <c r="A110" t="s">
        <v>251</v>
      </c>
      <c r="B110" t="s">
        <v>252</v>
      </c>
      <c r="C110" s="23" t="s">
        <v>4131</v>
      </c>
      <c r="D110" s="23">
        <v>45251</v>
      </c>
      <c r="E110" s="22">
        <v>11</v>
      </c>
      <c r="F110" s="22">
        <v>21</v>
      </c>
      <c r="G110" s="22">
        <v>2023</v>
      </c>
      <c r="H110" s="23">
        <f t="shared" si="3"/>
        <v>45251</v>
      </c>
      <c r="I110" s="25">
        <v>45281</v>
      </c>
      <c r="J110" s="22">
        <f t="shared" si="4"/>
        <v>30</v>
      </c>
      <c r="K110" t="s">
        <v>14</v>
      </c>
      <c r="L110">
        <v>14986</v>
      </c>
      <c r="M110">
        <v>235</v>
      </c>
      <c r="N110" s="26">
        <v>318.24</v>
      </c>
      <c r="O110" s="26">
        <f t="shared" si="5"/>
        <v>318.24</v>
      </c>
      <c r="P110">
        <v>25</v>
      </c>
      <c r="Q110" t="b">
        <v>1</v>
      </c>
      <c r="S110" t="s">
        <v>16</v>
      </c>
    </row>
    <row r="111" spans="1:19">
      <c r="A111" t="s">
        <v>253</v>
      </c>
      <c r="B111" t="s">
        <v>254</v>
      </c>
      <c r="C111" s="23" t="s">
        <v>4128</v>
      </c>
      <c r="D111" s="23">
        <v>45055</v>
      </c>
      <c r="E111" s="22">
        <v>5</v>
      </c>
      <c r="F111" s="22">
        <v>9</v>
      </c>
      <c r="G111" s="22">
        <v>2023</v>
      </c>
      <c r="H111" s="23">
        <f t="shared" si="3"/>
        <v>45055</v>
      </c>
      <c r="I111" s="25">
        <v>45063</v>
      </c>
      <c r="J111" s="22">
        <f t="shared" si="4"/>
        <v>8</v>
      </c>
      <c r="K111" t="s">
        <v>33</v>
      </c>
      <c r="L111">
        <v>62858</v>
      </c>
      <c r="M111">
        <v>2991</v>
      </c>
      <c r="N111" s="26">
        <v>5391.63</v>
      </c>
      <c r="O111" s="26">
        <f t="shared" si="5"/>
        <v>3632.575</v>
      </c>
      <c r="P111">
        <v>457</v>
      </c>
      <c r="Q111" t="b">
        <v>0</v>
      </c>
      <c r="S111" t="s">
        <v>34</v>
      </c>
    </row>
    <row r="112" spans="1:19">
      <c r="A112" t="s">
        <v>255</v>
      </c>
      <c r="B112" t="s">
        <v>256</v>
      </c>
      <c r="C112" s="23" t="s">
        <v>4129</v>
      </c>
      <c r="D112" s="23">
        <v>44974</v>
      </c>
      <c r="E112" s="22">
        <v>2</v>
      </c>
      <c r="F112" s="22">
        <v>17</v>
      </c>
      <c r="G112" s="22">
        <v>2023</v>
      </c>
      <c r="H112" s="23">
        <f t="shared" si="3"/>
        <v>44974</v>
      </c>
      <c r="I112" s="25">
        <v>44997</v>
      </c>
      <c r="J112" s="22">
        <f t="shared" si="4"/>
        <v>23</v>
      </c>
      <c r="K112" t="s">
        <v>23</v>
      </c>
      <c r="L112">
        <v>13666</v>
      </c>
      <c r="M112">
        <v>537</v>
      </c>
      <c r="N112" s="26">
        <v>573.89</v>
      </c>
      <c r="O112" s="26">
        <f t="shared" si="5"/>
        <v>573.89</v>
      </c>
      <c r="P112">
        <v>92</v>
      </c>
      <c r="Q112" t="b">
        <v>0</v>
      </c>
      <c r="S112" t="s">
        <v>25</v>
      </c>
    </row>
    <row r="113" spans="1:19">
      <c r="A113" t="s">
        <v>257</v>
      </c>
      <c r="B113" t="s">
        <v>258</v>
      </c>
      <c r="C113" s="23" t="s">
        <v>4131</v>
      </c>
      <c r="D113" s="23" t="s">
        <v>259</v>
      </c>
      <c r="E113" s="22">
        <v>23</v>
      </c>
      <c r="F113" s="22">
        <v>1</v>
      </c>
      <c r="G113" s="22">
        <v>2023</v>
      </c>
      <c r="H113" s="23">
        <f t="shared" si="3"/>
        <v>44949</v>
      </c>
      <c r="I113" s="25">
        <v>44968</v>
      </c>
      <c r="J113" s="22">
        <f t="shared" si="4"/>
        <v>19</v>
      </c>
      <c r="K113" t="s">
        <v>23</v>
      </c>
      <c r="L113">
        <v>39660</v>
      </c>
      <c r="M113">
        <v>654</v>
      </c>
      <c r="N113" s="26">
        <v>691.43</v>
      </c>
      <c r="O113" s="26">
        <f t="shared" si="5"/>
        <v>691.43</v>
      </c>
      <c r="P113">
        <v>73</v>
      </c>
      <c r="Q113" t="b">
        <v>0</v>
      </c>
      <c r="S113" t="s">
        <v>25</v>
      </c>
    </row>
    <row r="114" spans="1:19">
      <c r="A114" t="s">
        <v>260</v>
      </c>
      <c r="B114" t="s">
        <v>261</v>
      </c>
      <c r="C114" s="23" t="s">
        <v>4131</v>
      </c>
      <c r="D114" s="23">
        <v>44993</v>
      </c>
      <c r="E114" s="22">
        <v>3</v>
      </c>
      <c r="F114" s="22">
        <v>8</v>
      </c>
      <c r="G114" s="22">
        <v>2023</v>
      </c>
      <c r="H114" s="23">
        <f t="shared" si="3"/>
        <v>44993</v>
      </c>
      <c r="I114" s="25">
        <v>45013</v>
      </c>
      <c r="J114" s="22">
        <f t="shared" si="4"/>
        <v>20</v>
      </c>
      <c r="K114" t="s">
        <v>33</v>
      </c>
      <c r="L114">
        <v>4561</v>
      </c>
      <c r="M114">
        <v>79</v>
      </c>
      <c r="N114" s="26">
        <v>112.8</v>
      </c>
      <c r="O114" s="26">
        <f t="shared" si="5"/>
        <v>112.8</v>
      </c>
      <c r="P114">
        <v>7</v>
      </c>
      <c r="Q114" t="b">
        <v>0</v>
      </c>
      <c r="S114" t="s">
        <v>34</v>
      </c>
    </row>
    <row r="115" spans="1:19">
      <c r="A115" t="s">
        <v>262</v>
      </c>
      <c r="B115" t="s">
        <v>263</v>
      </c>
      <c r="C115" s="23" t="s">
        <v>4128</v>
      </c>
      <c r="D115" s="23">
        <v>45153</v>
      </c>
      <c r="E115" s="22">
        <v>8</v>
      </c>
      <c r="F115" s="22">
        <v>15</v>
      </c>
      <c r="G115" s="22">
        <v>2023</v>
      </c>
      <c r="H115" s="23">
        <f t="shared" si="3"/>
        <v>45153</v>
      </c>
      <c r="I115" s="25">
        <v>45161</v>
      </c>
      <c r="J115" s="22">
        <f t="shared" si="4"/>
        <v>8</v>
      </c>
      <c r="K115" t="s">
        <v>19</v>
      </c>
      <c r="L115">
        <v>27854</v>
      </c>
      <c r="M115">
        <v>1092</v>
      </c>
      <c r="N115" s="26">
        <v>1582.97</v>
      </c>
      <c r="O115" s="26">
        <f t="shared" si="5"/>
        <v>1582.97</v>
      </c>
      <c r="P115">
        <v>208</v>
      </c>
      <c r="Q115" t="b">
        <v>1</v>
      </c>
      <c r="S115" t="s">
        <v>20</v>
      </c>
    </row>
    <row r="116" spans="1:19">
      <c r="A116" t="s">
        <v>264</v>
      </c>
      <c r="B116" t="s">
        <v>265</v>
      </c>
      <c r="C116" s="23" t="s">
        <v>4131</v>
      </c>
      <c r="D116" s="23">
        <v>44931</v>
      </c>
      <c r="E116" s="22">
        <v>1</v>
      </c>
      <c r="F116" s="22">
        <v>5</v>
      </c>
      <c r="G116" s="22">
        <v>2023</v>
      </c>
      <c r="H116" s="23">
        <f t="shared" si="3"/>
        <v>44931</v>
      </c>
      <c r="I116" s="25">
        <v>44958</v>
      </c>
      <c r="J116" s="22">
        <f t="shared" si="4"/>
        <v>27</v>
      </c>
      <c r="K116" t="s">
        <v>266</v>
      </c>
      <c r="L116">
        <v>65505</v>
      </c>
      <c r="M116">
        <v>1064</v>
      </c>
      <c r="N116" s="26">
        <v>1280.98</v>
      </c>
      <c r="O116" s="26">
        <f t="shared" si="5"/>
        <v>1280.98</v>
      </c>
      <c r="P116">
        <v>161</v>
      </c>
      <c r="Q116" t="b">
        <v>1</v>
      </c>
      <c r="S116" t="s">
        <v>20</v>
      </c>
    </row>
    <row r="117" spans="1:19">
      <c r="A117" t="s">
        <v>267</v>
      </c>
      <c r="B117" t="s">
        <v>268</v>
      </c>
      <c r="C117" s="23" t="s">
        <v>4127</v>
      </c>
      <c r="D117" s="23">
        <v>45280</v>
      </c>
      <c r="E117" s="22">
        <v>12</v>
      </c>
      <c r="F117" s="22">
        <v>20</v>
      </c>
      <c r="G117" s="22">
        <v>2023</v>
      </c>
      <c r="H117" s="23">
        <f t="shared" si="3"/>
        <v>45280</v>
      </c>
      <c r="I117" s="25">
        <v>45307</v>
      </c>
      <c r="J117" s="22">
        <f t="shared" si="4"/>
        <v>27</v>
      </c>
      <c r="K117" t="s">
        <v>19</v>
      </c>
      <c r="L117">
        <v>53251</v>
      </c>
      <c r="M117">
        <v>1032</v>
      </c>
      <c r="N117" s="26">
        <v>1201.86</v>
      </c>
      <c r="O117" s="26">
        <f t="shared" si="5"/>
        <v>1201.86</v>
      </c>
      <c r="P117">
        <v>70</v>
      </c>
      <c r="Q117" t="b">
        <v>1</v>
      </c>
      <c r="S117" t="s">
        <v>20</v>
      </c>
    </row>
    <row r="118" spans="1:19">
      <c r="A118" t="s">
        <v>269</v>
      </c>
      <c r="B118" t="s">
        <v>270</v>
      </c>
      <c r="C118" s="23" t="s">
        <v>4127</v>
      </c>
      <c r="D118" s="23">
        <v>45116</v>
      </c>
      <c r="E118" s="22">
        <v>7</v>
      </c>
      <c r="F118" s="22">
        <v>9</v>
      </c>
      <c r="G118" s="22">
        <v>2023</v>
      </c>
      <c r="H118" s="23">
        <f t="shared" si="3"/>
        <v>45116</v>
      </c>
      <c r="I118" s="25">
        <v>45124</v>
      </c>
      <c r="J118" s="22">
        <f t="shared" si="4"/>
        <v>8</v>
      </c>
      <c r="K118" t="s">
        <v>14</v>
      </c>
      <c r="L118">
        <v>23662</v>
      </c>
      <c r="M118">
        <v>1148</v>
      </c>
      <c r="N118" s="26">
        <v>1424.92</v>
      </c>
      <c r="O118" s="26">
        <f t="shared" si="5"/>
        <v>1424.92</v>
      </c>
      <c r="P118">
        <v>0</v>
      </c>
      <c r="Q118" t="b">
        <v>1</v>
      </c>
      <c r="S118" t="s">
        <v>16</v>
      </c>
    </row>
    <row r="119" spans="1:19">
      <c r="A119" t="s">
        <v>271</v>
      </c>
      <c r="B119" t="s">
        <v>272</v>
      </c>
      <c r="C119" s="23" t="s">
        <v>4127</v>
      </c>
      <c r="D119" s="23">
        <v>45110</v>
      </c>
      <c r="E119" s="22">
        <v>7</v>
      </c>
      <c r="F119" s="22">
        <v>3</v>
      </c>
      <c r="G119" s="22">
        <v>2023</v>
      </c>
      <c r="H119" s="23">
        <f t="shared" si="3"/>
        <v>45110</v>
      </c>
      <c r="I119" s="25">
        <v>45008</v>
      </c>
      <c r="J119" s="22">
        <f t="shared" si="4"/>
        <v>-102</v>
      </c>
      <c r="K119" t="s">
        <v>41</v>
      </c>
      <c r="L119">
        <v>9392</v>
      </c>
      <c r="M119">
        <v>189</v>
      </c>
      <c r="N119" s="26">
        <v>338.61</v>
      </c>
      <c r="O119" s="26">
        <f t="shared" si="5"/>
        <v>338.61</v>
      </c>
      <c r="P119">
        <v>23</v>
      </c>
      <c r="Q119" t="b">
        <v>1</v>
      </c>
      <c r="S119" t="s">
        <v>42</v>
      </c>
    </row>
    <row r="120" spans="1:19">
      <c r="A120" t="s">
        <v>273</v>
      </c>
      <c r="B120" t="s">
        <v>274</v>
      </c>
      <c r="C120" s="23" t="s">
        <v>4128</v>
      </c>
      <c r="D120" s="23">
        <v>45113</v>
      </c>
      <c r="E120" s="22">
        <v>7</v>
      </c>
      <c r="F120" s="22">
        <v>6</v>
      </c>
      <c r="G120" s="22">
        <v>2023</v>
      </c>
      <c r="H120" s="23">
        <f t="shared" si="3"/>
        <v>45113</v>
      </c>
      <c r="I120" s="25">
        <v>45132</v>
      </c>
      <c r="J120" s="22">
        <f t="shared" si="4"/>
        <v>19</v>
      </c>
      <c r="K120" t="s">
        <v>266</v>
      </c>
      <c r="L120">
        <v>31535</v>
      </c>
      <c r="M120">
        <v>1149</v>
      </c>
      <c r="N120" s="26">
        <v>1369.32</v>
      </c>
      <c r="O120" s="26">
        <f t="shared" si="5"/>
        <v>1369.32</v>
      </c>
      <c r="P120">
        <v>95</v>
      </c>
      <c r="Q120" t="b">
        <v>1</v>
      </c>
      <c r="S120" t="s">
        <v>20</v>
      </c>
    </row>
    <row r="121" spans="1:19">
      <c r="A121" t="s">
        <v>275</v>
      </c>
      <c r="B121" t="s">
        <v>276</v>
      </c>
      <c r="C121" s="23" t="s">
        <v>4128</v>
      </c>
      <c r="D121" s="23">
        <v>44947</v>
      </c>
      <c r="E121" s="22">
        <v>1</v>
      </c>
      <c r="F121" s="22">
        <v>21</v>
      </c>
      <c r="G121" s="22">
        <v>2023</v>
      </c>
      <c r="H121" s="23">
        <f t="shared" si="3"/>
        <v>44947</v>
      </c>
      <c r="I121" s="25">
        <v>44963</v>
      </c>
      <c r="J121" s="22">
        <f t="shared" si="4"/>
        <v>16</v>
      </c>
      <c r="K121" t="s">
        <v>19</v>
      </c>
      <c r="L121">
        <v>79603</v>
      </c>
      <c r="M121">
        <v>3912</v>
      </c>
      <c r="N121" s="26">
        <v>7471.52</v>
      </c>
      <c r="O121" s="26">
        <f t="shared" si="5"/>
        <v>3632.575</v>
      </c>
      <c r="P121">
        <v>344</v>
      </c>
      <c r="Q121" t="b">
        <v>0</v>
      </c>
      <c r="S121" t="s">
        <v>20</v>
      </c>
    </row>
    <row r="122" spans="1:19">
      <c r="A122" t="s">
        <v>277</v>
      </c>
      <c r="B122" t="s">
        <v>278</v>
      </c>
      <c r="C122" s="23" t="s">
        <v>4129</v>
      </c>
      <c r="D122" s="23">
        <v>45054</v>
      </c>
      <c r="E122" s="22">
        <v>5</v>
      </c>
      <c r="F122" s="22">
        <v>8</v>
      </c>
      <c r="G122" s="22">
        <v>2023</v>
      </c>
      <c r="H122" s="23">
        <f t="shared" si="3"/>
        <v>45054</v>
      </c>
      <c r="I122" s="25">
        <v>45083</v>
      </c>
      <c r="J122" s="22">
        <f t="shared" si="4"/>
        <v>29</v>
      </c>
      <c r="K122" t="s">
        <v>23</v>
      </c>
      <c r="L122">
        <v>53256</v>
      </c>
      <c r="M122">
        <v>1329</v>
      </c>
      <c r="N122" s="26">
        <v>1669.23</v>
      </c>
      <c r="O122" s="26">
        <f t="shared" si="5"/>
        <v>1669.23</v>
      </c>
      <c r="P122">
        <v>241</v>
      </c>
      <c r="Q122" t="b">
        <v>0</v>
      </c>
      <c r="S122" t="s">
        <v>25</v>
      </c>
    </row>
    <row r="123" spans="1:19">
      <c r="A123" t="s">
        <v>279</v>
      </c>
      <c r="B123" t="s">
        <v>280</v>
      </c>
      <c r="C123" s="23" t="s">
        <v>4128</v>
      </c>
      <c r="D123" s="23">
        <v>45213</v>
      </c>
      <c r="E123" s="22">
        <v>10</v>
      </c>
      <c r="F123" s="22">
        <v>14</v>
      </c>
      <c r="G123" s="22">
        <v>2023</v>
      </c>
      <c r="H123" s="23">
        <f t="shared" si="3"/>
        <v>45213</v>
      </c>
      <c r="I123" s="25">
        <v>45214</v>
      </c>
      <c r="J123" s="22">
        <f t="shared" si="4"/>
        <v>1</v>
      </c>
      <c r="K123" t="s">
        <v>33</v>
      </c>
      <c r="L123">
        <v>90135</v>
      </c>
      <c r="M123">
        <v>964</v>
      </c>
      <c r="N123" s="26">
        <v>1854.54</v>
      </c>
      <c r="O123" s="26">
        <f t="shared" si="5"/>
        <v>1854.54</v>
      </c>
      <c r="P123">
        <v>61</v>
      </c>
      <c r="Q123" t="b">
        <v>1</v>
      </c>
      <c r="S123" t="s">
        <v>34</v>
      </c>
    </row>
    <row r="124" spans="1:19">
      <c r="A124" t="s">
        <v>281</v>
      </c>
      <c r="B124" t="s">
        <v>282</v>
      </c>
      <c r="C124" s="23" t="s">
        <v>4131</v>
      </c>
      <c r="D124" s="23">
        <v>45244</v>
      </c>
      <c r="E124" s="22">
        <v>11</v>
      </c>
      <c r="F124" s="22">
        <v>14</v>
      </c>
      <c r="G124" s="22">
        <v>2023</v>
      </c>
      <c r="H124" s="23">
        <f t="shared" si="3"/>
        <v>45244</v>
      </c>
      <c r="I124" s="25">
        <v>45255</v>
      </c>
      <c r="J124" s="22">
        <f t="shared" si="4"/>
        <v>11</v>
      </c>
      <c r="K124" t="s">
        <v>19</v>
      </c>
      <c r="L124">
        <v>36222</v>
      </c>
      <c r="M124">
        <v>715</v>
      </c>
      <c r="N124" s="26">
        <v>1250.71</v>
      </c>
      <c r="O124" s="26">
        <f t="shared" si="5"/>
        <v>1250.71</v>
      </c>
      <c r="P124">
        <v>112</v>
      </c>
      <c r="Q124" t="b">
        <v>1</v>
      </c>
      <c r="S124" t="s">
        <v>20</v>
      </c>
    </row>
    <row r="125" spans="1:19">
      <c r="A125" t="s">
        <v>283</v>
      </c>
      <c r="B125" t="s">
        <v>284</v>
      </c>
      <c r="C125" s="23" t="s">
        <v>4128</v>
      </c>
      <c r="D125" s="23">
        <v>45048</v>
      </c>
      <c r="E125" s="22">
        <v>5</v>
      </c>
      <c r="F125" s="22">
        <v>2</v>
      </c>
      <c r="G125" s="22">
        <v>2023</v>
      </c>
      <c r="H125" s="23">
        <f t="shared" si="3"/>
        <v>45048</v>
      </c>
      <c r="I125" s="25">
        <v>45065</v>
      </c>
      <c r="J125" s="22">
        <f t="shared" si="4"/>
        <v>17</v>
      </c>
      <c r="K125" t="s">
        <v>138</v>
      </c>
      <c r="L125">
        <v>78373</v>
      </c>
      <c r="M125">
        <v>3388</v>
      </c>
      <c r="N125" s="26">
        <v>3535.88</v>
      </c>
      <c r="O125" s="26">
        <f t="shared" si="5"/>
        <v>3535.88</v>
      </c>
      <c r="P125">
        <v>307</v>
      </c>
      <c r="Q125" t="b">
        <v>1</v>
      </c>
      <c r="S125" t="s">
        <v>139</v>
      </c>
    </row>
    <row r="126" spans="1:19">
      <c r="A126" t="s">
        <v>285</v>
      </c>
      <c r="B126" t="s">
        <v>286</v>
      </c>
      <c r="C126" s="23" t="s">
        <v>4127</v>
      </c>
      <c r="D126" s="23">
        <v>45017</v>
      </c>
      <c r="E126" s="22">
        <v>4</v>
      </c>
      <c r="F126" s="22">
        <v>1</v>
      </c>
      <c r="G126" s="22">
        <v>2023</v>
      </c>
      <c r="H126" s="23">
        <f t="shared" si="3"/>
        <v>45017</v>
      </c>
      <c r="I126" s="25">
        <v>44959</v>
      </c>
      <c r="J126" s="22">
        <f t="shared" si="4"/>
        <v>-58</v>
      </c>
      <c r="K126" t="s">
        <v>23</v>
      </c>
      <c r="L126">
        <v>80575</v>
      </c>
      <c r="M126">
        <v>3592</v>
      </c>
      <c r="N126" s="26">
        <v>6449.3</v>
      </c>
      <c r="O126" s="26">
        <f t="shared" si="5"/>
        <v>3632.575</v>
      </c>
      <c r="P126">
        <v>589</v>
      </c>
      <c r="Q126" t="b">
        <v>0</v>
      </c>
      <c r="S126" t="s">
        <v>25</v>
      </c>
    </row>
    <row r="127" spans="1:19">
      <c r="A127" t="s">
        <v>287</v>
      </c>
      <c r="B127" t="s">
        <v>288</v>
      </c>
      <c r="C127" s="23" t="s">
        <v>4129</v>
      </c>
      <c r="D127" s="23">
        <v>45097</v>
      </c>
      <c r="E127" s="22">
        <v>6</v>
      </c>
      <c r="F127" s="22">
        <v>20</v>
      </c>
      <c r="G127" s="22">
        <v>2023</v>
      </c>
      <c r="H127" s="23">
        <f t="shared" si="3"/>
        <v>45097</v>
      </c>
      <c r="I127" s="25">
        <v>45101</v>
      </c>
      <c r="J127" s="22">
        <f t="shared" si="4"/>
        <v>4</v>
      </c>
      <c r="K127" t="s">
        <v>23</v>
      </c>
      <c r="L127">
        <v>97354</v>
      </c>
      <c r="M127">
        <v>3966</v>
      </c>
      <c r="N127" s="26">
        <v>2637.77</v>
      </c>
      <c r="O127" s="26">
        <f t="shared" si="5"/>
        <v>2637.77</v>
      </c>
      <c r="P127">
        <v>628</v>
      </c>
      <c r="Q127" t="b">
        <v>1</v>
      </c>
      <c r="S127" t="s">
        <v>25</v>
      </c>
    </row>
    <row r="128" spans="1:19">
      <c r="A128" t="s">
        <v>289</v>
      </c>
      <c r="B128" t="s">
        <v>290</v>
      </c>
      <c r="C128" s="23" t="s">
        <v>4128</v>
      </c>
      <c r="D128" s="23">
        <v>45269</v>
      </c>
      <c r="E128" s="22">
        <v>12</v>
      </c>
      <c r="F128" s="22">
        <v>9</v>
      </c>
      <c r="G128" s="22">
        <v>2023</v>
      </c>
      <c r="H128" s="23">
        <f t="shared" si="3"/>
        <v>45269</v>
      </c>
      <c r="I128" s="25">
        <v>45282</v>
      </c>
      <c r="J128" s="22">
        <f t="shared" si="4"/>
        <v>13</v>
      </c>
      <c r="K128" t="s">
        <v>33</v>
      </c>
      <c r="L128">
        <v>85651</v>
      </c>
      <c r="M128">
        <v>1244</v>
      </c>
      <c r="N128" s="26">
        <v>2348.14</v>
      </c>
      <c r="O128" s="26">
        <f t="shared" si="5"/>
        <v>2348.14</v>
      </c>
      <c r="P128">
        <v>63</v>
      </c>
      <c r="Q128" t="b">
        <v>0</v>
      </c>
      <c r="S128" t="s">
        <v>34</v>
      </c>
    </row>
    <row r="129" spans="1:19">
      <c r="A129" t="s">
        <v>291</v>
      </c>
      <c r="B129" t="s">
        <v>292</v>
      </c>
      <c r="C129" s="23" t="s">
        <v>4129</v>
      </c>
      <c r="D129" s="23">
        <v>45063</v>
      </c>
      <c r="E129" s="22">
        <v>5</v>
      </c>
      <c r="F129" s="22">
        <v>17</v>
      </c>
      <c r="G129" s="22">
        <v>2023</v>
      </c>
      <c r="H129" s="23">
        <f t="shared" si="3"/>
        <v>45063</v>
      </c>
      <c r="I129" s="25">
        <v>45088</v>
      </c>
      <c r="J129" s="22">
        <f t="shared" si="4"/>
        <v>25</v>
      </c>
      <c r="K129" t="s">
        <v>33</v>
      </c>
      <c r="L129">
        <v>64335</v>
      </c>
      <c r="M129">
        <v>2690</v>
      </c>
      <c r="N129" s="26">
        <v>3893.68</v>
      </c>
      <c r="O129" s="26">
        <f t="shared" si="5"/>
        <v>3632.575</v>
      </c>
      <c r="P129">
        <v>0</v>
      </c>
      <c r="Q129" t="b">
        <v>1</v>
      </c>
      <c r="S129" t="s">
        <v>34</v>
      </c>
    </row>
    <row r="130" spans="1:19">
      <c r="A130" t="s">
        <v>293</v>
      </c>
      <c r="B130" t="s">
        <v>294</v>
      </c>
      <c r="C130" s="23" t="s">
        <v>4131</v>
      </c>
      <c r="D130" s="23">
        <v>45122</v>
      </c>
      <c r="E130" s="22">
        <v>7</v>
      </c>
      <c r="F130" s="22">
        <v>15</v>
      </c>
      <c r="G130" s="22">
        <v>2023</v>
      </c>
      <c r="H130" s="23">
        <f t="shared" si="3"/>
        <v>45122</v>
      </c>
      <c r="I130" s="25">
        <v>45127</v>
      </c>
      <c r="J130" s="22">
        <f t="shared" si="4"/>
        <v>5</v>
      </c>
      <c r="K130" t="s">
        <v>14</v>
      </c>
      <c r="L130">
        <v>11965</v>
      </c>
      <c r="M130">
        <v>559</v>
      </c>
      <c r="N130" s="26">
        <v>325.11</v>
      </c>
      <c r="O130" s="26">
        <f t="shared" si="5"/>
        <v>325.11</v>
      </c>
      <c r="P130">
        <v>39</v>
      </c>
      <c r="Q130" t="b">
        <v>0</v>
      </c>
      <c r="S130" t="s">
        <v>16</v>
      </c>
    </row>
    <row r="131" spans="1:19">
      <c r="A131" t="s">
        <v>295</v>
      </c>
      <c r="B131" t="s">
        <v>296</v>
      </c>
      <c r="C131" s="23" t="s">
        <v>4131</v>
      </c>
      <c r="D131" s="23">
        <v>45040</v>
      </c>
      <c r="E131" s="22">
        <v>4</v>
      </c>
      <c r="F131" s="22">
        <v>24</v>
      </c>
      <c r="G131" s="22">
        <v>2023</v>
      </c>
      <c r="H131" s="23">
        <f t="shared" ref="H131:H194" si="6">IF(E131&gt;12,DATE(G131,F131,E131),D131)</f>
        <v>45040</v>
      </c>
      <c r="I131" s="25">
        <v>45060</v>
      </c>
      <c r="J131" s="22">
        <f t="shared" ref="J131:J194" si="7">DATEDIF(H131,I131,"D")</f>
        <v>20</v>
      </c>
      <c r="K131" t="s">
        <v>19</v>
      </c>
      <c r="L131">
        <v>25538</v>
      </c>
      <c r="M131">
        <v>868</v>
      </c>
      <c r="N131" s="26">
        <v>1272.82</v>
      </c>
      <c r="O131" s="26">
        <f t="shared" ref="O131:O194" si="8">IF(N131&lt;$W$8,$W$8,IF(N131&gt;$W$9,$W$9,N131))</f>
        <v>1272.82</v>
      </c>
      <c r="P131">
        <v>156</v>
      </c>
      <c r="Q131" t="b">
        <v>0</v>
      </c>
      <c r="S131" t="s">
        <v>20</v>
      </c>
    </row>
    <row r="132" spans="1:19">
      <c r="A132" t="s">
        <v>297</v>
      </c>
      <c r="B132" t="s">
        <v>298</v>
      </c>
      <c r="C132" s="23" t="s">
        <v>4128</v>
      </c>
      <c r="D132" s="23">
        <v>45106</v>
      </c>
      <c r="E132" s="22">
        <v>6</v>
      </c>
      <c r="F132" s="22">
        <v>29</v>
      </c>
      <c r="G132" s="22">
        <v>2023</v>
      </c>
      <c r="H132" s="23">
        <f t="shared" si="6"/>
        <v>45106</v>
      </c>
      <c r="I132" s="25">
        <v>45117</v>
      </c>
      <c r="J132" s="22">
        <f t="shared" si="7"/>
        <v>11</v>
      </c>
      <c r="K132" t="s">
        <v>41</v>
      </c>
      <c r="L132">
        <v>71592</v>
      </c>
      <c r="M132">
        <v>3410</v>
      </c>
      <c r="N132" s="26">
        <v>6688.28</v>
      </c>
      <c r="O132" s="26">
        <f t="shared" si="8"/>
        <v>3632.575</v>
      </c>
      <c r="P132">
        <v>616</v>
      </c>
      <c r="Q132" t="b">
        <v>0</v>
      </c>
      <c r="S132" t="s">
        <v>68</v>
      </c>
    </row>
    <row r="133" spans="1:19">
      <c r="A133" t="s">
        <v>299</v>
      </c>
      <c r="B133" t="s">
        <v>300</v>
      </c>
      <c r="C133" s="23" t="s">
        <v>4128</v>
      </c>
      <c r="D133" s="23">
        <v>45043</v>
      </c>
      <c r="E133" s="22">
        <v>4</v>
      </c>
      <c r="F133" s="22">
        <v>27</v>
      </c>
      <c r="G133" s="22">
        <v>2023</v>
      </c>
      <c r="H133" s="23">
        <f t="shared" si="6"/>
        <v>45043</v>
      </c>
      <c r="I133" s="25">
        <v>45046</v>
      </c>
      <c r="J133" s="22">
        <f t="shared" si="7"/>
        <v>3</v>
      </c>
      <c r="K133" t="s">
        <v>41</v>
      </c>
      <c r="L133">
        <v>99018</v>
      </c>
      <c r="M133">
        <v>4265</v>
      </c>
      <c r="N133" s="26">
        <v>2579.05</v>
      </c>
      <c r="O133" s="26">
        <f t="shared" si="8"/>
        <v>2579.05</v>
      </c>
      <c r="P133">
        <v>480</v>
      </c>
      <c r="Q133" t="b">
        <v>0</v>
      </c>
      <c r="S133" t="s">
        <v>42</v>
      </c>
    </row>
    <row r="134" spans="1:19">
      <c r="A134" t="s">
        <v>301</v>
      </c>
      <c r="B134" t="s">
        <v>302</v>
      </c>
      <c r="C134" s="23" t="s">
        <v>4131</v>
      </c>
      <c r="D134" s="23">
        <v>45131</v>
      </c>
      <c r="E134" s="22">
        <v>7</v>
      </c>
      <c r="F134" s="22">
        <v>24</v>
      </c>
      <c r="G134" s="22">
        <v>2023</v>
      </c>
      <c r="H134" s="23">
        <f t="shared" si="6"/>
        <v>45131</v>
      </c>
      <c r="I134" s="25">
        <v>45148</v>
      </c>
      <c r="J134" s="22">
        <f t="shared" si="7"/>
        <v>17</v>
      </c>
      <c r="K134" t="s">
        <v>19</v>
      </c>
      <c r="L134">
        <v>9110</v>
      </c>
      <c r="M134">
        <v>334</v>
      </c>
      <c r="N134" s="26">
        <v>444.9</v>
      </c>
      <c r="O134" s="26">
        <f t="shared" si="8"/>
        <v>444.9</v>
      </c>
      <c r="P134">
        <v>38</v>
      </c>
      <c r="Q134" t="b">
        <v>1</v>
      </c>
      <c r="S134" t="s">
        <v>20</v>
      </c>
    </row>
    <row r="135" spans="1:19">
      <c r="A135" t="s">
        <v>303</v>
      </c>
      <c r="B135" t="s">
        <v>304</v>
      </c>
      <c r="C135" s="23" t="s">
        <v>4127</v>
      </c>
      <c r="D135" s="23">
        <v>45069</v>
      </c>
      <c r="E135" s="22">
        <v>5</v>
      </c>
      <c r="F135" s="22">
        <v>23</v>
      </c>
      <c r="G135" s="22">
        <v>2023</v>
      </c>
      <c r="H135" s="23">
        <f t="shared" si="6"/>
        <v>45069</v>
      </c>
      <c r="I135" s="25">
        <v>45085</v>
      </c>
      <c r="J135" s="22">
        <f t="shared" si="7"/>
        <v>16</v>
      </c>
      <c r="K135" t="s">
        <v>19</v>
      </c>
      <c r="L135">
        <v>80309</v>
      </c>
      <c r="M135">
        <v>2657</v>
      </c>
      <c r="N135" s="26">
        <v>4308.83</v>
      </c>
      <c r="O135" s="26">
        <f t="shared" si="8"/>
        <v>3632.575</v>
      </c>
      <c r="P135">
        <v>253</v>
      </c>
      <c r="Q135" t="b">
        <v>1</v>
      </c>
      <c r="S135" t="s">
        <v>20</v>
      </c>
    </row>
    <row r="136" spans="1:19">
      <c r="A136" t="s">
        <v>305</v>
      </c>
      <c r="B136" t="s">
        <v>306</v>
      </c>
      <c r="C136" s="23" t="s">
        <v>4128</v>
      </c>
      <c r="D136" s="23">
        <v>45274</v>
      </c>
      <c r="E136" s="22">
        <v>12</v>
      </c>
      <c r="F136" s="22">
        <v>14</v>
      </c>
      <c r="G136" s="22">
        <v>2023</v>
      </c>
      <c r="H136" s="23">
        <f t="shared" si="6"/>
        <v>45274</v>
      </c>
      <c r="I136" s="25">
        <v>45289</v>
      </c>
      <c r="J136" s="22">
        <f t="shared" si="7"/>
        <v>15</v>
      </c>
      <c r="K136" t="s">
        <v>41</v>
      </c>
      <c r="L136">
        <v>28266</v>
      </c>
      <c r="M136">
        <v>676</v>
      </c>
      <c r="N136" s="26">
        <v>1159.6</v>
      </c>
      <c r="O136" s="26">
        <f t="shared" si="8"/>
        <v>1159.6</v>
      </c>
      <c r="P136">
        <v>0</v>
      </c>
      <c r="Q136" t="b">
        <v>1</v>
      </c>
      <c r="S136" t="s">
        <v>42</v>
      </c>
    </row>
    <row r="137" spans="1:19">
      <c r="A137" t="s">
        <v>307</v>
      </c>
      <c r="B137" t="s">
        <v>308</v>
      </c>
      <c r="C137" s="23" t="s">
        <v>4129</v>
      </c>
      <c r="D137" s="23">
        <v>44941</v>
      </c>
      <c r="E137" s="22">
        <v>1</v>
      </c>
      <c r="F137" s="22">
        <v>15</v>
      </c>
      <c r="G137" s="22">
        <v>2023</v>
      </c>
      <c r="H137" s="23">
        <f t="shared" si="6"/>
        <v>44941</v>
      </c>
      <c r="I137" s="25">
        <v>44961</v>
      </c>
      <c r="J137" s="22">
        <f t="shared" si="7"/>
        <v>20</v>
      </c>
      <c r="K137" t="s">
        <v>41</v>
      </c>
      <c r="L137">
        <v>53992</v>
      </c>
      <c r="M137">
        <v>883</v>
      </c>
      <c r="N137" s="26">
        <v>989.61</v>
      </c>
      <c r="O137" s="26">
        <f t="shared" si="8"/>
        <v>989.61</v>
      </c>
      <c r="P137">
        <v>91</v>
      </c>
      <c r="Q137" t="b">
        <v>1</v>
      </c>
      <c r="S137" t="s">
        <v>42</v>
      </c>
    </row>
    <row r="138" spans="1:19">
      <c r="A138" t="s">
        <v>309</v>
      </c>
      <c r="B138" t="s">
        <v>310</v>
      </c>
      <c r="C138" s="23" t="s">
        <v>4127</v>
      </c>
      <c r="D138" s="23">
        <v>45018</v>
      </c>
      <c r="E138" s="22">
        <v>4</v>
      </c>
      <c r="F138" s="22">
        <v>2</v>
      </c>
      <c r="G138" s="22">
        <v>2023</v>
      </c>
      <c r="H138" s="23">
        <f t="shared" si="6"/>
        <v>45018</v>
      </c>
      <c r="I138" s="25">
        <v>45047</v>
      </c>
      <c r="J138" s="22">
        <f t="shared" si="7"/>
        <v>29</v>
      </c>
      <c r="K138" t="s">
        <v>41</v>
      </c>
      <c r="L138">
        <v>83948</v>
      </c>
      <c r="M138">
        <v>2870</v>
      </c>
      <c r="N138" s="26">
        <v>2313.94</v>
      </c>
      <c r="O138" s="26">
        <f t="shared" si="8"/>
        <v>2313.94</v>
      </c>
      <c r="P138">
        <v>258</v>
      </c>
      <c r="Q138" t="b">
        <v>1</v>
      </c>
      <c r="S138" t="s">
        <v>42</v>
      </c>
    </row>
    <row r="139" spans="1:19">
      <c r="A139" t="s">
        <v>311</v>
      </c>
      <c r="B139" t="s">
        <v>312</v>
      </c>
      <c r="C139" s="23" t="s">
        <v>4127</v>
      </c>
      <c r="D139" s="23">
        <v>44946</v>
      </c>
      <c r="E139" s="22">
        <v>1</v>
      </c>
      <c r="F139" s="22">
        <v>20</v>
      </c>
      <c r="G139" s="22">
        <v>2023</v>
      </c>
      <c r="H139" s="23">
        <f t="shared" si="6"/>
        <v>44946</v>
      </c>
      <c r="I139" s="25">
        <v>44975</v>
      </c>
      <c r="J139" s="22">
        <f t="shared" si="7"/>
        <v>29</v>
      </c>
      <c r="K139" t="s">
        <v>19</v>
      </c>
      <c r="L139">
        <v>99806</v>
      </c>
      <c r="M139">
        <v>2268</v>
      </c>
      <c r="N139" s="26">
        <v>1278.05</v>
      </c>
      <c r="O139" s="26">
        <f t="shared" si="8"/>
        <v>1278.05</v>
      </c>
      <c r="P139">
        <v>260</v>
      </c>
      <c r="Q139" t="b">
        <v>1</v>
      </c>
      <c r="S139" t="s">
        <v>20</v>
      </c>
    </row>
    <row r="140" spans="1:19">
      <c r="A140" t="s">
        <v>313</v>
      </c>
      <c r="B140" t="s">
        <v>314</v>
      </c>
      <c r="C140" s="23" t="s">
        <v>4128</v>
      </c>
      <c r="D140" s="23">
        <v>45087</v>
      </c>
      <c r="E140" s="22">
        <v>6</v>
      </c>
      <c r="F140" s="22">
        <v>10</v>
      </c>
      <c r="G140" s="22">
        <v>2023</v>
      </c>
      <c r="H140" s="23">
        <f t="shared" si="6"/>
        <v>45087</v>
      </c>
      <c r="I140" s="25">
        <v>45111</v>
      </c>
      <c r="J140" s="22">
        <f t="shared" si="7"/>
        <v>24</v>
      </c>
      <c r="K140" t="s">
        <v>33</v>
      </c>
      <c r="L140">
        <v>7910</v>
      </c>
      <c r="M140">
        <v>353</v>
      </c>
      <c r="N140" s="26">
        <v>483.47</v>
      </c>
      <c r="O140" s="26">
        <f t="shared" si="8"/>
        <v>483.47</v>
      </c>
      <c r="P140">
        <v>22</v>
      </c>
      <c r="Q140" t="b">
        <v>0</v>
      </c>
      <c r="S140" t="s">
        <v>34</v>
      </c>
    </row>
    <row r="141" spans="1:19">
      <c r="A141" t="s">
        <v>315</v>
      </c>
      <c r="B141" t="s">
        <v>316</v>
      </c>
      <c r="C141" s="23" t="s">
        <v>4129</v>
      </c>
      <c r="D141" s="23">
        <v>44986</v>
      </c>
      <c r="E141" s="22">
        <v>3</v>
      </c>
      <c r="F141" s="22">
        <v>1</v>
      </c>
      <c r="G141" s="22">
        <v>2023</v>
      </c>
      <c r="H141" s="23">
        <f t="shared" si="6"/>
        <v>44986</v>
      </c>
      <c r="I141" s="25">
        <v>44995</v>
      </c>
      <c r="J141" s="22">
        <f t="shared" si="7"/>
        <v>9</v>
      </c>
      <c r="K141" t="s">
        <v>33</v>
      </c>
      <c r="L141">
        <v>91982</v>
      </c>
      <c r="M141">
        <v>4574</v>
      </c>
      <c r="N141" s="26">
        <v>5394.42</v>
      </c>
      <c r="O141" s="26">
        <f t="shared" si="8"/>
        <v>3632.575</v>
      </c>
      <c r="P141">
        <v>0</v>
      </c>
      <c r="Q141" t="b">
        <v>0</v>
      </c>
      <c r="R141">
        <v>92026</v>
      </c>
      <c r="S141" t="s">
        <v>34</v>
      </c>
    </row>
    <row r="142" spans="1:19">
      <c r="A142" t="s">
        <v>317</v>
      </c>
      <c r="B142" t="s">
        <v>318</v>
      </c>
      <c r="C142" s="23" t="s">
        <v>4129</v>
      </c>
      <c r="D142" s="23">
        <v>45235</v>
      </c>
      <c r="E142" s="22">
        <v>11</v>
      </c>
      <c r="F142" s="22">
        <v>5</v>
      </c>
      <c r="G142" s="22">
        <v>2023</v>
      </c>
      <c r="H142" s="23">
        <f t="shared" si="6"/>
        <v>45235</v>
      </c>
      <c r="I142" s="25">
        <v>45060</v>
      </c>
      <c r="J142" s="22">
        <f t="shared" si="7"/>
        <v>-175</v>
      </c>
      <c r="K142" t="s">
        <v>19</v>
      </c>
      <c r="L142">
        <v>1206</v>
      </c>
      <c r="M142">
        <v>48</v>
      </c>
      <c r="N142" s="26">
        <v>92.31</v>
      </c>
      <c r="O142" s="26">
        <f t="shared" si="8"/>
        <v>92.31</v>
      </c>
      <c r="P142">
        <v>2</v>
      </c>
      <c r="Q142" t="b">
        <v>1</v>
      </c>
      <c r="S142" t="s">
        <v>20</v>
      </c>
    </row>
    <row r="143" spans="1:19">
      <c r="A143" t="s">
        <v>319</v>
      </c>
      <c r="B143" t="s">
        <v>320</v>
      </c>
      <c r="C143" s="23" t="s">
        <v>4128</v>
      </c>
      <c r="D143" s="23">
        <v>45268</v>
      </c>
      <c r="E143" s="22">
        <v>12</v>
      </c>
      <c r="F143" s="22">
        <v>8</v>
      </c>
      <c r="G143" s="22">
        <v>2023</v>
      </c>
      <c r="H143" s="23">
        <f t="shared" si="6"/>
        <v>45268</v>
      </c>
      <c r="I143" s="25">
        <v>45165</v>
      </c>
      <c r="J143" s="22">
        <f t="shared" si="7"/>
        <v>-103</v>
      </c>
      <c r="K143" t="s">
        <v>14</v>
      </c>
      <c r="L143">
        <v>88054</v>
      </c>
      <c r="M143">
        <v>1199</v>
      </c>
      <c r="N143" s="26">
        <v>708.5</v>
      </c>
      <c r="O143" s="26">
        <f t="shared" si="8"/>
        <v>708.5</v>
      </c>
      <c r="P143">
        <v>175</v>
      </c>
      <c r="Q143" t="b">
        <v>1</v>
      </c>
      <c r="S143" t="s">
        <v>16</v>
      </c>
    </row>
    <row r="144" spans="1:19">
      <c r="A144" t="s">
        <v>321</v>
      </c>
      <c r="B144" t="s">
        <v>322</v>
      </c>
      <c r="C144" s="23" t="s">
        <v>4131</v>
      </c>
      <c r="D144" s="23">
        <v>45202</v>
      </c>
      <c r="E144" s="22">
        <v>10</v>
      </c>
      <c r="F144" s="22">
        <v>3</v>
      </c>
      <c r="G144" s="22">
        <v>2023</v>
      </c>
      <c r="H144" s="23">
        <f t="shared" si="6"/>
        <v>45202</v>
      </c>
      <c r="I144" s="25">
        <v>45215</v>
      </c>
      <c r="J144" s="22">
        <f t="shared" si="7"/>
        <v>13</v>
      </c>
      <c r="K144" t="s">
        <v>19</v>
      </c>
      <c r="L144">
        <v>88897</v>
      </c>
      <c r="M144">
        <v>1915</v>
      </c>
      <c r="N144" s="26">
        <v>2926.3</v>
      </c>
      <c r="O144" s="26">
        <f t="shared" si="8"/>
        <v>2926.3</v>
      </c>
      <c r="P144">
        <v>148</v>
      </c>
      <c r="Q144" t="b">
        <v>0</v>
      </c>
      <c r="S144" t="s">
        <v>20</v>
      </c>
    </row>
    <row r="145" spans="1:19">
      <c r="A145" t="s">
        <v>323</v>
      </c>
      <c r="B145" t="s">
        <v>324</v>
      </c>
      <c r="C145" s="23" t="s">
        <v>4127</v>
      </c>
      <c r="D145" s="23">
        <v>45270</v>
      </c>
      <c r="E145" s="22">
        <v>12</v>
      </c>
      <c r="F145" s="22">
        <v>10</v>
      </c>
      <c r="G145" s="22">
        <v>2023</v>
      </c>
      <c r="H145" s="23">
        <f t="shared" si="6"/>
        <v>45270</v>
      </c>
      <c r="I145" s="25">
        <v>45295</v>
      </c>
      <c r="J145" s="22">
        <f t="shared" si="7"/>
        <v>25</v>
      </c>
      <c r="K145" t="s">
        <v>41</v>
      </c>
      <c r="L145">
        <v>24419</v>
      </c>
      <c r="M145">
        <v>350</v>
      </c>
      <c r="N145" s="26">
        <v>188.11</v>
      </c>
      <c r="O145" s="26">
        <f t="shared" si="8"/>
        <v>188.11</v>
      </c>
      <c r="P145">
        <v>29</v>
      </c>
      <c r="Q145" t="b">
        <v>0</v>
      </c>
      <c r="R145">
        <v>24436</v>
      </c>
      <c r="S145" t="s">
        <v>42</v>
      </c>
    </row>
    <row r="146" spans="1:19">
      <c r="A146" t="s">
        <v>325</v>
      </c>
      <c r="B146" t="s">
        <v>326</v>
      </c>
      <c r="C146" s="23" t="s">
        <v>4127</v>
      </c>
      <c r="D146" s="23">
        <v>45267</v>
      </c>
      <c r="E146" s="22">
        <v>12</v>
      </c>
      <c r="F146" s="22">
        <v>7</v>
      </c>
      <c r="G146" s="22">
        <v>2023</v>
      </c>
      <c r="H146" s="23">
        <f t="shared" si="6"/>
        <v>45267</v>
      </c>
      <c r="I146" s="25">
        <v>45274</v>
      </c>
      <c r="J146" s="22">
        <f t="shared" si="7"/>
        <v>7</v>
      </c>
      <c r="K146" t="s">
        <v>19</v>
      </c>
      <c r="L146">
        <v>51636</v>
      </c>
      <c r="M146">
        <v>1859</v>
      </c>
      <c r="N146" s="26">
        <v>-1407.54</v>
      </c>
      <c r="O146" s="26">
        <f t="shared" si="8"/>
        <v>-344.195</v>
      </c>
      <c r="P146">
        <v>270</v>
      </c>
      <c r="Q146" t="b">
        <v>1</v>
      </c>
      <c r="S146" t="s">
        <v>20</v>
      </c>
    </row>
    <row r="147" spans="1:19">
      <c r="A147" t="s">
        <v>327</v>
      </c>
      <c r="B147" t="s">
        <v>328</v>
      </c>
      <c r="C147" s="23" t="s">
        <v>4128</v>
      </c>
      <c r="D147" s="23">
        <v>45266</v>
      </c>
      <c r="E147" s="22">
        <v>12</v>
      </c>
      <c r="F147" s="22">
        <v>6</v>
      </c>
      <c r="G147" s="22">
        <v>2023</v>
      </c>
      <c r="H147" s="23">
        <f t="shared" si="6"/>
        <v>45266</v>
      </c>
      <c r="I147" s="25">
        <v>45292</v>
      </c>
      <c r="J147" s="22">
        <f t="shared" si="7"/>
        <v>26</v>
      </c>
      <c r="K147" t="s">
        <v>41</v>
      </c>
      <c r="L147">
        <v>51015</v>
      </c>
      <c r="M147">
        <v>2071</v>
      </c>
      <c r="N147" s="26">
        <v>2444.54</v>
      </c>
      <c r="O147" s="26">
        <f t="shared" si="8"/>
        <v>2444.54</v>
      </c>
      <c r="P147">
        <v>0</v>
      </c>
      <c r="Q147" t="b">
        <v>0</v>
      </c>
      <c r="S147" t="s">
        <v>42</v>
      </c>
    </row>
    <row r="148" spans="1:19">
      <c r="A148" t="s">
        <v>329</v>
      </c>
      <c r="B148" t="s">
        <v>330</v>
      </c>
      <c r="C148" s="23" t="s">
        <v>4131</v>
      </c>
      <c r="D148" s="23">
        <v>45080</v>
      </c>
      <c r="E148" s="22">
        <v>6</v>
      </c>
      <c r="F148" s="22">
        <v>3</v>
      </c>
      <c r="G148" s="22">
        <v>2023</v>
      </c>
      <c r="H148" s="23">
        <f t="shared" si="6"/>
        <v>45080</v>
      </c>
      <c r="I148" s="25">
        <v>45105</v>
      </c>
      <c r="J148" s="22">
        <f t="shared" si="7"/>
        <v>25</v>
      </c>
      <c r="K148" t="s">
        <v>19</v>
      </c>
      <c r="L148">
        <v>55268</v>
      </c>
      <c r="M148">
        <v>2599</v>
      </c>
      <c r="N148" s="26">
        <v>3072.82</v>
      </c>
      <c r="O148" s="26">
        <f t="shared" si="8"/>
        <v>3072.82</v>
      </c>
      <c r="P148">
        <v>433</v>
      </c>
      <c r="Q148" t="b">
        <v>1</v>
      </c>
      <c r="S148" t="s">
        <v>20</v>
      </c>
    </row>
    <row r="149" spans="1:19">
      <c r="A149" t="s">
        <v>331</v>
      </c>
      <c r="B149" t="s">
        <v>332</v>
      </c>
      <c r="C149" s="23" t="s">
        <v>4128</v>
      </c>
      <c r="D149" s="23">
        <v>45094</v>
      </c>
      <c r="E149" s="22">
        <v>6</v>
      </c>
      <c r="F149" s="22">
        <v>17</v>
      </c>
      <c r="G149" s="22">
        <v>2023</v>
      </c>
      <c r="H149" s="23">
        <f t="shared" si="6"/>
        <v>45094</v>
      </c>
      <c r="I149" s="25">
        <v>45103</v>
      </c>
      <c r="J149" s="22">
        <f t="shared" si="7"/>
        <v>9</v>
      </c>
      <c r="K149" t="s">
        <v>33</v>
      </c>
      <c r="L149">
        <v>88939</v>
      </c>
      <c r="M149">
        <v>2448</v>
      </c>
      <c r="N149" s="26">
        <v>3741.89</v>
      </c>
      <c r="O149" s="26">
        <f t="shared" si="8"/>
        <v>3632.575</v>
      </c>
      <c r="P149">
        <v>205</v>
      </c>
      <c r="Q149" t="b">
        <v>1</v>
      </c>
      <c r="S149" t="s">
        <v>34</v>
      </c>
    </row>
    <row r="150" spans="1:19">
      <c r="A150" t="s">
        <v>333</v>
      </c>
      <c r="B150" t="s">
        <v>334</v>
      </c>
      <c r="C150" s="23" t="s">
        <v>4131</v>
      </c>
      <c r="D150" s="23">
        <v>44992</v>
      </c>
      <c r="E150" s="22">
        <v>3</v>
      </c>
      <c r="F150" s="22">
        <v>7</v>
      </c>
      <c r="G150" s="22">
        <v>2023</v>
      </c>
      <c r="H150" s="23">
        <f t="shared" si="6"/>
        <v>44992</v>
      </c>
      <c r="I150" s="25">
        <v>45015</v>
      </c>
      <c r="J150" s="22">
        <f t="shared" si="7"/>
        <v>23</v>
      </c>
      <c r="K150" t="s">
        <v>19</v>
      </c>
      <c r="L150">
        <v>19141</v>
      </c>
      <c r="M150">
        <v>881</v>
      </c>
      <c r="N150" s="26">
        <v>1643.35</v>
      </c>
      <c r="O150" s="26">
        <f t="shared" si="8"/>
        <v>1643.35</v>
      </c>
      <c r="P150">
        <v>67</v>
      </c>
      <c r="Q150" t="b">
        <v>1</v>
      </c>
      <c r="S150" t="s">
        <v>20</v>
      </c>
    </row>
    <row r="151" spans="1:19">
      <c r="A151" t="s">
        <v>335</v>
      </c>
      <c r="B151" t="s">
        <v>336</v>
      </c>
      <c r="C151" s="23" t="s">
        <v>4127</v>
      </c>
      <c r="D151" s="23">
        <v>45121</v>
      </c>
      <c r="E151" s="22">
        <v>7</v>
      </c>
      <c r="F151" s="22">
        <v>14</v>
      </c>
      <c r="G151" s="22">
        <v>2023</v>
      </c>
      <c r="H151" s="23">
        <f t="shared" si="6"/>
        <v>45121</v>
      </c>
      <c r="I151" s="25">
        <v>45126</v>
      </c>
      <c r="J151" s="22">
        <f t="shared" si="7"/>
        <v>5</v>
      </c>
      <c r="K151" t="s">
        <v>138</v>
      </c>
      <c r="L151">
        <v>81356</v>
      </c>
      <c r="M151">
        <v>3670</v>
      </c>
      <c r="N151" s="26">
        <v>5352.87</v>
      </c>
      <c r="O151" s="26">
        <f t="shared" si="8"/>
        <v>3632.575</v>
      </c>
      <c r="P151">
        <v>660</v>
      </c>
      <c r="Q151" t="b">
        <v>1</v>
      </c>
      <c r="S151" t="s">
        <v>139</v>
      </c>
    </row>
    <row r="152" spans="1:19">
      <c r="A152" t="s">
        <v>337</v>
      </c>
      <c r="B152" t="s">
        <v>338</v>
      </c>
      <c r="C152" s="23" t="s">
        <v>4128</v>
      </c>
      <c r="D152" s="23">
        <v>45242</v>
      </c>
      <c r="E152" s="22">
        <v>11</v>
      </c>
      <c r="F152" s="22">
        <v>12</v>
      </c>
      <c r="G152" s="22">
        <v>2023</v>
      </c>
      <c r="H152" s="23">
        <f t="shared" si="6"/>
        <v>45242</v>
      </c>
      <c r="I152" s="25">
        <v>45254</v>
      </c>
      <c r="J152" s="22">
        <f t="shared" si="7"/>
        <v>12</v>
      </c>
      <c r="K152" t="s">
        <v>41</v>
      </c>
      <c r="L152">
        <v>72910</v>
      </c>
      <c r="M152">
        <v>1654</v>
      </c>
      <c r="N152" s="26">
        <v>3192.72</v>
      </c>
      <c r="O152" s="26">
        <f t="shared" si="8"/>
        <v>3192.72</v>
      </c>
      <c r="P152">
        <v>192</v>
      </c>
      <c r="Q152" t="b">
        <v>1</v>
      </c>
      <c r="S152" t="s">
        <v>42</v>
      </c>
    </row>
    <row r="153" spans="1:19">
      <c r="A153" t="s">
        <v>339</v>
      </c>
      <c r="B153" t="s">
        <v>340</v>
      </c>
      <c r="C153" s="23" t="s">
        <v>4131</v>
      </c>
      <c r="D153" s="23">
        <v>44927</v>
      </c>
      <c r="E153" s="22">
        <v>1</v>
      </c>
      <c r="F153" s="22">
        <v>1</v>
      </c>
      <c r="G153" s="22">
        <v>2023</v>
      </c>
      <c r="H153" s="23">
        <f t="shared" si="6"/>
        <v>44927</v>
      </c>
      <c r="I153" s="25">
        <v>44955</v>
      </c>
      <c r="J153" s="22">
        <f t="shared" si="7"/>
        <v>28</v>
      </c>
      <c r="K153" t="s">
        <v>58</v>
      </c>
      <c r="L153">
        <v>57044</v>
      </c>
      <c r="M153">
        <v>2553</v>
      </c>
      <c r="N153" s="26">
        <v>4652.65</v>
      </c>
      <c r="O153" s="26">
        <f t="shared" si="8"/>
        <v>3632.575</v>
      </c>
      <c r="P153">
        <v>180</v>
      </c>
      <c r="Q153" t="b">
        <v>1</v>
      </c>
      <c r="S153" t="s">
        <v>59</v>
      </c>
    </row>
    <row r="154" spans="1:19">
      <c r="A154" t="s">
        <v>341</v>
      </c>
      <c r="B154" t="s">
        <v>342</v>
      </c>
      <c r="C154" s="23" t="s">
        <v>4129</v>
      </c>
      <c r="D154" s="23">
        <v>45223</v>
      </c>
      <c r="E154" s="22">
        <v>10</v>
      </c>
      <c r="F154" s="22">
        <v>24</v>
      </c>
      <c r="G154" s="22">
        <v>2023</v>
      </c>
      <c r="H154" s="23">
        <f t="shared" si="6"/>
        <v>45223</v>
      </c>
      <c r="I154" s="25">
        <v>45248</v>
      </c>
      <c r="J154" s="22">
        <f t="shared" si="7"/>
        <v>25</v>
      </c>
      <c r="K154" t="s">
        <v>14</v>
      </c>
      <c r="L154">
        <v>68214</v>
      </c>
      <c r="M154">
        <v>1707</v>
      </c>
      <c r="N154" s="26">
        <v>2350.11</v>
      </c>
      <c r="O154" s="26">
        <f t="shared" si="8"/>
        <v>2350.11</v>
      </c>
      <c r="P154">
        <v>306</v>
      </c>
      <c r="Q154" t="b">
        <v>1</v>
      </c>
      <c r="S154" t="s">
        <v>16</v>
      </c>
    </row>
    <row r="155" spans="1:19">
      <c r="A155" t="s">
        <v>343</v>
      </c>
      <c r="B155" t="s">
        <v>344</v>
      </c>
      <c r="C155" s="23" t="s">
        <v>4128</v>
      </c>
      <c r="D155" s="23">
        <v>45153</v>
      </c>
      <c r="E155" s="22">
        <v>8</v>
      </c>
      <c r="F155" s="22">
        <v>15</v>
      </c>
      <c r="G155" s="22">
        <v>2023</v>
      </c>
      <c r="H155" s="23">
        <f t="shared" si="6"/>
        <v>45153</v>
      </c>
      <c r="I155" s="25">
        <v>45155</v>
      </c>
      <c r="J155" s="22">
        <f t="shared" si="7"/>
        <v>2</v>
      </c>
      <c r="K155" t="s">
        <v>14</v>
      </c>
      <c r="L155">
        <v>34827</v>
      </c>
      <c r="M155">
        <v>761</v>
      </c>
      <c r="N155" s="26">
        <v>1332.27</v>
      </c>
      <c r="O155" s="26">
        <f t="shared" si="8"/>
        <v>1332.27</v>
      </c>
      <c r="P155">
        <v>131</v>
      </c>
      <c r="Q155" t="b">
        <v>0</v>
      </c>
      <c r="S155" t="s">
        <v>16</v>
      </c>
    </row>
    <row r="156" spans="1:19">
      <c r="A156" t="s">
        <v>345</v>
      </c>
      <c r="B156" t="s">
        <v>346</v>
      </c>
      <c r="C156" s="23" t="s">
        <v>4128</v>
      </c>
      <c r="D156" s="23">
        <v>45169</v>
      </c>
      <c r="E156" s="22">
        <v>8</v>
      </c>
      <c r="F156" s="22">
        <v>31</v>
      </c>
      <c r="G156" s="22">
        <v>2023</v>
      </c>
      <c r="H156" s="23">
        <f t="shared" si="6"/>
        <v>45169</v>
      </c>
      <c r="I156" s="25">
        <v>45185</v>
      </c>
      <c r="J156" s="22">
        <f t="shared" si="7"/>
        <v>16</v>
      </c>
      <c r="K156" t="s">
        <v>19</v>
      </c>
      <c r="L156">
        <v>56820</v>
      </c>
      <c r="M156">
        <v>2043</v>
      </c>
      <c r="N156" s="26">
        <v>2990.68</v>
      </c>
      <c r="O156" s="26">
        <f t="shared" si="8"/>
        <v>2990.68</v>
      </c>
      <c r="P156">
        <v>403</v>
      </c>
      <c r="Q156" t="b">
        <v>1</v>
      </c>
      <c r="S156" t="s">
        <v>68</v>
      </c>
    </row>
    <row r="157" spans="1:19">
      <c r="A157" t="s">
        <v>347</v>
      </c>
      <c r="B157" t="s">
        <v>348</v>
      </c>
      <c r="C157" s="23" t="s">
        <v>4128</v>
      </c>
      <c r="D157" s="23">
        <v>45013</v>
      </c>
      <c r="E157" s="22">
        <v>3</v>
      </c>
      <c r="F157" s="22">
        <v>28</v>
      </c>
      <c r="G157" s="22">
        <v>2023</v>
      </c>
      <c r="H157" s="23">
        <f t="shared" si="6"/>
        <v>45013</v>
      </c>
      <c r="I157" s="25">
        <v>45021</v>
      </c>
      <c r="J157" s="22">
        <f t="shared" si="7"/>
        <v>8</v>
      </c>
      <c r="K157" t="s">
        <v>19</v>
      </c>
      <c r="L157">
        <v>63623</v>
      </c>
      <c r="M157">
        <v>1471</v>
      </c>
      <c r="N157" s="26">
        <v>908.84</v>
      </c>
      <c r="O157" s="26">
        <f t="shared" si="8"/>
        <v>908.84</v>
      </c>
      <c r="P157">
        <v>274</v>
      </c>
      <c r="Q157" t="b">
        <v>1</v>
      </c>
      <c r="S157" t="s">
        <v>20</v>
      </c>
    </row>
    <row r="158" spans="1:19">
      <c r="A158" t="s">
        <v>349</v>
      </c>
      <c r="B158" t="s">
        <v>350</v>
      </c>
      <c r="C158" s="23" t="s">
        <v>4128</v>
      </c>
      <c r="D158" s="23">
        <v>45266</v>
      </c>
      <c r="E158" s="22">
        <v>12</v>
      </c>
      <c r="F158" s="22">
        <v>6</v>
      </c>
      <c r="G158" s="22">
        <v>2023</v>
      </c>
      <c r="H158" s="23">
        <f t="shared" si="6"/>
        <v>45266</v>
      </c>
      <c r="I158" s="25">
        <v>45261</v>
      </c>
      <c r="J158" s="22">
        <f t="shared" si="7"/>
        <v>-5</v>
      </c>
      <c r="K158" t="s">
        <v>14</v>
      </c>
      <c r="L158">
        <v>82734</v>
      </c>
      <c r="M158">
        <v>2912</v>
      </c>
      <c r="N158" s="26">
        <v>4690.79</v>
      </c>
      <c r="O158" s="26">
        <f t="shared" si="8"/>
        <v>3632.575</v>
      </c>
      <c r="P158">
        <v>0</v>
      </c>
      <c r="Q158" t="b">
        <v>1</v>
      </c>
      <c r="R158">
        <v>82765</v>
      </c>
      <c r="S158" t="s">
        <v>16</v>
      </c>
    </row>
    <row r="159" spans="1:19">
      <c r="A159" t="s">
        <v>351</v>
      </c>
      <c r="B159" t="s">
        <v>352</v>
      </c>
      <c r="C159" s="23" t="s">
        <v>4129</v>
      </c>
      <c r="D159" s="23">
        <v>45047</v>
      </c>
      <c r="E159" s="22">
        <v>5</v>
      </c>
      <c r="F159" s="22">
        <v>1</v>
      </c>
      <c r="G159" s="22">
        <v>2023</v>
      </c>
      <c r="H159" s="23">
        <f t="shared" si="6"/>
        <v>45047</v>
      </c>
      <c r="I159" s="25">
        <v>45068</v>
      </c>
      <c r="J159" s="22">
        <f t="shared" si="7"/>
        <v>21</v>
      </c>
      <c r="K159" t="s">
        <v>23</v>
      </c>
      <c r="L159">
        <v>76450</v>
      </c>
      <c r="M159">
        <v>2629</v>
      </c>
      <c r="N159" s="26">
        <v>1688.77</v>
      </c>
      <c r="O159" s="26">
        <f t="shared" si="8"/>
        <v>1688.77</v>
      </c>
      <c r="P159">
        <v>0</v>
      </c>
      <c r="Q159" t="b">
        <v>1</v>
      </c>
      <c r="S159" t="s">
        <v>68</v>
      </c>
    </row>
    <row r="160" spans="1:19">
      <c r="A160" t="s">
        <v>353</v>
      </c>
      <c r="B160" t="s">
        <v>354</v>
      </c>
      <c r="C160" s="23" t="s">
        <v>4129</v>
      </c>
      <c r="D160" s="23">
        <v>45028</v>
      </c>
      <c r="E160" s="22">
        <v>4</v>
      </c>
      <c r="F160" s="22">
        <v>12</v>
      </c>
      <c r="G160" s="22">
        <v>2023</v>
      </c>
      <c r="H160" s="23">
        <f t="shared" si="6"/>
        <v>45028</v>
      </c>
      <c r="I160" s="25">
        <v>45265</v>
      </c>
      <c r="J160" s="22">
        <f t="shared" si="7"/>
        <v>237</v>
      </c>
      <c r="K160" t="s">
        <v>41</v>
      </c>
      <c r="L160">
        <v>94426</v>
      </c>
      <c r="M160">
        <v>3072</v>
      </c>
      <c r="N160" s="26">
        <v>4273.53</v>
      </c>
      <c r="O160" s="26">
        <f t="shared" si="8"/>
        <v>3632.575</v>
      </c>
      <c r="P160">
        <v>201</v>
      </c>
      <c r="Q160" t="b">
        <v>1</v>
      </c>
      <c r="S160" t="s">
        <v>42</v>
      </c>
    </row>
    <row r="161" spans="1:19">
      <c r="A161" t="s">
        <v>355</v>
      </c>
      <c r="B161" t="s">
        <v>356</v>
      </c>
      <c r="C161" s="23" t="s">
        <v>4131</v>
      </c>
      <c r="D161" s="23">
        <v>45170</v>
      </c>
      <c r="E161" s="22">
        <v>9</v>
      </c>
      <c r="F161" s="22">
        <v>1</v>
      </c>
      <c r="G161" s="22">
        <v>2023</v>
      </c>
      <c r="H161" s="23">
        <f t="shared" si="6"/>
        <v>45170</v>
      </c>
      <c r="I161" s="25">
        <v>45181</v>
      </c>
      <c r="J161" s="22">
        <f t="shared" si="7"/>
        <v>11</v>
      </c>
      <c r="K161" t="s">
        <v>41</v>
      </c>
      <c r="L161">
        <v>23299</v>
      </c>
      <c r="M161">
        <v>587</v>
      </c>
      <c r="N161" s="26">
        <v>912.17</v>
      </c>
      <c r="O161" s="26">
        <f t="shared" si="8"/>
        <v>912.17</v>
      </c>
      <c r="P161">
        <v>79</v>
      </c>
      <c r="Q161" t="b">
        <v>1</v>
      </c>
      <c r="S161" t="s">
        <v>42</v>
      </c>
    </row>
    <row r="162" spans="1:19">
      <c r="A162" t="s">
        <v>357</v>
      </c>
      <c r="B162" t="s">
        <v>358</v>
      </c>
      <c r="C162" s="23" t="s">
        <v>4129</v>
      </c>
      <c r="D162" s="23">
        <v>45160</v>
      </c>
      <c r="E162" s="22">
        <v>8</v>
      </c>
      <c r="F162" s="22">
        <v>22</v>
      </c>
      <c r="G162" s="22">
        <v>2023</v>
      </c>
      <c r="H162" s="23">
        <f t="shared" si="6"/>
        <v>45160</v>
      </c>
      <c r="I162" s="25">
        <v>45172</v>
      </c>
      <c r="J162" s="22">
        <f t="shared" si="7"/>
        <v>12</v>
      </c>
      <c r="K162" t="s">
        <v>19</v>
      </c>
      <c r="L162">
        <v>44585</v>
      </c>
      <c r="M162">
        <v>1424</v>
      </c>
      <c r="N162" s="26">
        <v>854.1</v>
      </c>
      <c r="O162" s="26">
        <f t="shared" si="8"/>
        <v>854.1</v>
      </c>
      <c r="P162">
        <v>184</v>
      </c>
      <c r="Q162" t="b">
        <v>0</v>
      </c>
      <c r="S162" t="s">
        <v>68</v>
      </c>
    </row>
    <row r="163" spans="1:19">
      <c r="A163" t="s">
        <v>359</v>
      </c>
      <c r="B163" t="s">
        <v>360</v>
      </c>
      <c r="C163" s="23" t="s">
        <v>4129</v>
      </c>
      <c r="D163" s="23">
        <v>45026</v>
      </c>
      <c r="E163" s="22">
        <v>4</v>
      </c>
      <c r="F163" s="22">
        <v>10</v>
      </c>
      <c r="G163" s="22">
        <v>2023</v>
      </c>
      <c r="H163" s="23">
        <f t="shared" si="6"/>
        <v>45026</v>
      </c>
      <c r="I163" s="25">
        <v>45053</v>
      </c>
      <c r="J163" s="22">
        <f t="shared" si="7"/>
        <v>27</v>
      </c>
      <c r="K163" t="s">
        <v>41</v>
      </c>
      <c r="L163">
        <v>65044</v>
      </c>
      <c r="M163">
        <v>2202</v>
      </c>
      <c r="N163" s="26">
        <v>1863.31</v>
      </c>
      <c r="O163" s="26">
        <f t="shared" si="8"/>
        <v>1863.31</v>
      </c>
      <c r="P163">
        <v>261</v>
      </c>
      <c r="Q163" t="b">
        <v>0</v>
      </c>
      <c r="S163" t="s">
        <v>42</v>
      </c>
    </row>
    <row r="164" spans="1:19">
      <c r="A164" t="s">
        <v>361</v>
      </c>
      <c r="B164" t="s">
        <v>362</v>
      </c>
      <c r="C164" s="23" t="s">
        <v>4131</v>
      </c>
      <c r="D164" s="23">
        <v>45131</v>
      </c>
      <c r="E164" s="22">
        <v>7</v>
      </c>
      <c r="F164" s="22">
        <v>24</v>
      </c>
      <c r="G164" s="22">
        <v>2023</v>
      </c>
      <c r="H164" s="23">
        <f t="shared" si="6"/>
        <v>45131</v>
      </c>
      <c r="I164" s="25">
        <v>45151</v>
      </c>
      <c r="J164" s="22">
        <f t="shared" si="7"/>
        <v>20</v>
      </c>
      <c r="K164" t="s">
        <v>138</v>
      </c>
      <c r="L164">
        <v>43557</v>
      </c>
      <c r="M164">
        <v>1386</v>
      </c>
      <c r="N164" s="26">
        <v>2596.68</v>
      </c>
      <c r="O164" s="26">
        <f t="shared" si="8"/>
        <v>2596.68</v>
      </c>
      <c r="P164">
        <v>151</v>
      </c>
      <c r="Q164" t="b">
        <v>1</v>
      </c>
      <c r="S164" t="s">
        <v>68</v>
      </c>
    </row>
    <row r="165" spans="1:19">
      <c r="A165" t="s">
        <v>363</v>
      </c>
      <c r="B165" t="s">
        <v>364</v>
      </c>
      <c r="C165" s="23" t="s">
        <v>4128</v>
      </c>
      <c r="D165" s="23">
        <v>44929</v>
      </c>
      <c r="E165" s="22">
        <v>1</v>
      </c>
      <c r="F165" s="22">
        <v>3</v>
      </c>
      <c r="G165" s="22">
        <v>2023</v>
      </c>
      <c r="H165" s="23">
        <f t="shared" si="6"/>
        <v>44929</v>
      </c>
      <c r="I165" s="25">
        <v>44945</v>
      </c>
      <c r="J165" s="22">
        <f t="shared" si="7"/>
        <v>16</v>
      </c>
      <c r="K165" t="s">
        <v>41</v>
      </c>
      <c r="L165">
        <v>50080</v>
      </c>
      <c r="M165">
        <v>1391</v>
      </c>
      <c r="N165" s="26">
        <v>1981.44</v>
      </c>
      <c r="O165" s="26">
        <f t="shared" si="8"/>
        <v>1981.44</v>
      </c>
      <c r="P165">
        <v>159</v>
      </c>
      <c r="Q165" t="b">
        <v>1</v>
      </c>
      <c r="S165" t="s">
        <v>42</v>
      </c>
    </row>
    <row r="166" spans="1:19">
      <c r="A166" t="s">
        <v>365</v>
      </c>
      <c r="B166" t="s">
        <v>366</v>
      </c>
      <c r="C166" s="23" t="s">
        <v>4127</v>
      </c>
      <c r="D166" s="23">
        <v>44981</v>
      </c>
      <c r="E166" s="22">
        <v>2</v>
      </c>
      <c r="F166" s="22">
        <v>24</v>
      </c>
      <c r="G166" s="22">
        <v>2023</v>
      </c>
      <c r="H166" s="23">
        <f t="shared" si="6"/>
        <v>44981</v>
      </c>
      <c r="I166" s="25">
        <v>44999</v>
      </c>
      <c r="J166" s="22">
        <f t="shared" si="7"/>
        <v>18</v>
      </c>
      <c r="K166" t="s">
        <v>33</v>
      </c>
      <c r="L166">
        <v>3693</v>
      </c>
      <c r="M166">
        <v>39</v>
      </c>
      <c r="N166" s="26">
        <v>33.91</v>
      </c>
      <c r="O166" s="26">
        <f t="shared" si="8"/>
        <v>33.91</v>
      </c>
      <c r="P166">
        <v>0</v>
      </c>
      <c r="Q166" t="b">
        <v>0</v>
      </c>
      <c r="S166" t="s">
        <v>34</v>
      </c>
    </row>
    <row r="167" spans="1:19">
      <c r="A167" t="s">
        <v>367</v>
      </c>
      <c r="B167" t="s">
        <v>368</v>
      </c>
      <c r="C167" s="23" t="s">
        <v>4129</v>
      </c>
      <c r="D167" s="23">
        <v>45283</v>
      </c>
      <c r="E167" s="22">
        <v>12</v>
      </c>
      <c r="F167" s="22">
        <v>23</v>
      </c>
      <c r="G167" s="22">
        <v>2023</v>
      </c>
      <c r="H167" s="23">
        <f t="shared" si="6"/>
        <v>45283</v>
      </c>
      <c r="I167" s="25">
        <v>45288</v>
      </c>
      <c r="J167" s="22">
        <f t="shared" si="7"/>
        <v>5</v>
      </c>
      <c r="K167" t="s">
        <v>14</v>
      </c>
      <c r="L167">
        <v>96003</v>
      </c>
      <c r="M167">
        <v>3214</v>
      </c>
      <c r="N167" s="26">
        <v>4936.77</v>
      </c>
      <c r="O167" s="26">
        <f t="shared" si="8"/>
        <v>3632.575</v>
      </c>
      <c r="P167">
        <v>161</v>
      </c>
      <c r="Q167" t="b">
        <v>1</v>
      </c>
      <c r="S167" t="s">
        <v>16</v>
      </c>
    </row>
    <row r="168" spans="1:19">
      <c r="A168" t="s">
        <v>369</v>
      </c>
      <c r="B168" t="s">
        <v>370</v>
      </c>
      <c r="C168" s="23" t="s">
        <v>4127</v>
      </c>
      <c r="D168" s="23">
        <v>45054</v>
      </c>
      <c r="E168" s="22">
        <v>5</v>
      </c>
      <c r="F168" s="22">
        <v>8</v>
      </c>
      <c r="G168" s="22">
        <v>2023</v>
      </c>
      <c r="H168" s="23">
        <f t="shared" si="6"/>
        <v>45054</v>
      </c>
      <c r="I168" s="25">
        <v>45080</v>
      </c>
      <c r="J168" s="22">
        <f t="shared" si="7"/>
        <v>26</v>
      </c>
      <c r="K168" t="s">
        <v>41</v>
      </c>
      <c r="L168">
        <v>96259</v>
      </c>
      <c r="M168">
        <v>1611</v>
      </c>
      <c r="N168" s="26">
        <v>2247.61</v>
      </c>
      <c r="O168" s="26">
        <f t="shared" si="8"/>
        <v>2247.61</v>
      </c>
      <c r="P168">
        <v>143</v>
      </c>
      <c r="Q168" t="b">
        <v>1</v>
      </c>
      <c r="S168" t="s">
        <v>42</v>
      </c>
    </row>
    <row r="169" spans="1:19">
      <c r="A169" t="s">
        <v>371</v>
      </c>
      <c r="B169" t="s">
        <v>372</v>
      </c>
      <c r="C169" s="23" t="s">
        <v>4129</v>
      </c>
      <c r="D169" s="23">
        <v>44995</v>
      </c>
      <c r="E169" s="22">
        <v>3</v>
      </c>
      <c r="F169" s="22">
        <v>10</v>
      </c>
      <c r="G169" s="22">
        <v>2023</v>
      </c>
      <c r="H169" s="23">
        <f t="shared" si="6"/>
        <v>44995</v>
      </c>
      <c r="I169" s="25">
        <v>45004</v>
      </c>
      <c r="J169" s="22">
        <f t="shared" si="7"/>
        <v>9</v>
      </c>
      <c r="K169" t="s">
        <v>19</v>
      </c>
      <c r="L169">
        <v>70163</v>
      </c>
      <c r="M169">
        <v>2505</v>
      </c>
      <c r="N169" s="26">
        <v>3137.17</v>
      </c>
      <c r="O169" s="26">
        <f t="shared" si="8"/>
        <v>3137.17</v>
      </c>
      <c r="P169">
        <v>0</v>
      </c>
      <c r="Q169" t="b">
        <v>1</v>
      </c>
      <c r="S169" t="s">
        <v>20</v>
      </c>
    </row>
    <row r="170" spans="1:19">
      <c r="A170" t="s">
        <v>373</v>
      </c>
      <c r="B170" t="s">
        <v>374</v>
      </c>
      <c r="C170" s="23" t="s">
        <v>4128</v>
      </c>
      <c r="D170" s="23">
        <v>45213</v>
      </c>
      <c r="E170" s="22">
        <v>10</v>
      </c>
      <c r="F170" s="22">
        <v>14</v>
      </c>
      <c r="G170" s="22">
        <v>2023</v>
      </c>
      <c r="H170" s="23">
        <f t="shared" si="6"/>
        <v>45213</v>
      </c>
      <c r="I170" s="25">
        <v>45224</v>
      </c>
      <c r="J170" s="22">
        <f t="shared" si="7"/>
        <v>11</v>
      </c>
      <c r="K170" t="s">
        <v>41</v>
      </c>
      <c r="L170">
        <v>26939</v>
      </c>
      <c r="M170">
        <v>1087</v>
      </c>
      <c r="N170" s="26">
        <v>2135.17</v>
      </c>
      <c r="O170" s="26">
        <f t="shared" si="8"/>
        <v>2135.17</v>
      </c>
      <c r="P170">
        <v>172</v>
      </c>
      <c r="Q170" t="b">
        <v>1</v>
      </c>
      <c r="S170" t="s">
        <v>42</v>
      </c>
    </row>
    <row r="171" spans="1:19">
      <c r="A171" t="s">
        <v>375</v>
      </c>
      <c r="B171" t="s">
        <v>376</v>
      </c>
      <c r="C171" s="23" t="s">
        <v>4128</v>
      </c>
      <c r="D171" s="23">
        <v>45153</v>
      </c>
      <c r="E171" s="22">
        <v>8</v>
      </c>
      <c r="F171" s="22">
        <v>15</v>
      </c>
      <c r="G171" s="22">
        <v>2023</v>
      </c>
      <c r="H171" s="23">
        <f t="shared" si="6"/>
        <v>45153</v>
      </c>
      <c r="I171" s="25">
        <v>45169</v>
      </c>
      <c r="J171" s="22">
        <f t="shared" si="7"/>
        <v>16</v>
      </c>
      <c r="K171" t="s">
        <v>14</v>
      </c>
      <c r="L171">
        <v>49925</v>
      </c>
      <c r="M171">
        <v>1498</v>
      </c>
      <c r="N171" s="26">
        <v>2284.72</v>
      </c>
      <c r="O171" s="26">
        <f t="shared" si="8"/>
        <v>2284.72</v>
      </c>
      <c r="P171">
        <v>114</v>
      </c>
      <c r="Q171" t="b">
        <v>1</v>
      </c>
      <c r="S171" t="s">
        <v>16</v>
      </c>
    </row>
    <row r="172" spans="1:19">
      <c r="A172" t="s">
        <v>377</v>
      </c>
      <c r="B172" t="s">
        <v>378</v>
      </c>
      <c r="C172" s="23" t="s">
        <v>4131</v>
      </c>
      <c r="D172" s="23">
        <v>45185</v>
      </c>
      <c r="E172" s="22">
        <v>9</v>
      </c>
      <c r="F172" s="22">
        <v>16</v>
      </c>
      <c r="G172" s="22">
        <v>2023</v>
      </c>
      <c r="H172" s="23">
        <f t="shared" si="6"/>
        <v>45185</v>
      </c>
      <c r="I172" s="25">
        <v>45196</v>
      </c>
      <c r="J172" s="22">
        <f t="shared" si="7"/>
        <v>11</v>
      </c>
      <c r="K172" t="s">
        <v>138</v>
      </c>
      <c r="L172">
        <v>43941</v>
      </c>
      <c r="M172">
        <v>1392</v>
      </c>
      <c r="N172" s="26">
        <v>1479.92</v>
      </c>
      <c r="O172" s="26">
        <f t="shared" si="8"/>
        <v>1479.92</v>
      </c>
      <c r="P172">
        <v>183</v>
      </c>
      <c r="Q172" t="b">
        <v>1</v>
      </c>
      <c r="S172" t="s">
        <v>139</v>
      </c>
    </row>
    <row r="173" spans="1:19">
      <c r="A173" t="s">
        <v>379</v>
      </c>
      <c r="B173" t="s">
        <v>380</v>
      </c>
      <c r="C173" s="23" t="s">
        <v>4129</v>
      </c>
      <c r="D173" s="23">
        <v>45155</v>
      </c>
      <c r="E173" s="22">
        <v>8</v>
      </c>
      <c r="F173" s="22">
        <v>17</v>
      </c>
      <c r="G173" s="22">
        <v>2023</v>
      </c>
      <c r="H173" s="23">
        <f t="shared" si="6"/>
        <v>45155</v>
      </c>
      <c r="I173" s="25">
        <v>45175</v>
      </c>
      <c r="J173" s="22">
        <f t="shared" si="7"/>
        <v>20</v>
      </c>
      <c r="K173" t="s">
        <v>19</v>
      </c>
      <c r="L173">
        <v>22834</v>
      </c>
      <c r="M173">
        <v>1097</v>
      </c>
      <c r="N173" s="26">
        <v>1865.02</v>
      </c>
      <c r="O173" s="26">
        <f t="shared" si="8"/>
        <v>1865.02</v>
      </c>
      <c r="P173">
        <v>172</v>
      </c>
      <c r="Q173" t="b">
        <v>0</v>
      </c>
      <c r="S173" t="s">
        <v>20</v>
      </c>
    </row>
    <row r="174" spans="1:19">
      <c r="A174" t="s">
        <v>381</v>
      </c>
      <c r="B174" t="s">
        <v>382</v>
      </c>
      <c r="C174" s="23" t="s">
        <v>4131</v>
      </c>
      <c r="D174" s="23">
        <v>45170</v>
      </c>
      <c r="E174" s="22">
        <v>9</v>
      </c>
      <c r="F174" s="22">
        <v>1</v>
      </c>
      <c r="G174" s="22">
        <v>2023</v>
      </c>
      <c r="H174" s="23">
        <f t="shared" si="6"/>
        <v>45170</v>
      </c>
      <c r="I174" s="25">
        <v>45199</v>
      </c>
      <c r="J174" s="22">
        <f t="shared" si="7"/>
        <v>29</v>
      </c>
      <c r="K174" t="s">
        <v>23</v>
      </c>
      <c r="L174">
        <v>19047</v>
      </c>
      <c r="M174">
        <v>835</v>
      </c>
      <c r="N174" s="26">
        <v>1525.44</v>
      </c>
      <c r="O174" s="26">
        <f t="shared" si="8"/>
        <v>1525.44</v>
      </c>
      <c r="P174">
        <v>97</v>
      </c>
      <c r="Q174" t="b">
        <v>1</v>
      </c>
      <c r="S174" t="s">
        <v>25</v>
      </c>
    </row>
    <row r="175" spans="1:19">
      <c r="A175" t="s">
        <v>383</v>
      </c>
      <c r="B175" t="s">
        <v>384</v>
      </c>
      <c r="C175" s="23" t="s">
        <v>4127</v>
      </c>
      <c r="D175" s="23">
        <v>45253</v>
      </c>
      <c r="E175" s="22">
        <v>11</v>
      </c>
      <c r="F175" s="22">
        <v>23</v>
      </c>
      <c r="G175" s="22">
        <v>2023</v>
      </c>
      <c r="H175" s="23">
        <f t="shared" si="6"/>
        <v>45253</v>
      </c>
      <c r="I175" s="25">
        <v>45271</v>
      </c>
      <c r="J175" s="22">
        <f t="shared" si="7"/>
        <v>18</v>
      </c>
      <c r="K175" t="s">
        <v>14</v>
      </c>
      <c r="L175">
        <v>27105</v>
      </c>
      <c r="M175">
        <v>1262</v>
      </c>
      <c r="N175" s="26">
        <v>868.04</v>
      </c>
      <c r="O175" s="26">
        <f t="shared" si="8"/>
        <v>868.04</v>
      </c>
      <c r="P175">
        <v>68</v>
      </c>
      <c r="Q175" t="b">
        <v>1</v>
      </c>
      <c r="S175" t="s">
        <v>16</v>
      </c>
    </row>
    <row r="176" spans="1:19">
      <c r="A176" t="s">
        <v>385</v>
      </c>
      <c r="B176" t="s">
        <v>386</v>
      </c>
      <c r="C176" s="23" t="s">
        <v>4131</v>
      </c>
      <c r="D176" s="23">
        <v>45175</v>
      </c>
      <c r="E176" s="22">
        <v>9</v>
      </c>
      <c r="F176" s="22">
        <v>6</v>
      </c>
      <c r="G176" s="22">
        <v>2023</v>
      </c>
      <c r="H176" s="23">
        <f t="shared" si="6"/>
        <v>45175</v>
      </c>
      <c r="I176" s="25">
        <v>45182</v>
      </c>
      <c r="J176" s="22">
        <f t="shared" si="7"/>
        <v>7</v>
      </c>
      <c r="K176" t="s">
        <v>23</v>
      </c>
      <c r="L176">
        <v>76766</v>
      </c>
      <c r="M176">
        <v>3266</v>
      </c>
      <c r="N176" s="26">
        <v>2615.51</v>
      </c>
      <c r="O176" s="26">
        <f t="shared" si="8"/>
        <v>2615.51</v>
      </c>
      <c r="P176">
        <v>383</v>
      </c>
      <c r="Q176" t="b">
        <v>1</v>
      </c>
      <c r="S176" t="s">
        <v>25</v>
      </c>
    </row>
    <row r="177" spans="1:19">
      <c r="A177" t="s">
        <v>387</v>
      </c>
      <c r="B177" t="s">
        <v>388</v>
      </c>
      <c r="C177" s="23" t="s">
        <v>4128</v>
      </c>
      <c r="D177" s="23">
        <v>44966</v>
      </c>
      <c r="E177" s="22">
        <v>2</v>
      </c>
      <c r="F177" s="22">
        <v>9</v>
      </c>
      <c r="G177" s="22">
        <v>2023</v>
      </c>
      <c r="H177" s="23">
        <f t="shared" si="6"/>
        <v>44966</v>
      </c>
      <c r="I177" s="25">
        <v>44993</v>
      </c>
      <c r="J177" s="22">
        <f t="shared" si="7"/>
        <v>27</v>
      </c>
      <c r="K177" t="s">
        <v>14</v>
      </c>
      <c r="L177">
        <v>16707</v>
      </c>
      <c r="M177">
        <v>239</v>
      </c>
      <c r="N177" s="26">
        <v>197.02</v>
      </c>
      <c r="O177" s="26">
        <f t="shared" si="8"/>
        <v>197.02</v>
      </c>
      <c r="P177">
        <v>22</v>
      </c>
      <c r="Q177" t="b">
        <v>0</v>
      </c>
      <c r="S177" t="s">
        <v>16</v>
      </c>
    </row>
    <row r="178" spans="1:19">
      <c r="A178" t="s">
        <v>389</v>
      </c>
      <c r="B178" t="s">
        <v>390</v>
      </c>
      <c r="C178" s="23" t="s">
        <v>4128</v>
      </c>
      <c r="D178" s="23">
        <v>45098</v>
      </c>
      <c r="E178" s="22">
        <v>6</v>
      </c>
      <c r="F178" s="22">
        <v>21</v>
      </c>
      <c r="G178" s="22">
        <v>2023</v>
      </c>
      <c r="H178" s="23">
        <f t="shared" si="6"/>
        <v>45098</v>
      </c>
      <c r="I178" s="25">
        <v>45124</v>
      </c>
      <c r="J178" s="22">
        <f t="shared" si="7"/>
        <v>26</v>
      </c>
      <c r="K178" t="s">
        <v>14</v>
      </c>
      <c r="L178">
        <v>22976</v>
      </c>
      <c r="M178">
        <v>366</v>
      </c>
      <c r="N178" s="26">
        <v>562.48</v>
      </c>
      <c r="O178" s="26">
        <f t="shared" si="8"/>
        <v>562.48</v>
      </c>
      <c r="P178">
        <v>0</v>
      </c>
      <c r="Q178" t="b">
        <v>0</v>
      </c>
      <c r="S178" t="s">
        <v>16</v>
      </c>
    </row>
    <row r="179" spans="1:19">
      <c r="A179" t="s">
        <v>391</v>
      </c>
      <c r="B179" t="s">
        <v>392</v>
      </c>
      <c r="C179" s="23" t="s">
        <v>4131</v>
      </c>
      <c r="D179" s="23">
        <v>44997</v>
      </c>
      <c r="E179" s="22">
        <v>3</v>
      </c>
      <c r="F179" s="22">
        <v>12</v>
      </c>
      <c r="G179" s="22">
        <v>2023</v>
      </c>
      <c r="H179" s="23">
        <f t="shared" si="6"/>
        <v>44997</v>
      </c>
      <c r="I179" s="25">
        <v>45018</v>
      </c>
      <c r="J179" s="22">
        <f t="shared" si="7"/>
        <v>21</v>
      </c>
      <c r="K179" t="s">
        <v>266</v>
      </c>
      <c r="L179">
        <v>45262</v>
      </c>
      <c r="M179">
        <v>1406</v>
      </c>
      <c r="N179" s="26">
        <v>1974.81</v>
      </c>
      <c r="O179" s="26">
        <f t="shared" si="8"/>
        <v>1974.81</v>
      </c>
      <c r="P179">
        <v>96</v>
      </c>
      <c r="Q179" t="b">
        <v>0</v>
      </c>
      <c r="S179" t="s">
        <v>20</v>
      </c>
    </row>
    <row r="180" spans="1:19">
      <c r="A180" t="s">
        <v>393</v>
      </c>
      <c r="B180" t="s">
        <v>394</v>
      </c>
      <c r="C180" s="23" t="s">
        <v>4128</v>
      </c>
      <c r="D180" s="23">
        <v>45005</v>
      </c>
      <c r="E180" s="22">
        <v>3</v>
      </c>
      <c r="F180" s="22">
        <v>20</v>
      </c>
      <c r="G180" s="22">
        <v>2023</v>
      </c>
      <c r="H180" s="23">
        <f t="shared" si="6"/>
        <v>45005</v>
      </c>
      <c r="I180" s="25">
        <v>45012</v>
      </c>
      <c r="J180" s="22">
        <f t="shared" si="7"/>
        <v>7</v>
      </c>
      <c r="K180" t="s">
        <v>19</v>
      </c>
      <c r="L180">
        <v>24776</v>
      </c>
      <c r="M180">
        <v>491</v>
      </c>
      <c r="N180" s="26">
        <v>701.39</v>
      </c>
      <c r="O180" s="26">
        <f t="shared" si="8"/>
        <v>701.39</v>
      </c>
      <c r="P180">
        <v>72</v>
      </c>
      <c r="Q180" t="b">
        <v>0</v>
      </c>
      <c r="S180" t="s">
        <v>20</v>
      </c>
    </row>
    <row r="181" spans="1:19">
      <c r="A181" t="s">
        <v>395</v>
      </c>
      <c r="B181" t="s">
        <v>396</v>
      </c>
      <c r="C181" s="23" t="s">
        <v>4127</v>
      </c>
      <c r="D181" s="23">
        <v>45135</v>
      </c>
      <c r="E181" s="22">
        <v>7</v>
      </c>
      <c r="F181" s="22">
        <v>28</v>
      </c>
      <c r="G181" s="22">
        <v>2023</v>
      </c>
      <c r="H181" s="23">
        <f t="shared" si="6"/>
        <v>45135</v>
      </c>
      <c r="I181" s="25">
        <v>45165</v>
      </c>
      <c r="J181" s="22">
        <f t="shared" si="7"/>
        <v>30</v>
      </c>
      <c r="K181" t="s">
        <v>19</v>
      </c>
      <c r="L181">
        <v>31080</v>
      </c>
      <c r="M181">
        <v>903</v>
      </c>
      <c r="N181" s="26">
        <v>1725.78</v>
      </c>
      <c r="O181" s="26">
        <f t="shared" si="8"/>
        <v>1725.78</v>
      </c>
      <c r="P181">
        <v>52</v>
      </c>
      <c r="Q181" t="b">
        <v>0</v>
      </c>
      <c r="S181" t="s">
        <v>20</v>
      </c>
    </row>
    <row r="182" spans="1:19">
      <c r="A182" t="s">
        <v>397</v>
      </c>
      <c r="B182" t="s">
        <v>398</v>
      </c>
      <c r="C182" s="23" t="s">
        <v>4128</v>
      </c>
      <c r="D182" s="23">
        <v>44958</v>
      </c>
      <c r="E182" s="22">
        <v>2</v>
      </c>
      <c r="F182" s="22">
        <v>1</v>
      </c>
      <c r="G182" s="22">
        <v>2023</v>
      </c>
      <c r="H182" s="23">
        <f t="shared" si="6"/>
        <v>44958</v>
      </c>
      <c r="I182" s="25">
        <v>44978</v>
      </c>
      <c r="J182" s="22">
        <f t="shared" si="7"/>
        <v>20</v>
      </c>
      <c r="K182" t="s">
        <v>33</v>
      </c>
      <c r="L182">
        <v>67842</v>
      </c>
      <c r="M182">
        <v>1748</v>
      </c>
      <c r="N182" s="26">
        <v>2908.44</v>
      </c>
      <c r="O182" s="26">
        <f t="shared" si="8"/>
        <v>2908.44</v>
      </c>
      <c r="P182">
        <v>0</v>
      </c>
      <c r="Q182" t="b">
        <v>1</v>
      </c>
      <c r="S182" t="s">
        <v>34</v>
      </c>
    </row>
    <row r="183" spans="1:19">
      <c r="A183" t="s">
        <v>399</v>
      </c>
      <c r="B183" t="s">
        <v>400</v>
      </c>
      <c r="C183" s="23" t="s">
        <v>4131</v>
      </c>
      <c r="D183" s="23">
        <v>45226</v>
      </c>
      <c r="E183" s="22">
        <v>10</v>
      </c>
      <c r="F183" s="22">
        <v>27</v>
      </c>
      <c r="G183" s="22">
        <v>2023</v>
      </c>
      <c r="H183" s="23">
        <f t="shared" si="6"/>
        <v>45226</v>
      </c>
      <c r="I183" s="25">
        <v>45246</v>
      </c>
      <c r="J183" s="22">
        <f t="shared" si="7"/>
        <v>20</v>
      </c>
      <c r="K183" t="s">
        <v>23</v>
      </c>
      <c r="L183">
        <v>62373</v>
      </c>
      <c r="M183">
        <v>1994</v>
      </c>
      <c r="N183" s="26">
        <v>1379.66</v>
      </c>
      <c r="O183" s="26">
        <f t="shared" si="8"/>
        <v>1379.66</v>
      </c>
      <c r="P183">
        <v>265</v>
      </c>
      <c r="Q183" t="b">
        <v>1</v>
      </c>
      <c r="S183" t="s">
        <v>25</v>
      </c>
    </row>
    <row r="184" spans="1:19">
      <c r="A184" t="s">
        <v>401</v>
      </c>
      <c r="B184" t="s">
        <v>402</v>
      </c>
      <c r="C184" s="23" t="s">
        <v>4129</v>
      </c>
      <c r="D184" s="23">
        <v>45221</v>
      </c>
      <c r="E184" s="22">
        <v>10</v>
      </c>
      <c r="F184" s="22">
        <v>22</v>
      </c>
      <c r="G184" s="22">
        <v>2023</v>
      </c>
      <c r="H184" s="23">
        <f t="shared" si="6"/>
        <v>45221</v>
      </c>
      <c r="I184" s="25">
        <v>45225</v>
      </c>
      <c r="J184" s="22">
        <f t="shared" si="7"/>
        <v>4</v>
      </c>
      <c r="K184" t="s">
        <v>23</v>
      </c>
      <c r="L184">
        <v>7776</v>
      </c>
      <c r="M184">
        <v>310</v>
      </c>
      <c r="N184" s="26">
        <v>316.59</v>
      </c>
      <c r="O184" s="26">
        <f t="shared" si="8"/>
        <v>316.59</v>
      </c>
      <c r="P184">
        <v>29</v>
      </c>
      <c r="Q184" t="b">
        <v>1</v>
      </c>
      <c r="S184" t="s">
        <v>25</v>
      </c>
    </row>
    <row r="185" spans="1:19">
      <c r="A185" t="s">
        <v>403</v>
      </c>
      <c r="B185" t="s">
        <v>404</v>
      </c>
      <c r="C185" s="23" t="s">
        <v>4128</v>
      </c>
      <c r="D185" s="23">
        <v>45107</v>
      </c>
      <c r="E185" s="22">
        <v>6</v>
      </c>
      <c r="F185" s="22">
        <v>30</v>
      </c>
      <c r="G185" s="22">
        <v>2023</v>
      </c>
      <c r="H185" s="23">
        <f t="shared" si="6"/>
        <v>45107</v>
      </c>
      <c r="I185" s="25">
        <v>45117</v>
      </c>
      <c r="J185" s="22">
        <f t="shared" si="7"/>
        <v>10</v>
      </c>
      <c r="K185" t="s">
        <v>23</v>
      </c>
      <c r="L185">
        <v>93787</v>
      </c>
      <c r="M185">
        <v>3622</v>
      </c>
      <c r="N185" s="26">
        <v>4176.49</v>
      </c>
      <c r="O185" s="26">
        <f t="shared" si="8"/>
        <v>3632.575</v>
      </c>
      <c r="P185">
        <v>428</v>
      </c>
      <c r="Q185" t="b">
        <v>0</v>
      </c>
      <c r="S185" t="s">
        <v>25</v>
      </c>
    </row>
    <row r="186" spans="1:19">
      <c r="A186" t="s">
        <v>405</v>
      </c>
      <c r="B186" t="s">
        <v>406</v>
      </c>
      <c r="C186" s="23" t="s">
        <v>4128</v>
      </c>
      <c r="D186" s="23">
        <v>45141</v>
      </c>
      <c r="E186" s="22">
        <v>8</v>
      </c>
      <c r="F186" s="22">
        <v>3</v>
      </c>
      <c r="G186" s="22">
        <v>2023</v>
      </c>
      <c r="H186" s="23">
        <f t="shared" si="6"/>
        <v>45141</v>
      </c>
      <c r="I186" s="25">
        <v>45165</v>
      </c>
      <c r="J186" s="22">
        <f t="shared" si="7"/>
        <v>24</v>
      </c>
      <c r="K186" t="s">
        <v>266</v>
      </c>
      <c r="L186">
        <v>56016</v>
      </c>
      <c r="M186">
        <v>1728</v>
      </c>
      <c r="N186" s="26">
        <v>1890.33</v>
      </c>
      <c r="O186" s="26">
        <f t="shared" si="8"/>
        <v>1890.33</v>
      </c>
      <c r="P186">
        <v>128</v>
      </c>
      <c r="Q186" t="b">
        <v>0</v>
      </c>
      <c r="S186" t="s">
        <v>20</v>
      </c>
    </row>
    <row r="187" spans="1:19">
      <c r="A187" t="s">
        <v>407</v>
      </c>
      <c r="B187" t="s">
        <v>408</v>
      </c>
      <c r="C187" s="23" t="s">
        <v>4127</v>
      </c>
      <c r="D187" s="23">
        <v>45235</v>
      </c>
      <c r="E187" s="22">
        <v>11</v>
      </c>
      <c r="F187" s="22">
        <v>5</v>
      </c>
      <c r="G187" s="22">
        <v>2023</v>
      </c>
      <c r="H187" s="23">
        <f t="shared" si="6"/>
        <v>45235</v>
      </c>
      <c r="I187" s="25">
        <v>45237</v>
      </c>
      <c r="J187" s="22">
        <f t="shared" si="7"/>
        <v>2</v>
      </c>
      <c r="K187" t="s">
        <v>33</v>
      </c>
      <c r="L187">
        <v>10474</v>
      </c>
      <c r="M187">
        <v>449</v>
      </c>
      <c r="N187" s="26">
        <v>675.28</v>
      </c>
      <c r="O187" s="26">
        <f t="shared" si="8"/>
        <v>675.28</v>
      </c>
      <c r="P187">
        <v>42</v>
      </c>
      <c r="Q187" t="b">
        <v>1</v>
      </c>
      <c r="S187" t="s">
        <v>34</v>
      </c>
    </row>
    <row r="188" spans="1:19">
      <c r="A188" t="s">
        <v>409</v>
      </c>
      <c r="B188" t="s">
        <v>410</v>
      </c>
      <c r="C188" s="23" t="s">
        <v>4127</v>
      </c>
      <c r="D188" s="23">
        <v>45066</v>
      </c>
      <c r="E188" s="22">
        <v>5</v>
      </c>
      <c r="F188" s="22">
        <v>20</v>
      </c>
      <c r="G188" s="22">
        <v>2023</v>
      </c>
      <c r="H188" s="23">
        <f t="shared" si="6"/>
        <v>45066</v>
      </c>
      <c r="I188" s="25">
        <v>45090</v>
      </c>
      <c r="J188" s="22">
        <f t="shared" si="7"/>
        <v>24</v>
      </c>
      <c r="K188" t="s">
        <v>19</v>
      </c>
      <c r="L188">
        <v>59053</v>
      </c>
      <c r="M188">
        <v>1608</v>
      </c>
      <c r="N188" s="26">
        <v>2955.25</v>
      </c>
      <c r="O188" s="26">
        <f t="shared" si="8"/>
        <v>2955.25</v>
      </c>
      <c r="P188">
        <v>230</v>
      </c>
      <c r="Q188" t="b">
        <v>1</v>
      </c>
      <c r="S188" t="s">
        <v>20</v>
      </c>
    </row>
    <row r="189" spans="1:19">
      <c r="A189" t="s">
        <v>411</v>
      </c>
      <c r="B189" t="s">
        <v>412</v>
      </c>
      <c r="C189" s="23" t="s">
        <v>4127</v>
      </c>
      <c r="D189" s="23">
        <v>45099</v>
      </c>
      <c r="E189" s="22">
        <v>6</v>
      </c>
      <c r="F189" s="22">
        <v>22</v>
      </c>
      <c r="G189" s="22">
        <v>2023</v>
      </c>
      <c r="H189" s="23">
        <f t="shared" si="6"/>
        <v>45099</v>
      </c>
      <c r="I189" s="25">
        <v>45128</v>
      </c>
      <c r="J189" s="22">
        <f t="shared" si="7"/>
        <v>29</v>
      </c>
      <c r="K189" t="s">
        <v>58</v>
      </c>
      <c r="L189">
        <v>22959</v>
      </c>
      <c r="M189">
        <v>1053</v>
      </c>
      <c r="N189" s="26">
        <v>1009.91</v>
      </c>
      <c r="O189" s="26">
        <f t="shared" si="8"/>
        <v>1009.91</v>
      </c>
      <c r="P189">
        <v>100</v>
      </c>
      <c r="Q189" t="b">
        <v>1</v>
      </c>
      <c r="S189" t="s">
        <v>59</v>
      </c>
    </row>
    <row r="190" spans="1:19">
      <c r="A190" t="s">
        <v>413</v>
      </c>
      <c r="B190" t="s">
        <v>414</v>
      </c>
      <c r="C190" s="23" t="s">
        <v>4127</v>
      </c>
      <c r="D190" s="23">
        <v>45011</v>
      </c>
      <c r="E190" s="22">
        <v>3</v>
      </c>
      <c r="F190" s="22">
        <v>26</v>
      </c>
      <c r="G190" s="22">
        <v>2023</v>
      </c>
      <c r="H190" s="23">
        <f t="shared" si="6"/>
        <v>45011</v>
      </c>
      <c r="I190" s="25">
        <v>45018</v>
      </c>
      <c r="J190" s="22">
        <f t="shared" si="7"/>
        <v>7</v>
      </c>
      <c r="K190" t="s">
        <v>415</v>
      </c>
      <c r="L190">
        <v>6530</v>
      </c>
      <c r="M190">
        <v>83</v>
      </c>
      <c r="N190" s="26">
        <v>110.21</v>
      </c>
      <c r="O190" s="26">
        <f t="shared" si="8"/>
        <v>110.21</v>
      </c>
      <c r="P190">
        <v>15</v>
      </c>
      <c r="Q190" t="b">
        <v>1</v>
      </c>
      <c r="S190" t="s">
        <v>34</v>
      </c>
    </row>
    <row r="191" spans="1:19">
      <c r="A191" t="s">
        <v>416</v>
      </c>
      <c r="B191" t="s">
        <v>417</v>
      </c>
      <c r="C191" s="23" t="s">
        <v>4127</v>
      </c>
      <c r="D191" s="23">
        <v>45245</v>
      </c>
      <c r="E191" s="22">
        <v>11</v>
      </c>
      <c r="F191" s="22">
        <v>15</v>
      </c>
      <c r="G191" s="22">
        <v>2023</v>
      </c>
      <c r="H191" s="23">
        <f t="shared" si="6"/>
        <v>45245</v>
      </c>
      <c r="I191" s="25">
        <v>45262</v>
      </c>
      <c r="J191" s="22">
        <f t="shared" si="7"/>
        <v>17</v>
      </c>
      <c r="K191" t="s">
        <v>19</v>
      </c>
      <c r="L191">
        <v>95856</v>
      </c>
      <c r="M191">
        <v>4618</v>
      </c>
      <c r="N191" s="26">
        <v>7777.24</v>
      </c>
      <c r="O191" s="26">
        <f t="shared" si="8"/>
        <v>3632.575</v>
      </c>
      <c r="P191">
        <v>0</v>
      </c>
      <c r="Q191" t="b">
        <v>1</v>
      </c>
      <c r="S191" t="s">
        <v>20</v>
      </c>
    </row>
    <row r="192" spans="1:19">
      <c r="A192" t="s">
        <v>418</v>
      </c>
      <c r="B192" t="s">
        <v>419</v>
      </c>
      <c r="C192" s="23" t="s">
        <v>4127</v>
      </c>
      <c r="D192" s="23">
        <v>45230</v>
      </c>
      <c r="E192" s="22">
        <v>10</v>
      </c>
      <c r="F192" s="22">
        <v>31</v>
      </c>
      <c r="G192" s="22">
        <v>2023</v>
      </c>
      <c r="H192" s="23">
        <f t="shared" si="6"/>
        <v>45230</v>
      </c>
      <c r="I192" s="25">
        <v>45256</v>
      </c>
      <c r="J192" s="22">
        <f t="shared" si="7"/>
        <v>26</v>
      </c>
      <c r="K192" t="s">
        <v>19</v>
      </c>
      <c r="L192">
        <v>4748</v>
      </c>
      <c r="M192">
        <v>171</v>
      </c>
      <c r="N192" s="26">
        <v>192.26</v>
      </c>
      <c r="O192" s="26">
        <f t="shared" si="8"/>
        <v>192.26</v>
      </c>
      <c r="P192">
        <v>19</v>
      </c>
      <c r="Q192" t="b">
        <v>1</v>
      </c>
      <c r="S192" t="s">
        <v>68</v>
      </c>
    </row>
    <row r="193" spans="1:19">
      <c r="A193" t="s">
        <v>420</v>
      </c>
      <c r="B193" t="s">
        <v>421</v>
      </c>
      <c r="C193" s="23" t="s">
        <v>4128</v>
      </c>
      <c r="D193" s="23">
        <v>45256</v>
      </c>
      <c r="E193" s="22">
        <v>11</v>
      </c>
      <c r="F193" s="22">
        <v>26</v>
      </c>
      <c r="G193" s="22">
        <v>2023</v>
      </c>
      <c r="H193" s="23">
        <f t="shared" si="6"/>
        <v>45256</v>
      </c>
      <c r="I193" s="25">
        <v>45273</v>
      </c>
      <c r="J193" s="22">
        <f t="shared" si="7"/>
        <v>17</v>
      </c>
      <c r="K193" t="s">
        <v>33</v>
      </c>
      <c r="L193">
        <v>98504</v>
      </c>
      <c r="M193">
        <v>2482</v>
      </c>
      <c r="N193" s="26">
        <v>1866.9</v>
      </c>
      <c r="O193" s="26">
        <f t="shared" si="8"/>
        <v>1866.9</v>
      </c>
      <c r="P193">
        <v>138</v>
      </c>
      <c r="Q193" t="b">
        <v>1</v>
      </c>
      <c r="S193" t="s">
        <v>34</v>
      </c>
    </row>
    <row r="194" spans="1:19">
      <c r="A194" t="s">
        <v>422</v>
      </c>
      <c r="B194" t="s">
        <v>423</v>
      </c>
      <c r="C194" s="23" t="s">
        <v>4129</v>
      </c>
      <c r="D194" s="23">
        <v>45020</v>
      </c>
      <c r="E194" s="22">
        <v>4</v>
      </c>
      <c r="F194" s="22">
        <v>4</v>
      </c>
      <c r="G194" s="22">
        <v>2023</v>
      </c>
      <c r="H194" s="23">
        <f t="shared" si="6"/>
        <v>45020</v>
      </c>
      <c r="I194" s="25">
        <v>45030</v>
      </c>
      <c r="J194" s="22">
        <f t="shared" si="7"/>
        <v>10</v>
      </c>
      <c r="K194" t="s">
        <v>19</v>
      </c>
      <c r="L194">
        <v>99098</v>
      </c>
      <c r="M194">
        <v>1772</v>
      </c>
      <c r="N194" s="26">
        <v>2148.42</v>
      </c>
      <c r="O194" s="26">
        <f t="shared" si="8"/>
        <v>2148.42</v>
      </c>
      <c r="P194">
        <v>221</v>
      </c>
      <c r="Q194" t="b">
        <v>1</v>
      </c>
      <c r="S194" t="s">
        <v>20</v>
      </c>
    </row>
    <row r="195" spans="1:19">
      <c r="A195" t="s">
        <v>424</v>
      </c>
      <c r="B195" t="s">
        <v>425</v>
      </c>
      <c r="C195" s="23" t="s">
        <v>4128</v>
      </c>
      <c r="D195" s="23">
        <v>45121</v>
      </c>
      <c r="E195" s="22">
        <v>7</v>
      </c>
      <c r="F195" s="22">
        <v>14</v>
      </c>
      <c r="G195" s="22">
        <v>2023</v>
      </c>
      <c r="H195" s="23">
        <f t="shared" ref="H195:H258" si="9">IF(E195&gt;12,DATE(G195,F195,E195),D195)</f>
        <v>45121</v>
      </c>
      <c r="I195" s="25">
        <v>45129</v>
      </c>
      <c r="J195" s="22">
        <f t="shared" ref="J195:J258" si="10">DATEDIF(H195,I195,"D")</f>
        <v>8</v>
      </c>
      <c r="K195" t="s">
        <v>19</v>
      </c>
      <c r="L195">
        <v>14545</v>
      </c>
      <c r="M195">
        <v>424</v>
      </c>
      <c r="N195" s="26">
        <v>247.12</v>
      </c>
      <c r="O195" s="26">
        <f t="shared" ref="O195:O258" si="11">IF(N195&lt;$W$8,$W$8,IF(N195&gt;$W$9,$W$9,N195))</f>
        <v>247.12</v>
      </c>
      <c r="P195">
        <v>69</v>
      </c>
      <c r="Q195" t="b">
        <v>1</v>
      </c>
      <c r="S195" t="s">
        <v>20</v>
      </c>
    </row>
    <row r="196" spans="1:19">
      <c r="A196" t="s">
        <v>426</v>
      </c>
      <c r="B196" t="s">
        <v>427</v>
      </c>
      <c r="C196" s="23" t="s">
        <v>4129</v>
      </c>
      <c r="D196" s="23">
        <v>45099</v>
      </c>
      <c r="E196" s="22">
        <v>6</v>
      </c>
      <c r="F196" s="22">
        <v>22</v>
      </c>
      <c r="G196" s="22">
        <v>2023</v>
      </c>
      <c r="H196" s="23">
        <f t="shared" si="9"/>
        <v>45099</v>
      </c>
      <c r="I196" s="25">
        <v>45125</v>
      </c>
      <c r="J196" s="22">
        <f t="shared" si="10"/>
        <v>26</v>
      </c>
      <c r="K196" t="s">
        <v>23</v>
      </c>
      <c r="L196">
        <v>67199</v>
      </c>
      <c r="M196">
        <v>1194</v>
      </c>
      <c r="N196" s="26">
        <v>2284.81</v>
      </c>
      <c r="O196" s="26">
        <f t="shared" si="11"/>
        <v>2284.81</v>
      </c>
      <c r="P196">
        <v>107</v>
      </c>
      <c r="Q196" t="b">
        <v>1</v>
      </c>
      <c r="S196" t="s">
        <v>25</v>
      </c>
    </row>
    <row r="197" spans="1:19">
      <c r="A197" t="s">
        <v>428</v>
      </c>
      <c r="B197" t="s">
        <v>429</v>
      </c>
      <c r="C197" s="23" t="s">
        <v>4127</v>
      </c>
      <c r="D197" s="23">
        <v>45142</v>
      </c>
      <c r="E197" s="22">
        <v>8</v>
      </c>
      <c r="F197" s="22">
        <v>4</v>
      </c>
      <c r="G197" s="22">
        <v>2023</v>
      </c>
      <c r="H197" s="23">
        <f t="shared" si="9"/>
        <v>45142</v>
      </c>
      <c r="I197" s="25">
        <v>45037</v>
      </c>
      <c r="J197" s="22">
        <f t="shared" si="10"/>
        <v>-105</v>
      </c>
      <c r="K197" t="s">
        <v>33</v>
      </c>
      <c r="L197">
        <v>35766</v>
      </c>
      <c r="M197">
        <v>595</v>
      </c>
      <c r="N197" s="26">
        <v>364.28</v>
      </c>
      <c r="O197" s="26">
        <f t="shared" si="11"/>
        <v>364.28</v>
      </c>
      <c r="P197">
        <v>101</v>
      </c>
      <c r="Q197" t="b">
        <v>1</v>
      </c>
      <c r="S197" t="s">
        <v>34</v>
      </c>
    </row>
    <row r="198" spans="1:19">
      <c r="A198" t="s">
        <v>430</v>
      </c>
      <c r="B198" t="s">
        <v>431</v>
      </c>
      <c r="C198" s="23" t="s">
        <v>4128</v>
      </c>
      <c r="D198" s="23">
        <v>44936</v>
      </c>
      <c r="E198" s="22">
        <v>1</v>
      </c>
      <c r="F198" s="22">
        <v>10</v>
      </c>
      <c r="G198" s="22">
        <v>2023</v>
      </c>
      <c r="H198" s="23">
        <f t="shared" si="9"/>
        <v>44936</v>
      </c>
      <c r="I198" s="25">
        <v>45214</v>
      </c>
      <c r="J198" s="22">
        <f t="shared" si="10"/>
        <v>278</v>
      </c>
      <c r="K198" t="s">
        <v>33</v>
      </c>
      <c r="L198">
        <v>74530</v>
      </c>
      <c r="M198">
        <v>2585</v>
      </c>
      <c r="N198" s="26">
        <v>2992.62</v>
      </c>
      <c r="O198" s="26">
        <f t="shared" si="11"/>
        <v>2992.62</v>
      </c>
      <c r="P198">
        <v>226</v>
      </c>
      <c r="Q198" t="b">
        <v>1</v>
      </c>
      <c r="S198" t="s">
        <v>34</v>
      </c>
    </row>
    <row r="199" spans="1:19">
      <c r="A199" t="s">
        <v>432</v>
      </c>
      <c r="B199" t="s">
        <v>433</v>
      </c>
      <c r="C199" s="23" t="s">
        <v>4128</v>
      </c>
      <c r="D199" s="23">
        <v>45106</v>
      </c>
      <c r="E199" s="22">
        <v>6</v>
      </c>
      <c r="F199" s="22">
        <v>29</v>
      </c>
      <c r="G199" s="22">
        <v>2023</v>
      </c>
      <c r="H199" s="23">
        <f t="shared" si="9"/>
        <v>45106</v>
      </c>
      <c r="I199" s="25">
        <v>45129</v>
      </c>
      <c r="J199" s="22">
        <f t="shared" si="10"/>
        <v>23</v>
      </c>
      <c r="K199" t="s">
        <v>14</v>
      </c>
      <c r="L199">
        <v>94557</v>
      </c>
      <c r="M199">
        <v>2924</v>
      </c>
      <c r="N199" s="26">
        <v>3786.06</v>
      </c>
      <c r="O199" s="26">
        <f t="shared" si="11"/>
        <v>3632.575</v>
      </c>
      <c r="P199">
        <v>507</v>
      </c>
      <c r="Q199" t="b">
        <v>1</v>
      </c>
      <c r="S199" t="s">
        <v>16</v>
      </c>
    </row>
    <row r="200" spans="1:19">
      <c r="A200" t="s">
        <v>434</v>
      </c>
      <c r="B200" t="s">
        <v>435</v>
      </c>
      <c r="C200" s="23" t="s">
        <v>4131</v>
      </c>
      <c r="D200" s="23" t="s">
        <v>436</v>
      </c>
      <c r="E200" s="22">
        <v>30</v>
      </c>
      <c r="F200" s="22">
        <v>11</v>
      </c>
      <c r="G200" s="22">
        <v>2023</v>
      </c>
      <c r="H200" s="23">
        <f t="shared" si="9"/>
        <v>45260</v>
      </c>
      <c r="I200" s="25">
        <v>45287</v>
      </c>
      <c r="J200" s="22">
        <f t="shared" si="10"/>
        <v>27</v>
      </c>
      <c r="K200" t="s">
        <v>23</v>
      </c>
      <c r="L200">
        <v>62087</v>
      </c>
      <c r="M200">
        <v>2285</v>
      </c>
      <c r="N200" s="26">
        <v>4519.63</v>
      </c>
      <c r="O200" s="26">
        <f t="shared" si="11"/>
        <v>3632.575</v>
      </c>
      <c r="P200">
        <v>143</v>
      </c>
      <c r="Q200" t="b">
        <v>0</v>
      </c>
      <c r="S200" t="s">
        <v>25</v>
      </c>
    </row>
    <row r="201" spans="1:19">
      <c r="A201" t="s">
        <v>437</v>
      </c>
      <c r="B201" t="s">
        <v>438</v>
      </c>
      <c r="C201" s="23" t="s">
        <v>4131</v>
      </c>
      <c r="D201" s="23">
        <v>44942</v>
      </c>
      <c r="E201" s="22">
        <v>1</v>
      </c>
      <c r="F201" s="22">
        <v>16</v>
      </c>
      <c r="G201" s="22">
        <v>2023</v>
      </c>
      <c r="H201" s="23">
        <f t="shared" si="9"/>
        <v>44942</v>
      </c>
      <c r="I201" s="25">
        <v>44970</v>
      </c>
      <c r="J201" s="22">
        <f t="shared" si="10"/>
        <v>28</v>
      </c>
      <c r="K201" t="s">
        <v>41</v>
      </c>
      <c r="L201">
        <v>96839</v>
      </c>
      <c r="M201">
        <v>4569</v>
      </c>
      <c r="N201" s="26">
        <v>3422.33</v>
      </c>
      <c r="O201" s="26">
        <f t="shared" si="11"/>
        <v>3422.33</v>
      </c>
      <c r="P201">
        <v>0</v>
      </c>
      <c r="Q201" t="b">
        <v>0</v>
      </c>
      <c r="S201" t="s">
        <v>42</v>
      </c>
    </row>
    <row r="202" spans="1:19">
      <c r="A202" t="s">
        <v>439</v>
      </c>
      <c r="B202" t="s">
        <v>440</v>
      </c>
      <c r="C202" s="23" t="s">
        <v>4131</v>
      </c>
      <c r="D202" s="23">
        <v>44937</v>
      </c>
      <c r="E202" s="22">
        <v>1</v>
      </c>
      <c r="F202" s="22">
        <v>11</v>
      </c>
      <c r="G202" s="22">
        <v>2023</v>
      </c>
      <c r="H202" s="23">
        <f t="shared" si="9"/>
        <v>44937</v>
      </c>
      <c r="I202" s="25">
        <v>44932</v>
      </c>
      <c r="J202" s="22">
        <f t="shared" si="10"/>
        <v>-5</v>
      </c>
      <c r="K202" t="s">
        <v>33</v>
      </c>
      <c r="L202">
        <v>69840</v>
      </c>
      <c r="M202">
        <v>2185</v>
      </c>
      <c r="N202" s="26">
        <v>1467.55</v>
      </c>
      <c r="O202" s="26">
        <f t="shared" si="11"/>
        <v>1467.55</v>
      </c>
      <c r="P202">
        <v>272</v>
      </c>
      <c r="Q202" t="b">
        <v>1</v>
      </c>
      <c r="R202">
        <v>69935</v>
      </c>
      <c r="S202" t="s">
        <v>34</v>
      </c>
    </row>
    <row r="203" spans="1:19">
      <c r="A203" t="s">
        <v>441</v>
      </c>
      <c r="B203" t="s">
        <v>442</v>
      </c>
      <c r="C203" s="23" t="s">
        <v>4128</v>
      </c>
      <c r="D203" s="23">
        <v>45169</v>
      </c>
      <c r="E203" s="22">
        <v>8</v>
      </c>
      <c r="F203" s="22">
        <v>31</v>
      </c>
      <c r="G203" s="22">
        <v>2023</v>
      </c>
      <c r="H203" s="23">
        <f t="shared" si="9"/>
        <v>45169</v>
      </c>
      <c r="I203" s="25">
        <v>45179</v>
      </c>
      <c r="J203" s="22">
        <f t="shared" si="10"/>
        <v>10</v>
      </c>
      <c r="K203" t="s">
        <v>23</v>
      </c>
      <c r="L203">
        <v>55384</v>
      </c>
      <c r="M203">
        <v>1840</v>
      </c>
      <c r="N203" s="26">
        <v>944.03</v>
      </c>
      <c r="O203" s="26">
        <f t="shared" si="11"/>
        <v>944.03</v>
      </c>
      <c r="P203">
        <v>173</v>
      </c>
      <c r="Q203" t="b">
        <v>1</v>
      </c>
      <c r="S203" t="s">
        <v>25</v>
      </c>
    </row>
    <row r="204" spans="1:19">
      <c r="A204" t="s">
        <v>443</v>
      </c>
      <c r="B204" t="s">
        <v>444</v>
      </c>
      <c r="C204" s="23" t="s">
        <v>4127</v>
      </c>
      <c r="D204" s="23">
        <v>45038</v>
      </c>
      <c r="E204" s="22">
        <v>4</v>
      </c>
      <c r="F204" s="22">
        <v>22</v>
      </c>
      <c r="G204" s="22">
        <v>2023</v>
      </c>
      <c r="H204" s="23">
        <f t="shared" si="9"/>
        <v>45038</v>
      </c>
      <c r="I204" s="25">
        <v>45047</v>
      </c>
      <c r="J204" s="22">
        <f t="shared" si="10"/>
        <v>9</v>
      </c>
      <c r="K204" t="s">
        <v>19</v>
      </c>
      <c r="L204">
        <v>52005</v>
      </c>
      <c r="M204">
        <v>706</v>
      </c>
      <c r="N204" s="26">
        <v>517.75</v>
      </c>
      <c r="O204" s="26">
        <f t="shared" si="11"/>
        <v>517.75</v>
      </c>
      <c r="P204">
        <v>63</v>
      </c>
      <c r="Q204" t="b">
        <v>0</v>
      </c>
      <c r="S204" t="s">
        <v>20</v>
      </c>
    </row>
    <row r="205" spans="1:19">
      <c r="A205" t="s">
        <v>445</v>
      </c>
      <c r="B205" t="s">
        <v>446</v>
      </c>
      <c r="C205" s="23" t="s">
        <v>4127</v>
      </c>
      <c r="D205" s="23">
        <v>45115</v>
      </c>
      <c r="E205" s="22">
        <v>7</v>
      </c>
      <c r="F205" s="22">
        <v>8</v>
      </c>
      <c r="G205" s="22">
        <v>2023</v>
      </c>
      <c r="H205" s="23">
        <f t="shared" si="9"/>
        <v>45115</v>
      </c>
      <c r="I205" s="25">
        <v>45122</v>
      </c>
      <c r="J205" s="22">
        <f t="shared" si="10"/>
        <v>7</v>
      </c>
      <c r="K205" t="s">
        <v>33</v>
      </c>
      <c r="L205">
        <v>47576</v>
      </c>
      <c r="M205">
        <v>1841</v>
      </c>
      <c r="N205" s="26">
        <v>1492.88</v>
      </c>
      <c r="O205" s="26">
        <f t="shared" si="11"/>
        <v>1492.88</v>
      </c>
      <c r="P205">
        <v>211</v>
      </c>
      <c r="Q205" t="b">
        <v>0</v>
      </c>
      <c r="S205" t="s">
        <v>34</v>
      </c>
    </row>
    <row r="206" spans="1:19">
      <c r="A206" t="s">
        <v>447</v>
      </c>
      <c r="B206" t="s">
        <v>448</v>
      </c>
      <c r="C206" s="23" t="s">
        <v>4127</v>
      </c>
      <c r="D206" s="23">
        <v>44985</v>
      </c>
      <c r="E206" s="22">
        <v>2</v>
      </c>
      <c r="F206" s="22">
        <v>28</v>
      </c>
      <c r="G206" s="22">
        <v>2023</v>
      </c>
      <c r="H206" s="23">
        <f t="shared" si="9"/>
        <v>44985</v>
      </c>
      <c r="I206" s="25">
        <v>44990</v>
      </c>
      <c r="J206" s="22">
        <f t="shared" si="10"/>
        <v>5</v>
      </c>
      <c r="K206" t="s">
        <v>33</v>
      </c>
      <c r="L206">
        <v>40353</v>
      </c>
      <c r="M206">
        <v>1049</v>
      </c>
      <c r="N206" s="26">
        <v>1516.72</v>
      </c>
      <c r="O206" s="26">
        <f t="shared" si="11"/>
        <v>1516.72</v>
      </c>
      <c r="P206">
        <v>209</v>
      </c>
      <c r="Q206" t="b">
        <v>1</v>
      </c>
      <c r="S206" t="s">
        <v>34</v>
      </c>
    </row>
    <row r="207" spans="1:19">
      <c r="A207" t="s">
        <v>449</v>
      </c>
      <c r="B207" t="s">
        <v>450</v>
      </c>
      <c r="C207" s="23" t="s">
        <v>4131</v>
      </c>
      <c r="D207" s="23">
        <v>45086</v>
      </c>
      <c r="E207" s="22">
        <v>6</v>
      </c>
      <c r="F207" s="22">
        <v>9</v>
      </c>
      <c r="G207" s="22">
        <v>2023</v>
      </c>
      <c r="H207" s="23">
        <f t="shared" si="9"/>
        <v>45086</v>
      </c>
      <c r="I207" s="25">
        <v>45185</v>
      </c>
      <c r="J207" s="22">
        <f t="shared" si="10"/>
        <v>99</v>
      </c>
      <c r="K207" t="s">
        <v>23</v>
      </c>
      <c r="L207">
        <v>63003</v>
      </c>
      <c r="M207">
        <v>3091</v>
      </c>
      <c r="N207" s="26">
        <v>2564.17</v>
      </c>
      <c r="O207" s="26">
        <f t="shared" si="11"/>
        <v>2564.17</v>
      </c>
      <c r="P207">
        <v>256</v>
      </c>
      <c r="Q207" t="b">
        <v>1</v>
      </c>
      <c r="S207" t="s">
        <v>25</v>
      </c>
    </row>
    <row r="208" spans="1:19">
      <c r="A208" t="s">
        <v>451</v>
      </c>
      <c r="B208" t="s">
        <v>452</v>
      </c>
      <c r="C208" s="23" t="s">
        <v>4131</v>
      </c>
      <c r="D208" s="23">
        <v>45086</v>
      </c>
      <c r="E208" s="22">
        <v>6</v>
      </c>
      <c r="F208" s="22">
        <v>9</v>
      </c>
      <c r="G208" s="22">
        <v>2023</v>
      </c>
      <c r="H208" s="23">
        <f t="shared" si="9"/>
        <v>45086</v>
      </c>
      <c r="I208" s="25">
        <v>45087</v>
      </c>
      <c r="J208" s="22">
        <f t="shared" si="10"/>
        <v>1</v>
      </c>
      <c r="K208" t="s">
        <v>33</v>
      </c>
      <c r="L208">
        <v>84211</v>
      </c>
      <c r="M208">
        <v>3614</v>
      </c>
      <c r="N208" s="26">
        <v>1918.24</v>
      </c>
      <c r="O208" s="26">
        <f t="shared" si="11"/>
        <v>1918.24</v>
      </c>
      <c r="P208">
        <v>236</v>
      </c>
      <c r="Q208" t="b">
        <v>0</v>
      </c>
      <c r="S208" t="s">
        <v>34</v>
      </c>
    </row>
    <row r="209" spans="1:19">
      <c r="A209" t="s">
        <v>453</v>
      </c>
      <c r="B209" t="s">
        <v>454</v>
      </c>
      <c r="C209" s="23" t="s">
        <v>4128</v>
      </c>
      <c r="D209" s="23">
        <v>45119</v>
      </c>
      <c r="E209" s="22">
        <v>7</v>
      </c>
      <c r="F209" s="22">
        <v>12</v>
      </c>
      <c r="G209" s="22">
        <v>2023</v>
      </c>
      <c r="H209" s="23">
        <f t="shared" si="9"/>
        <v>45119</v>
      </c>
      <c r="I209" s="25">
        <v>45120</v>
      </c>
      <c r="J209" s="22">
        <f t="shared" si="10"/>
        <v>1</v>
      </c>
      <c r="K209" t="s">
        <v>19</v>
      </c>
      <c r="L209">
        <v>53733</v>
      </c>
      <c r="M209">
        <v>1660</v>
      </c>
      <c r="N209" s="26">
        <v>2888.28</v>
      </c>
      <c r="O209" s="26">
        <f t="shared" si="11"/>
        <v>2888.28</v>
      </c>
      <c r="P209">
        <v>228</v>
      </c>
      <c r="Q209" t="b">
        <v>1</v>
      </c>
      <c r="S209" t="s">
        <v>20</v>
      </c>
    </row>
    <row r="210" spans="1:19">
      <c r="A210" t="s">
        <v>455</v>
      </c>
      <c r="B210" t="s">
        <v>456</v>
      </c>
      <c r="C210" s="23" t="s">
        <v>4128</v>
      </c>
      <c r="D210" s="23">
        <v>44965</v>
      </c>
      <c r="E210" s="22">
        <v>2</v>
      </c>
      <c r="F210" s="22">
        <v>8</v>
      </c>
      <c r="G210" s="22">
        <v>2023</v>
      </c>
      <c r="H210" s="23">
        <f t="shared" si="9"/>
        <v>44965</v>
      </c>
      <c r="I210" s="25">
        <v>44986</v>
      </c>
      <c r="J210" s="22">
        <f t="shared" si="10"/>
        <v>21</v>
      </c>
      <c r="K210" t="s">
        <v>138</v>
      </c>
      <c r="L210">
        <v>66318</v>
      </c>
      <c r="M210">
        <v>990</v>
      </c>
      <c r="N210" s="26">
        <v>1037.91</v>
      </c>
      <c r="O210" s="26">
        <f t="shared" si="11"/>
        <v>1037.91</v>
      </c>
      <c r="P210">
        <v>122</v>
      </c>
      <c r="Q210" t="b">
        <v>0</v>
      </c>
      <c r="S210" t="s">
        <v>68</v>
      </c>
    </row>
    <row r="211" spans="1:19">
      <c r="A211" t="s">
        <v>457</v>
      </c>
      <c r="B211" t="s">
        <v>458</v>
      </c>
      <c r="C211" s="23" t="s">
        <v>4128</v>
      </c>
      <c r="D211" s="23">
        <v>45051</v>
      </c>
      <c r="E211" s="22">
        <v>5</v>
      </c>
      <c r="F211" s="22">
        <v>5</v>
      </c>
      <c r="G211" s="22">
        <v>2023</v>
      </c>
      <c r="H211" s="23">
        <f t="shared" si="9"/>
        <v>45051</v>
      </c>
      <c r="I211" s="25">
        <v>45072</v>
      </c>
      <c r="J211" s="22">
        <f t="shared" si="10"/>
        <v>21</v>
      </c>
      <c r="K211" t="s">
        <v>415</v>
      </c>
      <c r="L211">
        <v>90474</v>
      </c>
      <c r="M211">
        <v>4014</v>
      </c>
      <c r="N211" s="26">
        <v>4136.61</v>
      </c>
      <c r="O211" s="26">
        <f t="shared" si="11"/>
        <v>3632.575</v>
      </c>
      <c r="P211">
        <v>516</v>
      </c>
      <c r="Q211" t="b">
        <v>1</v>
      </c>
      <c r="S211" t="s">
        <v>34</v>
      </c>
    </row>
    <row r="212" spans="1:19">
      <c r="A212" t="s">
        <v>459</v>
      </c>
      <c r="B212" t="s">
        <v>460</v>
      </c>
      <c r="C212" s="23" t="s">
        <v>4128</v>
      </c>
      <c r="D212" s="23">
        <v>45277</v>
      </c>
      <c r="E212" s="22">
        <v>12</v>
      </c>
      <c r="F212" s="22">
        <v>17</v>
      </c>
      <c r="G212" s="22">
        <v>2023</v>
      </c>
      <c r="H212" s="23">
        <f t="shared" si="9"/>
        <v>45277</v>
      </c>
      <c r="I212" s="25">
        <v>45302</v>
      </c>
      <c r="J212" s="22">
        <f t="shared" si="10"/>
        <v>25</v>
      </c>
      <c r="K212" t="s">
        <v>14</v>
      </c>
      <c r="L212">
        <v>24664</v>
      </c>
      <c r="M212">
        <v>1035</v>
      </c>
      <c r="N212" s="26">
        <v>987.1</v>
      </c>
      <c r="O212" s="26">
        <f t="shared" si="11"/>
        <v>987.1</v>
      </c>
      <c r="P212">
        <v>155</v>
      </c>
      <c r="Q212" t="b">
        <v>1</v>
      </c>
      <c r="S212" t="s">
        <v>16</v>
      </c>
    </row>
    <row r="213" spans="1:19">
      <c r="A213" t="s">
        <v>461</v>
      </c>
      <c r="B213" t="s">
        <v>462</v>
      </c>
      <c r="C213" s="23" t="s">
        <v>4128</v>
      </c>
      <c r="D213" s="23">
        <v>45216</v>
      </c>
      <c r="E213" s="22">
        <v>10</v>
      </c>
      <c r="F213" s="22">
        <v>17</v>
      </c>
      <c r="G213" s="22">
        <v>2023</v>
      </c>
      <c r="H213" s="23">
        <f t="shared" si="9"/>
        <v>45216</v>
      </c>
      <c r="I213" s="25">
        <v>45230</v>
      </c>
      <c r="J213" s="22">
        <f t="shared" si="10"/>
        <v>14</v>
      </c>
      <c r="K213" t="s">
        <v>19</v>
      </c>
      <c r="L213">
        <v>68172</v>
      </c>
      <c r="M213">
        <v>1185</v>
      </c>
      <c r="N213" s="26">
        <v>2326.23</v>
      </c>
      <c r="O213" s="26">
        <f t="shared" si="11"/>
        <v>2326.23</v>
      </c>
      <c r="P213">
        <v>0</v>
      </c>
      <c r="Q213" t="b">
        <v>0</v>
      </c>
      <c r="S213" t="s">
        <v>20</v>
      </c>
    </row>
    <row r="214" spans="1:19">
      <c r="A214" t="s">
        <v>463</v>
      </c>
      <c r="B214" t="s">
        <v>464</v>
      </c>
      <c r="C214" s="23" t="s">
        <v>4128</v>
      </c>
      <c r="D214" s="23">
        <v>45146</v>
      </c>
      <c r="E214" s="22">
        <v>8</v>
      </c>
      <c r="F214" s="22">
        <v>8</v>
      </c>
      <c r="G214" s="22">
        <v>2023</v>
      </c>
      <c r="H214" s="23">
        <f t="shared" si="9"/>
        <v>45146</v>
      </c>
      <c r="I214" s="25">
        <v>45149</v>
      </c>
      <c r="J214" s="22">
        <f t="shared" si="10"/>
        <v>3</v>
      </c>
      <c r="K214" t="s">
        <v>19</v>
      </c>
      <c r="L214">
        <v>86616</v>
      </c>
      <c r="M214">
        <v>1889</v>
      </c>
      <c r="N214" s="26">
        <v>1426.52</v>
      </c>
      <c r="O214" s="26">
        <f t="shared" si="11"/>
        <v>1426.52</v>
      </c>
      <c r="P214">
        <v>0</v>
      </c>
      <c r="Q214" t="b">
        <v>1</v>
      </c>
      <c r="S214" t="s">
        <v>20</v>
      </c>
    </row>
    <row r="215" spans="1:19">
      <c r="A215" t="s">
        <v>465</v>
      </c>
      <c r="B215" t="s">
        <v>466</v>
      </c>
      <c r="C215" s="23" t="s">
        <v>4129</v>
      </c>
      <c r="D215" s="23">
        <v>45258</v>
      </c>
      <c r="E215" s="22">
        <v>11</v>
      </c>
      <c r="F215" s="22">
        <v>28</v>
      </c>
      <c r="G215" s="22">
        <v>2023</v>
      </c>
      <c r="H215" s="23">
        <f t="shared" si="9"/>
        <v>45258</v>
      </c>
      <c r="I215" s="25">
        <v>45270</v>
      </c>
      <c r="J215" s="22">
        <f t="shared" si="10"/>
        <v>12</v>
      </c>
      <c r="K215" t="s">
        <v>23</v>
      </c>
      <c r="L215">
        <v>94264</v>
      </c>
      <c r="M215">
        <v>3934</v>
      </c>
      <c r="N215" s="26">
        <v>7267.5</v>
      </c>
      <c r="O215" s="26">
        <f t="shared" si="11"/>
        <v>3632.575</v>
      </c>
      <c r="P215">
        <v>453</v>
      </c>
      <c r="Q215" t="b">
        <v>1</v>
      </c>
      <c r="S215" t="s">
        <v>25</v>
      </c>
    </row>
    <row r="216" spans="1:19">
      <c r="A216" t="s">
        <v>467</v>
      </c>
      <c r="B216" t="s">
        <v>468</v>
      </c>
      <c r="C216" s="23" t="s">
        <v>4129</v>
      </c>
      <c r="D216" s="23">
        <v>45177</v>
      </c>
      <c r="E216" s="22">
        <v>9</v>
      </c>
      <c r="F216" s="22">
        <v>8</v>
      </c>
      <c r="G216" s="22">
        <v>2023</v>
      </c>
      <c r="H216" s="23">
        <f t="shared" si="9"/>
        <v>45177</v>
      </c>
      <c r="I216" s="25">
        <v>45192</v>
      </c>
      <c r="J216" s="22">
        <f t="shared" si="10"/>
        <v>15</v>
      </c>
      <c r="K216" t="s">
        <v>14</v>
      </c>
      <c r="L216">
        <v>27736</v>
      </c>
      <c r="M216">
        <v>482</v>
      </c>
      <c r="N216" s="26">
        <v>802.63</v>
      </c>
      <c r="O216" s="26">
        <f t="shared" si="11"/>
        <v>802.63</v>
      </c>
      <c r="P216">
        <v>33</v>
      </c>
      <c r="Q216" t="b">
        <v>1</v>
      </c>
      <c r="S216" t="s">
        <v>16</v>
      </c>
    </row>
    <row r="217" spans="1:19">
      <c r="A217" t="s">
        <v>469</v>
      </c>
      <c r="B217" t="s">
        <v>470</v>
      </c>
      <c r="C217" s="23" t="s">
        <v>4129</v>
      </c>
      <c r="D217" s="23">
        <v>45252</v>
      </c>
      <c r="E217" s="22">
        <v>11</v>
      </c>
      <c r="F217" s="22">
        <v>22</v>
      </c>
      <c r="G217" s="22">
        <v>2023</v>
      </c>
      <c r="H217" s="23">
        <f t="shared" si="9"/>
        <v>45252</v>
      </c>
      <c r="I217" s="25">
        <v>45277</v>
      </c>
      <c r="J217" s="22">
        <f t="shared" si="10"/>
        <v>25</v>
      </c>
      <c r="K217" t="s">
        <v>14</v>
      </c>
      <c r="L217">
        <v>95209</v>
      </c>
      <c r="M217">
        <v>4447</v>
      </c>
      <c r="N217" s="26">
        <v>2733.66</v>
      </c>
      <c r="O217" s="26">
        <f t="shared" si="11"/>
        <v>2733.66</v>
      </c>
      <c r="P217">
        <v>717</v>
      </c>
      <c r="Q217" t="b">
        <v>1</v>
      </c>
      <c r="S217" t="s">
        <v>16</v>
      </c>
    </row>
    <row r="218" spans="1:19">
      <c r="A218" t="s">
        <v>471</v>
      </c>
      <c r="B218" t="s">
        <v>472</v>
      </c>
      <c r="C218" s="23" t="s">
        <v>4128</v>
      </c>
      <c r="D218" s="23">
        <v>45005</v>
      </c>
      <c r="E218" s="22">
        <v>3</v>
      </c>
      <c r="F218" s="22">
        <v>20</v>
      </c>
      <c r="G218" s="22">
        <v>2023</v>
      </c>
      <c r="H218" s="23">
        <f t="shared" si="9"/>
        <v>45005</v>
      </c>
      <c r="I218" s="25">
        <v>45035</v>
      </c>
      <c r="J218" s="22">
        <f t="shared" si="10"/>
        <v>30</v>
      </c>
      <c r="K218" t="s">
        <v>33</v>
      </c>
      <c r="L218">
        <v>1854</v>
      </c>
      <c r="M218">
        <v>50</v>
      </c>
      <c r="N218" s="26">
        <v>99</v>
      </c>
      <c r="O218" s="26">
        <f t="shared" si="11"/>
        <v>99</v>
      </c>
      <c r="P218">
        <v>7</v>
      </c>
      <c r="Q218" t="b">
        <v>0</v>
      </c>
      <c r="S218" t="s">
        <v>34</v>
      </c>
    </row>
    <row r="219" spans="1:19">
      <c r="A219" t="s">
        <v>473</v>
      </c>
      <c r="B219" t="s">
        <v>474</v>
      </c>
      <c r="C219" s="23" t="s">
        <v>4129</v>
      </c>
      <c r="D219" s="23">
        <v>45260</v>
      </c>
      <c r="E219" s="22">
        <v>11</v>
      </c>
      <c r="F219" s="22">
        <v>30</v>
      </c>
      <c r="G219" s="22">
        <v>2023</v>
      </c>
      <c r="H219" s="23">
        <f t="shared" si="9"/>
        <v>45260</v>
      </c>
      <c r="I219" s="25">
        <v>45265</v>
      </c>
      <c r="J219" s="22">
        <f t="shared" si="10"/>
        <v>5</v>
      </c>
      <c r="K219" t="s">
        <v>41</v>
      </c>
      <c r="L219">
        <v>91084</v>
      </c>
      <c r="M219">
        <v>1227</v>
      </c>
      <c r="N219" s="26">
        <v>1112.95</v>
      </c>
      <c r="O219" s="26">
        <f t="shared" si="11"/>
        <v>1112.95</v>
      </c>
      <c r="P219">
        <v>119</v>
      </c>
      <c r="Q219" t="b">
        <v>1</v>
      </c>
      <c r="S219" t="s">
        <v>68</v>
      </c>
    </row>
    <row r="220" spans="1:19">
      <c r="A220" t="s">
        <v>475</v>
      </c>
      <c r="B220" t="s">
        <v>476</v>
      </c>
      <c r="C220" s="23" t="s">
        <v>4129</v>
      </c>
      <c r="D220" s="23">
        <v>45202</v>
      </c>
      <c r="E220" s="22">
        <v>10</v>
      </c>
      <c r="F220" s="22">
        <v>3</v>
      </c>
      <c r="G220" s="22">
        <v>2023</v>
      </c>
      <c r="H220" s="23">
        <f t="shared" si="9"/>
        <v>45202</v>
      </c>
      <c r="I220" s="25">
        <v>45197</v>
      </c>
      <c r="J220" s="22">
        <f t="shared" si="10"/>
        <v>-5</v>
      </c>
      <c r="K220" t="s">
        <v>14</v>
      </c>
      <c r="L220">
        <v>39623</v>
      </c>
      <c r="M220">
        <v>1689</v>
      </c>
      <c r="N220" s="26">
        <v>1094.26</v>
      </c>
      <c r="O220" s="26">
        <f t="shared" si="11"/>
        <v>1094.26</v>
      </c>
      <c r="P220">
        <v>241</v>
      </c>
      <c r="Q220" t="b">
        <v>0</v>
      </c>
      <c r="S220" t="s">
        <v>16</v>
      </c>
    </row>
    <row r="221" spans="1:19">
      <c r="A221" t="s">
        <v>477</v>
      </c>
      <c r="B221" t="s">
        <v>478</v>
      </c>
      <c r="C221" s="23" t="s">
        <v>4127</v>
      </c>
      <c r="D221" s="23">
        <v>45230</v>
      </c>
      <c r="E221" s="22">
        <v>10</v>
      </c>
      <c r="F221" s="22">
        <v>31</v>
      </c>
      <c r="G221" s="22">
        <v>2023</v>
      </c>
      <c r="H221" s="23">
        <f t="shared" si="9"/>
        <v>45230</v>
      </c>
      <c r="I221" s="25">
        <v>45251</v>
      </c>
      <c r="J221" s="22">
        <f t="shared" si="10"/>
        <v>21</v>
      </c>
      <c r="K221" t="s">
        <v>33</v>
      </c>
      <c r="L221">
        <v>8392</v>
      </c>
      <c r="M221">
        <v>209</v>
      </c>
      <c r="N221" s="26">
        <v>364.49</v>
      </c>
      <c r="O221" s="26">
        <f t="shared" si="11"/>
        <v>364.49</v>
      </c>
      <c r="P221">
        <v>17</v>
      </c>
      <c r="Q221" t="b">
        <v>1</v>
      </c>
      <c r="S221" t="s">
        <v>34</v>
      </c>
    </row>
    <row r="222" spans="1:19">
      <c r="A222" t="s">
        <v>479</v>
      </c>
      <c r="B222" t="s">
        <v>480</v>
      </c>
      <c r="C222" s="23" t="s">
        <v>4128</v>
      </c>
      <c r="D222" s="23">
        <v>44971</v>
      </c>
      <c r="E222" s="22">
        <v>2</v>
      </c>
      <c r="F222" s="22">
        <v>14</v>
      </c>
      <c r="G222" s="22">
        <v>2023</v>
      </c>
      <c r="H222" s="23">
        <f t="shared" si="9"/>
        <v>44971</v>
      </c>
      <c r="I222" s="25">
        <v>44984</v>
      </c>
      <c r="J222" s="22">
        <f t="shared" si="10"/>
        <v>13</v>
      </c>
      <c r="K222" t="s">
        <v>19</v>
      </c>
      <c r="L222">
        <v>56680</v>
      </c>
      <c r="M222">
        <v>1760</v>
      </c>
      <c r="N222" s="26">
        <v>2745.62</v>
      </c>
      <c r="O222" s="26">
        <f t="shared" si="11"/>
        <v>2745.62</v>
      </c>
      <c r="P222">
        <v>205</v>
      </c>
      <c r="Q222" t="b">
        <v>0</v>
      </c>
      <c r="S222" t="s">
        <v>20</v>
      </c>
    </row>
    <row r="223" spans="1:19">
      <c r="A223" t="s">
        <v>481</v>
      </c>
      <c r="B223" t="s">
        <v>482</v>
      </c>
      <c r="C223" s="23" t="s">
        <v>4129</v>
      </c>
      <c r="D223" s="23">
        <v>45164</v>
      </c>
      <c r="E223" s="22">
        <v>8</v>
      </c>
      <c r="F223" s="22">
        <v>26</v>
      </c>
      <c r="G223" s="22">
        <v>2023</v>
      </c>
      <c r="H223" s="23">
        <f t="shared" si="9"/>
        <v>45164</v>
      </c>
      <c r="I223" s="25">
        <v>45159</v>
      </c>
      <c r="J223" s="22">
        <f t="shared" si="10"/>
        <v>-5</v>
      </c>
      <c r="K223" t="s">
        <v>14</v>
      </c>
      <c r="L223">
        <v>47717</v>
      </c>
      <c r="M223">
        <v>691</v>
      </c>
      <c r="N223" s="26">
        <v>985.25</v>
      </c>
      <c r="O223" s="26">
        <f t="shared" si="11"/>
        <v>985.25</v>
      </c>
      <c r="P223">
        <v>127</v>
      </c>
      <c r="Q223" t="b">
        <v>1</v>
      </c>
      <c r="S223" t="s">
        <v>16</v>
      </c>
    </row>
    <row r="224" spans="1:19">
      <c r="A224" t="s">
        <v>483</v>
      </c>
      <c r="B224" t="s">
        <v>484</v>
      </c>
      <c r="C224" s="23" t="s">
        <v>4127</v>
      </c>
      <c r="D224" s="23" t="s">
        <v>485</v>
      </c>
      <c r="E224" s="22">
        <v>22</v>
      </c>
      <c r="F224" s="22">
        <v>6</v>
      </c>
      <c r="G224" s="22">
        <v>2023</v>
      </c>
      <c r="H224" s="23">
        <f t="shared" si="9"/>
        <v>45099</v>
      </c>
      <c r="I224" s="25">
        <v>45105</v>
      </c>
      <c r="J224" s="22">
        <f t="shared" si="10"/>
        <v>6</v>
      </c>
      <c r="K224" t="s">
        <v>19</v>
      </c>
      <c r="L224">
        <v>88092</v>
      </c>
      <c r="M224">
        <v>890</v>
      </c>
      <c r="N224" s="26">
        <v>653.23</v>
      </c>
      <c r="O224" s="26">
        <f t="shared" si="11"/>
        <v>653.23</v>
      </c>
      <c r="P224">
        <v>62</v>
      </c>
      <c r="Q224" t="b">
        <v>0</v>
      </c>
      <c r="S224" t="s">
        <v>20</v>
      </c>
    </row>
    <row r="225" spans="1:19">
      <c r="A225" t="s">
        <v>486</v>
      </c>
      <c r="B225" t="s">
        <v>487</v>
      </c>
      <c r="C225" s="23" t="s">
        <v>4127</v>
      </c>
      <c r="D225" s="23">
        <v>45093</v>
      </c>
      <c r="E225" s="22">
        <v>6</v>
      </c>
      <c r="F225" s="22">
        <v>16</v>
      </c>
      <c r="G225" s="22">
        <v>2023</v>
      </c>
      <c r="H225" s="23">
        <f t="shared" si="9"/>
        <v>45093</v>
      </c>
      <c r="I225" s="25">
        <v>45113</v>
      </c>
      <c r="J225" s="22">
        <f t="shared" si="10"/>
        <v>20</v>
      </c>
      <c r="K225" t="s">
        <v>41</v>
      </c>
      <c r="L225">
        <v>51859</v>
      </c>
      <c r="M225">
        <v>1842</v>
      </c>
      <c r="N225" s="26">
        <v>2243.08</v>
      </c>
      <c r="O225" s="26">
        <f t="shared" si="11"/>
        <v>2243.08</v>
      </c>
      <c r="P225">
        <v>0</v>
      </c>
      <c r="Q225" t="b">
        <v>1</v>
      </c>
      <c r="S225" t="s">
        <v>42</v>
      </c>
    </row>
    <row r="226" spans="1:19">
      <c r="A226" t="s">
        <v>488</v>
      </c>
      <c r="B226" t="s">
        <v>489</v>
      </c>
      <c r="C226" s="23" t="s">
        <v>4128</v>
      </c>
      <c r="D226" s="23">
        <v>45059</v>
      </c>
      <c r="E226" s="22">
        <v>5</v>
      </c>
      <c r="F226" s="22">
        <v>13</v>
      </c>
      <c r="G226" s="22">
        <v>2023</v>
      </c>
      <c r="H226" s="23">
        <f t="shared" si="9"/>
        <v>45059</v>
      </c>
      <c r="I226" s="25">
        <v>45074</v>
      </c>
      <c r="J226" s="22">
        <f t="shared" si="10"/>
        <v>15</v>
      </c>
      <c r="K226" t="s">
        <v>138</v>
      </c>
      <c r="L226">
        <v>27309</v>
      </c>
      <c r="M226">
        <v>835</v>
      </c>
      <c r="N226" s="26">
        <v>1395.15</v>
      </c>
      <c r="O226" s="26">
        <f t="shared" si="11"/>
        <v>1395.15</v>
      </c>
      <c r="P226">
        <v>144</v>
      </c>
      <c r="Q226" t="b">
        <v>1</v>
      </c>
      <c r="S226" t="s">
        <v>68</v>
      </c>
    </row>
    <row r="227" spans="1:19">
      <c r="A227" t="s">
        <v>490</v>
      </c>
      <c r="B227" t="s">
        <v>491</v>
      </c>
      <c r="C227" s="23" t="s">
        <v>4129</v>
      </c>
      <c r="D227" s="23">
        <v>45286</v>
      </c>
      <c r="E227" s="22">
        <v>12</v>
      </c>
      <c r="F227" s="22">
        <v>26</v>
      </c>
      <c r="G227" s="22">
        <v>2023</v>
      </c>
      <c r="H227" s="23">
        <f t="shared" si="9"/>
        <v>45286</v>
      </c>
      <c r="I227" s="25">
        <v>45311</v>
      </c>
      <c r="J227" s="22">
        <f t="shared" si="10"/>
        <v>25</v>
      </c>
      <c r="K227" t="s">
        <v>33</v>
      </c>
      <c r="L227">
        <v>88455</v>
      </c>
      <c r="M227">
        <v>2984</v>
      </c>
      <c r="N227" s="26">
        <v>2851.02</v>
      </c>
      <c r="O227" s="26">
        <f t="shared" si="11"/>
        <v>2851.02</v>
      </c>
      <c r="P227">
        <v>583</v>
      </c>
      <c r="Q227" t="b">
        <v>1</v>
      </c>
      <c r="S227" t="s">
        <v>34</v>
      </c>
    </row>
    <row r="228" spans="1:19">
      <c r="A228" t="s">
        <v>492</v>
      </c>
      <c r="B228" t="s">
        <v>493</v>
      </c>
      <c r="C228" s="23" t="s">
        <v>4129</v>
      </c>
      <c r="D228" s="23">
        <v>45191</v>
      </c>
      <c r="E228" s="22">
        <v>9</v>
      </c>
      <c r="F228" s="22">
        <v>22</v>
      </c>
      <c r="G228" s="22">
        <v>2023</v>
      </c>
      <c r="H228" s="23">
        <f t="shared" si="9"/>
        <v>45191</v>
      </c>
      <c r="I228" s="25">
        <v>45202</v>
      </c>
      <c r="J228" s="22">
        <f t="shared" si="10"/>
        <v>11</v>
      </c>
      <c r="K228" t="s">
        <v>23</v>
      </c>
      <c r="L228">
        <v>64734</v>
      </c>
      <c r="M228">
        <v>2702</v>
      </c>
      <c r="N228" s="26">
        <v>2614.28</v>
      </c>
      <c r="O228" s="26">
        <f t="shared" si="11"/>
        <v>2614.28</v>
      </c>
      <c r="P228">
        <v>319</v>
      </c>
      <c r="Q228" t="b">
        <v>0</v>
      </c>
      <c r="S228" t="s">
        <v>25</v>
      </c>
    </row>
    <row r="229" spans="1:19">
      <c r="A229" t="s">
        <v>494</v>
      </c>
      <c r="B229" t="s">
        <v>495</v>
      </c>
      <c r="C229" s="23" t="s">
        <v>4129</v>
      </c>
      <c r="D229" s="23">
        <v>45135</v>
      </c>
      <c r="E229" s="22">
        <v>7</v>
      </c>
      <c r="F229" s="22">
        <v>28</v>
      </c>
      <c r="G229" s="22">
        <v>2023</v>
      </c>
      <c r="H229" s="23">
        <f t="shared" si="9"/>
        <v>45135</v>
      </c>
      <c r="I229" s="25">
        <v>45139</v>
      </c>
      <c r="J229" s="22">
        <f t="shared" si="10"/>
        <v>4</v>
      </c>
      <c r="K229" t="s">
        <v>23</v>
      </c>
      <c r="L229">
        <v>71467</v>
      </c>
      <c r="M229">
        <v>2563</v>
      </c>
      <c r="N229" s="26">
        <v>1293.58</v>
      </c>
      <c r="O229" s="26">
        <f t="shared" si="11"/>
        <v>1293.58</v>
      </c>
      <c r="P229">
        <v>323</v>
      </c>
      <c r="Q229" t="b">
        <v>0</v>
      </c>
      <c r="S229" t="s">
        <v>25</v>
      </c>
    </row>
    <row r="230" spans="1:19">
      <c r="A230" t="s">
        <v>496</v>
      </c>
      <c r="B230" t="s">
        <v>497</v>
      </c>
      <c r="C230" s="23" t="s">
        <v>4128</v>
      </c>
      <c r="D230" s="23">
        <v>45280</v>
      </c>
      <c r="E230" s="22">
        <v>12</v>
      </c>
      <c r="F230" s="22">
        <v>20</v>
      </c>
      <c r="G230" s="22">
        <v>2023</v>
      </c>
      <c r="H230" s="23">
        <f t="shared" si="9"/>
        <v>45280</v>
      </c>
      <c r="I230" s="25">
        <v>45310</v>
      </c>
      <c r="J230" s="22">
        <f t="shared" si="10"/>
        <v>30</v>
      </c>
      <c r="K230" t="s">
        <v>23</v>
      </c>
      <c r="L230">
        <v>53662</v>
      </c>
      <c r="M230">
        <v>911</v>
      </c>
      <c r="N230" s="26">
        <v>693.6</v>
      </c>
      <c r="O230" s="26">
        <f t="shared" si="11"/>
        <v>693.6</v>
      </c>
      <c r="P230">
        <v>123</v>
      </c>
      <c r="Q230" t="b">
        <v>1</v>
      </c>
      <c r="S230" t="s">
        <v>25</v>
      </c>
    </row>
    <row r="231" spans="1:19">
      <c r="A231" t="s">
        <v>498</v>
      </c>
      <c r="B231" t="s">
        <v>499</v>
      </c>
      <c r="C231" s="23" t="s">
        <v>4127</v>
      </c>
      <c r="D231" s="23">
        <v>45156</v>
      </c>
      <c r="E231" s="22">
        <v>8</v>
      </c>
      <c r="F231" s="22">
        <v>18</v>
      </c>
      <c r="G231" s="22">
        <v>2023</v>
      </c>
      <c r="H231" s="23">
        <f t="shared" si="9"/>
        <v>45156</v>
      </c>
      <c r="I231" s="25">
        <v>45165</v>
      </c>
      <c r="J231" s="22">
        <f t="shared" si="10"/>
        <v>9</v>
      </c>
      <c r="K231" t="s">
        <v>14</v>
      </c>
      <c r="L231">
        <v>99506</v>
      </c>
      <c r="M231">
        <v>2431</v>
      </c>
      <c r="N231" s="26">
        <v>4407.67</v>
      </c>
      <c r="O231" s="26">
        <f t="shared" si="11"/>
        <v>3632.575</v>
      </c>
      <c r="P231">
        <v>461</v>
      </c>
      <c r="Q231" t="b">
        <v>1</v>
      </c>
      <c r="S231" t="s">
        <v>16</v>
      </c>
    </row>
    <row r="232" spans="1:19">
      <c r="A232" t="s">
        <v>500</v>
      </c>
      <c r="B232" t="s">
        <v>501</v>
      </c>
      <c r="C232" s="23" t="s">
        <v>4127</v>
      </c>
      <c r="D232" s="23">
        <v>45040</v>
      </c>
      <c r="E232" s="22">
        <v>4</v>
      </c>
      <c r="F232" s="22">
        <v>24</v>
      </c>
      <c r="G232" s="22">
        <v>2023</v>
      </c>
      <c r="H232" s="23">
        <f t="shared" si="9"/>
        <v>45040</v>
      </c>
      <c r="I232" s="25">
        <v>45055</v>
      </c>
      <c r="J232" s="22">
        <f t="shared" si="10"/>
        <v>15</v>
      </c>
      <c r="K232" t="s">
        <v>33</v>
      </c>
      <c r="L232">
        <v>13688</v>
      </c>
      <c r="M232">
        <v>632</v>
      </c>
      <c r="N232" s="26">
        <v>734.78</v>
      </c>
      <c r="O232" s="26">
        <f t="shared" si="11"/>
        <v>734.78</v>
      </c>
      <c r="P232">
        <v>112</v>
      </c>
      <c r="Q232" t="b">
        <v>1</v>
      </c>
      <c r="S232" t="s">
        <v>68</v>
      </c>
    </row>
    <row r="233" spans="1:19">
      <c r="A233" t="s">
        <v>502</v>
      </c>
      <c r="B233" t="s">
        <v>503</v>
      </c>
      <c r="C233" s="23" t="s">
        <v>4127</v>
      </c>
      <c r="D233" s="23">
        <v>45266</v>
      </c>
      <c r="E233" s="22">
        <v>12</v>
      </c>
      <c r="F233" s="22">
        <v>6</v>
      </c>
      <c r="G233" s="22">
        <v>2023</v>
      </c>
      <c r="H233" s="23">
        <f t="shared" si="9"/>
        <v>45266</v>
      </c>
      <c r="I233" s="25">
        <v>45275</v>
      </c>
      <c r="J233" s="22">
        <f t="shared" si="10"/>
        <v>9</v>
      </c>
      <c r="K233" t="s">
        <v>138</v>
      </c>
      <c r="L233">
        <v>26342</v>
      </c>
      <c r="M233">
        <v>1074</v>
      </c>
      <c r="N233" s="26">
        <v>2122.6</v>
      </c>
      <c r="O233" s="26">
        <f t="shared" si="11"/>
        <v>2122.6</v>
      </c>
      <c r="P233">
        <v>81</v>
      </c>
      <c r="Q233" t="b">
        <v>1</v>
      </c>
      <c r="S233" t="s">
        <v>139</v>
      </c>
    </row>
    <row r="234" spans="1:19">
      <c r="A234" t="s">
        <v>504</v>
      </c>
      <c r="B234" t="s">
        <v>505</v>
      </c>
      <c r="C234" s="23" t="s">
        <v>4127</v>
      </c>
      <c r="D234" s="23">
        <v>45198</v>
      </c>
      <c r="E234" s="22">
        <v>9</v>
      </c>
      <c r="F234" s="22">
        <v>29</v>
      </c>
      <c r="G234" s="22">
        <v>2023</v>
      </c>
      <c r="H234" s="23">
        <f t="shared" si="9"/>
        <v>45198</v>
      </c>
      <c r="I234" s="25">
        <v>45205</v>
      </c>
      <c r="J234" s="22">
        <f t="shared" si="10"/>
        <v>7</v>
      </c>
      <c r="K234" t="s">
        <v>33</v>
      </c>
      <c r="L234">
        <v>38157</v>
      </c>
      <c r="M234">
        <v>1231</v>
      </c>
      <c r="N234" s="26">
        <v>1346.17</v>
      </c>
      <c r="O234" s="26">
        <f t="shared" si="11"/>
        <v>1346.17</v>
      </c>
      <c r="P234">
        <v>142</v>
      </c>
      <c r="Q234" t="b">
        <v>1</v>
      </c>
      <c r="S234" t="s">
        <v>34</v>
      </c>
    </row>
    <row r="235" spans="1:19">
      <c r="A235" t="s">
        <v>506</v>
      </c>
      <c r="B235" t="s">
        <v>507</v>
      </c>
      <c r="C235" s="23" t="s">
        <v>4127</v>
      </c>
      <c r="D235" s="23">
        <v>45208</v>
      </c>
      <c r="E235" s="22">
        <v>10</v>
      </c>
      <c r="F235" s="22">
        <v>9</v>
      </c>
      <c r="G235" s="22">
        <v>2023</v>
      </c>
      <c r="H235" s="23">
        <f t="shared" si="9"/>
        <v>45208</v>
      </c>
      <c r="I235" s="25">
        <v>45231</v>
      </c>
      <c r="J235" s="22">
        <f t="shared" si="10"/>
        <v>23</v>
      </c>
      <c r="K235" t="s">
        <v>14</v>
      </c>
      <c r="L235">
        <v>68863</v>
      </c>
      <c r="M235">
        <v>1392</v>
      </c>
      <c r="N235" s="26">
        <v>2189.31</v>
      </c>
      <c r="O235" s="26">
        <f t="shared" si="11"/>
        <v>2189.31</v>
      </c>
      <c r="P235">
        <v>166</v>
      </c>
      <c r="Q235" t="b">
        <v>0</v>
      </c>
      <c r="S235" t="s">
        <v>16</v>
      </c>
    </row>
    <row r="236" spans="1:19">
      <c r="A236" t="s">
        <v>508</v>
      </c>
      <c r="B236" t="s">
        <v>509</v>
      </c>
      <c r="C236" s="23" t="s">
        <v>4129</v>
      </c>
      <c r="D236" s="23">
        <v>45065</v>
      </c>
      <c r="E236" s="22">
        <v>5</v>
      </c>
      <c r="F236" s="22">
        <v>19</v>
      </c>
      <c r="G236" s="22">
        <v>2023</v>
      </c>
      <c r="H236" s="23">
        <f t="shared" si="9"/>
        <v>45065</v>
      </c>
      <c r="I236" s="25">
        <v>45085</v>
      </c>
      <c r="J236" s="22">
        <f t="shared" si="10"/>
        <v>20</v>
      </c>
      <c r="K236" t="s">
        <v>33</v>
      </c>
      <c r="L236">
        <v>53083</v>
      </c>
      <c r="M236">
        <v>1172</v>
      </c>
      <c r="N236" s="26">
        <v>1081.61</v>
      </c>
      <c r="O236" s="26">
        <f t="shared" si="11"/>
        <v>1081.61</v>
      </c>
      <c r="P236">
        <v>197</v>
      </c>
      <c r="Q236" t="b">
        <v>1</v>
      </c>
      <c r="S236" t="s">
        <v>34</v>
      </c>
    </row>
    <row r="237" spans="1:19">
      <c r="A237" t="s">
        <v>510</v>
      </c>
      <c r="B237" t="s">
        <v>511</v>
      </c>
      <c r="C237" s="23" t="s">
        <v>4131</v>
      </c>
      <c r="D237" s="23">
        <v>45025</v>
      </c>
      <c r="E237" s="22">
        <v>4</v>
      </c>
      <c r="F237" s="22">
        <v>9</v>
      </c>
      <c r="G237" s="22">
        <v>2023</v>
      </c>
      <c r="H237" s="23">
        <f t="shared" si="9"/>
        <v>45025</v>
      </c>
      <c r="I237" s="25">
        <v>45040</v>
      </c>
      <c r="J237" s="22">
        <f t="shared" si="10"/>
        <v>15</v>
      </c>
      <c r="K237" t="s">
        <v>19</v>
      </c>
      <c r="L237">
        <v>66733</v>
      </c>
      <c r="M237">
        <v>2621</v>
      </c>
      <c r="N237" s="26">
        <v>2740.82</v>
      </c>
      <c r="O237" s="26">
        <f t="shared" si="11"/>
        <v>2740.82</v>
      </c>
      <c r="P237">
        <v>0</v>
      </c>
      <c r="Q237" t="b">
        <v>0</v>
      </c>
      <c r="S237" t="s">
        <v>20</v>
      </c>
    </row>
    <row r="238" spans="1:19">
      <c r="A238" t="s">
        <v>512</v>
      </c>
      <c r="B238" t="s">
        <v>513</v>
      </c>
      <c r="C238" s="23" t="s">
        <v>4127</v>
      </c>
      <c r="D238" s="23">
        <v>45280</v>
      </c>
      <c r="E238" s="22">
        <v>12</v>
      </c>
      <c r="F238" s="22">
        <v>20</v>
      </c>
      <c r="G238" s="22">
        <v>2023</v>
      </c>
      <c r="H238" s="23">
        <f t="shared" si="9"/>
        <v>45280</v>
      </c>
      <c r="I238" s="25">
        <v>45290</v>
      </c>
      <c r="J238" s="22">
        <f t="shared" si="10"/>
        <v>10</v>
      </c>
      <c r="K238" t="s">
        <v>138</v>
      </c>
      <c r="L238">
        <v>90045</v>
      </c>
      <c r="M238">
        <v>3966</v>
      </c>
      <c r="N238" s="26">
        <v>3117.63</v>
      </c>
      <c r="O238" s="26">
        <f t="shared" si="11"/>
        <v>3117.63</v>
      </c>
      <c r="P238">
        <v>587</v>
      </c>
      <c r="Q238" t="b">
        <v>1</v>
      </c>
      <c r="S238" t="s">
        <v>139</v>
      </c>
    </row>
    <row r="239" spans="1:19">
      <c r="A239" t="s">
        <v>514</v>
      </c>
      <c r="B239" t="s">
        <v>515</v>
      </c>
      <c r="C239" s="23" t="s">
        <v>4128</v>
      </c>
      <c r="D239" s="23">
        <v>45174</v>
      </c>
      <c r="E239" s="22">
        <v>9</v>
      </c>
      <c r="F239" s="22">
        <v>5</v>
      </c>
      <c r="G239" s="22">
        <v>2023</v>
      </c>
      <c r="H239" s="23">
        <f t="shared" si="9"/>
        <v>45174</v>
      </c>
      <c r="I239" s="25">
        <v>45180</v>
      </c>
      <c r="J239" s="22">
        <f t="shared" si="10"/>
        <v>6</v>
      </c>
      <c r="K239" t="s">
        <v>138</v>
      </c>
      <c r="L239">
        <v>35698</v>
      </c>
      <c r="M239">
        <v>1315</v>
      </c>
      <c r="N239" s="26">
        <v>1342.08</v>
      </c>
      <c r="O239" s="26">
        <f t="shared" si="11"/>
        <v>1342.08</v>
      </c>
      <c r="P239">
        <v>262</v>
      </c>
      <c r="Q239" t="b">
        <v>0</v>
      </c>
      <c r="S239" t="s">
        <v>139</v>
      </c>
    </row>
    <row r="240" spans="1:19">
      <c r="A240" t="s">
        <v>516</v>
      </c>
      <c r="B240" t="s">
        <v>517</v>
      </c>
      <c r="C240" s="23" t="s">
        <v>4129</v>
      </c>
      <c r="D240" s="23">
        <v>45195</v>
      </c>
      <c r="E240" s="22">
        <v>9</v>
      </c>
      <c r="F240" s="22">
        <v>26</v>
      </c>
      <c r="G240" s="22">
        <v>2023</v>
      </c>
      <c r="H240" s="23">
        <f t="shared" si="9"/>
        <v>45195</v>
      </c>
      <c r="I240" s="25">
        <v>45214</v>
      </c>
      <c r="J240" s="22">
        <f t="shared" si="10"/>
        <v>19</v>
      </c>
      <c r="K240" t="s">
        <v>138</v>
      </c>
      <c r="L240">
        <v>81623</v>
      </c>
      <c r="M240">
        <v>3459</v>
      </c>
      <c r="N240" s="26">
        <v>4568.84</v>
      </c>
      <c r="O240" s="26">
        <f t="shared" si="11"/>
        <v>3632.575</v>
      </c>
      <c r="P240">
        <v>211</v>
      </c>
      <c r="Q240" t="b">
        <v>0</v>
      </c>
      <c r="S240" t="s">
        <v>139</v>
      </c>
    </row>
    <row r="241" spans="1:19">
      <c r="A241" t="s">
        <v>518</v>
      </c>
      <c r="B241" t="s">
        <v>519</v>
      </c>
      <c r="C241" s="23" t="s">
        <v>4127</v>
      </c>
      <c r="D241" s="23">
        <v>45026</v>
      </c>
      <c r="E241" s="22">
        <v>4</v>
      </c>
      <c r="F241" s="22">
        <v>10</v>
      </c>
      <c r="G241" s="22">
        <v>2023</v>
      </c>
      <c r="H241" s="23">
        <f t="shared" si="9"/>
        <v>45026</v>
      </c>
      <c r="I241" s="25">
        <v>45031</v>
      </c>
      <c r="J241" s="22">
        <f t="shared" si="10"/>
        <v>5</v>
      </c>
      <c r="K241" t="s">
        <v>234</v>
      </c>
      <c r="L241">
        <v>23671</v>
      </c>
      <c r="M241">
        <v>962</v>
      </c>
      <c r="N241" s="26">
        <v>1912.13</v>
      </c>
      <c r="O241" s="26">
        <f t="shared" si="11"/>
        <v>1912.13</v>
      </c>
      <c r="P241">
        <v>80</v>
      </c>
      <c r="Q241" t="b">
        <v>1</v>
      </c>
      <c r="S241" t="s">
        <v>16</v>
      </c>
    </row>
    <row r="242" spans="1:19">
      <c r="A242" t="s">
        <v>520</v>
      </c>
      <c r="B242" t="s">
        <v>521</v>
      </c>
      <c r="C242" s="23" t="s">
        <v>4127</v>
      </c>
      <c r="D242" s="23">
        <v>45022</v>
      </c>
      <c r="E242" s="22">
        <v>4</v>
      </c>
      <c r="F242" s="22">
        <v>6</v>
      </c>
      <c r="G242" s="22">
        <v>2023</v>
      </c>
      <c r="H242" s="23">
        <f t="shared" si="9"/>
        <v>45022</v>
      </c>
      <c r="I242" s="25">
        <v>45092</v>
      </c>
      <c r="J242" s="22">
        <f t="shared" si="10"/>
        <v>70</v>
      </c>
      <c r="K242" t="s">
        <v>19</v>
      </c>
      <c r="L242">
        <v>26184</v>
      </c>
      <c r="M242">
        <v>418</v>
      </c>
      <c r="N242" s="26">
        <v>625.45</v>
      </c>
      <c r="O242" s="26">
        <f t="shared" si="11"/>
        <v>625.45</v>
      </c>
      <c r="P242">
        <v>46</v>
      </c>
      <c r="Q242" t="b">
        <v>1</v>
      </c>
      <c r="S242" t="s">
        <v>20</v>
      </c>
    </row>
    <row r="243" spans="1:19">
      <c r="A243" t="s">
        <v>522</v>
      </c>
      <c r="B243" t="s">
        <v>523</v>
      </c>
      <c r="C243" s="23" t="s">
        <v>4127</v>
      </c>
      <c r="D243" s="23">
        <v>45200</v>
      </c>
      <c r="E243" s="22">
        <v>10</v>
      </c>
      <c r="F243" s="22">
        <v>1</v>
      </c>
      <c r="G243" s="22">
        <v>2023</v>
      </c>
      <c r="H243" s="23">
        <f t="shared" si="9"/>
        <v>45200</v>
      </c>
      <c r="I243" s="25">
        <v>44937</v>
      </c>
      <c r="J243" s="22">
        <f t="shared" si="10"/>
        <v>-263</v>
      </c>
      <c r="K243" t="s">
        <v>33</v>
      </c>
      <c r="L243">
        <v>94384</v>
      </c>
      <c r="M243">
        <v>2544</v>
      </c>
      <c r="N243" s="26">
        <v>2032.32</v>
      </c>
      <c r="O243" s="26">
        <f t="shared" si="11"/>
        <v>2032.32</v>
      </c>
      <c r="P243">
        <v>259</v>
      </c>
      <c r="Q243" t="b">
        <v>1</v>
      </c>
      <c r="S243" t="s">
        <v>34</v>
      </c>
    </row>
    <row r="244" spans="1:19">
      <c r="A244" t="s">
        <v>524</v>
      </c>
      <c r="B244" t="s">
        <v>525</v>
      </c>
      <c r="C244" s="23" t="s">
        <v>4127</v>
      </c>
      <c r="D244" s="23">
        <v>44954</v>
      </c>
      <c r="E244" s="22">
        <v>1</v>
      </c>
      <c r="F244" s="22">
        <v>28</v>
      </c>
      <c r="G244" s="22">
        <v>2023</v>
      </c>
      <c r="H244" s="23">
        <f t="shared" si="9"/>
        <v>44954</v>
      </c>
      <c r="I244" s="25">
        <v>44958</v>
      </c>
      <c r="J244" s="22">
        <f t="shared" si="10"/>
        <v>4</v>
      </c>
      <c r="K244" t="s">
        <v>19</v>
      </c>
      <c r="L244">
        <v>43107</v>
      </c>
      <c r="M244">
        <v>694</v>
      </c>
      <c r="N244" s="26">
        <v>393.8</v>
      </c>
      <c r="O244" s="26">
        <f t="shared" si="11"/>
        <v>393.8</v>
      </c>
      <c r="P244">
        <v>36</v>
      </c>
      <c r="Q244" t="b">
        <v>0</v>
      </c>
      <c r="S244" t="s">
        <v>20</v>
      </c>
    </row>
    <row r="245" spans="1:19">
      <c r="A245" t="s">
        <v>526</v>
      </c>
      <c r="B245" t="s">
        <v>527</v>
      </c>
      <c r="C245" s="23" t="s">
        <v>4128</v>
      </c>
      <c r="D245" s="23">
        <v>44991</v>
      </c>
      <c r="E245" s="22">
        <v>3</v>
      </c>
      <c r="F245" s="22">
        <v>6</v>
      </c>
      <c r="G245" s="22">
        <v>2023</v>
      </c>
      <c r="H245" s="23">
        <f t="shared" si="9"/>
        <v>44991</v>
      </c>
      <c r="I245" s="25">
        <v>44993</v>
      </c>
      <c r="J245" s="22">
        <f t="shared" si="10"/>
        <v>2</v>
      </c>
      <c r="K245" t="s">
        <v>19</v>
      </c>
      <c r="L245">
        <v>87202</v>
      </c>
      <c r="M245">
        <v>1692</v>
      </c>
      <c r="N245" s="26">
        <v>1166.69</v>
      </c>
      <c r="O245" s="26">
        <f t="shared" si="11"/>
        <v>1166.69</v>
      </c>
      <c r="P245">
        <v>107</v>
      </c>
      <c r="Q245" t="b">
        <v>1</v>
      </c>
      <c r="S245" t="s">
        <v>20</v>
      </c>
    </row>
    <row r="246" spans="1:19">
      <c r="A246" t="s">
        <v>528</v>
      </c>
      <c r="B246" t="s">
        <v>529</v>
      </c>
      <c r="C246" s="23" t="s">
        <v>4131</v>
      </c>
      <c r="D246" s="23">
        <v>44979</v>
      </c>
      <c r="E246" s="22">
        <v>2</v>
      </c>
      <c r="F246" s="22">
        <v>22</v>
      </c>
      <c r="G246" s="22">
        <v>2023</v>
      </c>
      <c r="H246" s="23">
        <f t="shared" si="9"/>
        <v>44979</v>
      </c>
      <c r="I246" s="25">
        <v>45007</v>
      </c>
      <c r="J246" s="22">
        <f t="shared" si="10"/>
        <v>28</v>
      </c>
      <c r="K246" t="s">
        <v>33</v>
      </c>
      <c r="L246">
        <v>52663</v>
      </c>
      <c r="M246">
        <v>2357</v>
      </c>
      <c r="N246" s="26">
        <v>3167.41</v>
      </c>
      <c r="O246" s="26">
        <f t="shared" si="11"/>
        <v>3167.41</v>
      </c>
      <c r="P246">
        <v>358</v>
      </c>
      <c r="Q246" t="b">
        <v>1</v>
      </c>
      <c r="S246" t="s">
        <v>34</v>
      </c>
    </row>
    <row r="247" spans="1:19">
      <c r="A247" t="s">
        <v>530</v>
      </c>
      <c r="B247" t="s">
        <v>531</v>
      </c>
      <c r="C247" s="23" t="s">
        <v>4129</v>
      </c>
      <c r="D247" s="23">
        <v>45167</v>
      </c>
      <c r="E247" s="22">
        <v>8</v>
      </c>
      <c r="F247" s="22">
        <v>29</v>
      </c>
      <c r="G247" s="22">
        <v>2023</v>
      </c>
      <c r="H247" s="23">
        <f t="shared" si="9"/>
        <v>45167</v>
      </c>
      <c r="I247" s="25">
        <v>45178</v>
      </c>
      <c r="J247" s="22">
        <f t="shared" si="10"/>
        <v>11</v>
      </c>
      <c r="K247" t="s">
        <v>23</v>
      </c>
      <c r="L247">
        <v>16708</v>
      </c>
      <c r="M247">
        <v>483</v>
      </c>
      <c r="N247" s="26">
        <v>795.86</v>
      </c>
      <c r="O247" s="26">
        <f t="shared" si="11"/>
        <v>795.86</v>
      </c>
      <c r="P247">
        <v>87</v>
      </c>
      <c r="Q247" t="b">
        <v>1</v>
      </c>
      <c r="S247" t="s">
        <v>25</v>
      </c>
    </row>
    <row r="248" spans="1:19">
      <c r="A248" t="s">
        <v>532</v>
      </c>
      <c r="B248" t="s">
        <v>533</v>
      </c>
      <c r="C248" s="23" t="s">
        <v>4131</v>
      </c>
      <c r="D248" s="23">
        <v>44953</v>
      </c>
      <c r="E248" s="22">
        <v>1</v>
      </c>
      <c r="F248" s="22">
        <v>27</v>
      </c>
      <c r="G248" s="22">
        <v>2023</v>
      </c>
      <c r="H248" s="23">
        <f t="shared" si="9"/>
        <v>44953</v>
      </c>
      <c r="I248" s="25">
        <v>44971</v>
      </c>
      <c r="J248" s="22">
        <f t="shared" si="10"/>
        <v>18</v>
      </c>
      <c r="K248" t="s">
        <v>14</v>
      </c>
      <c r="L248">
        <v>92906</v>
      </c>
      <c r="M248">
        <v>2918</v>
      </c>
      <c r="N248" s="26">
        <v>5575.21</v>
      </c>
      <c r="O248" s="26">
        <f t="shared" si="11"/>
        <v>3632.575</v>
      </c>
      <c r="P248">
        <v>0</v>
      </c>
      <c r="Q248" t="b">
        <v>0</v>
      </c>
      <c r="S248" t="s">
        <v>16</v>
      </c>
    </row>
    <row r="249" spans="1:19">
      <c r="A249" t="s">
        <v>534</v>
      </c>
      <c r="B249" t="s">
        <v>535</v>
      </c>
      <c r="C249" s="23" t="s">
        <v>4129</v>
      </c>
      <c r="D249" s="23">
        <v>44985</v>
      </c>
      <c r="E249" s="22">
        <v>2</v>
      </c>
      <c r="F249" s="22">
        <v>28</v>
      </c>
      <c r="G249" s="22">
        <v>2023</v>
      </c>
      <c r="H249" s="23">
        <f t="shared" si="9"/>
        <v>44985</v>
      </c>
      <c r="I249" s="25">
        <v>45001</v>
      </c>
      <c r="J249" s="22">
        <f t="shared" si="10"/>
        <v>16</v>
      </c>
      <c r="K249" t="s">
        <v>41</v>
      </c>
      <c r="L249">
        <v>50811</v>
      </c>
      <c r="M249">
        <v>870</v>
      </c>
      <c r="N249" s="26">
        <v>455.65</v>
      </c>
      <c r="O249" s="26">
        <f t="shared" si="11"/>
        <v>455.65</v>
      </c>
      <c r="P249">
        <v>0</v>
      </c>
      <c r="Q249" t="b">
        <v>1</v>
      </c>
      <c r="S249" t="s">
        <v>42</v>
      </c>
    </row>
    <row r="250" spans="1:19">
      <c r="A250" t="s">
        <v>536</v>
      </c>
      <c r="B250" t="s">
        <v>537</v>
      </c>
      <c r="C250" s="23" t="s">
        <v>4127</v>
      </c>
      <c r="D250" s="23">
        <v>44964</v>
      </c>
      <c r="E250" s="22">
        <v>2</v>
      </c>
      <c r="F250" s="22">
        <v>7</v>
      </c>
      <c r="G250" s="22">
        <v>2023</v>
      </c>
      <c r="H250" s="23">
        <f t="shared" si="9"/>
        <v>44964</v>
      </c>
      <c r="I250" s="25">
        <v>44976</v>
      </c>
      <c r="J250" s="22">
        <f t="shared" si="10"/>
        <v>12</v>
      </c>
      <c r="K250" t="s">
        <v>19</v>
      </c>
      <c r="L250">
        <v>3811</v>
      </c>
      <c r="M250">
        <v>85</v>
      </c>
      <c r="N250" s="26">
        <v>109.15</v>
      </c>
      <c r="O250" s="26">
        <f t="shared" si="11"/>
        <v>109.15</v>
      </c>
      <c r="P250">
        <v>7</v>
      </c>
      <c r="Q250" t="b">
        <v>1</v>
      </c>
      <c r="S250" t="s">
        <v>20</v>
      </c>
    </row>
    <row r="251" spans="1:19">
      <c r="A251" t="s">
        <v>538</v>
      </c>
      <c r="B251" t="s">
        <v>539</v>
      </c>
      <c r="C251" s="23" t="s">
        <v>4131</v>
      </c>
      <c r="D251" s="23">
        <v>45004</v>
      </c>
      <c r="E251" s="22">
        <v>3</v>
      </c>
      <c r="F251" s="22">
        <v>19</v>
      </c>
      <c r="G251" s="22">
        <v>2023</v>
      </c>
      <c r="H251" s="23">
        <f t="shared" si="9"/>
        <v>45004</v>
      </c>
      <c r="I251" s="25">
        <v>45009</v>
      </c>
      <c r="J251" s="22">
        <f t="shared" si="10"/>
        <v>5</v>
      </c>
      <c r="K251" t="s">
        <v>19</v>
      </c>
      <c r="L251">
        <v>57250</v>
      </c>
      <c r="M251">
        <v>1099</v>
      </c>
      <c r="N251" s="26">
        <v>1325.72</v>
      </c>
      <c r="O251" s="26">
        <f t="shared" si="11"/>
        <v>1325.72</v>
      </c>
      <c r="P251">
        <v>181</v>
      </c>
      <c r="Q251" t="b">
        <v>0</v>
      </c>
      <c r="S251" t="s">
        <v>20</v>
      </c>
    </row>
    <row r="252" spans="1:19">
      <c r="A252" t="s">
        <v>540</v>
      </c>
      <c r="B252" t="s">
        <v>541</v>
      </c>
      <c r="C252" s="23" t="s">
        <v>4127</v>
      </c>
      <c r="D252" s="23">
        <v>45052</v>
      </c>
      <c r="E252" s="22">
        <v>5</v>
      </c>
      <c r="F252" s="22">
        <v>6</v>
      </c>
      <c r="G252" s="22">
        <v>2023</v>
      </c>
      <c r="H252" s="23">
        <f t="shared" si="9"/>
        <v>45052</v>
      </c>
      <c r="I252" s="25">
        <v>45093</v>
      </c>
      <c r="J252" s="22">
        <f t="shared" si="10"/>
        <v>41</v>
      </c>
      <c r="K252" t="s">
        <v>14</v>
      </c>
      <c r="L252">
        <v>73082</v>
      </c>
      <c r="M252">
        <v>1333</v>
      </c>
      <c r="N252" s="26">
        <v>1978.28</v>
      </c>
      <c r="O252" s="26">
        <f t="shared" si="11"/>
        <v>1978.28</v>
      </c>
      <c r="P252">
        <v>0</v>
      </c>
      <c r="Q252" t="b">
        <v>1</v>
      </c>
      <c r="S252" t="s">
        <v>16</v>
      </c>
    </row>
    <row r="253" spans="1:19">
      <c r="A253" t="s">
        <v>542</v>
      </c>
      <c r="B253" t="s">
        <v>543</v>
      </c>
      <c r="C253" s="23" t="s">
        <v>4131</v>
      </c>
      <c r="D253" s="23">
        <v>45054</v>
      </c>
      <c r="E253" s="22">
        <v>5</v>
      </c>
      <c r="F253" s="22">
        <v>8</v>
      </c>
      <c r="G253" s="22">
        <v>2023</v>
      </c>
      <c r="H253" s="23">
        <f t="shared" si="9"/>
        <v>45054</v>
      </c>
      <c r="I253" s="25">
        <v>45081</v>
      </c>
      <c r="J253" s="22">
        <f t="shared" si="10"/>
        <v>27</v>
      </c>
      <c r="K253" t="s">
        <v>14</v>
      </c>
      <c r="L253">
        <v>35754</v>
      </c>
      <c r="M253">
        <v>1269</v>
      </c>
      <c r="N253" s="26">
        <v>1699.66</v>
      </c>
      <c r="O253" s="26">
        <f t="shared" si="11"/>
        <v>1699.66</v>
      </c>
      <c r="P253">
        <v>175</v>
      </c>
      <c r="Q253" t="b">
        <v>0</v>
      </c>
      <c r="S253" t="s">
        <v>16</v>
      </c>
    </row>
    <row r="254" spans="1:19">
      <c r="A254" t="s">
        <v>544</v>
      </c>
      <c r="B254" t="s">
        <v>545</v>
      </c>
      <c r="C254" s="23" t="s">
        <v>4129</v>
      </c>
      <c r="D254" s="23">
        <v>45237</v>
      </c>
      <c r="E254" s="22">
        <v>11</v>
      </c>
      <c r="F254" s="22">
        <v>7</v>
      </c>
      <c r="G254" s="22">
        <v>2023</v>
      </c>
      <c r="H254" s="23">
        <f t="shared" si="9"/>
        <v>45237</v>
      </c>
      <c r="I254" s="25">
        <v>45261</v>
      </c>
      <c r="J254" s="22">
        <f t="shared" si="10"/>
        <v>24</v>
      </c>
      <c r="K254" t="s">
        <v>19</v>
      </c>
      <c r="L254">
        <v>96742</v>
      </c>
      <c r="M254">
        <v>1961</v>
      </c>
      <c r="N254" s="26">
        <v>3001.43</v>
      </c>
      <c r="O254" s="26">
        <f t="shared" si="11"/>
        <v>3001.43</v>
      </c>
      <c r="P254">
        <v>160</v>
      </c>
      <c r="Q254" t="b">
        <v>0</v>
      </c>
      <c r="S254" t="s">
        <v>20</v>
      </c>
    </row>
    <row r="255" spans="1:19">
      <c r="A255" t="s">
        <v>546</v>
      </c>
      <c r="B255" t="s">
        <v>547</v>
      </c>
      <c r="C255" s="23" t="s">
        <v>4127</v>
      </c>
      <c r="D255" s="23">
        <v>45194</v>
      </c>
      <c r="E255" s="22">
        <v>9</v>
      </c>
      <c r="F255" s="22">
        <v>25</v>
      </c>
      <c r="G255" s="22">
        <v>2023</v>
      </c>
      <c r="H255" s="23">
        <f t="shared" si="9"/>
        <v>45194</v>
      </c>
      <c r="I255" s="25">
        <v>45207</v>
      </c>
      <c r="J255" s="22">
        <f t="shared" si="10"/>
        <v>13</v>
      </c>
      <c r="K255" t="s">
        <v>14</v>
      </c>
      <c r="L255">
        <v>12411</v>
      </c>
      <c r="M255">
        <v>437</v>
      </c>
      <c r="N255" s="26">
        <v>649.87</v>
      </c>
      <c r="O255" s="26">
        <f t="shared" si="11"/>
        <v>649.87</v>
      </c>
      <c r="P255">
        <v>28</v>
      </c>
      <c r="Q255" t="b">
        <v>1</v>
      </c>
      <c r="S255" t="s">
        <v>16</v>
      </c>
    </row>
    <row r="256" spans="1:19">
      <c r="A256" t="s">
        <v>548</v>
      </c>
      <c r="B256" t="s">
        <v>549</v>
      </c>
      <c r="C256" s="23" t="s">
        <v>4129</v>
      </c>
      <c r="D256" s="23">
        <v>45079</v>
      </c>
      <c r="E256" s="22">
        <v>6</v>
      </c>
      <c r="F256" s="22">
        <v>2</v>
      </c>
      <c r="G256" s="22">
        <v>2023</v>
      </c>
      <c r="H256" s="23">
        <f t="shared" si="9"/>
        <v>45079</v>
      </c>
      <c r="I256" s="25">
        <v>45097</v>
      </c>
      <c r="J256" s="22">
        <f t="shared" si="10"/>
        <v>18</v>
      </c>
      <c r="K256" t="s">
        <v>14</v>
      </c>
      <c r="L256">
        <v>3911</v>
      </c>
      <c r="M256">
        <v>48</v>
      </c>
      <c r="N256" s="26">
        <v>32.42</v>
      </c>
      <c r="O256" s="26">
        <f t="shared" si="11"/>
        <v>32.42</v>
      </c>
      <c r="P256">
        <v>2</v>
      </c>
      <c r="Q256" t="b">
        <v>1</v>
      </c>
      <c r="S256" t="s">
        <v>16</v>
      </c>
    </row>
    <row r="257" spans="1:19">
      <c r="A257" t="s">
        <v>550</v>
      </c>
      <c r="B257" t="s">
        <v>551</v>
      </c>
      <c r="C257" s="23" t="s">
        <v>4127</v>
      </c>
      <c r="D257" s="23">
        <v>45083</v>
      </c>
      <c r="E257" s="22">
        <v>6</v>
      </c>
      <c r="F257" s="22">
        <v>6</v>
      </c>
      <c r="G257" s="22">
        <v>2023</v>
      </c>
      <c r="H257" s="23">
        <f t="shared" si="9"/>
        <v>45083</v>
      </c>
      <c r="I257" s="25">
        <v>45084</v>
      </c>
      <c r="J257" s="22">
        <f t="shared" si="10"/>
        <v>1</v>
      </c>
      <c r="K257" t="s">
        <v>23</v>
      </c>
      <c r="L257">
        <v>68270</v>
      </c>
      <c r="M257">
        <v>1069</v>
      </c>
      <c r="N257" s="26">
        <v>1816.85</v>
      </c>
      <c r="O257" s="26">
        <f t="shared" si="11"/>
        <v>1816.85</v>
      </c>
      <c r="P257">
        <v>0</v>
      </c>
      <c r="Q257" t="b">
        <v>1</v>
      </c>
      <c r="S257" t="s">
        <v>25</v>
      </c>
    </row>
    <row r="258" spans="1:19">
      <c r="A258" t="s">
        <v>552</v>
      </c>
      <c r="B258" t="s">
        <v>553</v>
      </c>
      <c r="C258" s="23" t="s">
        <v>4127</v>
      </c>
      <c r="D258" s="23">
        <v>44977</v>
      </c>
      <c r="E258" s="22">
        <v>2</v>
      </c>
      <c r="F258" s="22">
        <v>20</v>
      </c>
      <c r="G258" s="22">
        <v>2023</v>
      </c>
      <c r="H258" s="23">
        <f t="shared" si="9"/>
        <v>44977</v>
      </c>
      <c r="I258" s="25">
        <v>44998</v>
      </c>
      <c r="J258" s="22">
        <f t="shared" si="10"/>
        <v>21</v>
      </c>
      <c r="K258" t="s">
        <v>14</v>
      </c>
      <c r="L258">
        <v>84763</v>
      </c>
      <c r="M258">
        <v>1778</v>
      </c>
      <c r="N258" s="26">
        <v>1217.66</v>
      </c>
      <c r="O258" s="26">
        <f t="shared" si="11"/>
        <v>1217.66</v>
      </c>
      <c r="P258">
        <v>308</v>
      </c>
      <c r="Q258" t="b">
        <v>1</v>
      </c>
      <c r="S258" t="s">
        <v>16</v>
      </c>
    </row>
    <row r="259" spans="1:19">
      <c r="A259" t="s">
        <v>554</v>
      </c>
      <c r="B259" t="s">
        <v>555</v>
      </c>
      <c r="C259" s="23" t="s">
        <v>4129</v>
      </c>
      <c r="D259" s="23">
        <v>45035</v>
      </c>
      <c r="E259" s="22">
        <v>4</v>
      </c>
      <c r="F259" s="22">
        <v>19</v>
      </c>
      <c r="G259" s="22">
        <v>2023</v>
      </c>
      <c r="H259" s="23">
        <f t="shared" ref="H259:H322" si="12">IF(E259&gt;12,DATE(G259,F259,E259),D259)</f>
        <v>45035</v>
      </c>
      <c r="I259" s="25">
        <v>45049</v>
      </c>
      <c r="J259" s="22">
        <f t="shared" ref="J259:J322" si="13">DATEDIF(H259,I259,"D")</f>
        <v>14</v>
      </c>
      <c r="K259" t="s">
        <v>14</v>
      </c>
      <c r="L259">
        <v>9680</v>
      </c>
      <c r="M259">
        <v>327</v>
      </c>
      <c r="N259" s="26">
        <v>506.13</v>
      </c>
      <c r="O259" s="26">
        <f t="shared" ref="O259:O322" si="14">IF(N259&lt;$W$8,$W$8,IF(N259&gt;$W$9,$W$9,N259))</f>
        <v>506.13</v>
      </c>
      <c r="P259">
        <v>58</v>
      </c>
      <c r="Q259" t="b">
        <v>0</v>
      </c>
      <c r="S259" t="s">
        <v>16</v>
      </c>
    </row>
    <row r="260" spans="1:19">
      <c r="A260" t="s">
        <v>556</v>
      </c>
      <c r="B260" t="s">
        <v>557</v>
      </c>
      <c r="C260" s="23" t="s">
        <v>4127</v>
      </c>
      <c r="D260" s="23">
        <v>45049</v>
      </c>
      <c r="E260" s="22">
        <v>5</v>
      </c>
      <c r="F260" s="22">
        <v>3</v>
      </c>
      <c r="G260" s="22">
        <v>2023</v>
      </c>
      <c r="H260" s="23">
        <f t="shared" si="12"/>
        <v>45049</v>
      </c>
      <c r="I260" s="25">
        <v>45011</v>
      </c>
      <c r="J260" s="22">
        <f t="shared" si="13"/>
        <v>-38</v>
      </c>
      <c r="K260" t="s">
        <v>41</v>
      </c>
      <c r="L260">
        <v>85896</v>
      </c>
      <c r="M260">
        <v>3181</v>
      </c>
      <c r="N260" s="26">
        <v>3576.14</v>
      </c>
      <c r="O260" s="26">
        <f t="shared" si="14"/>
        <v>3576.14</v>
      </c>
      <c r="P260">
        <v>380</v>
      </c>
      <c r="Q260" t="b">
        <v>0</v>
      </c>
      <c r="S260" t="s">
        <v>42</v>
      </c>
    </row>
    <row r="261" spans="1:19">
      <c r="A261" t="s">
        <v>558</v>
      </c>
      <c r="B261" t="s">
        <v>559</v>
      </c>
      <c r="C261" s="23" t="s">
        <v>4131</v>
      </c>
      <c r="D261" s="23">
        <v>44928</v>
      </c>
      <c r="E261" s="22">
        <v>1</v>
      </c>
      <c r="F261" s="22">
        <v>2</v>
      </c>
      <c r="G261" s="22">
        <v>2023</v>
      </c>
      <c r="H261" s="23">
        <f t="shared" si="12"/>
        <v>44928</v>
      </c>
      <c r="I261" s="25">
        <v>44939</v>
      </c>
      <c r="J261" s="22">
        <f t="shared" si="13"/>
        <v>11</v>
      </c>
      <c r="K261" t="s">
        <v>33</v>
      </c>
      <c r="L261">
        <v>84879</v>
      </c>
      <c r="M261">
        <v>2351</v>
      </c>
      <c r="N261" s="26">
        <v>2987.59</v>
      </c>
      <c r="O261" s="26">
        <f t="shared" si="14"/>
        <v>2987.59</v>
      </c>
      <c r="P261">
        <v>0</v>
      </c>
      <c r="Q261" t="b">
        <v>0</v>
      </c>
      <c r="S261" t="s">
        <v>34</v>
      </c>
    </row>
    <row r="262" spans="1:19">
      <c r="A262" t="s">
        <v>560</v>
      </c>
      <c r="B262" t="s">
        <v>561</v>
      </c>
      <c r="C262" s="23" t="s">
        <v>4128</v>
      </c>
      <c r="D262" s="23">
        <v>45167</v>
      </c>
      <c r="E262" s="22">
        <v>8</v>
      </c>
      <c r="F262" s="22">
        <v>29</v>
      </c>
      <c r="G262" s="22">
        <v>2023</v>
      </c>
      <c r="H262" s="23">
        <f t="shared" si="12"/>
        <v>45167</v>
      </c>
      <c r="I262" s="25">
        <v>45180</v>
      </c>
      <c r="J262" s="22">
        <f t="shared" si="13"/>
        <v>13</v>
      </c>
      <c r="K262" t="s">
        <v>19</v>
      </c>
      <c r="L262">
        <v>72295</v>
      </c>
      <c r="M262">
        <v>2012</v>
      </c>
      <c r="N262" s="26">
        <v>3732.15</v>
      </c>
      <c r="O262" s="26">
        <f t="shared" si="14"/>
        <v>3632.575</v>
      </c>
      <c r="P262">
        <v>386</v>
      </c>
      <c r="Q262" t="b">
        <v>1</v>
      </c>
      <c r="S262" t="s">
        <v>20</v>
      </c>
    </row>
    <row r="263" spans="1:19">
      <c r="A263" t="s">
        <v>562</v>
      </c>
      <c r="B263" t="s">
        <v>563</v>
      </c>
      <c r="C263" s="23" t="s">
        <v>4127</v>
      </c>
      <c r="D263" s="23">
        <v>45288</v>
      </c>
      <c r="E263" s="22">
        <v>12</v>
      </c>
      <c r="F263" s="22">
        <v>28</v>
      </c>
      <c r="G263" s="22">
        <v>2023</v>
      </c>
      <c r="H263" s="23">
        <f t="shared" si="12"/>
        <v>45288</v>
      </c>
      <c r="I263" s="25">
        <v>45294</v>
      </c>
      <c r="J263" s="22">
        <f t="shared" si="13"/>
        <v>6</v>
      </c>
      <c r="K263" t="s">
        <v>19</v>
      </c>
      <c r="L263">
        <v>89614</v>
      </c>
      <c r="M263">
        <v>3493</v>
      </c>
      <c r="N263" s="26">
        <v>6409.05</v>
      </c>
      <c r="O263" s="26">
        <f t="shared" si="14"/>
        <v>3632.575</v>
      </c>
      <c r="P263">
        <v>318</v>
      </c>
      <c r="Q263" t="b">
        <v>0</v>
      </c>
      <c r="S263" t="s">
        <v>20</v>
      </c>
    </row>
    <row r="264" spans="1:19">
      <c r="A264" t="s">
        <v>564</v>
      </c>
      <c r="B264" t="s">
        <v>565</v>
      </c>
      <c r="C264" s="23" t="s">
        <v>4131</v>
      </c>
      <c r="D264" s="23">
        <v>44963</v>
      </c>
      <c r="E264" s="22">
        <v>2</v>
      </c>
      <c r="F264" s="22">
        <v>6</v>
      </c>
      <c r="G264" s="22">
        <v>2023</v>
      </c>
      <c r="H264" s="23">
        <f t="shared" si="12"/>
        <v>44963</v>
      </c>
      <c r="I264" s="25">
        <v>44974</v>
      </c>
      <c r="J264" s="22">
        <f t="shared" si="13"/>
        <v>11</v>
      </c>
      <c r="K264" t="s">
        <v>19</v>
      </c>
      <c r="L264">
        <v>12111</v>
      </c>
      <c r="M264">
        <v>128</v>
      </c>
      <c r="N264" s="26">
        <v>221.03</v>
      </c>
      <c r="O264" s="26">
        <f t="shared" si="14"/>
        <v>221.03</v>
      </c>
      <c r="P264">
        <v>0</v>
      </c>
      <c r="Q264" t="b">
        <v>1</v>
      </c>
      <c r="S264" t="s">
        <v>20</v>
      </c>
    </row>
    <row r="265" spans="1:19">
      <c r="A265" t="s">
        <v>566</v>
      </c>
      <c r="B265" t="s">
        <v>567</v>
      </c>
      <c r="C265" s="23" t="s">
        <v>4128</v>
      </c>
      <c r="D265" s="23">
        <v>45247</v>
      </c>
      <c r="E265" s="22">
        <v>11</v>
      </c>
      <c r="F265" s="22">
        <v>17</v>
      </c>
      <c r="G265" s="22">
        <v>2023</v>
      </c>
      <c r="H265" s="23">
        <f t="shared" si="12"/>
        <v>45247</v>
      </c>
      <c r="I265" s="25">
        <v>45267</v>
      </c>
      <c r="J265" s="22">
        <f t="shared" si="13"/>
        <v>20</v>
      </c>
      <c r="K265" t="s">
        <v>14</v>
      </c>
      <c r="L265">
        <v>38504</v>
      </c>
      <c r="M265">
        <v>910</v>
      </c>
      <c r="N265" s="26">
        <v>1151.35</v>
      </c>
      <c r="O265" s="26">
        <f t="shared" si="14"/>
        <v>1151.35</v>
      </c>
      <c r="P265">
        <v>172</v>
      </c>
      <c r="Q265" t="b">
        <v>1</v>
      </c>
      <c r="S265" t="s">
        <v>16</v>
      </c>
    </row>
    <row r="266" spans="1:19">
      <c r="A266" t="s">
        <v>568</v>
      </c>
      <c r="B266" t="s">
        <v>569</v>
      </c>
      <c r="C266" s="23" t="s">
        <v>4128</v>
      </c>
      <c r="D266" s="23">
        <v>45028</v>
      </c>
      <c r="E266" s="22">
        <v>4</v>
      </c>
      <c r="F266" s="22">
        <v>12</v>
      </c>
      <c r="G266" s="22">
        <v>2023</v>
      </c>
      <c r="H266" s="23">
        <f t="shared" si="12"/>
        <v>45028</v>
      </c>
      <c r="I266" s="25">
        <v>45055</v>
      </c>
      <c r="J266" s="22">
        <f t="shared" si="13"/>
        <v>27</v>
      </c>
      <c r="K266" t="s">
        <v>41</v>
      </c>
      <c r="L266">
        <v>2802</v>
      </c>
      <c r="M266">
        <v>119</v>
      </c>
      <c r="N266" s="26">
        <v>190.92</v>
      </c>
      <c r="O266" s="26">
        <f t="shared" si="14"/>
        <v>190.92</v>
      </c>
      <c r="P266">
        <v>11</v>
      </c>
      <c r="Q266" t="b">
        <v>1</v>
      </c>
      <c r="S266" t="s">
        <v>42</v>
      </c>
    </row>
    <row r="267" spans="1:19">
      <c r="A267" t="s">
        <v>570</v>
      </c>
      <c r="B267" t="s">
        <v>571</v>
      </c>
      <c r="C267" s="23" t="s">
        <v>4131</v>
      </c>
      <c r="D267" s="23">
        <v>45258</v>
      </c>
      <c r="E267" s="22">
        <v>11</v>
      </c>
      <c r="F267" s="22">
        <v>28</v>
      </c>
      <c r="G267" s="22">
        <v>2023</v>
      </c>
      <c r="H267" s="23">
        <f t="shared" si="12"/>
        <v>45258</v>
      </c>
      <c r="I267" s="25">
        <v>45283</v>
      </c>
      <c r="J267" s="22">
        <f t="shared" si="13"/>
        <v>25</v>
      </c>
      <c r="K267" t="s">
        <v>41</v>
      </c>
      <c r="L267">
        <v>9155</v>
      </c>
      <c r="M267">
        <v>312</v>
      </c>
      <c r="N267" s="26">
        <v>396.04</v>
      </c>
      <c r="O267" s="26">
        <f t="shared" si="14"/>
        <v>396.04</v>
      </c>
      <c r="P267">
        <v>58</v>
      </c>
      <c r="Q267" t="b">
        <v>0</v>
      </c>
      <c r="S267" t="s">
        <v>42</v>
      </c>
    </row>
    <row r="268" spans="1:19">
      <c r="A268" t="s">
        <v>572</v>
      </c>
      <c r="B268" t="s">
        <v>573</v>
      </c>
      <c r="C268" s="23" t="s">
        <v>4129</v>
      </c>
      <c r="D268" s="23" t="s">
        <v>574</v>
      </c>
      <c r="E268" s="22">
        <v>14</v>
      </c>
      <c r="F268" s="22">
        <v>3</v>
      </c>
      <c r="G268" s="22">
        <v>2023</v>
      </c>
      <c r="H268" s="23">
        <f t="shared" si="12"/>
        <v>44999</v>
      </c>
      <c r="I268" s="25">
        <v>45001</v>
      </c>
      <c r="J268" s="22">
        <f t="shared" si="13"/>
        <v>2</v>
      </c>
      <c r="K268" t="s">
        <v>23</v>
      </c>
      <c r="L268">
        <v>74656</v>
      </c>
      <c r="M268">
        <v>1753</v>
      </c>
      <c r="N268" s="26">
        <v>3163.13</v>
      </c>
      <c r="O268" s="26">
        <f t="shared" si="14"/>
        <v>3163.13</v>
      </c>
      <c r="P268">
        <v>345</v>
      </c>
      <c r="Q268" t="b">
        <v>0</v>
      </c>
      <c r="S268" t="s">
        <v>25</v>
      </c>
    </row>
    <row r="269" spans="1:19">
      <c r="A269" t="s">
        <v>575</v>
      </c>
      <c r="B269" t="s">
        <v>576</v>
      </c>
      <c r="C269" s="23" t="s">
        <v>4128</v>
      </c>
      <c r="D269" s="23">
        <v>45011</v>
      </c>
      <c r="E269" s="22">
        <v>3</v>
      </c>
      <c r="F269" s="22">
        <v>26</v>
      </c>
      <c r="G269" s="22">
        <v>2023</v>
      </c>
      <c r="H269" s="23">
        <f t="shared" si="12"/>
        <v>45011</v>
      </c>
      <c r="I269" s="25">
        <v>45032</v>
      </c>
      <c r="J269" s="22">
        <f t="shared" si="13"/>
        <v>21</v>
      </c>
      <c r="K269" t="s">
        <v>23</v>
      </c>
      <c r="L269">
        <v>40384</v>
      </c>
      <c r="M269">
        <v>1866</v>
      </c>
      <c r="N269" s="26">
        <v>2060.37</v>
      </c>
      <c r="O269" s="26">
        <f t="shared" si="14"/>
        <v>2060.37</v>
      </c>
      <c r="P269">
        <v>278</v>
      </c>
      <c r="Q269" t="b">
        <v>1</v>
      </c>
      <c r="S269" t="s">
        <v>25</v>
      </c>
    </row>
    <row r="270" spans="1:19">
      <c r="A270" t="s">
        <v>577</v>
      </c>
      <c r="B270" t="s">
        <v>578</v>
      </c>
      <c r="C270" s="23" t="s">
        <v>4131</v>
      </c>
      <c r="D270" s="23">
        <v>45218</v>
      </c>
      <c r="E270" s="22">
        <v>10</v>
      </c>
      <c r="F270" s="22">
        <v>19</v>
      </c>
      <c r="G270" s="22">
        <v>2023</v>
      </c>
      <c r="H270" s="23">
        <f t="shared" si="12"/>
        <v>45218</v>
      </c>
      <c r="I270" s="25">
        <v>45228</v>
      </c>
      <c r="J270" s="22">
        <f t="shared" si="13"/>
        <v>10</v>
      </c>
      <c r="K270" t="s">
        <v>33</v>
      </c>
      <c r="L270">
        <v>48254</v>
      </c>
      <c r="M270">
        <v>1973</v>
      </c>
      <c r="N270" s="26">
        <v>3857.91</v>
      </c>
      <c r="O270" s="26">
        <f t="shared" si="14"/>
        <v>3632.575</v>
      </c>
      <c r="P270">
        <v>340</v>
      </c>
      <c r="Q270" t="b">
        <v>0</v>
      </c>
      <c r="S270" t="s">
        <v>34</v>
      </c>
    </row>
    <row r="271" spans="1:19">
      <c r="A271" t="s">
        <v>579</v>
      </c>
      <c r="B271" t="s">
        <v>580</v>
      </c>
      <c r="C271" s="23" t="s">
        <v>4129</v>
      </c>
      <c r="D271" s="23">
        <v>45166</v>
      </c>
      <c r="E271" s="22">
        <v>8</v>
      </c>
      <c r="F271" s="22">
        <v>28</v>
      </c>
      <c r="G271" s="22">
        <v>2023</v>
      </c>
      <c r="H271" s="23">
        <f t="shared" si="12"/>
        <v>45166</v>
      </c>
      <c r="I271" s="25">
        <v>45177</v>
      </c>
      <c r="J271" s="22">
        <f t="shared" si="13"/>
        <v>11</v>
      </c>
      <c r="K271" t="s">
        <v>23</v>
      </c>
      <c r="L271">
        <v>22918</v>
      </c>
      <c r="M271">
        <v>472</v>
      </c>
      <c r="N271" s="26">
        <v>896.08</v>
      </c>
      <c r="O271" s="26">
        <f t="shared" si="14"/>
        <v>896.08</v>
      </c>
      <c r="P271">
        <v>76</v>
      </c>
      <c r="Q271" t="b">
        <v>1</v>
      </c>
      <c r="S271" t="s">
        <v>25</v>
      </c>
    </row>
    <row r="272" spans="1:19">
      <c r="A272" t="s">
        <v>581</v>
      </c>
      <c r="B272" t="s">
        <v>582</v>
      </c>
      <c r="C272" s="23" t="s">
        <v>4128</v>
      </c>
      <c r="D272" s="23">
        <v>45066</v>
      </c>
      <c r="E272" s="22">
        <v>5</v>
      </c>
      <c r="F272" s="22">
        <v>20</v>
      </c>
      <c r="G272" s="22">
        <v>2023</v>
      </c>
      <c r="H272" s="23">
        <f t="shared" si="12"/>
        <v>45066</v>
      </c>
      <c r="I272" s="25">
        <v>45085</v>
      </c>
      <c r="J272" s="22">
        <f t="shared" si="13"/>
        <v>19</v>
      </c>
      <c r="K272" t="s">
        <v>33</v>
      </c>
      <c r="L272">
        <v>86981</v>
      </c>
      <c r="M272">
        <v>3114</v>
      </c>
      <c r="N272" s="26">
        <v>5021.03</v>
      </c>
      <c r="O272" s="26">
        <f t="shared" si="14"/>
        <v>3632.575</v>
      </c>
      <c r="P272">
        <v>482</v>
      </c>
      <c r="Q272" t="b">
        <v>1</v>
      </c>
      <c r="S272" t="s">
        <v>34</v>
      </c>
    </row>
    <row r="273" spans="1:19">
      <c r="A273" t="s">
        <v>583</v>
      </c>
      <c r="B273" t="s">
        <v>584</v>
      </c>
      <c r="C273" s="23" t="s">
        <v>4128</v>
      </c>
      <c r="D273" s="23">
        <v>44968</v>
      </c>
      <c r="E273" s="22">
        <v>2</v>
      </c>
      <c r="F273" s="22">
        <v>11</v>
      </c>
      <c r="G273" s="22">
        <v>2023</v>
      </c>
      <c r="H273" s="23">
        <f t="shared" si="12"/>
        <v>44968</v>
      </c>
      <c r="I273" s="25">
        <v>44993</v>
      </c>
      <c r="J273" s="22">
        <f t="shared" si="13"/>
        <v>25</v>
      </c>
      <c r="K273" t="s">
        <v>14</v>
      </c>
      <c r="L273">
        <v>61713</v>
      </c>
      <c r="M273">
        <v>2087</v>
      </c>
      <c r="N273" s="26">
        <v>1918.21</v>
      </c>
      <c r="O273" s="26">
        <f t="shared" si="14"/>
        <v>1918.21</v>
      </c>
      <c r="P273">
        <v>200</v>
      </c>
      <c r="Q273" t="b">
        <v>1</v>
      </c>
      <c r="S273" t="s">
        <v>16</v>
      </c>
    </row>
    <row r="274" spans="1:19">
      <c r="A274" t="s">
        <v>585</v>
      </c>
      <c r="B274" t="s">
        <v>586</v>
      </c>
      <c r="C274" s="23" t="s">
        <v>4131</v>
      </c>
      <c r="D274" s="23">
        <v>45092</v>
      </c>
      <c r="E274" s="22">
        <v>6</v>
      </c>
      <c r="F274" s="22">
        <v>15</v>
      </c>
      <c r="G274" s="22">
        <v>2023</v>
      </c>
      <c r="H274" s="23">
        <f t="shared" si="12"/>
        <v>45092</v>
      </c>
      <c r="I274" s="25">
        <v>45111</v>
      </c>
      <c r="J274" s="22">
        <f t="shared" si="13"/>
        <v>19</v>
      </c>
      <c r="K274" t="s">
        <v>14</v>
      </c>
      <c r="L274">
        <v>31306</v>
      </c>
      <c r="M274">
        <v>815</v>
      </c>
      <c r="N274" s="26">
        <v>568.45</v>
      </c>
      <c r="O274" s="26">
        <f t="shared" si="14"/>
        <v>568.45</v>
      </c>
      <c r="P274">
        <v>47</v>
      </c>
      <c r="Q274" t="b">
        <v>0</v>
      </c>
      <c r="S274" t="s">
        <v>16</v>
      </c>
    </row>
    <row r="275" spans="1:19">
      <c r="A275" t="s">
        <v>587</v>
      </c>
      <c r="B275" t="s">
        <v>588</v>
      </c>
      <c r="C275" s="23" t="s">
        <v>4128</v>
      </c>
      <c r="D275" s="23">
        <v>45044</v>
      </c>
      <c r="E275" s="22">
        <v>4</v>
      </c>
      <c r="F275" s="22">
        <v>28</v>
      </c>
      <c r="G275" s="22">
        <v>2023</v>
      </c>
      <c r="H275" s="23">
        <f t="shared" si="12"/>
        <v>45044</v>
      </c>
      <c r="I275" s="25">
        <v>45046</v>
      </c>
      <c r="J275" s="22">
        <f t="shared" si="13"/>
        <v>2</v>
      </c>
      <c r="K275" t="s">
        <v>33</v>
      </c>
      <c r="L275">
        <v>17646</v>
      </c>
      <c r="M275">
        <v>435</v>
      </c>
      <c r="N275" s="26">
        <v>775.19</v>
      </c>
      <c r="O275" s="26">
        <f t="shared" si="14"/>
        <v>775.19</v>
      </c>
      <c r="P275">
        <v>44</v>
      </c>
      <c r="Q275" t="b">
        <v>1</v>
      </c>
      <c r="S275" t="s">
        <v>34</v>
      </c>
    </row>
    <row r="276" spans="1:19">
      <c r="A276" t="s">
        <v>589</v>
      </c>
      <c r="B276" t="s">
        <v>590</v>
      </c>
      <c r="C276" s="23" t="s">
        <v>4129</v>
      </c>
      <c r="D276" s="23">
        <v>45221</v>
      </c>
      <c r="E276" s="22">
        <v>10</v>
      </c>
      <c r="F276" s="22">
        <v>22</v>
      </c>
      <c r="G276" s="22">
        <v>2023</v>
      </c>
      <c r="H276" s="23">
        <f t="shared" si="12"/>
        <v>45221</v>
      </c>
      <c r="I276" s="25">
        <v>45250</v>
      </c>
      <c r="J276" s="22">
        <f t="shared" si="13"/>
        <v>29</v>
      </c>
      <c r="K276" t="s">
        <v>14</v>
      </c>
      <c r="L276">
        <v>47843</v>
      </c>
      <c r="M276">
        <v>1135</v>
      </c>
      <c r="N276" s="26">
        <v>848.93</v>
      </c>
      <c r="O276" s="26">
        <f t="shared" si="14"/>
        <v>848.93</v>
      </c>
      <c r="P276">
        <v>0</v>
      </c>
      <c r="Q276" t="b">
        <v>0</v>
      </c>
      <c r="S276" t="s">
        <v>16</v>
      </c>
    </row>
    <row r="277" spans="1:19">
      <c r="A277" t="s">
        <v>591</v>
      </c>
      <c r="B277" t="s">
        <v>592</v>
      </c>
      <c r="C277" s="23" t="s">
        <v>4131</v>
      </c>
      <c r="D277" s="23">
        <v>45271</v>
      </c>
      <c r="E277" s="22">
        <v>12</v>
      </c>
      <c r="F277" s="22">
        <v>11</v>
      </c>
      <c r="G277" s="22">
        <v>2023</v>
      </c>
      <c r="H277" s="23">
        <f t="shared" si="12"/>
        <v>45271</v>
      </c>
      <c r="I277" s="25">
        <v>45288</v>
      </c>
      <c r="J277" s="22">
        <f t="shared" si="13"/>
        <v>17</v>
      </c>
      <c r="K277" t="s">
        <v>23</v>
      </c>
      <c r="L277">
        <v>97601</v>
      </c>
      <c r="M277">
        <v>3385</v>
      </c>
      <c r="N277" s="26">
        <v>6030.01</v>
      </c>
      <c r="O277" s="26">
        <f t="shared" si="14"/>
        <v>3632.575</v>
      </c>
      <c r="P277">
        <v>221</v>
      </c>
      <c r="Q277" t="b">
        <v>1</v>
      </c>
      <c r="S277" t="s">
        <v>25</v>
      </c>
    </row>
    <row r="278" spans="1:19">
      <c r="A278" t="s">
        <v>593</v>
      </c>
      <c r="B278" t="s">
        <v>594</v>
      </c>
      <c r="C278" s="23" t="s">
        <v>4128</v>
      </c>
      <c r="D278" s="23">
        <v>45016</v>
      </c>
      <c r="E278" s="22">
        <v>3</v>
      </c>
      <c r="F278" s="22">
        <v>31</v>
      </c>
      <c r="G278" s="22">
        <v>2023</v>
      </c>
      <c r="H278" s="23">
        <f t="shared" si="12"/>
        <v>45016</v>
      </c>
      <c r="I278" s="25">
        <v>45018</v>
      </c>
      <c r="J278" s="22">
        <f t="shared" si="13"/>
        <v>2</v>
      </c>
      <c r="K278" t="s">
        <v>23</v>
      </c>
      <c r="L278">
        <v>91735</v>
      </c>
      <c r="M278">
        <v>2540</v>
      </c>
      <c r="N278" s="26">
        <v>3139.81</v>
      </c>
      <c r="O278" s="26">
        <f t="shared" si="14"/>
        <v>3139.81</v>
      </c>
      <c r="P278">
        <v>131</v>
      </c>
      <c r="Q278" t="b">
        <v>1</v>
      </c>
      <c r="S278" t="s">
        <v>25</v>
      </c>
    </row>
    <row r="279" spans="1:19">
      <c r="A279" t="s">
        <v>595</v>
      </c>
      <c r="B279" t="s">
        <v>596</v>
      </c>
      <c r="C279" s="23" t="s">
        <v>4127</v>
      </c>
      <c r="D279" s="23">
        <v>45069</v>
      </c>
      <c r="E279" s="22">
        <v>5</v>
      </c>
      <c r="F279" s="22">
        <v>23</v>
      </c>
      <c r="G279" s="22">
        <v>2023</v>
      </c>
      <c r="H279" s="23">
        <f t="shared" si="12"/>
        <v>45069</v>
      </c>
      <c r="I279" s="25">
        <v>45093</v>
      </c>
      <c r="J279" s="22">
        <f t="shared" si="13"/>
        <v>24</v>
      </c>
      <c r="K279" t="s">
        <v>14</v>
      </c>
      <c r="L279">
        <v>17371</v>
      </c>
      <c r="M279">
        <v>751</v>
      </c>
      <c r="N279" s="26">
        <v>833.49</v>
      </c>
      <c r="O279" s="26">
        <f t="shared" si="14"/>
        <v>833.49</v>
      </c>
      <c r="P279">
        <v>53</v>
      </c>
      <c r="Q279" t="b">
        <v>1</v>
      </c>
      <c r="S279" t="s">
        <v>16</v>
      </c>
    </row>
    <row r="280" spans="1:19">
      <c r="A280" t="s">
        <v>597</v>
      </c>
      <c r="B280" t="s">
        <v>598</v>
      </c>
      <c r="C280" s="23" t="s">
        <v>4128</v>
      </c>
      <c r="D280" s="23">
        <v>45252</v>
      </c>
      <c r="E280" s="22">
        <v>11</v>
      </c>
      <c r="F280" s="22">
        <v>22</v>
      </c>
      <c r="G280" s="22">
        <v>2023</v>
      </c>
      <c r="H280" s="23">
        <f t="shared" si="12"/>
        <v>45252</v>
      </c>
      <c r="I280" s="25">
        <v>45275</v>
      </c>
      <c r="J280" s="22">
        <f t="shared" si="13"/>
        <v>23</v>
      </c>
      <c r="K280" t="s">
        <v>19</v>
      </c>
      <c r="L280">
        <v>78371</v>
      </c>
      <c r="M280">
        <v>2882</v>
      </c>
      <c r="N280" s="26">
        <v>5345.49</v>
      </c>
      <c r="O280" s="26">
        <f t="shared" si="14"/>
        <v>3632.575</v>
      </c>
      <c r="P280">
        <v>453</v>
      </c>
      <c r="Q280" t="b">
        <v>0</v>
      </c>
      <c r="S280" t="s">
        <v>20</v>
      </c>
    </row>
    <row r="281" spans="1:19">
      <c r="A281" t="s">
        <v>599</v>
      </c>
      <c r="B281" t="s">
        <v>600</v>
      </c>
      <c r="C281" s="23" t="s">
        <v>4131</v>
      </c>
      <c r="D281" s="23">
        <v>45167</v>
      </c>
      <c r="E281" s="22">
        <v>8</v>
      </c>
      <c r="F281" s="22">
        <v>29</v>
      </c>
      <c r="G281" s="22">
        <v>2023</v>
      </c>
      <c r="H281" s="23">
        <f t="shared" si="12"/>
        <v>45167</v>
      </c>
      <c r="I281" s="25">
        <v>45190</v>
      </c>
      <c r="J281" s="22">
        <f t="shared" si="13"/>
        <v>23</v>
      </c>
      <c r="K281" t="s">
        <v>58</v>
      </c>
      <c r="L281">
        <v>3049</v>
      </c>
      <c r="M281">
        <v>39</v>
      </c>
      <c r="N281" s="26">
        <v>54.83</v>
      </c>
      <c r="O281" s="26">
        <f t="shared" si="14"/>
        <v>54.83</v>
      </c>
      <c r="P281">
        <v>7</v>
      </c>
      <c r="Q281" t="b">
        <v>1</v>
      </c>
      <c r="S281" t="s">
        <v>59</v>
      </c>
    </row>
    <row r="282" spans="1:19">
      <c r="A282" t="s">
        <v>601</v>
      </c>
      <c r="B282" t="s">
        <v>602</v>
      </c>
      <c r="C282" s="23" t="s">
        <v>4127</v>
      </c>
      <c r="D282" s="23">
        <v>45270</v>
      </c>
      <c r="E282" s="22">
        <v>12</v>
      </c>
      <c r="F282" s="22">
        <v>10</v>
      </c>
      <c r="G282" s="22">
        <v>2023</v>
      </c>
      <c r="H282" s="23">
        <f t="shared" si="12"/>
        <v>45270</v>
      </c>
      <c r="I282" s="25">
        <v>45265</v>
      </c>
      <c r="J282" s="22">
        <f t="shared" si="13"/>
        <v>-5</v>
      </c>
      <c r="K282" t="s">
        <v>23</v>
      </c>
      <c r="L282">
        <v>32616</v>
      </c>
      <c r="M282">
        <v>1161</v>
      </c>
      <c r="N282" s="26">
        <v>1584.67</v>
      </c>
      <c r="O282" s="26">
        <f t="shared" si="14"/>
        <v>1584.67</v>
      </c>
      <c r="P282">
        <v>229</v>
      </c>
      <c r="Q282" t="b">
        <v>1</v>
      </c>
      <c r="S282" t="s">
        <v>25</v>
      </c>
    </row>
    <row r="283" spans="1:19">
      <c r="A283" t="s">
        <v>603</v>
      </c>
      <c r="B283" t="s">
        <v>604</v>
      </c>
      <c r="C283" s="23" t="s">
        <v>4129</v>
      </c>
      <c r="D283" s="23">
        <v>45137</v>
      </c>
      <c r="E283" s="22">
        <v>7</v>
      </c>
      <c r="F283" s="22">
        <v>30</v>
      </c>
      <c r="G283" s="22">
        <v>2023</v>
      </c>
      <c r="H283" s="23">
        <f t="shared" si="12"/>
        <v>45137</v>
      </c>
      <c r="I283" s="25">
        <v>45153</v>
      </c>
      <c r="J283" s="22">
        <f t="shared" si="13"/>
        <v>16</v>
      </c>
      <c r="K283" t="s">
        <v>19</v>
      </c>
      <c r="L283">
        <v>21932</v>
      </c>
      <c r="M283">
        <v>457</v>
      </c>
      <c r="N283" s="26">
        <v>611.53</v>
      </c>
      <c r="O283" s="26">
        <f t="shared" si="14"/>
        <v>611.53</v>
      </c>
      <c r="P283">
        <v>56</v>
      </c>
      <c r="Q283" t="b">
        <v>1</v>
      </c>
      <c r="S283" t="s">
        <v>20</v>
      </c>
    </row>
    <row r="284" spans="1:19">
      <c r="A284" t="s">
        <v>605</v>
      </c>
      <c r="B284" t="s">
        <v>606</v>
      </c>
      <c r="C284" s="23" t="s">
        <v>4128</v>
      </c>
      <c r="D284" s="23">
        <v>45132</v>
      </c>
      <c r="E284" s="22">
        <v>7</v>
      </c>
      <c r="F284" s="22">
        <v>25</v>
      </c>
      <c r="G284" s="22">
        <v>2023</v>
      </c>
      <c r="H284" s="23">
        <f t="shared" si="12"/>
        <v>45132</v>
      </c>
      <c r="I284" s="25">
        <v>45135</v>
      </c>
      <c r="J284" s="22">
        <f t="shared" si="13"/>
        <v>3</v>
      </c>
      <c r="K284" t="s">
        <v>33</v>
      </c>
      <c r="L284">
        <v>30855</v>
      </c>
      <c r="M284">
        <v>1040</v>
      </c>
      <c r="N284" s="26">
        <v>1099.02</v>
      </c>
      <c r="O284" s="26">
        <f t="shared" si="14"/>
        <v>1099.02</v>
      </c>
      <c r="P284">
        <v>0</v>
      </c>
      <c r="Q284" t="b">
        <v>0</v>
      </c>
      <c r="S284" t="s">
        <v>34</v>
      </c>
    </row>
    <row r="285" spans="1:19">
      <c r="A285" t="s">
        <v>607</v>
      </c>
      <c r="B285" t="s">
        <v>608</v>
      </c>
      <c r="C285" s="23" t="s">
        <v>4131</v>
      </c>
      <c r="D285" s="23" t="s">
        <v>115</v>
      </c>
      <c r="E285" s="22">
        <v>21</v>
      </c>
      <c r="F285" s="22">
        <v>8</v>
      </c>
      <c r="G285" s="22">
        <v>2023</v>
      </c>
      <c r="H285" s="23">
        <f t="shared" si="12"/>
        <v>45159</v>
      </c>
      <c r="I285" s="25">
        <v>45189</v>
      </c>
      <c r="J285" s="22">
        <f t="shared" si="13"/>
        <v>30</v>
      </c>
      <c r="K285" t="s">
        <v>19</v>
      </c>
      <c r="L285">
        <v>62434</v>
      </c>
      <c r="M285">
        <v>2322</v>
      </c>
      <c r="N285" s="26">
        <v>3897.39</v>
      </c>
      <c r="O285" s="26">
        <f t="shared" si="14"/>
        <v>3632.575</v>
      </c>
      <c r="P285">
        <v>372</v>
      </c>
      <c r="Q285" t="b">
        <v>1</v>
      </c>
      <c r="S285" t="s">
        <v>68</v>
      </c>
    </row>
    <row r="286" spans="1:19">
      <c r="A286" t="s">
        <v>609</v>
      </c>
      <c r="B286" t="s">
        <v>610</v>
      </c>
      <c r="C286" s="23" t="s">
        <v>4127</v>
      </c>
      <c r="D286" s="23">
        <v>45056</v>
      </c>
      <c r="E286" s="22">
        <v>5</v>
      </c>
      <c r="F286" s="22">
        <v>10</v>
      </c>
      <c r="G286" s="22">
        <v>2023</v>
      </c>
      <c r="H286" s="23">
        <f t="shared" si="12"/>
        <v>45056</v>
      </c>
      <c r="I286" s="25">
        <v>45059</v>
      </c>
      <c r="J286" s="22">
        <f t="shared" si="13"/>
        <v>3</v>
      </c>
      <c r="K286" t="s">
        <v>138</v>
      </c>
      <c r="L286">
        <v>73694</v>
      </c>
      <c r="M286">
        <v>1417</v>
      </c>
      <c r="N286" s="26">
        <v>1245.82</v>
      </c>
      <c r="O286" s="26">
        <f t="shared" si="14"/>
        <v>1245.82</v>
      </c>
      <c r="P286">
        <v>177</v>
      </c>
      <c r="Q286" t="b">
        <v>1</v>
      </c>
      <c r="S286" t="s">
        <v>139</v>
      </c>
    </row>
    <row r="287" spans="1:19">
      <c r="A287" t="s">
        <v>611</v>
      </c>
      <c r="B287" t="s">
        <v>612</v>
      </c>
      <c r="C287" s="23" t="s">
        <v>4131</v>
      </c>
      <c r="D287" s="23">
        <v>45133</v>
      </c>
      <c r="E287" s="22">
        <v>7</v>
      </c>
      <c r="F287" s="22">
        <v>26</v>
      </c>
      <c r="G287" s="22">
        <v>2023</v>
      </c>
      <c r="H287" s="23">
        <f t="shared" si="12"/>
        <v>45133</v>
      </c>
      <c r="I287" s="25">
        <v>45138</v>
      </c>
      <c r="J287" s="22">
        <f t="shared" si="13"/>
        <v>5</v>
      </c>
      <c r="K287" t="s">
        <v>33</v>
      </c>
      <c r="L287">
        <v>44016</v>
      </c>
      <c r="M287">
        <v>1244</v>
      </c>
      <c r="N287" s="26">
        <v>2373.98</v>
      </c>
      <c r="O287" s="26">
        <f t="shared" si="14"/>
        <v>2373.98</v>
      </c>
      <c r="P287">
        <v>0</v>
      </c>
      <c r="Q287" t="b">
        <v>1</v>
      </c>
      <c r="S287" t="s">
        <v>34</v>
      </c>
    </row>
    <row r="288" spans="1:19">
      <c r="A288" t="s">
        <v>613</v>
      </c>
      <c r="B288" t="s">
        <v>614</v>
      </c>
      <c r="C288" s="23" t="s">
        <v>4129</v>
      </c>
      <c r="D288" s="23">
        <v>44927</v>
      </c>
      <c r="E288" s="22">
        <v>1</v>
      </c>
      <c r="F288" s="22">
        <v>1</v>
      </c>
      <c r="G288" s="22">
        <v>2023</v>
      </c>
      <c r="H288" s="23">
        <f t="shared" si="12"/>
        <v>44927</v>
      </c>
      <c r="I288" s="25">
        <v>44932</v>
      </c>
      <c r="J288" s="22">
        <f t="shared" si="13"/>
        <v>5</v>
      </c>
      <c r="K288" t="s">
        <v>33</v>
      </c>
      <c r="L288">
        <v>8400</v>
      </c>
      <c r="M288">
        <v>147</v>
      </c>
      <c r="N288" s="26">
        <v>270.62</v>
      </c>
      <c r="O288" s="26">
        <f t="shared" si="14"/>
        <v>270.62</v>
      </c>
      <c r="P288">
        <v>10</v>
      </c>
      <c r="Q288" t="b">
        <v>1</v>
      </c>
      <c r="S288" t="s">
        <v>34</v>
      </c>
    </row>
    <row r="289" spans="1:19">
      <c r="A289" t="s">
        <v>615</v>
      </c>
      <c r="B289" t="s">
        <v>616</v>
      </c>
      <c r="C289" s="23" t="s">
        <v>4127</v>
      </c>
      <c r="D289" s="23" t="s">
        <v>617</v>
      </c>
      <c r="E289" s="22">
        <v>31</v>
      </c>
      <c r="F289" s="22">
        <v>7</v>
      </c>
      <c r="G289" s="22">
        <v>2023</v>
      </c>
      <c r="H289" s="23">
        <f t="shared" si="12"/>
        <v>45138</v>
      </c>
      <c r="I289" s="25">
        <v>45142</v>
      </c>
      <c r="J289" s="22">
        <f t="shared" si="13"/>
        <v>4</v>
      </c>
      <c r="K289" t="s">
        <v>266</v>
      </c>
      <c r="L289">
        <v>43642</v>
      </c>
      <c r="M289">
        <v>527</v>
      </c>
      <c r="N289" s="26">
        <v>530.28</v>
      </c>
      <c r="O289" s="26">
        <f t="shared" si="14"/>
        <v>530.28</v>
      </c>
      <c r="P289">
        <v>100</v>
      </c>
      <c r="Q289" t="b">
        <v>1</v>
      </c>
      <c r="S289" t="s">
        <v>68</v>
      </c>
    </row>
    <row r="290" spans="1:19">
      <c r="A290" t="s">
        <v>618</v>
      </c>
      <c r="B290" t="s">
        <v>619</v>
      </c>
      <c r="C290" s="23" t="s">
        <v>4131</v>
      </c>
      <c r="D290" s="23">
        <v>45192</v>
      </c>
      <c r="E290" s="22">
        <v>9</v>
      </c>
      <c r="F290" s="22">
        <v>23</v>
      </c>
      <c r="G290" s="22">
        <v>2023</v>
      </c>
      <c r="H290" s="23">
        <f t="shared" si="12"/>
        <v>45192</v>
      </c>
      <c r="I290" s="25">
        <v>45209</v>
      </c>
      <c r="J290" s="22">
        <f t="shared" si="13"/>
        <v>17</v>
      </c>
      <c r="K290" t="s">
        <v>41</v>
      </c>
      <c r="L290">
        <v>16151</v>
      </c>
      <c r="M290">
        <v>406</v>
      </c>
      <c r="N290" s="26">
        <v>647.24</v>
      </c>
      <c r="O290" s="26">
        <f t="shared" si="14"/>
        <v>647.24</v>
      </c>
      <c r="P290">
        <v>41</v>
      </c>
      <c r="Q290" t="b">
        <v>0</v>
      </c>
      <c r="R290">
        <v>16169</v>
      </c>
      <c r="S290" t="s">
        <v>68</v>
      </c>
    </row>
    <row r="291" spans="1:19">
      <c r="A291" t="s">
        <v>620</v>
      </c>
      <c r="B291" t="s">
        <v>621</v>
      </c>
      <c r="C291" s="23" t="s">
        <v>4131</v>
      </c>
      <c r="D291" s="23">
        <v>45247</v>
      </c>
      <c r="E291" s="22">
        <v>11</v>
      </c>
      <c r="F291" s="22">
        <v>17</v>
      </c>
      <c r="G291" s="22">
        <v>2023</v>
      </c>
      <c r="H291" s="23">
        <f t="shared" si="12"/>
        <v>45247</v>
      </c>
      <c r="I291" s="25">
        <v>45253</v>
      </c>
      <c r="J291" s="22">
        <f t="shared" si="13"/>
        <v>6</v>
      </c>
      <c r="K291" t="s">
        <v>14</v>
      </c>
      <c r="L291">
        <v>52407</v>
      </c>
      <c r="M291">
        <v>1284</v>
      </c>
      <c r="N291" s="26">
        <v>1746.03</v>
      </c>
      <c r="O291" s="26">
        <f t="shared" si="14"/>
        <v>1746.03</v>
      </c>
      <c r="P291">
        <v>150</v>
      </c>
      <c r="Q291" t="b">
        <v>0</v>
      </c>
      <c r="S291" t="s">
        <v>68</v>
      </c>
    </row>
    <row r="292" spans="1:19">
      <c r="A292" t="s">
        <v>622</v>
      </c>
      <c r="B292" t="s">
        <v>623</v>
      </c>
      <c r="C292" s="23" t="s">
        <v>4128</v>
      </c>
      <c r="D292" s="23">
        <v>45063</v>
      </c>
      <c r="E292" s="22">
        <v>5</v>
      </c>
      <c r="F292" s="22">
        <v>17</v>
      </c>
      <c r="G292" s="22">
        <v>2023</v>
      </c>
      <c r="H292" s="23">
        <f t="shared" si="12"/>
        <v>45063</v>
      </c>
      <c r="I292" s="25">
        <v>45086</v>
      </c>
      <c r="J292" s="22">
        <f t="shared" si="13"/>
        <v>23</v>
      </c>
      <c r="K292" t="s">
        <v>58</v>
      </c>
      <c r="L292">
        <v>67690</v>
      </c>
      <c r="M292">
        <v>3372</v>
      </c>
      <c r="N292" s="26">
        <v>3393.83</v>
      </c>
      <c r="O292" s="26">
        <f t="shared" si="14"/>
        <v>3393.83</v>
      </c>
      <c r="P292">
        <v>0</v>
      </c>
      <c r="Q292" t="b">
        <v>0</v>
      </c>
      <c r="S292" t="s">
        <v>59</v>
      </c>
    </row>
    <row r="293" spans="1:19">
      <c r="A293" t="s">
        <v>624</v>
      </c>
      <c r="B293" t="s">
        <v>625</v>
      </c>
      <c r="C293" s="23" t="s">
        <v>4129</v>
      </c>
      <c r="D293" s="23">
        <v>45151</v>
      </c>
      <c r="E293" s="22">
        <v>8</v>
      </c>
      <c r="F293" s="22">
        <v>13</v>
      </c>
      <c r="G293" s="22">
        <v>2023</v>
      </c>
      <c r="H293" s="23">
        <f t="shared" si="12"/>
        <v>45151</v>
      </c>
      <c r="I293" s="25">
        <v>45159</v>
      </c>
      <c r="J293" s="22">
        <f t="shared" si="13"/>
        <v>8</v>
      </c>
      <c r="K293" t="s">
        <v>14</v>
      </c>
      <c r="L293">
        <v>5499</v>
      </c>
      <c r="M293">
        <v>153</v>
      </c>
      <c r="N293" s="26">
        <v>303.37</v>
      </c>
      <c r="O293" s="26">
        <f t="shared" si="14"/>
        <v>303.37</v>
      </c>
      <c r="P293">
        <v>15</v>
      </c>
      <c r="Q293" t="b">
        <v>1</v>
      </c>
      <c r="S293" t="s">
        <v>16</v>
      </c>
    </row>
    <row r="294" spans="1:19">
      <c r="A294" t="s">
        <v>626</v>
      </c>
      <c r="B294" t="s">
        <v>627</v>
      </c>
      <c r="C294" s="23" t="s">
        <v>4128</v>
      </c>
      <c r="D294" s="23">
        <v>44941</v>
      </c>
      <c r="E294" s="22">
        <v>1</v>
      </c>
      <c r="F294" s="22">
        <v>15</v>
      </c>
      <c r="G294" s="22">
        <v>2023</v>
      </c>
      <c r="H294" s="23">
        <f t="shared" si="12"/>
        <v>44941</v>
      </c>
      <c r="I294" s="25">
        <v>44944</v>
      </c>
      <c r="J294" s="22">
        <f t="shared" si="13"/>
        <v>3</v>
      </c>
      <c r="K294" t="s">
        <v>33</v>
      </c>
      <c r="L294">
        <v>7295</v>
      </c>
      <c r="M294">
        <v>170</v>
      </c>
      <c r="N294" s="26">
        <v>91.44</v>
      </c>
      <c r="O294" s="26">
        <f t="shared" si="14"/>
        <v>91.44</v>
      </c>
      <c r="P294">
        <v>14</v>
      </c>
      <c r="Q294" t="b">
        <v>1</v>
      </c>
      <c r="S294" t="s">
        <v>34</v>
      </c>
    </row>
    <row r="295" spans="1:19">
      <c r="A295" t="s">
        <v>628</v>
      </c>
      <c r="B295" t="s">
        <v>629</v>
      </c>
      <c r="C295" s="23" t="s">
        <v>4129</v>
      </c>
      <c r="D295" s="23">
        <v>45049</v>
      </c>
      <c r="E295" s="22">
        <v>5</v>
      </c>
      <c r="F295" s="22">
        <v>3</v>
      </c>
      <c r="G295" s="22">
        <v>2023</v>
      </c>
      <c r="H295" s="23">
        <f t="shared" si="12"/>
        <v>45049</v>
      </c>
      <c r="I295" s="25">
        <v>45074</v>
      </c>
      <c r="J295" s="22">
        <f t="shared" si="13"/>
        <v>25</v>
      </c>
      <c r="K295" t="s">
        <v>14</v>
      </c>
      <c r="L295">
        <v>60040</v>
      </c>
      <c r="M295">
        <v>1994</v>
      </c>
      <c r="N295" s="26">
        <v>1752.66</v>
      </c>
      <c r="O295" s="26">
        <f t="shared" si="14"/>
        <v>1752.66</v>
      </c>
      <c r="P295">
        <v>288</v>
      </c>
      <c r="Q295" t="b">
        <v>0</v>
      </c>
      <c r="S295" t="s">
        <v>16</v>
      </c>
    </row>
    <row r="296" spans="1:19">
      <c r="A296" t="s">
        <v>630</v>
      </c>
      <c r="B296" t="s">
        <v>631</v>
      </c>
      <c r="C296" s="23" t="s">
        <v>4127</v>
      </c>
      <c r="D296" s="23">
        <v>44934</v>
      </c>
      <c r="E296" s="22">
        <v>1</v>
      </c>
      <c r="F296" s="22">
        <v>8</v>
      </c>
      <c r="G296" s="22">
        <v>2023</v>
      </c>
      <c r="H296" s="23">
        <f t="shared" si="12"/>
        <v>44934</v>
      </c>
      <c r="I296" s="25">
        <v>45151</v>
      </c>
      <c r="J296" s="22">
        <f t="shared" si="13"/>
        <v>217</v>
      </c>
      <c r="K296" t="s">
        <v>41</v>
      </c>
      <c r="L296">
        <v>13183</v>
      </c>
      <c r="M296">
        <v>178</v>
      </c>
      <c r="N296" s="26">
        <v>227.86</v>
      </c>
      <c r="O296" s="26">
        <f t="shared" si="14"/>
        <v>227.86</v>
      </c>
      <c r="P296">
        <v>9</v>
      </c>
      <c r="Q296" t="b">
        <v>0</v>
      </c>
      <c r="S296" t="s">
        <v>42</v>
      </c>
    </row>
    <row r="297" spans="1:19">
      <c r="A297" t="s">
        <v>632</v>
      </c>
      <c r="B297" t="s">
        <v>633</v>
      </c>
      <c r="C297" s="23" t="s">
        <v>4127</v>
      </c>
      <c r="D297" s="23">
        <v>44985</v>
      </c>
      <c r="E297" s="22">
        <v>2</v>
      </c>
      <c r="F297" s="22">
        <v>28</v>
      </c>
      <c r="G297" s="22">
        <v>2023</v>
      </c>
      <c r="H297" s="23">
        <f t="shared" si="12"/>
        <v>44985</v>
      </c>
      <c r="I297" s="25">
        <v>44997</v>
      </c>
      <c r="J297" s="22">
        <f t="shared" si="13"/>
        <v>12</v>
      </c>
      <c r="K297" t="s">
        <v>19</v>
      </c>
      <c r="L297">
        <v>30299</v>
      </c>
      <c r="M297">
        <v>1468</v>
      </c>
      <c r="N297" s="26">
        <v>1883.34</v>
      </c>
      <c r="O297" s="26">
        <f t="shared" si="14"/>
        <v>1883.34</v>
      </c>
      <c r="P297">
        <v>232</v>
      </c>
      <c r="Q297" t="b">
        <v>1</v>
      </c>
      <c r="S297" t="s">
        <v>20</v>
      </c>
    </row>
    <row r="298" spans="1:19">
      <c r="A298" t="s">
        <v>634</v>
      </c>
      <c r="B298" t="s">
        <v>635</v>
      </c>
      <c r="C298" s="23" t="s">
        <v>4128</v>
      </c>
      <c r="D298" s="23">
        <v>45005</v>
      </c>
      <c r="E298" s="22">
        <v>3</v>
      </c>
      <c r="F298" s="22">
        <v>20</v>
      </c>
      <c r="G298" s="22">
        <v>2023</v>
      </c>
      <c r="H298" s="23">
        <f t="shared" si="12"/>
        <v>45005</v>
      </c>
      <c r="I298" s="25">
        <v>45016</v>
      </c>
      <c r="J298" s="22">
        <f t="shared" si="13"/>
        <v>11</v>
      </c>
      <c r="K298" t="s">
        <v>19</v>
      </c>
      <c r="L298">
        <v>13874</v>
      </c>
      <c r="M298">
        <v>491</v>
      </c>
      <c r="N298" s="26">
        <v>679.25</v>
      </c>
      <c r="O298" s="26">
        <f t="shared" si="14"/>
        <v>679.25</v>
      </c>
      <c r="P298">
        <v>62</v>
      </c>
      <c r="Q298" t="b">
        <v>0</v>
      </c>
      <c r="S298" t="s">
        <v>20</v>
      </c>
    </row>
    <row r="299" spans="1:19">
      <c r="A299" t="s">
        <v>636</v>
      </c>
      <c r="B299" t="s">
        <v>637</v>
      </c>
      <c r="C299" s="23" t="s">
        <v>4131</v>
      </c>
      <c r="D299" s="23">
        <v>45187</v>
      </c>
      <c r="E299" s="22">
        <v>9</v>
      </c>
      <c r="F299" s="22">
        <v>18</v>
      </c>
      <c r="G299" s="22">
        <v>2023</v>
      </c>
      <c r="H299" s="23">
        <f t="shared" si="12"/>
        <v>45187</v>
      </c>
      <c r="I299" s="25">
        <v>45190</v>
      </c>
      <c r="J299" s="22">
        <f t="shared" si="13"/>
        <v>3</v>
      </c>
      <c r="K299" t="s">
        <v>41</v>
      </c>
      <c r="L299">
        <v>33711</v>
      </c>
      <c r="M299">
        <v>1354</v>
      </c>
      <c r="N299" s="26">
        <v>2203.65</v>
      </c>
      <c r="O299" s="26">
        <f t="shared" si="14"/>
        <v>2203.65</v>
      </c>
      <c r="P299">
        <v>190</v>
      </c>
      <c r="Q299" t="b">
        <v>1</v>
      </c>
      <c r="S299" t="s">
        <v>42</v>
      </c>
    </row>
    <row r="300" spans="1:19">
      <c r="A300" t="s">
        <v>638</v>
      </c>
      <c r="B300" t="s">
        <v>639</v>
      </c>
      <c r="C300" s="23" t="s">
        <v>4129</v>
      </c>
      <c r="D300" s="23">
        <v>45174</v>
      </c>
      <c r="E300" s="22">
        <v>9</v>
      </c>
      <c r="F300" s="22">
        <v>5</v>
      </c>
      <c r="G300" s="22">
        <v>2023</v>
      </c>
      <c r="H300" s="23">
        <f t="shared" si="12"/>
        <v>45174</v>
      </c>
      <c r="I300" s="25">
        <v>45188</v>
      </c>
      <c r="J300" s="22">
        <f t="shared" si="13"/>
        <v>14</v>
      </c>
      <c r="K300" t="s">
        <v>138</v>
      </c>
      <c r="L300">
        <v>6539</v>
      </c>
      <c r="M300">
        <v>109</v>
      </c>
      <c r="N300" s="26">
        <v>156.44</v>
      </c>
      <c r="O300" s="26">
        <f t="shared" si="14"/>
        <v>156.44</v>
      </c>
      <c r="P300">
        <v>15</v>
      </c>
      <c r="Q300" t="b">
        <v>0</v>
      </c>
      <c r="S300" t="s">
        <v>139</v>
      </c>
    </row>
    <row r="301" spans="1:19">
      <c r="A301" t="s">
        <v>640</v>
      </c>
      <c r="B301" t="s">
        <v>641</v>
      </c>
      <c r="C301" s="23" t="s">
        <v>4128</v>
      </c>
      <c r="D301" s="23">
        <v>45209</v>
      </c>
      <c r="E301" s="22">
        <v>10</v>
      </c>
      <c r="F301" s="22">
        <v>10</v>
      </c>
      <c r="G301" s="22">
        <v>2023</v>
      </c>
      <c r="H301" s="23">
        <f t="shared" si="12"/>
        <v>45209</v>
      </c>
      <c r="I301" s="25">
        <v>45220</v>
      </c>
      <c r="J301" s="22">
        <f t="shared" si="13"/>
        <v>11</v>
      </c>
      <c r="K301" t="s">
        <v>41</v>
      </c>
      <c r="L301">
        <v>54351</v>
      </c>
      <c r="M301">
        <v>1433</v>
      </c>
      <c r="N301" s="26">
        <v>2006.8</v>
      </c>
      <c r="O301" s="26">
        <f t="shared" si="14"/>
        <v>2006.8</v>
      </c>
      <c r="P301">
        <v>184</v>
      </c>
      <c r="Q301" t="b">
        <v>1</v>
      </c>
      <c r="S301" t="s">
        <v>42</v>
      </c>
    </row>
    <row r="302" spans="1:19">
      <c r="A302" t="s">
        <v>642</v>
      </c>
      <c r="B302" t="s">
        <v>643</v>
      </c>
      <c r="C302" s="23" t="s">
        <v>4127</v>
      </c>
      <c r="D302" s="23">
        <v>45233</v>
      </c>
      <c r="E302" s="22">
        <v>11</v>
      </c>
      <c r="F302" s="22">
        <v>3</v>
      </c>
      <c r="G302" s="22">
        <v>2023</v>
      </c>
      <c r="H302" s="23">
        <f t="shared" si="12"/>
        <v>45233</v>
      </c>
      <c r="I302" s="25">
        <v>45258</v>
      </c>
      <c r="J302" s="22">
        <f t="shared" si="13"/>
        <v>25</v>
      </c>
      <c r="K302" t="s">
        <v>23</v>
      </c>
      <c r="L302">
        <v>62267</v>
      </c>
      <c r="M302">
        <v>1675</v>
      </c>
      <c r="N302" s="26">
        <v>971.96</v>
      </c>
      <c r="O302" s="26">
        <f t="shared" si="14"/>
        <v>971.96</v>
      </c>
      <c r="P302">
        <v>230</v>
      </c>
      <c r="Q302" t="b">
        <v>1</v>
      </c>
      <c r="S302" t="s">
        <v>25</v>
      </c>
    </row>
    <row r="303" spans="1:19">
      <c r="A303" t="s">
        <v>644</v>
      </c>
      <c r="B303" t="s">
        <v>645</v>
      </c>
      <c r="C303" s="23" t="s">
        <v>4128</v>
      </c>
      <c r="D303" s="23">
        <v>44962</v>
      </c>
      <c r="E303" s="22">
        <v>2</v>
      </c>
      <c r="F303" s="22">
        <v>5</v>
      </c>
      <c r="G303" s="22">
        <v>2023</v>
      </c>
      <c r="H303" s="23">
        <f t="shared" si="12"/>
        <v>44962</v>
      </c>
      <c r="I303" s="25">
        <v>44965</v>
      </c>
      <c r="J303" s="22">
        <f t="shared" si="13"/>
        <v>3</v>
      </c>
      <c r="K303" t="s">
        <v>33</v>
      </c>
      <c r="L303">
        <v>49354</v>
      </c>
      <c r="M303">
        <v>2115</v>
      </c>
      <c r="N303" s="26">
        <v>2252.04</v>
      </c>
      <c r="O303" s="26">
        <f t="shared" si="14"/>
        <v>2252.04</v>
      </c>
      <c r="P303">
        <v>322</v>
      </c>
      <c r="Q303" t="b">
        <v>1</v>
      </c>
      <c r="S303" t="s">
        <v>34</v>
      </c>
    </row>
    <row r="304" spans="1:19">
      <c r="A304" t="s">
        <v>646</v>
      </c>
      <c r="B304" t="s">
        <v>647</v>
      </c>
      <c r="C304" s="23" t="s">
        <v>4127</v>
      </c>
      <c r="D304" s="23">
        <v>45139</v>
      </c>
      <c r="E304" s="22">
        <v>8</v>
      </c>
      <c r="F304" s="22">
        <v>1</v>
      </c>
      <c r="G304" s="22">
        <v>2023</v>
      </c>
      <c r="H304" s="23">
        <f t="shared" si="12"/>
        <v>45139</v>
      </c>
      <c r="I304" s="25">
        <v>45155</v>
      </c>
      <c r="J304" s="22">
        <f t="shared" si="13"/>
        <v>16</v>
      </c>
      <c r="K304" t="s">
        <v>19</v>
      </c>
      <c r="L304">
        <v>3557</v>
      </c>
      <c r="M304">
        <v>35</v>
      </c>
      <c r="N304" s="26">
        <v>29.68</v>
      </c>
      <c r="O304" s="26">
        <f t="shared" si="14"/>
        <v>29.68</v>
      </c>
      <c r="P304">
        <v>5</v>
      </c>
      <c r="Q304" t="b">
        <v>1</v>
      </c>
      <c r="S304" t="s">
        <v>20</v>
      </c>
    </row>
    <row r="305" spans="1:19">
      <c r="A305" t="s">
        <v>648</v>
      </c>
      <c r="B305" t="s">
        <v>649</v>
      </c>
      <c r="C305" s="23" t="s">
        <v>4129</v>
      </c>
      <c r="D305" s="23">
        <v>45063</v>
      </c>
      <c r="E305" s="22">
        <v>5</v>
      </c>
      <c r="F305" s="22">
        <v>17</v>
      </c>
      <c r="G305" s="22">
        <v>2023</v>
      </c>
      <c r="H305" s="23">
        <f t="shared" si="12"/>
        <v>45063</v>
      </c>
      <c r="I305" s="25">
        <v>45058</v>
      </c>
      <c r="J305" s="22">
        <f t="shared" si="13"/>
        <v>-5</v>
      </c>
      <c r="K305" t="s">
        <v>41</v>
      </c>
      <c r="L305">
        <v>39360</v>
      </c>
      <c r="M305">
        <v>867</v>
      </c>
      <c r="N305" s="26">
        <v>778.61</v>
      </c>
      <c r="O305" s="26">
        <f t="shared" si="14"/>
        <v>778.61</v>
      </c>
      <c r="P305">
        <v>137</v>
      </c>
      <c r="Q305" t="b">
        <v>1</v>
      </c>
      <c r="S305" t="s">
        <v>42</v>
      </c>
    </row>
    <row r="306" spans="1:19">
      <c r="A306" t="s">
        <v>650</v>
      </c>
      <c r="B306" t="s">
        <v>651</v>
      </c>
      <c r="C306" s="23" t="s">
        <v>4128</v>
      </c>
      <c r="D306" s="23">
        <v>45079</v>
      </c>
      <c r="E306" s="22">
        <v>6</v>
      </c>
      <c r="F306" s="22">
        <v>2</v>
      </c>
      <c r="G306" s="22">
        <v>2023</v>
      </c>
      <c r="H306" s="23">
        <f t="shared" si="12"/>
        <v>45079</v>
      </c>
      <c r="I306" s="25">
        <v>45097</v>
      </c>
      <c r="J306" s="22">
        <f t="shared" si="13"/>
        <v>18</v>
      </c>
      <c r="K306" t="s">
        <v>19</v>
      </c>
      <c r="L306">
        <v>83018</v>
      </c>
      <c r="M306">
        <v>4088</v>
      </c>
      <c r="N306" s="26">
        <v>5443.2</v>
      </c>
      <c r="O306" s="26">
        <f t="shared" si="14"/>
        <v>3632.575</v>
      </c>
      <c r="P306">
        <v>737</v>
      </c>
      <c r="Q306" t="b">
        <v>0</v>
      </c>
      <c r="S306" t="s">
        <v>20</v>
      </c>
    </row>
    <row r="307" spans="1:19">
      <c r="A307" t="s">
        <v>652</v>
      </c>
      <c r="B307" t="s">
        <v>653</v>
      </c>
      <c r="C307" s="23" t="s">
        <v>4127</v>
      </c>
      <c r="D307" s="23">
        <v>45264</v>
      </c>
      <c r="E307" s="22">
        <v>12</v>
      </c>
      <c r="F307" s="22">
        <v>4</v>
      </c>
      <c r="G307" s="22">
        <v>2023</v>
      </c>
      <c r="H307" s="23">
        <f t="shared" si="12"/>
        <v>45264</v>
      </c>
      <c r="I307" s="25">
        <v>45266</v>
      </c>
      <c r="J307" s="22">
        <f t="shared" si="13"/>
        <v>2</v>
      </c>
      <c r="K307" t="s">
        <v>41</v>
      </c>
      <c r="L307">
        <v>3200</v>
      </c>
      <c r="M307">
        <v>92</v>
      </c>
      <c r="N307" s="26">
        <v>73.53</v>
      </c>
      <c r="O307" s="26">
        <f t="shared" si="14"/>
        <v>73.53</v>
      </c>
      <c r="P307">
        <v>7</v>
      </c>
      <c r="Q307" t="b">
        <v>1</v>
      </c>
      <c r="R307">
        <v>3228</v>
      </c>
      <c r="S307" t="s">
        <v>42</v>
      </c>
    </row>
    <row r="308" spans="1:19">
      <c r="A308" t="s">
        <v>654</v>
      </c>
      <c r="B308" t="s">
        <v>655</v>
      </c>
      <c r="C308" s="23" t="s">
        <v>4127</v>
      </c>
      <c r="D308" s="23">
        <v>45202</v>
      </c>
      <c r="E308" s="22">
        <v>10</v>
      </c>
      <c r="F308" s="22">
        <v>3</v>
      </c>
      <c r="G308" s="22">
        <v>2023</v>
      </c>
      <c r="H308" s="23">
        <f t="shared" si="12"/>
        <v>45202</v>
      </c>
      <c r="I308" s="25">
        <v>45219</v>
      </c>
      <c r="J308" s="22">
        <f t="shared" si="13"/>
        <v>17</v>
      </c>
      <c r="K308" t="s">
        <v>19</v>
      </c>
      <c r="L308">
        <v>69497</v>
      </c>
      <c r="M308">
        <v>1758</v>
      </c>
      <c r="N308" s="26">
        <v>1654.14</v>
      </c>
      <c r="O308" s="26">
        <f t="shared" si="14"/>
        <v>1654.14</v>
      </c>
      <c r="P308">
        <v>193</v>
      </c>
      <c r="Q308" t="b">
        <v>1</v>
      </c>
      <c r="S308" t="s">
        <v>20</v>
      </c>
    </row>
    <row r="309" spans="1:19">
      <c r="A309" t="s">
        <v>656</v>
      </c>
      <c r="B309" t="s">
        <v>657</v>
      </c>
      <c r="C309" s="23" t="s">
        <v>4128</v>
      </c>
      <c r="D309" s="23">
        <v>45205</v>
      </c>
      <c r="E309" s="22">
        <v>10</v>
      </c>
      <c r="F309" s="22">
        <v>6</v>
      </c>
      <c r="G309" s="22">
        <v>2023</v>
      </c>
      <c r="H309" s="23">
        <f t="shared" si="12"/>
        <v>45205</v>
      </c>
      <c r="I309" s="25">
        <v>45219</v>
      </c>
      <c r="J309" s="22">
        <f t="shared" si="13"/>
        <v>14</v>
      </c>
      <c r="K309" t="s">
        <v>14</v>
      </c>
      <c r="L309">
        <v>47975</v>
      </c>
      <c r="M309">
        <v>709</v>
      </c>
      <c r="N309" s="26">
        <v>606.64</v>
      </c>
      <c r="O309" s="26">
        <f t="shared" si="14"/>
        <v>606.64</v>
      </c>
      <c r="P309">
        <v>136</v>
      </c>
      <c r="Q309" t="b">
        <v>0</v>
      </c>
      <c r="S309" t="s">
        <v>16</v>
      </c>
    </row>
    <row r="310" spans="1:19">
      <c r="A310" t="s">
        <v>658</v>
      </c>
      <c r="B310" t="s">
        <v>659</v>
      </c>
      <c r="C310" s="23" t="s">
        <v>4129</v>
      </c>
      <c r="D310" s="23">
        <v>45023</v>
      </c>
      <c r="E310" s="22">
        <v>4</v>
      </c>
      <c r="F310" s="22">
        <v>7</v>
      </c>
      <c r="G310" s="22">
        <v>2023</v>
      </c>
      <c r="H310" s="23">
        <f t="shared" si="12"/>
        <v>45023</v>
      </c>
      <c r="I310" s="25">
        <v>45044</v>
      </c>
      <c r="J310" s="22">
        <f t="shared" si="13"/>
        <v>21</v>
      </c>
      <c r="K310" t="s">
        <v>41</v>
      </c>
      <c r="L310">
        <v>22357</v>
      </c>
      <c r="M310">
        <v>1094</v>
      </c>
      <c r="N310" s="26">
        <v>2103.49</v>
      </c>
      <c r="O310" s="26">
        <f t="shared" si="14"/>
        <v>2103.49</v>
      </c>
      <c r="P310">
        <v>119</v>
      </c>
      <c r="Q310" t="b">
        <v>1</v>
      </c>
      <c r="S310" t="s">
        <v>42</v>
      </c>
    </row>
    <row r="311" spans="1:19">
      <c r="A311" t="s">
        <v>660</v>
      </c>
      <c r="B311" t="s">
        <v>661</v>
      </c>
      <c r="C311" s="23" t="s">
        <v>4127</v>
      </c>
      <c r="D311" s="23">
        <v>45123</v>
      </c>
      <c r="E311" s="22">
        <v>7</v>
      </c>
      <c r="F311" s="22">
        <v>16</v>
      </c>
      <c r="G311" s="22">
        <v>2023</v>
      </c>
      <c r="H311" s="23">
        <f t="shared" si="12"/>
        <v>45123</v>
      </c>
      <c r="I311" s="25">
        <v>45149</v>
      </c>
      <c r="J311" s="22">
        <f t="shared" si="13"/>
        <v>26</v>
      </c>
      <c r="K311" t="s">
        <v>23</v>
      </c>
      <c r="L311">
        <v>78505</v>
      </c>
      <c r="M311">
        <v>847</v>
      </c>
      <c r="N311" s="26">
        <v>1623.7</v>
      </c>
      <c r="O311" s="26">
        <f t="shared" si="14"/>
        <v>1623.7</v>
      </c>
      <c r="P311">
        <v>58</v>
      </c>
      <c r="Q311" t="b">
        <v>1</v>
      </c>
      <c r="S311" t="s">
        <v>25</v>
      </c>
    </row>
    <row r="312" spans="1:19">
      <c r="A312" t="s">
        <v>662</v>
      </c>
      <c r="B312" t="s">
        <v>663</v>
      </c>
      <c r="C312" s="23" t="s">
        <v>4131</v>
      </c>
      <c r="D312" s="23">
        <v>44949</v>
      </c>
      <c r="E312" s="22">
        <v>1</v>
      </c>
      <c r="F312" s="22">
        <v>23</v>
      </c>
      <c r="G312" s="22">
        <v>2023</v>
      </c>
      <c r="H312" s="23">
        <f t="shared" si="12"/>
        <v>44949</v>
      </c>
      <c r="I312" s="25">
        <v>44962</v>
      </c>
      <c r="J312" s="22">
        <f t="shared" si="13"/>
        <v>13</v>
      </c>
      <c r="K312" t="s">
        <v>23</v>
      </c>
      <c r="L312">
        <v>3869</v>
      </c>
      <c r="M312">
        <v>152</v>
      </c>
      <c r="N312" s="26">
        <v>215.07</v>
      </c>
      <c r="O312" s="26">
        <f t="shared" si="14"/>
        <v>215.07</v>
      </c>
      <c r="P312">
        <v>19</v>
      </c>
      <c r="Q312" t="b">
        <v>1</v>
      </c>
      <c r="S312" t="s">
        <v>25</v>
      </c>
    </row>
    <row r="313" spans="1:19">
      <c r="A313" t="s">
        <v>664</v>
      </c>
      <c r="B313" t="s">
        <v>665</v>
      </c>
      <c r="C313" s="23" t="s">
        <v>4127</v>
      </c>
      <c r="D313" s="23">
        <v>45122</v>
      </c>
      <c r="E313" s="22">
        <v>7</v>
      </c>
      <c r="F313" s="22">
        <v>15</v>
      </c>
      <c r="G313" s="22">
        <v>2023</v>
      </c>
      <c r="H313" s="23">
        <f t="shared" si="12"/>
        <v>45122</v>
      </c>
      <c r="I313" s="25">
        <v>45145</v>
      </c>
      <c r="J313" s="22">
        <f t="shared" si="13"/>
        <v>23</v>
      </c>
      <c r="K313" t="s">
        <v>33</v>
      </c>
      <c r="L313">
        <v>62135</v>
      </c>
      <c r="M313">
        <v>2531</v>
      </c>
      <c r="N313" s="26">
        <v>4775.45</v>
      </c>
      <c r="O313" s="26">
        <f t="shared" si="14"/>
        <v>3632.575</v>
      </c>
      <c r="P313">
        <v>168</v>
      </c>
      <c r="Q313" t="b">
        <v>1</v>
      </c>
      <c r="S313" t="s">
        <v>34</v>
      </c>
    </row>
    <row r="314" spans="1:19">
      <c r="A314" t="s">
        <v>666</v>
      </c>
      <c r="B314" t="s">
        <v>667</v>
      </c>
      <c r="C314" s="23" t="s">
        <v>4127</v>
      </c>
      <c r="D314" s="23">
        <v>45260</v>
      </c>
      <c r="E314" s="22">
        <v>11</v>
      </c>
      <c r="F314" s="22">
        <v>30</v>
      </c>
      <c r="G314" s="22">
        <v>2023</v>
      </c>
      <c r="H314" s="23">
        <f t="shared" si="12"/>
        <v>45260</v>
      </c>
      <c r="I314" s="25">
        <v>45265</v>
      </c>
      <c r="J314" s="22">
        <f t="shared" si="13"/>
        <v>5</v>
      </c>
      <c r="K314" t="s">
        <v>41</v>
      </c>
      <c r="L314">
        <v>51108</v>
      </c>
      <c r="M314">
        <v>1009</v>
      </c>
      <c r="N314" s="26">
        <v>1693.83</v>
      </c>
      <c r="O314" s="26">
        <f t="shared" si="14"/>
        <v>1693.83</v>
      </c>
      <c r="P314">
        <v>81</v>
      </c>
      <c r="Q314" t="b">
        <v>0</v>
      </c>
      <c r="S314" t="s">
        <v>42</v>
      </c>
    </row>
    <row r="315" spans="1:19">
      <c r="A315" t="s">
        <v>668</v>
      </c>
      <c r="B315" t="s">
        <v>669</v>
      </c>
      <c r="C315" s="23" t="s">
        <v>4131</v>
      </c>
      <c r="D315" s="23">
        <v>44945</v>
      </c>
      <c r="E315" s="22">
        <v>1</v>
      </c>
      <c r="F315" s="22">
        <v>19</v>
      </c>
      <c r="G315" s="22">
        <v>2023</v>
      </c>
      <c r="H315" s="23">
        <f t="shared" si="12"/>
        <v>44945</v>
      </c>
      <c r="I315" s="25">
        <v>44963</v>
      </c>
      <c r="J315" s="22">
        <f t="shared" si="13"/>
        <v>18</v>
      </c>
      <c r="K315" t="s">
        <v>19</v>
      </c>
      <c r="L315">
        <v>95179</v>
      </c>
      <c r="M315">
        <v>3508</v>
      </c>
      <c r="N315" s="26">
        <v>4858.31</v>
      </c>
      <c r="O315" s="26">
        <f t="shared" si="14"/>
        <v>3632.575</v>
      </c>
      <c r="P315">
        <v>700</v>
      </c>
      <c r="Q315" t="b">
        <v>0</v>
      </c>
      <c r="S315" t="s">
        <v>20</v>
      </c>
    </row>
    <row r="316" spans="1:19">
      <c r="A316" t="s">
        <v>670</v>
      </c>
      <c r="B316" t="s">
        <v>671</v>
      </c>
      <c r="C316" s="23" t="s">
        <v>4131</v>
      </c>
      <c r="D316" s="23">
        <v>45096</v>
      </c>
      <c r="E316" s="22">
        <v>6</v>
      </c>
      <c r="F316" s="22">
        <v>19</v>
      </c>
      <c r="G316" s="22">
        <v>2023</v>
      </c>
      <c r="H316" s="23">
        <f t="shared" si="12"/>
        <v>45096</v>
      </c>
      <c r="I316" s="25">
        <v>45123</v>
      </c>
      <c r="J316" s="22">
        <f t="shared" si="13"/>
        <v>27</v>
      </c>
      <c r="K316" t="s">
        <v>23</v>
      </c>
      <c r="L316">
        <v>91272</v>
      </c>
      <c r="M316">
        <v>1251</v>
      </c>
      <c r="N316" s="26">
        <v>637.58</v>
      </c>
      <c r="O316" s="26">
        <f t="shared" si="14"/>
        <v>637.58</v>
      </c>
      <c r="P316">
        <v>164</v>
      </c>
      <c r="Q316" t="b">
        <v>0</v>
      </c>
      <c r="S316" t="s">
        <v>25</v>
      </c>
    </row>
    <row r="317" spans="1:19">
      <c r="A317" t="s">
        <v>672</v>
      </c>
      <c r="B317" t="s">
        <v>673</v>
      </c>
      <c r="C317" s="23" t="s">
        <v>4128</v>
      </c>
      <c r="D317" s="23" t="s">
        <v>674</v>
      </c>
      <c r="E317" s="22">
        <v>14</v>
      </c>
      <c r="F317" s="22">
        <v>8</v>
      </c>
      <c r="G317" s="22">
        <v>2023</v>
      </c>
      <c r="H317" s="23">
        <f t="shared" si="12"/>
        <v>45152</v>
      </c>
      <c r="I317" s="25">
        <v>45155</v>
      </c>
      <c r="J317" s="22">
        <f t="shared" si="13"/>
        <v>3</v>
      </c>
      <c r="K317" t="s">
        <v>33</v>
      </c>
      <c r="L317">
        <v>39467</v>
      </c>
      <c r="M317">
        <v>800</v>
      </c>
      <c r="N317" s="26">
        <v>1327.02</v>
      </c>
      <c r="O317" s="26">
        <f t="shared" si="14"/>
        <v>1327.02</v>
      </c>
      <c r="P317">
        <v>0</v>
      </c>
      <c r="Q317" t="b">
        <v>0</v>
      </c>
      <c r="S317" t="s">
        <v>34</v>
      </c>
    </row>
    <row r="318" spans="1:19">
      <c r="A318" t="s">
        <v>675</v>
      </c>
      <c r="B318" t="s">
        <v>676</v>
      </c>
      <c r="C318" s="23" t="s">
        <v>4131</v>
      </c>
      <c r="D318" s="23" t="s">
        <v>677</v>
      </c>
      <c r="E318" s="22">
        <v>22</v>
      </c>
      <c r="F318" s="22">
        <v>8</v>
      </c>
      <c r="G318" s="22">
        <v>2023</v>
      </c>
      <c r="H318" s="23">
        <f t="shared" si="12"/>
        <v>45160</v>
      </c>
      <c r="I318" s="25">
        <v>45187</v>
      </c>
      <c r="J318" s="22">
        <f t="shared" si="13"/>
        <v>27</v>
      </c>
      <c r="K318" t="s">
        <v>33</v>
      </c>
      <c r="L318">
        <v>24328</v>
      </c>
      <c r="M318">
        <v>1010</v>
      </c>
      <c r="N318" s="26">
        <v>1569.27</v>
      </c>
      <c r="O318" s="26">
        <f t="shared" si="14"/>
        <v>1569.27</v>
      </c>
      <c r="P318">
        <v>201</v>
      </c>
      <c r="Q318" t="b">
        <v>1</v>
      </c>
      <c r="S318" t="s">
        <v>34</v>
      </c>
    </row>
    <row r="319" spans="1:19">
      <c r="A319" t="s">
        <v>678</v>
      </c>
      <c r="B319" t="s">
        <v>679</v>
      </c>
      <c r="C319" s="23" t="s">
        <v>4127</v>
      </c>
      <c r="D319" s="23">
        <v>45000</v>
      </c>
      <c r="E319" s="22">
        <v>3</v>
      </c>
      <c r="F319" s="22">
        <v>15</v>
      </c>
      <c r="G319" s="22">
        <v>2023</v>
      </c>
      <c r="H319" s="23">
        <f t="shared" si="12"/>
        <v>45000</v>
      </c>
      <c r="I319" s="25">
        <v>45007</v>
      </c>
      <c r="J319" s="22">
        <f t="shared" si="13"/>
        <v>7</v>
      </c>
      <c r="K319" t="s">
        <v>41</v>
      </c>
      <c r="L319">
        <v>92412</v>
      </c>
      <c r="M319">
        <v>4120</v>
      </c>
      <c r="N319" s="26">
        <v>5862.27</v>
      </c>
      <c r="O319" s="26">
        <f t="shared" si="14"/>
        <v>3632.575</v>
      </c>
      <c r="P319">
        <v>803</v>
      </c>
      <c r="Q319" t="b">
        <v>1</v>
      </c>
      <c r="S319" t="s">
        <v>42</v>
      </c>
    </row>
    <row r="320" spans="1:19">
      <c r="A320" t="s">
        <v>680</v>
      </c>
      <c r="B320" t="s">
        <v>681</v>
      </c>
      <c r="C320" s="23" t="s">
        <v>4131</v>
      </c>
      <c r="D320" s="23" t="s">
        <v>682</v>
      </c>
      <c r="E320" s="22">
        <v>21</v>
      </c>
      <c r="F320" s="22">
        <v>3</v>
      </c>
      <c r="G320" s="22">
        <v>2023</v>
      </c>
      <c r="H320" s="23">
        <f t="shared" si="12"/>
        <v>45006</v>
      </c>
      <c r="I320" s="25">
        <v>45021</v>
      </c>
      <c r="J320" s="22">
        <f t="shared" si="13"/>
        <v>15</v>
      </c>
      <c r="K320" t="s">
        <v>14</v>
      </c>
      <c r="L320">
        <v>87831</v>
      </c>
      <c r="M320">
        <v>3016</v>
      </c>
      <c r="N320" s="26">
        <v>4948.16</v>
      </c>
      <c r="O320" s="26">
        <f t="shared" si="14"/>
        <v>3632.575</v>
      </c>
      <c r="P320">
        <v>350</v>
      </c>
      <c r="Q320" t="b">
        <v>0</v>
      </c>
      <c r="S320" t="s">
        <v>16</v>
      </c>
    </row>
    <row r="321" spans="1:19">
      <c r="A321" t="s">
        <v>683</v>
      </c>
      <c r="B321" t="s">
        <v>684</v>
      </c>
      <c r="C321" s="23" t="s">
        <v>4128</v>
      </c>
      <c r="D321" s="23">
        <v>45062</v>
      </c>
      <c r="E321" s="22">
        <v>5</v>
      </c>
      <c r="F321" s="22">
        <v>16</v>
      </c>
      <c r="G321" s="22">
        <v>2023</v>
      </c>
      <c r="H321" s="23">
        <f t="shared" si="12"/>
        <v>45062</v>
      </c>
      <c r="I321" s="25">
        <v>45068</v>
      </c>
      <c r="J321" s="22">
        <f t="shared" si="13"/>
        <v>6</v>
      </c>
      <c r="K321" t="s">
        <v>19</v>
      </c>
      <c r="L321">
        <v>4987</v>
      </c>
      <c r="M321">
        <v>150</v>
      </c>
      <c r="N321" s="26">
        <v>190.41</v>
      </c>
      <c r="O321" s="26">
        <f t="shared" si="14"/>
        <v>190.41</v>
      </c>
      <c r="P321">
        <v>13</v>
      </c>
      <c r="Q321" t="b">
        <v>0</v>
      </c>
      <c r="S321" t="s">
        <v>20</v>
      </c>
    </row>
    <row r="322" spans="1:19">
      <c r="A322" t="s">
        <v>685</v>
      </c>
      <c r="B322" t="s">
        <v>686</v>
      </c>
      <c r="C322" s="23" t="s">
        <v>4131</v>
      </c>
      <c r="D322" s="23" t="s">
        <v>687</v>
      </c>
      <c r="E322" s="22">
        <v>29</v>
      </c>
      <c r="F322" s="22">
        <v>11</v>
      </c>
      <c r="G322" s="22">
        <v>2023</v>
      </c>
      <c r="H322" s="23">
        <f t="shared" si="12"/>
        <v>45259</v>
      </c>
      <c r="I322" s="25">
        <v>45263</v>
      </c>
      <c r="J322" s="22">
        <f t="shared" si="13"/>
        <v>4</v>
      </c>
      <c r="K322" t="s">
        <v>14</v>
      </c>
      <c r="L322">
        <v>59871</v>
      </c>
      <c r="M322">
        <v>980</v>
      </c>
      <c r="N322" s="26">
        <v>1525</v>
      </c>
      <c r="O322" s="26">
        <f t="shared" si="14"/>
        <v>1525</v>
      </c>
      <c r="P322">
        <v>172</v>
      </c>
      <c r="Q322" t="b">
        <v>0</v>
      </c>
      <c r="S322" t="s">
        <v>16</v>
      </c>
    </row>
    <row r="323" spans="1:19">
      <c r="A323" t="s">
        <v>688</v>
      </c>
      <c r="B323" t="s">
        <v>689</v>
      </c>
      <c r="C323" s="23" t="s">
        <v>4127</v>
      </c>
      <c r="D323" s="23">
        <v>45095</v>
      </c>
      <c r="E323" s="22">
        <v>6</v>
      </c>
      <c r="F323" s="22">
        <v>18</v>
      </c>
      <c r="G323" s="22">
        <v>2023</v>
      </c>
      <c r="H323" s="23">
        <f t="shared" ref="H323:H386" si="15">IF(E323&gt;12,DATE(G323,F323,E323),D323)</f>
        <v>45095</v>
      </c>
      <c r="I323" s="25">
        <v>45120</v>
      </c>
      <c r="J323" s="22">
        <f t="shared" ref="J323:J386" si="16">DATEDIF(H323,I323,"D")</f>
        <v>25</v>
      </c>
      <c r="K323" t="s">
        <v>23</v>
      </c>
      <c r="L323">
        <v>23399</v>
      </c>
      <c r="M323">
        <v>293</v>
      </c>
      <c r="N323" s="26">
        <v>557.51</v>
      </c>
      <c r="O323" s="26">
        <f t="shared" ref="O323:O386" si="17">IF(N323&lt;$W$8,$W$8,IF(N323&gt;$W$9,$W$9,N323))</f>
        <v>557.51</v>
      </c>
      <c r="P323">
        <v>46</v>
      </c>
      <c r="Q323" t="b">
        <v>1</v>
      </c>
      <c r="S323" t="s">
        <v>25</v>
      </c>
    </row>
    <row r="324" spans="1:19">
      <c r="A324" t="s">
        <v>690</v>
      </c>
      <c r="B324" t="s">
        <v>691</v>
      </c>
      <c r="C324" s="23" t="s">
        <v>4127</v>
      </c>
      <c r="D324" s="23">
        <v>45121</v>
      </c>
      <c r="E324" s="22">
        <v>7</v>
      </c>
      <c r="F324" s="22">
        <v>14</v>
      </c>
      <c r="G324" s="22">
        <v>2023</v>
      </c>
      <c r="H324" s="23">
        <f t="shared" si="15"/>
        <v>45121</v>
      </c>
      <c r="I324" s="25">
        <v>45151</v>
      </c>
      <c r="J324" s="22">
        <f t="shared" si="16"/>
        <v>30</v>
      </c>
      <c r="K324" t="s">
        <v>138</v>
      </c>
      <c r="L324">
        <v>47214</v>
      </c>
      <c r="M324">
        <v>694</v>
      </c>
      <c r="N324" s="26">
        <v>738.21</v>
      </c>
      <c r="O324" s="26">
        <f t="shared" si="17"/>
        <v>738.21</v>
      </c>
      <c r="P324">
        <v>106</v>
      </c>
      <c r="Q324" t="b">
        <v>1</v>
      </c>
      <c r="S324" t="s">
        <v>139</v>
      </c>
    </row>
    <row r="325" spans="1:19">
      <c r="A325" t="s">
        <v>692</v>
      </c>
      <c r="B325" t="s">
        <v>693</v>
      </c>
      <c r="C325" s="23" t="s">
        <v>4129</v>
      </c>
      <c r="D325" s="23">
        <v>45176</v>
      </c>
      <c r="E325" s="22">
        <v>9</v>
      </c>
      <c r="F325" s="22">
        <v>7</v>
      </c>
      <c r="G325" s="22">
        <v>2023</v>
      </c>
      <c r="H325" s="23">
        <f t="shared" si="15"/>
        <v>45176</v>
      </c>
      <c r="I325" s="25">
        <v>45144</v>
      </c>
      <c r="J325" s="22">
        <f t="shared" si="16"/>
        <v>-32</v>
      </c>
      <c r="K325" t="s">
        <v>23</v>
      </c>
      <c r="L325">
        <v>87416</v>
      </c>
      <c r="M325">
        <v>1669</v>
      </c>
      <c r="N325" s="26">
        <v>2607.28</v>
      </c>
      <c r="O325" s="26">
        <f t="shared" si="17"/>
        <v>2607.28</v>
      </c>
      <c r="P325">
        <v>307</v>
      </c>
      <c r="Q325" t="b">
        <v>1</v>
      </c>
      <c r="S325" t="s">
        <v>25</v>
      </c>
    </row>
    <row r="326" spans="1:19">
      <c r="A326" t="s">
        <v>694</v>
      </c>
      <c r="B326" t="s">
        <v>695</v>
      </c>
      <c r="C326" s="23" t="s">
        <v>4131</v>
      </c>
      <c r="D326" s="23">
        <v>44962</v>
      </c>
      <c r="E326" s="22">
        <v>2</v>
      </c>
      <c r="F326" s="22">
        <v>5</v>
      </c>
      <c r="G326" s="22">
        <v>2023</v>
      </c>
      <c r="H326" s="23">
        <f t="shared" si="15"/>
        <v>44962</v>
      </c>
      <c r="I326" s="25">
        <v>44971</v>
      </c>
      <c r="J326" s="22">
        <f t="shared" si="16"/>
        <v>9</v>
      </c>
      <c r="K326" t="s">
        <v>14</v>
      </c>
      <c r="L326">
        <v>71271</v>
      </c>
      <c r="M326">
        <v>1686</v>
      </c>
      <c r="N326" s="26">
        <v>2046.01</v>
      </c>
      <c r="O326" s="26">
        <f t="shared" si="17"/>
        <v>2046.01</v>
      </c>
      <c r="P326">
        <v>258</v>
      </c>
      <c r="Q326" t="b">
        <v>1</v>
      </c>
      <c r="S326" t="s">
        <v>16</v>
      </c>
    </row>
    <row r="327" spans="1:19">
      <c r="A327" t="s">
        <v>696</v>
      </c>
      <c r="B327" t="s">
        <v>697</v>
      </c>
      <c r="C327" s="23" t="s">
        <v>4129</v>
      </c>
      <c r="D327" s="23">
        <v>45074</v>
      </c>
      <c r="E327" s="22">
        <v>5</v>
      </c>
      <c r="F327" s="22">
        <v>28</v>
      </c>
      <c r="G327" s="22">
        <v>2023</v>
      </c>
      <c r="H327" s="23">
        <f t="shared" si="15"/>
        <v>45074</v>
      </c>
      <c r="I327" s="25">
        <v>45082</v>
      </c>
      <c r="J327" s="22">
        <f t="shared" si="16"/>
        <v>8</v>
      </c>
      <c r="K327" t="s">
        <v>19</v>
      </c>
      <c r="L327">
        <v>45064</v>
      </c>
      <c r="M327">
        <v>1137</v>
      </c>
      <c r="N327" s="26">
        <v>1718.69</v>
      </c>
      <c r="O327" s="26">
        <f t="shared" si="17"/>
        <v>1718.69</v>
      </c>
      <c r="P327">
        <v>105</v>
      </c>
      <c r="Q327" t="b">
        <v>1</v>
      </c>
      <c r="S327" t="s">
        <v>20</v>
      </c>
    </row>
    <row r="328" spans="1:19">
      <c r="A328" t="s">
        <v>698</v>
      </c>
      <c r="B328" t="s">
        <v>699</v>
      </c>
      <c r="C328" s="23" t="s">
        <v>4127</v>
      </c>
      <c r="D328" s="23">
        <v>45149</v>
      </c>
      <c r="E328" s="22">
        <v>8</v>
      </c>
      <c r="F328" s="22">
        <v>11</v>
      </c>
      <c r="G328" s="22">
        <v>2023</v>
      </c>
      <c r="H328" s="23">
        <f t="shared" si="15"/>
        <v>45149</v>
      </c>
      <c r="I328" s="25">
        <v>45157</v>
      </c>
      <c r="J328" s="22">
        <f t="shared" si="16"/>
        <v>8</v>
      </c>
      <c r="K328" t="s">
        <v>138</v>
      </c>
      <c r="L328">
        <v>71091</v>
      </c>
      <c r="M328">
        <v>1695</v>
      </c>
      <c r="N328" s="26">
        <v>2787.16</v>
      </c>
      <c r="O328" s="26">
        <f t="shared" si="17"/>
        <v>2787.16</v>
      </c>
      <c r="P328">
        <v>261</v>
      </c>
      <c r="Q328" t="b">
        <v>0</v>
      </c>
      <c r="S328" t="s">
        <v>139</v>
      </c>
    </row>
    <row r="329" spans="1:19">
      <c r="A329" t="s">
        <v>700</v>
      </c>
      <c r="B329" t="s">
        <v>701</v>
      </c>
      <c r="C329" s="23" t="s">
        <v>4131</v>
      </c>
      <c r="D329" s="23">
        <v>45287</v>
      </c>
      <c r="E329" s="22">
        <v>12</v>
      </c>
      <c r="F329" s="22">
        <v>27</v>
      </c>
      <c r="G329" s="22">
        <v>2023</v>
      </c>
      <c r="H329" s="23">
        <f t="shared" si="15"/>
        <v>45287</v>
      </c>
      <c r="I329" s="25">
        <v>45289</v>
      </c>
      <c r="J329" s="22">
        <f t="shared" si="16"/>
        <v>2</v>
      </c>
      <c r="K329" t="s">
        <v>14</v>
      </c>
      <c r="L329">
        <v>41818</v>
      </c>
      <c r="M329">
        <v>818</v>
      </c>
      <c r="N329" s="26">
        <v>464.77</v>
      </c>
      <c r="O329" s="26">
        <f t="shared" si="17"/>
        <v>464.77</v>
      </c>
      <c r="P329">
        <v>78</v>
      </c>
      <c r="Q329" t="b">
        <v>0</v>
      </c>
      <c r="S329" t="s">
        <v>16</v>
      </c>
    </row>
    <row r="330" spans="1:19">
      <c r="A330" t="s">
        <v>702</v>
      </c>
      <c r="B330" t="s">
        <v>703</v>
      </c>
      <c r="C330" s="23" t="s">
        <v>4127</v>
      </c>
      <c r="D330" s="23">
        <v>45282</v>
      </c>
      <c r="E330" s="22">
        <v>12</v>
      </c>
      <c r="F330" s="22">
        <v>22</v>
      </c>
      <c r="G330" s="22">
        <v>2023</v>
      </c>
      <c r="H330" s="23">
        <f t="shared" si="15"/>
        <v>45282</v>
      </c>
      <c r="I330" s="25">
        <v>45303</v>
      </c>
      <c r="J330" s="22">
        <f t="shared" si="16"/>
        <v>21</v>
      </c>
      <c r="K330" t="s">
        <v>41</v>
      </c>
      <c r="L330">
        <v>46525</v>
      </c>
      <c r="M330">
        <v>1413</v>
      </c>
      <c r="N330" s="26">
        <v>2076.97</v>
      </c>
      <c r="O330" s="26">
        <f t="shared" si="17"/>
        <v>2076.97</v>
      </c>
      <c r="P330">
        <v>231</v>
      </c>
      <c r="Q330" t="b">
        <v>0</v>
      </c>
      <c r="S330" t="s">
        <v>42</v>
      </c>
    </row>
    <row r="331" spans="1:19">
      <c r="A331" t="s">
        <v>704</v>
      </c>
      <c r="B331" t="s">
        <v>705</v>
      </c>
      <c r="C331" s="23" t="s">
        <v>4127</v>
      </c>
      <c r="D331" s="23">
        <v>45093</v>
      </c>
      <c r="E331" s="22">
        <v>6</v>
      </c>
      <c r="F331" s="22">
        <v>16</v>
      </c>
      <c r="G331" s="22">
        <v>2023</v>
      </c>
      <c r="H331" s="23">
        <f t="shared" si="15"/>
        <v>45093</v>
      </c>
      <c r="I331" s="25">
        <v>45115</v>
      </c>
      <c r="J331" s="22">
        <f t="shared" si="16"/>
        <v>22</v>
      </c>
      <c r="K331" t="s">
        <v>19</v>
      </c>
      <c r="L331">
        <v>20830</v>
      </c>
      <c r="M331">
        <v>895</v>
      </c>
      <c r="N331" s="26">
        <v>751.9</v>
      </c>
      <c r="O331" s="26">
        <f t="shared" si="17"/>
        <v>751.9</v>
      </c>
      <c r="P331">
        <v>127</v>
      </c>
      <c r="Q331" t="b">
        <v>0</v>
      </c>
      <c r="S331" t="s">
        <v>20</v>
      </c>
    </row>
    <row r="332" spans="1:19">
      <c r="A332" t="s">
        <v>706</v>
      </c>
      <c r="B332" t="s">
        <v>707</v>
      </c>
      <c r="C332" s="23" t="s">
        <v>4127</v>
      </c>
      <c r="D332" s="23">
        <v>45118</v>
      </c>
      <c r="E332" s="22">
        <v>7</v>
      </c>
      <c r="F332" s="22">
        <v>11</v>
      </c>
      <c r="G332" s="22">
        <v>2023</v>
      </c>
      <c r="H332" s="23">
        <f t="shared" si="15"/>
        <v>45118</v>
      </c>
      <c r="I332" s="25">
        <v>45136</v>
      </c>
      <c r="J332" s="22">
        <f t="shared" si="16"/>
        <v>18</v>
      </c>
      <c r="K332" t="s">
        <v>41</v>
      </c>
      <c r="L332">
        <v>18429</v>
      </c>
      <c r="M332">
        <v>390</v>
      </c>
      <c r="N332" s="26">
        <v>586.97</v>
      </c>
      <c r="O332" s="26">
        <f t="shared" si="17"/>
        <v>586.97</v>
      </c>
      <c r="P332">
        <v>24</v>
      </c>
      <c r="Q332" t="b">
        <v>0</v>
      </c>
      <c r="S332" t="s">
        <v>42</v>
      </c>
    </row>
    <row r="333" spans="1:19">
      <c r="A333" t="s">
        <v>708</v>
      </c>
      <c r="B333" t="s">
        <v>709</v>
      </c>
      <c r="C333" s="23" t="s">
        <v>4127</v>
      </c>
      <c r="D333" s="23">
        <v>45137</v>
      </c>
      <c r="E333" s="22">
        <v>7</v>
      </c>
      <c r="F333" s="22">
        <v>30</v>
      </c>
      <c r="G333" s="22">
        <v>2023</v>
      </c>
      <c r="H333" s="23">
        <f t="shared" si="15"/>
        <v>45137</v>
      </c>
      <c r="I333" s="25">
        <v>45138</v>
      </c>
      <c r="J333" s="22">
        <f t="shared" si="16"/>
        <v>1</v>
      </c>
      <c r="K333" t="s">
        <v>33</v>
      </c>
      <c r="L333">
        <v>7893</v>
      </c>
      <c r="M333">
        <v>376</v>
      </c>
      <c r="N333" s="26">
        <v>452.14</v>
      </c>
      <c r="O333" s="26">
        <f t="shared" si="17"/>
        <v>452.14</v>
      </c>
      <c r="P333">
        <v>47</v>
      </c>
      <c r="Q333" t="b">
        <v>0</v>
      </c>
      <c r="S333" t="s">
        <v>34</v>
      </c>
    </row>
    <row r="334" spans="1:19">
      <c r="A334" t="s">
        <v>710</v>
      </c>
      <c r="B334" t="s">
        <v>711</v>
      </c>
      <c r="C334" s="23" t="s">
        <v>4131</v>
      </c>
      <c r="D334" s="23">
        <v>45014</v>
      </c>
      <c r="E334" s="22">
        <v>3</v>
      </c>
      <c r="F334" s="22">
        <v>29</v>
      </c>
      <c r="G334" s="22">
        <v>2023</v>
      </c>
      <c r="H334" s="23">
        <f t="shared" si="15"/>
        <v>45014</v>
      </c>
      <c r="I334" s="25">
        <v>45016</v>
      </c>
      <c r="J334" s="22">
        <f t="shared" si="16"/>
        <v>2</v>
      </c>
      <c r="K334" t="s">
        <v>33</v>
      </c>
      <c r="L334">
        <v>80909</v>
      </c>
      <c r="M334">
        <v>3635</v>
      </c>
      <c r="N334" s="26">
        <v>6035.3</v>
      </c>
      <c r="O334" s="26">
        <f t="shared" si="17"/>
        <v>3632.575</v>
      </c>
      <c r="P334">
        <v>368</v>
      </c>
      <c r="Q334" t="b">
        <v>0</v>
      </c>
      <c r="S334" t="s">
        <v>34</v>
      </c>
    </row>
    <row r="335" spans="1:19">
      <c r="A335" t="s">
        <v>712</v>
      </c>
      <c r="B335" t="s">
        <v>713</v>
      </c>
      <c r="C335" s="23" t="s">
        <v>4131</v>
      </c>
      <c r="D335" s="23">
        <v>45122</v>
      </c>
      <c r="E335" s="22">
        <v>7</v>
      </c>
      <c r="F335" s="22">
        <v>15</v>
      </c>
      <c r="G335" s="22">
        <v>2023</v>
      </c>
      <c r="H335" s="23">
        <f t="shared" si="15"/>
        <v>45122</v>
      </c>
      <c r="I335" s="25">
        <v>45143</v>
      </c>
      <c r="J335" s="22">
        <f t="shared" si="16"/>
        <v>21</v>
      </c>
      <c r="K335" t="s">
        <v>19</v>
      </c>
      <c r="L335">
        <v>48333</v>
      </c>
      <c r="M335">
        <v>796</v>
      </c>
      <c r="N335" s="26">
        <v>545.34</v>
      </c>
      <c r="O335" s="26">
        <f t="shared" si="17"/>
        <v>545.34</v>
      </c>
      <c r="P335">
        <v>79</v>
      </c>
      <c r="Q335" t="b">
        <v>1</v>
      </c>
      <c r="S335" t="s">
        <v>20</v>
      </c>
    </row>
    <row r="336" spans="1:19">
      <c r="A336" t="s">
        <v>714</v>
      </c>
      <c r="B336" t="s">
        <v>715</v>
      </c>
      <c r="C336" s="23" t="s">
        <v>4129</v>
      </c>
      <c r="D336" s="23">
        <v>45225</v>
      </c>
      <c r="E336" s="22">
        <v>10</v>
      </c>
      <c r="F336" s="22">
        <v>26</v>
      </c>
      <c r="G336" s="22">
        <v>2023</v>
      </c>
      <c r="H336" s="23">
        <f t="shared" si="15"/>
        <v>45225</v>
      </c>
      <c r="I336" s="25">
        <v>45252</v>
      </c>
      <c r="J336" s="22">
        <f t="shared" si="16"/>
        <v>27</v>
      </c>
      <c r="K336" t="s">
        <v>23</v>
      </c>
      <c r="L336">
        <v>4436</v>
      </c>
      <c r="M336">
        <v>183</v>
      </c>
      <c r="N336" s="26">
        <v>263.43</v>
      </c>
      <c r="O336" s="26">
        <f t="shared" si="17"/>
        <v>263.43</v>
      </c>
      <c r="P336">
        <v>25</v>
      </c>
      <c r="Q336" t="b">
        <v>0</v>
      </c>
      <c r="S336" t="s">
        <v>25</v>
      </c>
    </row>
    <row r="337" spans="1:19">
      <c r="A337" t="s">
        <v>716</v>
      </c>
      <c r="B337" t="s">
        <v>717</v>
      </c>
      <c r="C337" s="23" t="s">
        <v>4127</v>
      </c>
      <c r="D337" s="23">
        <v>45057</v>
      </c>
      <c r="E337" s="22">
        <v>5</v>
      </c>
      <c r="F337" s="22">
        <v>11</v>
      </c>
      <c r="G337" s="22">
        <v>2023</v>
      </c>
      <c r="H337" s="23">
        <f t="shared" si="15"/>
        <v>45057</v>
      </c>
      <c r="I337" s="25">
        <v>45080</v>
      </c>
      <c r="J337" s="22">
        <f t="shared" si="16"/>
        <v>23</v>
      </c>
      <c r="K337" t="s">
        <v>14</v>
      </c>
      <c r="L337">
        <v>75290</v>
      </c>
      <c r="M337">
        <v>2483</v>
      </c>
      <c r="N337" s="26">
        <v>2278.66</v>
      </c>
      <c r="O337" s="26">
        <f t="shared" si="17"/>
        <v>2278.66</v>
      </c>
      <c r="P337">
        <v>244</v>
      </c>
      <c r="Q337" t="b">
        <v>1</v>
      </c>
      <c r="S337" t="s">
        <v>16</v>
      </c>
    </row>
    <row r="338" spans="1:19">
      <c r="A338" t="s">
        <v>718</v>
      </c>
      <c r="B338" t="s">
        <v>719</v>
      </c>
      <c r="C338" s="23" t="s">
        <v>4131</v>
      </c>
      <c r="D338" s="23">
        <v>45165</v>
      </c>
      <c r="E338" s="22">
        <v>8</v>
      </c>
      <c r="F338" s="22">
        <v>27</v>
      </c>
      <c r="G338" s="22">
        <v>2023</v>
      </c>
      <c r="H338" s="23">
        <f t="shared" si="15"/>
        <v>45165</v>
      </c>
      <c r="I338" s="25">
        <v>45173</v>
      </c>
      <c r="J338" s="22">
        <f t="shared" si="16"/>
        <v>8</v>
      </c>
      <c r="K338" t="s">
        <v>14</v>
      </c>
      <c r="L338">
        <v>77213</v>
      </c>
      <c r="M338">
        <v>2522</v>
      </c>
      <c r="N338" s="26">
        <v>4487.83</v>
      </c>
      <c r="O338" s="26">
        <f t="shared" si="17"/>
        <v>3632.575</v>
      </c>
      <c r="P338">
        <v>419</v>
      </c>
      <c r="Q338" t="b">
        <v>1</v>
      </c>
      <c r="S338" t="s">
        <v>16</v>
      </c>
    </row>
    <row r="339" spans="1:19">
      <c r="A339" t="s">
        <v>720</v>
      </c>
      <c r="B339" t="s">
        <v>721</v>
      </c>
      <c r="C339" s="23" t="s">
        <v>4128</v>
      </c>
      <c r="D339" s="23" t="s">
        <v>722</v>
      </c>
      <c r="E339" s="22">
        <v>22</v>
      </c>
      <c r="F339" s="22">
        <v>3</v>
      </c>
      <c r="G339" s="22">
        <v>2023</v>
      </c>
      <c r="H339" s="23">
        <f t="shared" si="15"/>
        <v>45007</v>
      </c>
      <c r="I339" s="25">
        <v>45023</v>
      </c>
      <c r="J339" s="22">
        <f t="shared" si="16"/>
        <v>16</v>
      </c>
      <c r="K339" t="s">
        <v>19</v>
      </c>
      <c r="L339">
        <v>6895</v>
      </c>
      <c r="M339">
        <v>176</v>
      </c>
      <c r="N339" s="26">
        <v>333.09</v>
      </c>
      <c r="O339" s="26">
        <f t="shared" si="17"/>
        <v>333.09</v>
      </c>
      <c r="P339">
        <v>10</v>
      </c>
      <c r="Q339" t="b">
        <v>0</v>
      </c>
      <c r="S339" t="s">
        <v>20</v>
      </c>
    </row>
    <row r="340" spans="1:19">
      <c r="A340" t="s">
        <v>723</v>
      </c>
      <c r="B340" t="s">
        <v>724</v>
      </c>
      <c r="C340" s="23" t="s">
        <v>4127</v>
      </c>
      <c r="D340" s="23">
        <v>45103</v>
      </c>
      <c r="E340" s="22">
        <v>6</v>
      </c>
      <c r="F340" s="22">
        <v>26</v>
      </c>
      <c r="G340" s="22">
        <v>2023</v>
      </c>
      <c r="H340" s="23">
        <f t="shared" si="15"/>
        <v>45103</v>
      </c>
      <c r="I340" s="25">
        <v>45105</v>
      </c>
      <c r="J340" s="22">
        <f t="shared" si="16"/>
        <v>2</v>
      </c>
      <c r="K340" t="s">
        <v>266</v>
      </c>
      <c r="L340">
        <v>20738</v>
      </c>
      <c r="M340">
        <v>623</v>
      </c>
      <c r="N340" s="26">
        <v>1242.63</v>
      </c>
      <c r="O340" s="26">
        <f t="shared" si="17"/>
        <v>1242.63</v>
      </c>
      <c r="P340">
        <v>92</v>
      </c>
      <c r="Q340" t="b">
        <v>1</v>
      </c>
      <c r="S340" t="s">
        <v>20</v>
      </c>
    </row>
    <row r="341" spans="1:19">
      <c r="A341" t="s">
        <v>725</v>
      </c>
      <c r="B341" t="s">
        <v>726</v>
      </c>
      <c r="C341" s="23" t="s">
        <v>4128</v>
      </c>
      <c r="D341" s="23">
        <v>45144</v>
      </c>
      <c r="E341" s="22">
        <v>8</v>
      </c>
      <c r="F341" s="22">
        <v>6</v>
      </c>
      <c r="G341" s="22">
        <v>2023</v>
      </c>
      <c r="H341" s="23">
        <f t="shared" si="15"/>
        <v>45144</v>
      </c>
      <c r="I341" s="25">
        <v>45146</v>
      </c>
      <c r="J341" s="22">
        <f t="shared" si="16"/>
        <v>2</v>
      </c>
      <c r="K341" t="s">
        <v>33</v>
      </c>
      <c r="L341">
        <v>31746</v>
      </c>
      <c r="M341">
        <v>821</v>
      </c>
      <c r="N341" s="26">
        <v>1390.78</v>
      </c>
      <c r="O341" s="26">
        <f t="shared" si="17"/>
        <v>1390.78</v>
      </c>
      <c r="P341">
        <v>140</v>
      </c>
      <c r="Q341" t="b">
        <v>1</v>
      </c>
      <c r="S341" t="s">
        <v>34</v>
      </c>
    </row>
    <row r="342" spans="1:19">
      <c r="A342" t="s">
        <v>727</v>
      </c>
      <c r="B342" t="s">
        <v>728</v>
      </c>
      <c r="C342" s="23" t="s">
        <v>4131</v>
      </c>
      <c r="D342" s="23">
        <v>45081</v>
      </c>
      <c r="E342" s="22">
        <v>6</v>
      </c>
      <c r="F342" s="22">
        <v>4</v>
      </c>
      <c r="G342" s="22">
        <v>2023</v>
      </c>
      <c r="H342" s="23">
        <f t="shared" si="15"/>
        <v>45081</v>
      </c>
      <c r="I342" s="25">
        <v>45089</v>
      </c>
      <c r="J342" s="22">
        <f t="shared" si="16"/>
        <v>8</v>
      </c>
      <c r="K342" t="s">
        <v>23</v>
      </c>
      <c r="L342">
        <v>50377</v>
      </c>
      <c r="M342">
        <v>1591</v>
      </c>
      <c r="N342" s="26">
        <v>2594.29</v>
      </c>
      <c r="O342" s="26">
        <f t="shared" si="17"/>
        <v>2594.29</v>
      </c>
      <c r="P342">
        <v>240</v>
      </c>
      <c r="Q342" t="b">
        <v>1</v>
      </c>
      <c r="S342" t="s">
        <v>25</v>
      </c>
    </row>
    <row r="343" spans="1:19">
      <c r="A343" t="s">
        <v>729</v>
      </c>
      <c r="B343" t="s">
        <v>730</v>
      </c>
      <c r="C343" s="23" t="s">
        <v>4128</v>
      </c>
      <c r="D343" s="23">
        <v>45174</v>
      </c>
      <c r="E343" s="22">
        <v>9</v>
      </c>
      <c r="F343" s="22">
        <v>5</v>
      </c>
      <c r="G343" s="22">
        <v>2023</v>
      </c>
      <c r="H343" s="23">
        <f t="shared" si="15"/>
        <v>45174</v>
      </c>
      <c r="I343" s="25">
        <v>45199</v>
      </c>
      <c r="J343" s="22">
        <f t="shared" si="16"/>
        <v>25</v>
      </c>
      <c r="K343" t="s">
        <v>14</v>
      </c>
      <c r="L343">
        <v>49404</v>
      </c>
      <c r="M343">
        <v>1734</v>
      </c>
      <c r="N343" s="26">
        <v>1427.52</v>
      </c>
      <c r="O343" s="26">
        <f t="shared" si="17"/>
        <v>1427.52</v>
      </c>
      <c r="P343">
        <v>216</v>
      </c>
      <c r="Q343" t="b">
        <v>1</v>
      </c>
      <c r="S343" t="s">
        <v>16</v>
      </c>
    </row>
    <row r="344" spans="1:19">
      <c r="A344" t="s">
        <v>731</v>
      </c>
      <c r="B344" t="s">
        <v>732</v>
      </c>
      <c r="C344" s="23" t="s">
        <v>4127</v>
      </c>
      <c r="D344" s="23">
        <v>45110</v>
      </c>
      <c r="E344" s="22">
        <v>7</v>
      </c>
      <c r="F344" s="22">
        <v>3</v>
      </c>
      <c r="G344" s="22">
        <v>2023</v>
      </c>
      <c r="H344" s="23">
        <f t="shared" si="15"/>
        <v>45110</v>
      </c>
      <c r="I344" s="25">
        <v>45118</v>
      </c>
      <c r="J344" s="22">
        <f t="shared" si="16"/>
        <v>8</v>
      </c>
      <c r="K344" t="s">
        <v>41</v>
      </c>
      <c r="L344">
        <v>55045</v>
      </c>
      <c r="M344">
        <v>2035</v>
      </c>
      <c r="N344" s="26">
        <v>2043.16</v>
      </c>
      <c r="O344" s="26">
        <f t="shared" si="17"/>
        <v>2043.16</v>
      </c>
      <c r="P344">
        <v>391</v>
      </c>
      <c r="Q344" t="b">
        <v>0</v>
      </c>
      <c r="S344" t="s">
        <v>42</v>
      </c>
    </row>
    <row r="345" spans="1:19">
      <c r="A345" t="s">
        <v>733</v>
      </c>
      <c r="B345" t="s">
        <v>734</v>
      </c>
      <c r="C345" s="23" t="s">
        <v>4131</v>
      </c>
      <c r="D345" s="23">
        <v>44932</v>
      </c>
      <c r="E345" s="22">
        <v>1</v>
      </c>
      <c r="F345" s="22">
        <v>6</v>
      </c>
      <c r="G345" s="22">
        <v>2023</v>
      </c>
      <c r="H345" s="23">
        <f t="shared" si="15"/>
        <v>44932</v>
      </c>
      <c r="I345" s="25">
        <v>45083</v>
      </c>
      <c r="J345" s="22">
        <f t="shared" si="16"/>
        <v>151</v>
      </c>
      <c r="K345" t="s">
        <v>23</v>
      </c>
      <c r="L345">
        <v>98888</v>
      </c>
      <c r="M345">
        <v>3095</v>
      </c>
      <c r="N345" s="26">
        <v>3709.43</v>
      </c>
      <c r="O345" s="26">
        <f t="shared" si="17"/>
        <v>3632.575</v>
      </c>
      <c r="P345">
        <v>293</v>
      </c>
      <c r="Q345" t="b">
        <v>1</v>
      </c>
      <c r="R345">
        <v>98941</v>
      </c>
      <c r="S345" t="s">
        <v>25</v>
      </c>
    </row>
    <row r="346" spans="1:19">
      <c r="A346" t="s">
        <v>735</v>
      </c>
      <c r="B346" t="s">
        <v>736</v>
      </c>
      <c r="C346" s="23" t="s">
        <v>4131</v>
      </c>
      <c r="D346" s="23">
        <v>45264</v>
      </c>
      <c r="E346" s="22">
        <v>12</v>
      </c>
      <c r="F346" s="22">
        <v>4</v>
      </c>
      <c r="G346" s="22">
        <v>2023</v>
      </c>
      <c r="H346" s="23">
        <f t="shared" si="15"/>
        <v>45264</v>
      </c>
      <c r="I346" s="25">
        <v>45056</v>
      </c>
      <c r="J346" s="22">
        <f t="shared" si="16"/>
        <v>-208</v>
      </c>
      <c r="K346" t="s">
        <v>14</v>
      </c>
      <c r="L346">
        <v>40790</v>
      </c>
      <c r="M346">
        <v>1584</v>
      </c>
      <c r="N346" s="26">
        <v>2629.55</v>
      </c>
      <c r="O346" s="26">
        <f t="shared" si="17"/>
        <v>2629.55</v>
      </c>
      <c r="P346">
        <v>83</v>
      </c>
      <c r="Q346" t="b">
        <v>0</v>
      </c>
      <c r="S346" t="s">
        <v>16</v>
      </c>
    </row>
    <row r="347" spans="1:19">
      <c r="A347" t="s">
        <v>737</v>
      </c>
      <c r="B347" t="s">
        <v>738</v>
      </c>
      <c r="C347" s="23" t="s">
        <v>4129</v>
      </c>
      <c r="D347" s="23">
        <v>45278</v>
      </c>
      <c r="E347" s="22">
        <v>12</v>
      </c>
      <c r="F347" s="22">
        <v>18</v>
      </c>
      <c r="G347" s="22">
        <v>2023</v>
      </c>
      <c r="H347" s="23">
        <f t="shared" si="15"/>
        <v>45278</v>
      </c>
      <c r="I347" s="25">
        <v>45283</v>
      </c>
      <c r="J347" s="22">
        <f t="shared" si="16"/>
        <v>5</v>
      </c>
      <c r="K347" t="s">
        <v>23</v>
      </c>
      <c r="L347">
        <v>6600</v>
      </c>
      <c r="M347">
        <v>103</v>
      </c>
      <c r="N347" s="26">
        <v>192.86</v>
      </c>
      <c r="O347" s="26">
        <f t="shared" si="17"/>
        <v>192.86</v>
      </c>
      <c r="P347">
        <v>11</v>
      </c>
      <c r="Q347" t="b">
        <v>1</v>
      </c>
      <c r="S347" t="s">
        <v>25</v>
      </c>
    </row>
    <row r="348" spans="1:19">
      <c r="A348" t="s">
        <v>739</v>
      </c>
      <c r="B348" t="s">
        <v>740</v>
      </c>
      <c r="C348" s="23" t="s">
        <v>4127</v>
      </c>
      <c r="D348" s="23">
        <v>45237</v>
      </c>
      <c r="E348" s="22">
        <v>11</v>
      </c>
      <c r="F348" s="22">
        <v>7</v>
      </c>
      <c r="G348" s="22">
        <v>2023</v>
      </c>
      <c r="H348" s="23">
        <f t="shared" si="15"/>
        <v>45237</v>
      </c>
      <c r="I348" s="25">
        <v>45232</v>
      </c>
      <c r="J348" s="22">
        <f t="shared" si="16"/>
        <v>-5</v>
      </c>
      <c r="K348" t="s">
        <v>41</v>
      </c>
      <c r="L348">
        <v>95660</v>
      </c>
      <c r="M348">
        <v>1767</v>
      </c>
      <c r="N348" s="26">
        <v>1384.81</v>
      </c>
      <c r="O348" s="26">
        <f t="shared" si="17"/>
        <v>1384.81</v>
      </c>
      <c r="P348">
        <v>0</v>
      </c>
      <c r="Q348" t="b">
        <v>0</v>
      </c>
      <c r="S348" t="s">
        <v>42</v>
      </c>
    </row>
    <row r="349" spans="1:19">
      <c r="A349" t="s">
        <v>741</v>
      </c>
      <c r="B349" t="s">
        <v>742</v>
      </c>
      <c r="C349" s="23" t="s">
        <v>4127</v>
      </c>
      <c r="D349" s="23">
        <v>45073</v>
      </c>
      <c r="E349" s="22">
        <v>5</v>
      </c>
      <c r="F349" s="22">
        <v>27</v>
      </c>
      <c r="G349" s="22">
        <v>2023</v>
      </c>
      <c r="H349" s="23">
        <f t="shared" si="15"/>
        <v>45073</v>
      </c>
      <c r="I349" s="25">
        <v>45084</v>
      </c>
      <c r="J349" s="22">
        <f t="shared" si="16"/>
        <v>11</v>
      </c>
      <c r="K349" t="s">
        <v>41</v>
      </c>
      <c r="L349">
        <v>94179</v>
      </c>
      <c r="M349">
        <v>4026</v>
      </c>
      <c r="N349" s="26">
        <v>7583.18</v>
      </c>
      <c r="O349" s="26">
        <f t="shared" si="17"/>
        <v>3632.575</v>
      </c>
      <c r="P349">
        <v>777</v>
      </c>
      <c r="Q349" t="b">
        <v>0</v>
      </c>
      <c r="S349" t="s">
        <v>42</v>
      </c>
    </row>
    <row r="350" spans="1:19">
      <c r="A350" t="s">
        <v>743</v>
      </c>
      <c r="B350" t="s">
        <v>744</v>
      </c>
      <c r="C350" s="23" t="s">
        <v>4127</v>
      </c>
      <c r="D350" s="23">
        <v>45107</v>
      </c>
      <c r="E350" s="22">
        <v>6</v>
      </c>
      <c r="F350" s="22">
        <v>30</v>
      </c>
      <c r="G350" s="22">
        <v>2023</v>
      </c>
      <c r="H350" s="23">
        <f t="shared" si="15"/>
        <v>45107</v>
      </c>
      <c r="I350" s="25">
        <v>45118</v>
      </c>
      <c r="J350" s="22">
        <f t="shared" si="16"/>
        <v>11</v>
      </c>
      <c r="K350" t="s">
        <v>41</v>
      </c>
      <c r="L350">
        <v>41764</v>
      </c>
      <c r="M350">
        <v>956</v>
      </c>
      <c r="N350" s="26">
        <v>1475.53</v>
      </c>
      <c r="O350" s="26">
        <f t="shared" si="17"/>
        <v>1475.53</v>
      </c>
      <c r="P350">
        <v>77</v>
      </c>
      <c r="Q350" t="b">
        <v>1</v>
      </c>
      <c r="S350" t="s">
        <v>42</v>
      </c>
    </row>
    <row r="351" spans="1:19">
      <c r="A351" t="s">
        <v>745</v>
      </c>
      <c r="B351" t="s">
        <v>746</v>
      </c>
      <c r="C351" s="23" t="s">
        <v>4128</v>
      </c>
      <c r="D351" s="23">
        <v>45055</v>
      </c>
      <c r="E351" s="22">
        <v>5</v>
      </c>
      <c r="F351" s="22">
        <v>9</v>
      </c>
      <c r="G351" s="22">
        <v>2023</v>
      </c>
      <c r="H351" s="23">
        <f t="shared" si="15"/>
        <v>45055</v>
      </c>
      <c r="I351" s="25">
        <v>45068</v>
      </c>
      <c r="J351" s="22">
        <f t="shared" si="16"/>
        <v>13</v>
      </c>
      <c r="K351" t="s">
        <v>19</v>
      </c>
      <c r="L351">
        <v>75543</v>
      </c>
      <c r="M351">
        <v>824</v>
      </c>
      <c r="N351" s="26">
        <v>1166.91</v>
      </c>
      <c r="O351" s="26">
        <f t="shared" si="17"/>
        <v>1166.91</v>
      </c>
      <c r="P351">
        <v>138</v>
      </c>
      <c r="Q351" t="b">
        <v>1</v>
      </c>
      <c r="S351" t="s">
        <v>20</v>
      </c>
    </row>
    <row r="352" spans="1:19">
      <c r="A352" t="s">
        <v>747</v>
      </c>
      <c r="B352" t="s">
        <v>748</v>
      </c>
      <c r="C352" s="23" t="s">
        <v>4129</v>
      </c>
      <c r="D352" s="23">
        <v>45264</v>
      </c>
      <c r="E352" s="22">
        <v>12</v>
      </c>
      <c r="F352" s="22">
        <v>4</v>
      </c>
      <c r="G352" s="22">
        <v>2023</v>
      </c>
      <c r="H352" s="23">
        <f t="shared" si="15"/>
        <v>45264</v>
      </c>
      <c r="I352" s="25">
        <v>45289</v>
      </c>
      <c r="J352" s="22">
        <f t="shared" si="16"/>
        <v>25</v>
      </c>
      <c r="K352" t="s">
        <v>41</v>
      </c>
      <c r="L352">
        <v>46714</v>
      </c>
      <c r="M352">
        <v>754</v>
      </c>
      <c r="N352" s="26">
        <v>603.02</v>
      </c>
      <c r="O352" s="26">
        <f t="shared" si="17"/>
        <v>603.02</v>
      </c>
      <c r="P352">
        <v>125</v>
      </c>
      <c r="Q352" t="b">
        <v>0</v>
      </c>
      <c r="S352" t="s">
        <v>42</v>
      </c>
    </row>
    <row r="353" spans="1:19">
      <c r="A353" t="s">
        <v>749</v>
      </c>
      <c r="B353" t="s">
        <v>750</v>
      </c>
      <c r="C353" s="23" t="s">
        <v>4127</v>
      </c>
      <c r="D353" s="23">
        <v>44976</v>
      </c>
      <c r="E353" s="22">
        <v>2</v>
      </c>
      <c r="F353" s="22">
        <v>19</v>
      </c>
      <c r="G353" s="22">
        <v>2023</v>
      </c>
      <c r="H353" s="23">
        <f t="shared" si="15"/>
        <v>44976</v>
      </c>
      <c r="I353" s="25">
        <v>44997</v>
      </c>
      <c r="J353" s="22">
        <f t="shared" si="16"/>
        <v>21</v>
      </c>
      <c r="K353" t="s">
        <v>33</v>
      </c>
      <c r="L353">
        <v>57835</v>
      </c>
      <c r="M353">
        <v>1095</v>
      </c>
      <c r="N353" s="26">
        <v>638.7</v>
      </c>
      <c r="O353" s="26">
        <f t="shared" si="17"/>
        <v>638.7</v>
      </c>
      <c r="P353">
        <v>90</v>
      </c>
      <c r="Q353" t="b">
        <v>1</v>
      </c>
      <c r="S353" t="s">
        <v>34</v>
      </c>
    </row>
    <row r="354" spans="1:19">
      <c r="A354" t="s">
        <v>751</v>
      </c>
      <c r="B354" t="s">
        <v>752</v>
      </c>
      <c r="C354" s="23" t="s">
        <v>4129</v>
      </c>
      <c r="D354" s="23">
        <v>45085</v>
      </c>
      <c r="E354" s="22">
        <v>6</v>
      </c>
      <c r="F354" s="22">
        <v>8</v>
      </c>
      <c r="G354" s="22">
        <v>2023</v>
      </c>
      <c r="H354" s="23">
        <f t="shared" si="15"/>
        <v>45085</v>
      </c>
      <c r="I354" s="25">
        <v>45166</v>
      </c>
      <c r="J354" s="22">
        <f t="shared" si="16"/>
        <v>81</v>
      </c>
      <c r="K354" t="s">
        <v>138</v>
      </c>
      <c r="L354">
        <v>74744</v>
      </c>
      <c r="M354">
        <v>3609</v>
      </c>
      <c r="N354" s="26">
        <v>4881.88</v>
      </c>
      <c r="O354" s="26">
        <f t="shared" si="17"/>
        <v>3632.575</v>
      </c>
      <c r="P354">
        <v>516</v>
      </c>
      <c r="Q354" t="b">
        <v>0</v>
      </c>
      <c r="S354" t="s">
        <v>139</v>
      </c>
    </row>
    <row r="355" spans="1:19">
      <c r="A355" t="s">
        <v>753</v>
      </c>
      <c r="B355" t="s">
        <v>754</v>
      </c>
      <c r="C355" s="23" t="s">
        <v>4131</v>
      </c>
      <c r="D355" s="23">
        <v>45113</v>
      </c>
      <c r="E355" s="22">
        <v>7</v>
      </c>
      <c r="F355" s="22">
        <v>6</v>
      </c>
      <c r="G355" s="22">
        <v>2023</v>
      </c>
      <c r="H355" s="23">
        <f t="shared" si="15"/>
        <v>45113</v>
      </c>
      <c r="I355" s="25">
        <v>45097</v>
      </c>
      <c r="J355" s="22">
        <f t="shared" si="16"/>
        <v>-16</v>
      </c>
      <c r="K355" t="s">
        <v>41</v>
      </c>
      <c r="L355">
        <v>57491</v>
      </c>
      <c r="M355">
        <v>1892</v>
      </c>
      <c r="N355" s="26">
        <v>2795</v>
      </c>
      <c r="O355" s="26">
        <f t="shared" si="17"/>
        <v>2795</v>
      </c>
      <c r="P355">
        <v>108</v>
      </c>
      <c r="Q355" t="b">
        <v>1</v>
      </c>
      <c r="S355" t="s">
        <v>42</v>
      </c>
    </row>
    <row r="356" spans="1:19">
      <c r="A356" t="s">
        <v>755</v>
      </c>
      <c r="B356" t="s">
        <v>756</v>
      </c>
      <c r="C356" s="23" t="s">
        <v>4129</v>
      </c>
      <c r="D356" s="23">
        <v>45078</v>
      </c>
      <c r="E356" s="22">
        <v>6</v>
      </c>
      <c r="F356" s="22">
        <v>1</v>
      </c>
      <c r="G356" s="22">
        <v>2023</v>
      </c>
      <c r="H356" s="23">
        <f t="shared" si="15"/>
        <v>45078</v>
      </c>
      <c r="I356" s="25">
        <v>45079</v>
      </c>
      <c r="J356" s="22">
        <f t="shared" si="16"/>
        <v>1</v>
      </c>
      <c r="K356" t="s">
        <v>33</v>
      </c>
      <c r="L356">
        <v>19589</v>
      </c>
      <c r="M356">
        <v>926</v>
      </c>
      <c r="N356" s="26">
        <v>755.78</v>
      </c>
      <c r="O356" s="26">
        <f t="shared" si="17"/>
        <v>755.78</v>
      </c>
      <c r="P356">
        <v>113</v>
      </c>
      <c r="Q356" t="b">
        <v>1</v>
      </c>
      <c r="S356" t="s">
        <v>34</v>
      </c>
    </row>
    <row r="357" spans="1:19">
      <c r="A357" t="s">
        <v>757</v>
      </c>
      <c r="B357" t="s">
        <v>758</v>
      </c>
      <c r="C357" s="23" t="s">
        <v>4129</v>
      </c>
      <c r="D357" s="23">
        <v>45029</v>
      </c>
      <c r="E357" s="22">
        <v>4</v>
      </c>
      <c r="F357" s="22">
        <v>13</v>
      </c>
      <c r="G357" s="22">
        <v>2023</v>
      </c>
      <c r="H357" s="23">
        <f t="shared" si="15"/>
        <v>45029</v>
      </c>
      <c r="I357" s="25">
        <v>45046</v>
      </c>
      <c r="J357" s="22">
        <f t="shared" si="16"/>
        <v>17</v>
      </c>
      <c r="K357" t="s">
        <v>33</v>
      </c>
      <c r="L357">
        <v>44484</v>
      </c>
      <c r="M357">
        <v>1468</v>
      </c>
      <c r="N357" s="26">
        <v>1959.32</v>
      </c>
      <c r="O357" s="26">
        <f t="shared" si="17"/>
        <v>1959.32</v>
      </c>
      <c r="P357">
        <v>76</v>
      </c>
      <c r="Q357" t="b">
        <v>0</v>
      </c>
      <c r="S357" t="s">
        <v>34</v>
      </c>
    </row>
    <row r="358" spans="1:19">
      <c r="A358" t="s">
        <v>759</v>
      </c>
      <c r="B358" t="s">
        <v>760</v>
      </c>
      <c r="C358" s="23" t="s">
        <v>4131</v>
      </c>
      <c r="D358" s="23">
        <v>45114</v>
      </c>
      <c r="E358" s="22">
        <v>7</v>
      </c>
      <c r="F358" s="22">
        <v>7</v>
      </c>
      <c r="G358" s="22">
        <v>2023</v>
      </c>
      <c r="H358" s="23">
        <f t="shared" si="15"/>
        <v>45114</v>
      </c>
      <c r="I358" s="25">
        <v>45139</v>
      </c>
      <c r="J358" s="22">
        <f t="shared" si="16"/>
        <v>25</v>
      </c>
      <c r="K358" t="s">
        <v>266</v>
      </c>
      <c r="L358">
        <v>83989</v>
      </c>
      <c r="M358">
        <v>2450</v>
      </c>
      <c r="N358" s="26">
        <v>4372.61</v>
      </c>
      <c r="O358" s="26">
        <f t="shared" si="17"/>
        <v>3632.575</v>
      </c>
      <c r="P358">
        <v>461</v>
      </c>
      <c r="Q358" t="b">
        <v>0</v>
      </c>
      <c r="S358" t="s">
        <v>20</v>
      </c>
    </row>
    <row r="359" spans="1:19">
      <c r="A359" t="s">
        <v>761</v>
      </c>
      <c r="B359" t="s">
        <v>762</v>
      </c>
      <c r="C359" s="23" t="s">
        <v>4128</v>
      </c>
      <c r="D359" s="23">
        <v>45011</v>
      </c>
      <c r="E359" s="22">
        <v>3</v>
      </c>
      <c r="F359" s="22">
        <v>26</v>
      </c>
      <c r="G359" s="22">
        <v>2023</v>
      </c>
      <c r="H359" s="23">
        <f t="shared" si="15"/>
        <v>45011</v>
      </c>
      <c r="I359" s="25">
        <v>45021</v>
      </c>
      <c r="J359" s="22">
        <f t="shared" si="16"/>
        <v>10</v>
      </c>
      <c r="K359" t="s">
        <v>41</v>
      </c>
      <c r="L359">
        <v>37212</v>
      </c>
      <c r="M359">
        <v>839</v>
      </c>
      <c r="N359" s="26">
        <v>1470.43</v>
      </c>
      <c r="O359" s="26">
        <f t="shared" si="17"/>
        <v>1470.43</v>
      </c>
      <c r="P359">
        <v>164</v>
      </c>
      <c r="Q359" t="b">
        <v>0</v>
      </c>
      <c r="S359" t="s">
        <v>42</v>
      </c>
    </row>
    <row r="360" spans="1:19">
      <c r="A360" t="s">
        <v>763</v>
      </c>
      <c r="B360" t="s">
        <v>764</v>
      </c>
      <c r="C360" s="23" t="s">
        <v>4128</v>
      </c>
      <c r="D360" s="23">
        <v>45173</v>
      </c>
      <c r="E360" s="22">
        <v>9</v>
      </c>
      <c r="F360" s="22">
        <v>4</v>
      </c>
      <c r="G360" s="22">
        <v>2023</v>
      </c>
      <c r="H360" s="23">
        <f t="shared" si="15"/>
        <v>45173</v>
      </c>
      <c r="I360" s="25">
        <v>45189</v>
      </c>
      <c r="J360" s="22">
        <f t="shared" si="16"/>
        <v>16</v>
      </c>
      <c r="K360" t="s">
        <v>14</v>
      </c>
      <c r="L360">
        <v>44525</v>
      </c>
      <c r="M360">
        <v>1525</v>
      </c>
      <c r="N360" s="26">
        <v>2883.82</v>
      </c>
      <c r="O360" s="26">
        <f t="shared" si="17"/>
        <v>2883.82</v>
      </c>
      <c r="P360">
        <v>127</v>
      </c>
      <c r="Q360" t="b">
        <v>1</v>
      </c>
      <c r="S360" t="s">
        <v>16</v>
      </c>
    </row>
    <row r="361" spans="1:19">
      <c r="A361" t="s">
        <v>765</v>
      </c>
      <c r="B361" t="s">
        <v>766</v>
      </c>
      <c r="C361" s="23" t="s">
        <v>4127</v>
      </c>
      <c r="D361" s="23">
        <v>45100</v>
      </c>
      <c r="E361" s="22">
        <v>6</v>
      </c>
      <c r="F361" s="22">
        <v>23</v>
      </c>
      <c r="G361" s="22">
        <v>2023</v>
      </c>
      <c r="H361" s="23">
        <f t="shared" si="15"/>
        <v>45100</v>
      </c>
      <c r="I361" s="25">
        <v>45101</v>
      </c>
      <c r="J361" s="22">
        <f t="shared" si="16"/>
        <v>1</v>
      </c>
      <c r="K361" t="s">
        <v>33</v>
      </c>
      <c r="L361">
        <v>48202</v>
      </c>
      <c r="M361">
        <v>750</v>
      </c>
      <c r="N361" s="26">
        <v>786.62</v>
      </c>
      <c r="O361" s="26">
        <f t="shared" si="17"/>
        <v>786.62</v>
      </c>
      <c r="P361">
        <v>60</v>
      </c>
      <c r="Q361" t="b">
        <v>1</v>
      </c>
      <c r="S361" t="s">
        <v>34</v>
      </c>
    </row>
    <row r="362" spans="1:19">
      <c r="A362" t="s">
        <v>767</v>
      </c>
      <c r="B362" t="s">
        <v>768</v>
      </c>
      <c r="C362" s="23" t="s">
        <v>4128</v>
      </c>
      <c r="D362" s="23">
        <v>44965</v>
      </c>
      <c r="E362" s="22">
        <v>2</v>
      </c>
      <c r="F362" s="22">
        <v>8</v>
      </c>
      <c r="G362" s="22">
        <v>2023</v>
      </c>
      <c r="H362" s="23">
        <f t="shared" si="15"/>
        <v>44965</v>
      </c>
      <c r="I362" s="25">
        <v>44987</v>
      </c>
      <c r="J362" s="22">
        <f t="shared" si="16"/>
        <v>22</v>
      </c>
      <c r="K362" t="s">
        <v>19</v>
      </c>
      <c r="L362">
        <v>33635</v>
      </c>
      <c r="M362">
        <v>1544</v>
      </c>
      <c r="N362" s="26">
        <v>1508.6</v>
      </c>
      <c r="O362" s="26">
        <f t="shared" si="17"/>
        <v>1508.6</v>
      </c>
      <c r="P362">
        <v>0</v>
      </c>
      <c r="Q362" t="b">
        <v>1</v>
      </c>
      <c r="S362" t="s">
        <v>68</v>
      </c>
    </row>
    <row r="363" spans="1:19">
      <c r="A363" t="s">
        <v>769</v>
      </c>
      <c r="B363" t="s">
        <v>770</v>
      </c>
      <c r="C363" s="23" t="s">
        <v>4131</v>
      </c>
      <c r="D363" s="23">
        <v>45273</v>
      </c>
      <c r="E363" s="22">
        <v>12</v>
      </c>
      <c r="F363" s="22">
        <v>13</v>
      </c>
      <c r="G363" s="22">
        <v>2023</v>
      </c>
      <c r="H363" s="23">
        <f t="shared" si="15"/>
        <v>45273</v>
      </c>
      <c r="I363" s="25">
        <v>45296</v>
      </c>
      <c r="J363" s="22">
        <f t="shared" si="16"/>
        <v>23</v>
      </c>
      <c r="K363" t="s">
        <v>41</v>
      </c>
      <c r="L363">
        <v>64208</v>
      </c>
      <c r="M363">
        <v>2772</v>
      </c>
      <c r="N363" s="26">
        <v>4502.11</v>
      </c>
      <c r="O363" s="26">
        <f t="shared" si="17"/>
        <v>3632.575</v>
      </c>
      <c r="P363">
        <v>0</v>
      </c>
      <c r="Q363" t="b">
        <v>0</v>
      </c>
      <c r="S363" t="s">
        <v>42</v>
      </c>
    </row>
    <row r="364" spans="1:19">
      <c r="A364" t="s">
        <v>771</v>
      </c>
      <c r="B364" t="s">
        <v>772</v>
      </c>
      <c r="C364" s="23" t="s">
        <v>4129</v>
      </c>
      <c r="D364" s="23">
        <v>45212</v>
      </c>
      <c r="E364" s="22">
        <v>10</v>
      </c>
      <c r="F364" s="22">
        <v>13</v>
      </c>
      <c r="G364" s="22">
        <v>2023</v>
      </c>
      <c r="H364" s="23">
        <f t="shared" si="15"/>
        <v>45212</v>
      </c>
      <c r="I364" s="25">
        <v>45235</v>
      </c>
      <c r="J364" s="22">
        <f t="shared" si="16"/>
        <v>23</v>
      </c>
      <c r="K364" t="s">
        <v>14</v>
      </c>
      <c r="L364">
        <v>34828</v>
      </c>
      <c r="M364">
        <v>790</v>
      </c>
      <c r="N364" s="26">
        <v>905.87</v>
      </c>
      <c r="O364" s="26">
        <f t="shared" si="17"/>
        <v>905.87</v>
      </c>
      <c r="P364">
        <v>0</v>
      </c>
      <c r="Q364" t="b">
        <v>0</v>
      </c>
      <c r="S364" t="s">
        <v>16</v>
      </c>
    </row>
    <row r="365" spans="1:19">
      <c r="A365" t="s">
        <v>773</v>
      </c>
      <c r="B365" t="s">
        <v>774</v>
      </c>
      <c r="C365" s="23" t="s">
        <v>4127</v>
      </c>
      <c r="D365" s="23">
        <v>44934</v>
      </c>
      <c r="E365" s="22">
        <v>1</v>
      </c>
      <c r="F365" s="22">
        <v>8</v>
      </c>
      <c r="G365" s="22">
        <v>2023</v>
      </c>
      <c r="H365" s="23">
        <f t="shared" si="15"/>
        <v>44934</v>
      </c>
      <c r="I365" s="25">
        <v>44948</v>
      </c>
      <c r="J365" s="22">
        <f t="shared" si="16"/>
        <v>14</v>
      </c>
      <c r="K365" t="s">
        <v>33</v>
      </c>
      <c r="L365">
        <v>19711</v>
      </c>
      <c r="M365">
        <v>948</v>
      </c>
      <c r="N365" s="26">
        <v>598.49</v>
      </c>
      <c r="O365" s="26">
        <f t="shared" si="17"/>
        <v>598.49</v>
      </c>
      <c r="P365">
        <v>129</v>
      </c>
      <c r="Q365" t="b">
        <v>1</v>
      </c>
      <c r="S365" t="s">
        <v>34</v>
      </c>
    </row>
    <row r="366" spans="1:19">
      <c r="A366" t="s">
        <v>775</v>
      </c>
      <c r="B366" t="s">
        <v>776</v>
      </c>
      <c r="C366" s="23" t="s">
        <v>4129</v>
      </c>
      <c r="D366" s="23">
        <v>45115</v>
      </c>
      <c r="E366" s="22">
        <v>7</v>
      </c>
      <c r="F366" s="22">
        <v>8</v>
      </c>
      <c r="G366" s="22">
        <v>2023</v>
      </c>
      <c r="H366" s="23">
        <f t="shared" si="15"/>
        <v>45115</v>
      </c>
      <c r="I366" s="25">
        <v>45133</v>
      </c>
      <c r="J366" s="22">
        <f t="shared" si="16"/>
        <v>18</v>
      </c>
      <c r="K366" t="s">
        <v>19</v>
      </c>
      <c r="L366">
        <v>4420</v>
      </c>
      <c r="M366">
        <v>190</v>
      </c>
      <c r="N366" s="26">
        <v>175.6</v>
      </c>
      <c r="O366" s="26">
        <f t="shared" si="17"/>
        <v>175.6</v>
      </c>
      <c r="P366">
        <v>19</v>
      </c>
      <c r="Q366" t="b">
        <v>1</v>
      </c>
      <c r="S366" t="s">
        <v>20</v>
      </c>
    </row>
    <row r="367" spans="1:19">
      <c r="A367" t="s">
        <v>777</v>
      </c>
      <c r="B367" t="s">
        <v>778</v>
      </c>
      <c r="C367" s="23" t="s">
        <v>4128</v>
      </c>
      <c r="D367" s="23">
        <v>45226</v>
      </c>
      <c r="E367" s="22">
        <v>10</v>
      </c>
      <c r="F367" s="22">
        <v>27</v>
      </c>
      <c r="G367" s="22">
        <v>2023</v>
      </c>
      <c r="H367" s="23">
        <f t="shared" si="15"/>
        <v>45226</v>
      </c>
      <c r="I367" s="25">
        <v>45229</v>
      </c>
      <c r="J367" s="22">
        <f t="shared" si="16"/>
        <v>3</v>
      </c>
      <c r="K367" t="s">
        <v>14</v>
      </c>
      <c r="L367">
        <v>97752</v>
      </c>
      <c r="M367">
        <v>3582</v>
      </c>
      <c r="N367" s="26">
        <v>4040.04</v>
      </c>
      <c r="O367" s="26">
        <f t="shared" si="17"/>
        <v>3632.575</v>
      </c>
      <c r="P367">
        <v>626</v>
      </c>
      <c r="Q367" t="b">
        <v>1</v>
      </c>
      <c r="S367" t="s">
        <v>16</v>
      </c>
    </row>
    <row r="368" spans="1:19">
      <c r="A368" t="s">
        <v>779</v>
      </c>
      <c r="B368" t="s">
        <v>780</v>
      </c>
      <c r="C368" s="23" t="s">
        <v>4131</v>
      </c>
      <c r="D368" s="23">
        <v>45117</v>
      </c>
      <c r="E368" s="22">
        <v>7</v>
      </c>
      <c r="F368" s="22">
        <v>10</v>
      </c>
      <c r="G368" s="22">
        <v>2023</v>
      </c>
      <c r="H368" s="23">
        <f t="shared" si="15"/>
        <v>45117</v>
      </c>
      <c r="I368" s="25">
        <v>45119</v>
      </c>
      <c r="J368" s="22">
        <f t="shared" si="16"/>
        <v>2</v>
      </c>
      <c r="K368" t="s">
        <v>33</v>
      </c>
      <c r="L368">
        <v>1301</v>
      </c>
      <c r="M368">
        <v>19</v>
      </c>
      <c r="N368" s="26">
        <v>17.84</v>
      </c>
      <c r="O368" s="26">
        <f t="shared" si="17"/>
        <v>17.84</v>
      </c>
      <c r="P368">
        <v>2</v>
      </c>
      <c r="Q368" t="b">
        <v>0</v>
      </c>
      <c r="S368" t="s">
        <v>34</v>
      </c>
    </row>
    <row r="369" spans="1:19">
      <c r="A369" t="s">
        <v>781</v>
      </c>
      <c r="B369" t="s">
        <v>782</v>
      </c>
      <c r="C369" s="23" t="s">
        <v>4128</v>
      </c>
      <c r="D369" s="23">
        <v>44939</v>
      </c>
      <c r="E369" s="22">
        <v>1</v>
      </c>
      <c r="F369" s="22">
        <v>13</v>
      </c>
      <c r="G369" s="22">
        <v>2023</v>
      </c>
      <c r="H369" s="23">
        <f t="shared" si="15"/>
        <v>44939</v>
      </c>
      <c r="I369" s="25">
        <v>44946</v>
      </c>
      <c r="J369" s="22">
        <f t="shared" si="16"/>
        <v>7</v>
      </c>
      <c r="K369" t="s">
        <v>41</v>
      </c>
      <c r="L369">
        <v>46236</v>
      </c>
      <c r="M369">
        <v>1346</v>
      </c>
      <c r="N369" s="26">
        <v>1343.72</v>
      </c>
      <c r="O369" s="26">
        <f t="shared" si="17"/>
        <v>1343.72</v>
      </c>
      <c r="P369">
        <v>251</v>
      </c>
      <c r="Q369" t="b">
        <v>1</v>
      </c>
      <c r="S369" t="s">
        <v>42</v>
      </c>
    </row>
    <row r="370" spans="1:19">
      <c r="A370" t="s">
        <v>783</v>
      </c>
      <c r="B370" t="s">
        <v>784</v>
      </c>
      <c r="C370" s="23" t="s">
        <v>4131</v>
      </c>
      <c r="D370" s="23">
        <v>45094</v>
      </c>
      <c r="E370" s="22">
        <v>6</v>
      </c>
      <c r="F370" s="22">
        <v>17</v>
      </c>
      <c r="G370" s="22">
        <v>2023</v>
      </c>
      <c r="H370" s="23">
        <f t="shared" si="15"/>
        <v>45094</v>
      </c>
      <c r="I370" s="25">
        <v>45113</v>
      </c>
      <c r="J370" s="22">
        <f t="shared" si="16"/>
        <v>19</v>
      </c>
      <c r="K370" t="s">
        <v>23</v>
      </c>
      <c r="L370">
        <v>67235</v>
      </c>
      <c r="M370">
        <v>2033</v>
      </c>
      <c r="N370" s="26">
        <v>1912.37</v>
      </c>
      <c r="O370" s="26">
        <f t="shared" si="17"/>
        <v>1912.37</v>
      </c>
      <c r="P370">
        <v>384</v>
      </c>
      <c r="Q370" t="b">
        <v>0</v>
      </c>
      <c r="S370" t="s">
        <v>25</v>
      </c>
    </row>
    <row r="371" spans="1:19">
      <c r="A371" t="s">
        <v>785</v>
      </c>
      <c r="B371" t="s">
        <v>786</v>
      </c>
      <c r="C371" s="23" t="s">
        <v>4127</v>
      </c>
      <c r="D371" s="23">
        <v>44959</v>
      </c>
      <c r="E371" s="22">
        <v>2</v>
      </c>
      <c r="F371" s="22">
        <v>2</v>
      </c>
      <c r="G371" s="22">
        <v>2023</v>
      </c>
      <c r="H371" s="23">
        <f t="shared" si="15"/>
        <v>44959</v>
      </c>
      <c r="I371" s="25">
        <v>44961</v>
      </c>
      <c r="J371" s="22">
        <f t="shared" si="16"/>
        <v>2</v>
      </c>
      <c r="K371" t="s">
        <v>41</v>
      </c>
      <c r="L371">
        <v>55240</v>
      </c>
      <c r="M371">
        <v>1066</v>
      </c>
      <c r="N371" s="26">
        <v>599.36</v>
      </c>
      <c r="O371" s="26">
        <f t="shared" si="17"/>
        <v>599.36</v>
      </c>
      <c r="P371">
        <v>79</v>
      </c>
      <c r="Q371" t="b">
        <v>1</v>
      </c>
      <c r="S371" t="s">
        <v>42</v>
      </c>
    </row>
    <row r="372" spans="1:19">
      <c r="A372" t="s">
        <v>787</v>
      </c>
      <c r="B372" t="s">
        <v>788</v>
      </c>
      <c r="C372" s="23" t="s">
        <v>4131</v>
      </c>
      <c r="D372" s="23">
        <v>45285</v>
      </c>
      <c r="E372" s="22">
        <v>12</v>
      </c>
      <c r="F372" s="22">
        <v>25</v>
      </c>
      <c r="G372" s="22">
        <v>2023</v>
      </c>
      <c r="H372" s="23">
        <f t="shared" si="15"/>
        <v>45285</v>
      </c>
      <c r="I372" s="25">
        <v>45292</v>
      </c>
      <c r="J372" s="22">
        <f t="shared" si="16"/>
        <v>7</v>
      </c>
      <c r="K372" t="s">
        <v>41</v>
      </c>
      <c r="L372">
        <v>66726</v>
      </c>
      <c r="M372">
        <v>880</v>
      </c>
      <c r="N372" s="26">
        <v>1280.97</v>
      </c>
      <c r="O372" s="26">
        <f t="shared" si="17"/>
        <v>1280.97</v>
      </c>
      <c r="P372">
        <v>44</v>
      </c>
      <c r="Q372" t="b">
        <v>1</v>
      </c>
      <c r="S372" t="s">
        <v>42</v>
      </c>
    </row>
    <row r="373" spans="1:19">
      <c r="A373" t="s">
        <v>789</v>
      </c>
      <c r="B373" t="s">
        <v>790</v>
      </c>
      <c r="C373" s="23" t="s">
        <v>4129</v>
      </c>
      <c r="D373" s="23" t="s">
        <v>791</v>
      </c>
      <c r="E373" s="22">
        <v>13</v>
      </c>
      <c r="F373" s="22">
        <v>3</v>
      </c>
      <c r="G373" s="22">
        <v>2023</v>
      </c>
      <c r="H373" s="23">
        <f t="shared" si="15"/>
        <v>44998</v>
      </c>
      <c r="I373" s="25">
        <v>45006</v>
      </c>
      <c r="J373" s="22">
        <f t="shared" si="16"/>
        <v>8</v>
      </c>
      <c r="K373" t="s">
        <v>41</v>
      </c>
      <c r="L373">
        <v>11492</v>
      </c>
      <c r="M373">
        <v>471</v>
      </c>
      <c r="N373" s="26">
        <v>657.49</v>
      </c>
      <c r="O373" s="26">
        <f t="shared" si="17"/>
        <v>657.49</v>
      </c>
      <c r="P373">
        <v>93</v>
      </c>
      <c r="Q373" t="b">
        <v>1</v>
      </c>
      <c r="S373" t="s">
        <v>42</v>
      </c>
    </row>
    <row r="374" spans="1:19">
      <c r="A374" t="s">
        <v>792</v>
      </c>
      <c r="B374" t="s">
        <v>793</v>
      </c>
      <c r="C374" s="23" t="s">
        <v>4128</v>
      </c>
      <c r="D374" s="23">
        <v>44946</v>
      </c>
      <c r="E374" s="22">
        <v>1</v>
      </c>
      <c r="F374" s="22">
        <v>20</v>
      </c>
      <c r="G374" s="22">
        <v>2023</v>
      </c>
      <c r="H374" s="23">
        <f t="shared" si="15"/>
        <v>44946</v>
      </c>
      <c r="I374" s="25">
        <v>44965</v>
      </c>
      <c r="J374" s="22">
        <f t="shared" si="16"/>
        <v>19</v>
      </c>
      <c r="K374" t="s">
        <v>23</v>
      </c>
      <c r="L374">
        <v>7102</v>
      </c>
      <c r="M374">
        <v>105</v>
      </c>
      <c r="N374" s="26">
        <v>155.41</v>
      </c>
      <c r="O374" s="26">
        <f t="shared" si="17"/>
        <v>155.41</v>
      </c>
      <c r="P374">
        <v>19</v>
      </c>
      <c r="Q374" t="b">
        <v>1</v>
      </c>
      <c r="S374" t="s">
        <v>68</v>
      </c>
    </row>
    <row r="375" spans="1:19">
      <c r="A375" t="s">
        <v>794</v>
      </c>
      <c r="B375" t="s">
        <v>795</v>
      </c>
      <c r="C375" s="23" t="s">
        <v>4131</v>
      </c>
      <c r="D375" s="23">
        <v>44976</v>
      </c>
      <c r="E375" s="22">
        <v>2</v>
      </c>
      <c r="F375" s="22">
        <v>19</v>
      </c>
      <c r="G375" s="22">
        <v>2023</v>
      </c>
      <c r="H375" s="23">
        <f t="shared" si="15"/>
        <v>44976</v>
      </c>
      <c r="I375" s="25">
        <v>44992</v>
      </c>
      <c r="J375" s="22">
        <f t="shared" si="16"/>
        <v>16</v>
      </c>
      <c r="K375" t="s">
        <v>23</v>
      </c>
      <c r="L375">
        <v>51336</v>
      </c>
      <c r="M375">
        <v>1733</v>
      </c>
      <c r="N375" s="26">
        <v>1366.41</v>
      </c>
      <c r="O375" s="26">
        <f t="shared" si="17"/>
        <v>1366.41</v>
      </c>
      <c r="P375">
        <v>101</v>
      </c>
      <c r="Q375" t="b">
        <v>1</v>
      </c>
      <c r="S375" t="s">
        <v>25</v>
      </c>
    </row>
    <row r="376" spans="1:19">
      <c r="A376" t="s">
        <v>796</v>
      </c>
      <c r="B376" t="s">
        <v>797</v>
      </c>
      <c r="C376" s="23" t="s">
        <v>4128</v>
      </c>
      <c r="D376" s="23">
        <v>45125</v>
      </c>
      <c r="E376" s="22">
        <v>7</v>
      </c>
      <c r="F376" s="22">
        <v>18</v>
      </c>
      <c r="G376" s="22">
        <v>2023</v>
      </c>
      <c r="H376" s="23">
        <f t="shared" si="15"/>
        <v>45125</v>
      </c>
      <c r="I376" s="25">
        <v>45126</v>
      </c>
      <c r="J376" s="22">
        <f t="shared" si="16"/>
        <v>1</v>
      </c>
      <c r="K376" t="s">
        <v>138</v>
      </c>
      <c r="L376">
        <v>86314</v>
      </c>
      <c r="M376">
        <v>4096</v>
      </c>
      <c r="N376" s="26">
        <v>3864.5</v>
      </c>
      <c r="O376" s="26">
        <f t="shared" si="17"/>
        <v>3632.575</v>
      </c>
      <c r="P376">
        <v>716</v>
      </c>
      <c r="Q376" t="b">
        <v>0</v>
      </c>
      <c r="S376" t="s">
        <v>139</v>
      </c>
    </row>
    <row r="377" spans="1:19">
      <c r="A377" t="s">
        <v>798</v>
      </c>
      <c r="B377" t="s">
        <v>799</v>
      </c>
      <c r="C377" s="23" t="s">
        <v>4131</v>
      </c>
      <c r="D377" s="23">
        <v>45283</v>
      </c>
      <c r="E377" s="22">
        <v>12</v>
      </c>
      <c r="F377" s="22">
        <v>23</v>
      </c>
      <c r="G377" s="22">
        <v>2023</v>
      </c>
      <c r="H377" s="23">
        <f t="shared" si="15"/>
        <v>45283</v>
      </c>
      <c r="I377" s="25">
        <v>45295</v>
      </c>
      <c r="J377" s="22">
        <f t="shared" si="16"/>
        <v>12</v>
      </c>
      <c r="K377" t="s">
        <v>19</v>
      </c>
      <c r="L377">
        <v>27641</v>
      </c>
      <c r="M377">
        <v>1245</v>
      </c>
      <c r="N377" s="26">
        <v>1779.63</v>
      </c>
      <c r="O377" s="26">
        <f t="shared" si="17"/>
        <v>1779.63</v>
      </c>
      <c r="P377">
        <v>147</v>
      </c>
      <c r="Q377" t="b">
        <v>1</v>
      </c>
      <c r="S377" t="s">
        <v>20</v>
      </c>
    </row>
    <row r="378" spans="1:19">
      <c r="A378" t="s">
        <v>800</v>
      </c>
      <c r="B378" t="s">
        <v>801</v>
      </c>
      <c r="C378" s="23" t="s">
        <v>4127</v>
      </c>
      <c r="D378" s="23">
        <v>45006</v>
      </c>
      <c r="E378" s="22">
        <v>3</v>
      </c>
      <c r="F378" s="22">
        <v>21</v>
      </c>
      <c r="G378" s="22">
        <v>2023</v>
      </c>
      <c r="H378" s="23">
        <f t="shared" si="15"/>
        <v>45006</v>
      </c>
      <c r="I378" s="25">
        <v>45029</v>
      </c>
      <c r="J378" s="22">
        <f t="shared" si="16"/>
        <v>23</v>
      </c>
      <c r="K378" t="s">
        <v>19</v>
      </c>
      <c r="L378">
        <v>35584</v>
      </c>
      <c r="M378">
        <v>751</v>
      </c>
      <c r="N378" s="26">
        <v>1050.98</v>
      </c>
      <c r="O378" s="26">
        <f t="shared" si="17"/>
        <v>1050.98</v>
      </c>
      <c r="P378">
        <v>66</v>
      </c>
      <c r="Q378" t="b">
        <v>0</v>
      </c>
      <c r="S378" t="s">
        <v>20</v>
      </c>
    </row>
    <row r="379" spans="1:19">
      <c r="A379" t="s">
        <v>802</v>
      </c>
      <c r="B379" t="s">
        <v>803</v>
      </c>
      <c r="C379" s="23" t="s">
        <v>4128</v>
      </c>
      <c r="D379" s="23">
        <v>45177</v>
      </c>
      <c r="E379" s="22">
        <v>9</v>
      </c>
      <c r="F379" s="22">
        <v>8</v>
      </c>
      <c r="G379" s="22">
        <v>2023</v>
      </c>
      <c r="H379" s="23">
        <f t="shared" si="15"/>
        <v>45177</v>
      </c>
      <c r="I379" s="25">
        <v>45180</v>
      </c>
      <c r="J379" s="22">
        <f t="shared" si="16"/>
        <v>3</v>
      </c>
      <c r="K379" t="s">
        <v>23</v>
      </c>
      <c r="L379">
        <v>33745</v>
      </c>
      <c r="M379">
        <v>1486</v>
      </c>
      <c r="N379" s="26">
        <v>1871.61</v>
      </c>
      <c r="O379" s="26">
        <f t="shared" si="17"/>
        <v>1871.61</v>
      </c>
      <c r="P379">
        <v>270</v>
      </c>
      <c r="Q379" t="b">
        <v>1</v>
      </c>
      <c r="S379" t="s">
        <v>25</v>
      </c>
    </row>
    <row r="380" spans="1:19">
      <c r="A380" t="s">
        <v>804</v>
      </c>
      <c r="B380" t="s">
        <v>805</v>
      </c>
      <c r="C380" s="23" t="s">
        <v>4131</v>
      </c>
      <c r="D380" s="23" t="s">
        <v>806</v>
      </c>
      <c r="E380" s="22">
        <v>24</v>
      </c>
      <c r="F380" s="22">
        <v>5</v>
      </c>
      <c r="G380" s="22">
        <v>2023</v>
      </c>
      <c r="H380" s="23">
        <f t="shared" si="15"/>
        <v>45070</v>
      </c>
      <c r="I380" s="25">
        <v>45089</v>
      </c>
      <c r="J380" s="22">
        <f t="shared" si="16"/>
        <v>19</v>
      </c>
      <c r="K380" t="s">
        <v>19</v>
      </c>
      <c r="L380">
        <v>24093</v>
      </c>
      <c r="M380">
        <v>241</v>
      </c>
      <c r="N380" s="26">
        <v>247.17</v>
      </c>
      <c r="O380" s="26">
        <f t="shared" si="17"/>
        <v>247.17</v>
      </c>
      <c r="P380">
        <v>19</v>
      </c>
      <c r="Q380" t="b">
        <v>0</v>
      </c>
      <c r="S380" t="s">
        <v>20</v>
      </c>
    </row>
    <row r="381" spans="1:19">
      <c r="A381" t="s">
        <v>807</v>
      </c>
      <c r="B381" t="s">
        <v>808</v>
      </c>
      <c r="C381" s="23" t="s">
        <v>4128</v>
      </c>
      <c r="D381" s="23">
        <v>45116</v>
      </c>
      <c r="E381" s="22">
        <v>7</v>
      </c>
      <c r="F381" s="22">
        <v>9</v>
      </c>
      <c r="G381" s="22">
        <v>2023</v>
      </c>
      <c r="H381" s="23">
        <f t="shared" si="15"/>
        <v>45116</v>
      </c>
      <c r="I381" s="25">
        <v>45145</v>
      </c>
      <c r="J381" s="22">
        <f t="shared" si="16"/>
        <v>29</v>
      </c>
      <c r="K381" t="s">
        <v>33</v>
      </c>
      <c r="L381">
        <v>67105</v>
      </c>
      <c r="M381">
        <v>718</v>
      </c>
      <c r="N381" s="26">
        <v>1342.23</v>
      </c>
      <c r="O381" s="26">
        <f t="shared" si="17"/>
        <v>1342.23</v>
      </c>
      <c r="P381">
        <v>137</v>
      </c>
      <c r="Q381" t="b">
        <v>1</v>
      </c>
      <c r="S381" t="s">
        <v>68</v>
      </c>
    </row>
    <row r="382" spans="1:19">
      <c r="A382" t="s">
        <v>809</v>
      </c>
      <c r="B382" t="s">
        <v>810</v>
      </c>
      <c r="C382" s="23" t="s">
        <v>4131</v>
      </c>
      <c r="D382" s="23">
        <v>45047</v>
      </c>
      <c r="E382" s="22">
        <v>5</v>
      </c>
      <c r="F382" s="22">
        <v>1</v>
      </c>
      <c r="G382" s="22">
        <v>2023</v>
      </c>
      <c r="H382" s="23">
        <f t="shared" si="15"/>
        <v>45047</v>
      </c>
      <c r="I382" s="25">
        <v>44943</v>
      </c>
      <c r="J382" s="22">
        <f t="shared" si="16"/>
        <v>-104</v>
      </c>
      <c r="K382" t="s">
        <v>19</v>
      </c>
      <c r="L382">
        <v>52885</v>
      </c>
      <c r="M382">
        <v>1803</v>
      </c>
      <c r="N382" s="26">
        <v>1820.41</v>
      </c>
      <c r="O382" s="26">
        <f t="shared" si="17"/>
        <v>1820.41</v>
      </c>
      <c r="P382">
        <v>145</v>
      </c>
      <c r="Q382" t="b">
        <v>0</v>
      </c>
      <c r="S382" t="s">
        <v>20</v>
      </c>
    </row>
    <row r="383" spans="1:19">
      <c r="A383" t="s">
        <v>811</v>
      </c>
      <c r="B383" t="s">
        <v>812</v>
      </c>
      <c r="C383" s="23" t="s">
        <v>4128</v>
      </c>
      <c r="D383" s="23">
        <v>45278</v>
      </c>
      <c r="E383" s="22">
        <v>12</v>
      </c>
      <c r="F383" s="22">
        <v>18</v>
      </c>
      <c r="G383" s="22">
        <v>2023</v>
      </c>
      <c r="H383" s="23">
        <f t="shared" si="15"/>
        <v>45278</v>
      </c>
      <c r="I383" s="25">
        <v>45295</v>
      </c>
      <c r="J383" s="22">
        <f t="shared" si="16"/>
        <v>17</v>
      </c>
      <c r="K383" t="s">
        <v>138</v>
      </c>
      <c r="L383">
        <v>37631</v>
      </c>
      <c r="M383">
        <v>925</v>
      </c>
      <c r="N383" s="26">
        <v>1094.67</v>
      </c>
      <c r="O383" s="26">
        <f t="shared" si="17"/>
        <v>1094.67</v>
      </c>
      <c r="P383">
        <v>0</v>
      </c>
      <c r="Q383" t="b">
        <v>1</v>
      </c>
      <c r="S383" t="s">
        <v>139</v>
      </c>
    </row>
    <row r="384" spans="1:19">
      <c r="A384" t="s">
        <v>813</v>
      </c>
      <c r="B384" t="s">
        <v>814</v>
      </c>
      <c r="C384" s="23" t="s">
        <v>4127</v>
      </c>
      <c r="D384" s="23">
        <v>45257</v>
      </c>
      <c r="E384" s="22">
        <v>11</v>
      </c>
      <c r="F384" s="22">
        <v>27</v>
      </c>
      <c r="G384" s="22">
        <v>2023</v>
      </c>
      <c r="H384" s="23">
        <f t="shared" si="15"/>
        <v>45257</v>
      </c>
      <c r="I384" s="25">
        <v>45286</v>
      </c>
      <c r="J384" s="22">
        <f t="shared" si="16"/>
        <v>29</v>
      </c>
      <c r="K384" t="s">
        <v>23</v>
      </c>
      <c r="L384">
        <v>73991</v>
      </c>
      <c r="M384">
        <v>1883</v>
      </c>
      <c r="N384" s="26">
        <v>2856.83</v>
      </c>
      <c r="O384" s="26">
        <f t="shared" si="17"/>
        <v>2856.83</v>
      </c>
      <c r="P384">
        <v>157</v>
      </c>
      <c r="Q384" t="b">
        <v>0</v>
      </c>
      <c r="S384" t="s">
        <v>25</v>
      </c>
    </row>
    <row r="385" spans="1:19">
      <c r="A385" t="s">
        <v>815</v>
      </c>
      <c r="B385" t="s">
        <v>816</v>
      </c>
      <c r="C385" s="23" t="s">
        <v>4127</v>
      </c>
      <c r="D385" s="23">
        <v>45024</v>
      </c>
      <c r="E385" s="22">
        <v>4</v>
      </c>
      <c r="F385" s="22">
        <v>8</v>
      </c>
      <c r="G385" s="22">
        <v>2023</v>
      </c>
      <c r="H385" s="23">
        <f t="shared" si="15"/>
        <v>45024</v>
      </c>
      <c r="I385" s="25">
        <v>45051</v>
      </c>
      <c r="J385" s="22">
        <f t="shared" si="16"/>
        <v>27</v>
      </c>
      <c r="K385" t="s">
        <v>138</v>
      </c>
      <c r="L385">
        <v>5014</v>
      </c>
      <c r="M385">
        <v>163</v>
      </c>
      <c r="N385" s="26">
        <v>214.27</v>
      </c>
      <c r="O385" s="26">
        <f t="shared" si="17"/>
        <v>214.27</v>
      </c>
      <c r="P385">
        <v>21</v>
      </c>
      <c r="Q385" t="b">
        <v>1</v>
      </c>
      <c r="S385" t="s">
        <v>139</v>
      </c>
    </row>
    <row r="386" spans="1:19">
      <c r="A386" t="s">
        <v>817</v>
      </c>
      <c r="B386" t="s">
        <v>818</v>
      </c>
      <c r="C386" s="23" t="s">
        <v>4127</v>
      </c>
      <c r="D386" s="23" t="s">
        <v>115</v>
      </c>
      <c r="E386" s="22">
        <v>21</v>
      </c>
      <c r="F386" s="22">
        <v>8</v>
      </c>
      <c r="G386" s="22">
        <v>2023</v>
      </c>
      <c r="H386" s="23">
        <f t="shared" si="15"/>
        <v>45159</v>
      </c>
      <c r="I386" s="25">
        <v>45165</v>
      </c>
      <c r="J386" s="22">
        <f t="shared" si="16"/>
        <v>6</v>
      </c>
      <c r="K386" t="s">
        <v>19</v>
      </c>
      <c r="L386">
        <v>12093</v>
      </c>
      <c r="M386">
        <v>213</v>
      </c>
      <c r="N386" s="26">
        <v>217.33</v>
      </c>
      <c r="O386" s="26">
        <f t="shared" si="17"/>
        <v>217.33</v>
      </c>
      <c r="P386">
        <v>0</v>
      </c>
      <c r="Q386" t="b">
        <v>1</v>
      </c>
      <c r="S386" t="s">
        <v>20</v>
      </c>
    </row>
    <row r="387" spans="1:19">
      <c r="A387" t="s">
        <v>819</v>
      </c>
      <c r="B387" t="s">
        <v>820</v>
      </c>
      <c r="C387" s="23" t="s">
        <v>4127</v>
      </c>
      <c r="D387" s="23">
        <v>45035</v>
      </c>
      <c r="E387" s="22">
        <v>4</v>
      </c>
      <c r="F387" s="22">
        <v>19</v>
      </c>
      <c r="G387" s="22">
        <v>2023</v>
      </c>
      <c r="H387" s="23">
        <f t="shared" ref="H387:H450" si="18">IF(E387&gt;12,DATE(G387,F387,E387),D387)</f>
        <v>45035</v>
      </c>
      <c r="I387" s="25">
        <v>45048</v>
      </c>
      <c r="J387" s="22">
        <f t="shared" ref="J387:J450" si="19">DATEDIF(H387,I387,"D")</f>
        <v>13</v>
      </c>
      <c r="K387" t="s">
        <v>14</v>
      </c>
      <c r="L387">
        <v>19070</v>
      </c>
      <c r="M387">
        <v>352</v>
      </c>
      <c r="N387" s="26">
        <v>406.02</v>
      </c>
      <c r="O387" s="26">
        <f t="shared" ref="O387:O450" si="20">IF(N387&lt;$W$8,$W$8,IF(N387&gt;$W$9,$W$9,N387))</f>
        <v>406.02</v>
      </c>
      <c r="P387">
        <v>27</v>
      </c>
      <c r="Q387" t="b">
        <v>1</v>
      </c>
      <c r="S387" t="s">
        <v>16</v>
      </c>
    </row>
    <row r="388" spans="1:19">
      <c r="A388" t="s">
        <v>821</v>
      </c>
      <c r="B388" t="s">
        <v>822</v>
      </c>
      <c r="C388" s="23" t="s">
        <v>4129</v>
      </c>
      <c r="D388" s="23">
        <v>45231</v>
      </c>
      <c r="E388" s="22">
        <v>11</v>
      </c>
      <c r="F388" s="22">
        <v>1</v>
      </c>
      <c r="G388" s="22">
        <v>2023</v>
      </c>
      <c r="H388" s="23">
        <f t="shared" si="18"/>
        <v>45231</v>
      </c>
      <c r="I388" s="25">
        <v>44944</v>
      </c>
      <c r="J388" s="22">
        <f t="shared" si="19"/>
        <v>-287</v>
      </c>
      <c r="K388" t="s">
        <v>19</v>
      </c>
      <c r="L388">
        <v>36777</v>
      </c>
      <c r="M388">
        <v>1080</v>
      </c>
      <c r="N388" s="26">
        <v>1827.06</v>
      </c>
      <c r="O388" s="26">
        <f t="shared" si="20"/>
        <v>1827.06</v>
      </c>
      <c r="P388">
        <v>138</v>
      </c>
      <c r="Q388" t="b">
        <v>0</v>
      </c>
      <c r="S388" t="s">
        <v>20</v>
      </c>
    </row>
    <row r="389" spans="1:19">
      <c r="A389" t="s">
        <v>823</v>
      </c>
      <c r="B389" t="s">
        <v>824</v>
      </c>
      <c r="C389" s="23" t="s">
        <v>4127</v>
      </c>
      <c r="D389" s="23">
        <v>45097</v>
      </c>
      <c r="E389" s="22">
        <v>6</v>
      </c>
      <c r="F389" s="22">
        <v>20</v>
      </c>
      <c r="G389" s="22">
        <v>2023</v>
      </c>
      <c r="H389" s="23">
        <f t="shared" si="18"/>
        <v>45097</v>
      </c>
      <c r="I389" s="25">
        <v>45102</v>
      </c>
      <c r="J389" s="22">
        <f t="shared" si="19"/>
        <v>5</v>
      </c>
      <c r="K389" t="s">
        <v>14</v>
      </c>
      <c r="L389">
        <v>57958</v>
      </c>
      <c r="M389">
        <v>2328</v>
      </c>
      <c r="N389" s="26">
        <v>2135.23</v>
      </c>
      <c r="O389" s="26">
        <f t="shared" si="20"/>
        <v>2135.23</v>
      </c>
      <c r="P389">
        <v>280</v>
      </c>
      <c r="Q389" t="b">
        <v>1</v>
      </c>
      <c r="S389" t="s">
        <v>16</v>
      </c>
    </row>
    <row r="390" spans="1:19">
      <c r="A390" t="s">
        <v>825</v>
      </c>
      <c r="B390" t="s">
        <v>826</v>
      </c>
      <c r="C390" s="23" t="s">
        <v>4129</v>
      </c>
      <c r="D390" s="23">
        <v>45216</v>
      </c>
      <c r="E390" s="22">
        <v>10</v>
      </c>
      <c r="F390" s="22">
        <v>17</v>
      </c>
      <c r="G390" s="22">
        <v>2023</v>
      </c>
      <c r="H390" s="23">
        <f t="shared" si="18"/>
        <v>45216</v>
      </c>
      <c r="I390" s="25">
        <v>45234</v>
      </c>
      <c r="J390" s="22">
        <f t="shared" si="19"/>
        <v>18</v>
      </c>
      <c r="K390" t="s">
        <v>41</v>
      </c>
      <c r="L390">
        <v>83074</v>
      </c>
      <c r="M390">
        <v>2889</v>
      </c>
      <c r="N390" s="26">
        <v>2060.96</v>
      </c>
      <c r="O390" s="26">
        <f t="shared" si="20"/>
        <v>2060.96</v>
      </c>
      <c r="P390">
        <v>175</v>
      </c>
      <c r="Q390" t="b">
        <v>0</v>
      </c>
      <c r="S390" t="s">
        <v>42</v>
      </c>
    </row>
    <row r="391" spans="1:19">
      <c r="A391" t="s">
        <v>827</v>
      </c>
      <c r="B391" t="s">
        <v>828</v>
      </c>
      <c r="C391" s="23" t="s">
        <v>4128</v>
      </c>
      <c r="D391" s="23">
        <v>45210</v>
      </c>
      <c r="E391" s="22">
        <v>10</v>
      </c>
      <c r="F391" s="22">
        <v>11</v>
      </c>
      <c r="G391" s="22">
        <v>2023</v>
      </c>
      <c r="H391" s="23">
        <f t="shared" si="18"/>
        <v>45210</v>
      </c>
      <c r="I391" s="25">
        <v>45211</v>
      </c>
      <c r="J391" s="22">
        <f t="shared" si="19"/>
        <v>1</v>
      </c>
      <c r="K391" t="s">
        <v>23</v>
      </c>
      <c r="L391">
        <v>11729</v>
      </c>
      <c r="M391">
        <v>256</v>
      </c>
      <c r="N391" s="26">
        <v>248.25</v>
      </c>
      <c r="O391" s="26">
        <f t="shared" si="20"/>
        <v>248.25</v>
      </c>
      <c r="P391">
        <v>44</v>
      </c>
      <c r="Q391" t="b">
        <v>1</v>
      </c>
      <c r="S391" t="s">
        <v>68</v>
      </c>
    </row>
    <row r="392" spans="1:19">
      <c r="A392" t="s">
        <v>829</v>
      </c>
      <c r="B392" t="s">
        <v>830</v>
      </c>
      <c r="C392" s="23" t="s">
        <v>4127</v>
      </c>
      <c r="D392" s="23">
        <v>45046</v>
      </c>
      <c r="E392" s="22">
        <v>4</v>
      </c>
      <c r="F392" s="22">
        <v>30</v>
      </c>
      <c r="G392" s="22">
        <v>2023</v>
      </c>
      <c r="H392" s="23">
        <f t="shared" si="18"/>
        <v>45046</v>
      </c>
      <c r="I392" s="25">
        <v>45076</v>
      </c>
      <c r="J392" s="22">
        <f t="shared" si="19"/>
        <v>30</v>
      </c>
      <c r="K392" t="s">
        <v>41</v>
      </c>
      <c r="L392">
        <v>46017</v>
      </c>
      <c r="M392">
        <v>1252</v>
      </c>
      <c r="N392" s="26">
        <v>2221.43</v>
      </c>
      <c r="O392" s="26">
        <f t="shared" si="20"/>
        <v>2221.43</v>
      </c>
      <c r="P392">
        <v>125</v>
      </c>
      <c r="Q392" t="b">
        <v>1</v>
      </c>
      <c r="S392" t="s">
        <v>42</v>
      </c>
    </row>
    <row r="393" spans="1:19">
      <c r="A393" t="s">
        <v>831</v>
      </c>
      <c r="B393" t="s">
        <v>832</v>
      </c>
      <c r="C393" s="23" t="s">
        <v>4131</v>
      </c>
      <c r="D393" s="23">
        <v>44968</v>
      </c>
      <c r="E393" s="22">
        <v>2</v>
      </c>
      <c r="F393" s="22">
        <v>11</v>
      </c>
      <c r="G393" s="22">
        <v>2023</v>
      </c>
      <c r="H393" s="23">
        <f t="shared" si="18"/>
        <v>44968</v>
      </c>
      <c r="I393" s="25">
        <v>45253</v>
      </c>
      <c r="J393" s="22">
        <f t="shared" si="19"/>
        <v>285</v>
      </c>
      <c r="K393" t="s">
        <v>14</v>
      </c>
      <c r="L393">
        <v>67320</v>
      </c>
      <c r="M393">
        <v>1132</v>
      </c>
      <c r="N393" s="26">
        <v>717.1</v>
      </c>
      <c r="O393" s="26">
        <f t="shared" si="20"/>
        <v>717.1</v>
      </c>
      <c r="P393">
        <v>154</v>
      </c>
      <c r="Q393" t="b">
        <v>0</v>
      </c>
      <c r="S393" t="s">
        <v>16</v>
      </c>
    </row>
    <row r="394" spans="1:19">
      <c r="A394" t="s">
        <v>833</v>
      </c>
      <c r="B394" t="s">
        <v>834</v>
      </c>
      <c r="C394" s="23" t="s">
        <v>4129</v>
      </c>
      <c r="D394" s="23">
        <v>45001</v>
      </c>
      <c r="E394" s="22">
        <v>3</v>
      </c>
      <c r="F394" s="22">
        <v>16</v>
      </c>
      <c r="G394" s="22">
        <v>2023</v>
      </c>
      <c r="H394" s="23">
        <f t="shared" si="18"/>
        <v>45001</v>
      </c>
      <c r="I394" s="25">
        <v>45025</v>
      </c>
      <c r="J394" s="22">
        <f t="shared" si="19"/>
        <v>24</v>
      </c>
      <c r="K394" t="s">
        <v>191</v>
      </c>
      <c r="L394">
        <v>28751</v>
      </c>
      <c r="M394">
        <v>373</v>
      </c>
      <c r="N394" s="26">
        <v>741.35</v>
      </c>
      <c r="O394" s="26">
        <f t="shared" si="20"/>
        <v>741.35</v>
      </c>
      <c r="P394">
        <v>47</v>
      </c>
      <c r="Q394" t="b">
        <v>1</v>
      </c>
      <c r="S394" t="s">
        <v>42</v>
      </c>
    </row>
    <row r="395" spans="1:19">
      <c r="A395" t="s">
        <v>835</v>
      </c>
      <c r="B395" t="s">
        <v>836</v>
      </c>
      <c r="C395" s="23" t="s">
        <v>4129</v>
      </c>
      <c r="D395" s="23">
        <v>45016</v>
      </c>
      <c r="E395" s="22">
        <v>3</v>
      </c>
      <c r="F395" s="22">
        <v>31</v>
      </c>
      <c r="G395" s="22">
        <v>2023</v>
      </c>
      <c r="H395" s="23">
        <f t="shared" si="18"/>
        <v>45016</v>
      </c>
      <c r="I395" s="25">
        <v>45036</v>
      </c>
      <c r="J395" s="22">
        <f t="shared" si="19"/>
        <v>20</v>
      </c>
      <c r="K395" t="s">
        <v>41</v>
      </c>
      <c r="L395">
        <v>79069</v>
      </c>
      <c r="M395">
        <v>3266</v>
      </c>
      <c r="N395" s="26">
        <v>4283.37</v>
      </c>
      <c r="O395" s="26">
        <f t="shared" si="20"/>
        <v>3632.575</v>
      </c>
      <c r="P395">
        <v>414</v>
      </c>
      <c r="Q395" t="b">
        <v>0</v>
      </c>
      <c r="S395" t="s">
        <v>42</v>
      </c>
    </row>
    <row r="396" spans="1:19">
      <c r="A396" t="s">
        <v>837</v>
      </c>
      <c r="B396" t="s">
        <v>838</v>
      </c>
      <c r="C396" s="23" t="s">
        <v>4131</v>
      </c>
      <c r="D396" s="23">
        <v>45172</v>
      </c>
      <c r="E396" s="22">
        <v>9</v>
      </c>
      <c r="F396" s="22">
        <v>3</v>
      </c>
      <c r="G396" s="22">
        <v>2023</v>
      </c>
      <c r="H396" s="23">
        <f t="shared" si="18"/>
        <v>45172</v>
      </c>
      <c r="I396" s="25">
        <v>45004</v>
      </c>
      <c r="J396" s="22">
        <f t="shared" si="19"/>
        <v>-168</v>
      </c>
      <c r="K396" t="s">
        <v>14</v>
      </c>
      <c r="L396">
        <v>55748</v>
      </c>
      <c r="M396">
        <v>1149</v>
      </c>
      <c r="N396" s="26">
        <v>2271.88</v>
      </c>
      <c r="O396" s="26">
        <f t="shared" si="20"/>
        <v>2271.88</v>
      </c>
      <c r="P396">
        <v>75</v>
      </c>
      <c r="Q396" t="b">
        <v>0</v>
      </c>
      <c r="S396" t="s">
        <v>16</v>
      </c>
    </row>
    <row r="397" spans="1:19">
      <c r="A397" t="s">
        <v>839</v>
      </c>
      <c r="B397" t="s">
        <v>840</v>
      </c>
      <c r="C397" s="23" t="s">
        <v>4127</v>
      </c>
      <c r="D397" s="23">
        <v>45048</v>
      </c>
      <c r="E397" s="22">
        <v>5</v>
      </c>
      <c r="F397" s="22">
        <v>2</v>
      </c>
      <c r="G397" s="22">
        <v>2023</v>
      </c>
      <c r="H397" s="23">
        <f t="shared" si="18"/>
        <v>45048</v>
      </c>
      <c r="I397" s="25">
        <v>44971</v>
      </c>
      <c r="J397" s="22">
        <f t="shared" si="19"/>
        <v>-77</v>
      </c>
      <c r="K397" t="s">
        <v>19</v>
      </c>
      <c r="L397">
        <v>6801</v>
      </c>
      <c r="M397">
        <v>116</v>
      </c>
      <c r="N397" s="26">
        <v>221.39</v>
      </c>
      <c r="O397" s="26">
        <f t="shared" si="20"/>
        <v>221.39</v>
      </c>
      <c r="P397">
        <v>13</v>
      </c>
      <c r="Q397" t="b">
        <v>1</v>
      </c>
      <c r="S397" t="s">
        <v>68</v>
      </c>
    </row>
    <row r="398" spans="1:19">
      <c r="A398" t="s">
        <v>841</v>
      </c>
      <c r="B398" t="s">
        <v>842</v>
      </c>
      <c r="C398" s="23" t="s">
        <v>4129</v>
      </c>
      <c r="D398" s="23" t="s">
        <v>843</v>
      </c>
      <c r="E398" s="22">
        <v>16</v>
      </c>
      <c r="F398" s="22">
        <v>5</v>
      </c>
      <c r="G398" s="22">
        <v>2023</v>
      </c>
      <c r="H398" s="23">
        <f t="shared" si="18"/>
        <v>45062</v>
      </c>
      <c r="I398" s="25">
        <v>45080</v>
      </c>
      <c r="J398" s="22">
        <f t="shared" si="19"/>
        <v>18</v>
      </c>
      <c r="K398" t="s">
        <v>14</v>
      </c>
      <c r="L398">
        <v>20190</v>
      </c>
      <c r="M398">
        <v>760</v>
      </c>
      <c r="N398" s="26">
        <v>896.21</v>
      </c>
      <c r="O398" s="26">
        <f t="shared" si="20"/>
        <v>896.21</v>
      </c>
      <c r="P398">
        <v>89</v>
      </c>
      <c r="Q398" t="b">
        <v>1</v>
      </c>
      <c r="S398" t="s">
        <v>16</v>
      </c>
    </row>
    <row r="399" spans="1:19">
      <c r="A399" t="s">
        <v>844</v>
      </c>
      <c r="B399" t="s">
        <v>845</v>
      </c>
      <c r="C399" s="23" t="s">
        <v>4131</v>
      </c>
      <c r="D399" s="23">
        <v>45142</v>
      </c>
      <c r="E399" s="22">
        <v>8</v>
      </c>
      <c r="F399" s="22">
        <v>4</v>
      </c>
      <c r="G399" s="22">
        <v>2023</v>
      </c>
      <c r="H399" s="23">
        <f t="shared" si="18"/>
        <v>45142</v>
      </c>
      <c r="I399" s="25">
        <v>45154</v>
      </c>
      <c r="J399" s="22">
        <f t="shared" si="19"/>
        <v>12</v>
      </c>
      <c r="K399" t="s">
        <v>14</v>
      </c>
      <c r="L399">
        <v>50689</v>
      </c>
      <c r="M399">
        <v>1760</v>
      </c>
      <c r="N399" s="26">
        <v>1404.02</v>
      </c>
      <c r="O399" s="26">
        <f t="shared" si="20"/>
        <v>1404.02</v>
      </c>
      <c r="P399">
        <v>0</v>
      </c>
      <c r="Q399" t="b">
        <v>0</v>
      </c>
      <c r="S399" t="s">
        <v>16</v>
      </c>
    </row>
    <row r="400" spans="1:19">
      <c r="A400" t="s">
        <v>846</v>
      </c>
      <c r="B400" t="s">
        <v>847</v>
      </c>
      <c r="C400" s="23" t="s">
        <v>4129</v>
      </c>
      <c r="D400" s="23">
        <v>45170</v>
      </c>
      <c r="E400" s="22">
        <v>9</v>
      </c>
      <c r="F400" s="22">
        <v>1</v>
      </c>
      <c r="G400" s="22">
        <v>2023</v>
      </c>
      <c r="H400" s="23">
        <f t="shared" si="18"/>
        <v>45170</v>
      </c>
      <c r="I400" s="25">
        <v>45187</v>
      </c>
      <c r="J400" s="22">
        <f t="shared" si="19"/>
        <v>17</v>
      </c>
      <c r="K400" t="s">
        <v>41</v>
      </c>
      <c r="L400">
        <v>51993</v>
      </c>
      <c r="M400">
        <v>1836</v>
      </c>
      <c r="N400" s="26">
        <v>1372.09</v>
      </c>
      <c r="O400" s="26">
        <f t="shared" si="20"/>
        <v>1372.09</v>
      </c>
      <c r="P400">
        <v>323</v>
      </c>
      <c r="Q400" t="b">
        <v>1</v>
      </c>
      <c r="S400" t="s">
        <v>42</v>
      </c>
    </row>
    <row r="401" spans="1:19">
      <c r="A401" t="s">
        <v>848</v>
      </c>
      <c r="B401" t="s">
        <v>849</v>
      </c>
      <c r="C401" s="23" t="s">
        <v>4127</v>
      </c>
      <c r="D401" s="23">
        <v>45230</v>
      </c>
      <c r="E401" s="22">
        <v>10</v>
      </c>
      <c r="F401" s="22">
        <v>31</v>
      </c>
      <c r="G401" s="22">
        <v>2023</v>
      </c>
      <c r="H401" s="23">
        <f t="shared" si="18"/>
        <v>45230</v>
      </c>
      <c r="I401" s="25">
        <v>45243</v>
      </c>
      <c r="J401" s="22">
        <f t="shared" si="19"/>
        <v>13</v>
      </c>
      <c r="K401" t="s">
        <v>14</v>
      </c>
      <c r="L401">
        <v>30592</v>
      </c>
      <c r="M401">
        <v>586</v>
      </c>
      <c r="N401" s="26">
        <v>503.95</v>
      </c>
      <c r="O401" s="26">
        <f t="shared" si="20"/>
        <v>503.95</v>
      </c>
      <c r="P401">
        <v>77</v>
      </c>
      <c r="Q401" t="b">
        <v>1</v>
      </c>
      <c r="S401" t="s">
        <v>16</v>
      </c>
    </row>
    <row r="402" spans="1:19">
      <c r="A402" t="s">
        <v>850</v>
      </c>
      <c r="B402" t="s">
        <v>851</v>
      </c>
      <c r="C402" s="23" t="s">
        <v>4129</v>
      </c>
      <c r="D402" s="23">
        <v>45241</v>
      </c>
      <c r="E402" s="22">
        <v>11</v>
      </c>
      <c r="F402" s="22">
        <v>11</v>
      </c>
      <c r="G402" s="22">
        <v>2023</v>
      </c>
      <c r="H402" s="23">
        <f t="shared" si="18"/>
        <v>45241</v>
      </c>
      <c r="I402" s="25">
        <v>45247</v>
      </c>
      <c r="J402" s="22">
        <f t="shared" si="19"/>
        <v>6</v>
      </c>
      <c r="K402" t="s">
        <v>14</v>
      </c>
      <c r="L402">
        <v>11647</v>
      </c>
      <c r="M402">
        <v>224</v>
      </c>
      <c r="N402" s="26">
        <v>350.6</v>
      </c>
      <c r="O402" s="26">
        <f t="shared" si="20"/>
        <v>350.6</v>
      </c>
      <c r="P402">
        <v>14</v>
      </c>
      <c r="Q402" t="b">
        <v>1</v>
      </c>
      <c r="S402" t="s">
        <v>16</v>
      </c>
    </row>
    <row r="403" spans="1:19">
      <c r="A403" t="s">
        <v>852</v>
      </c>
      <c r="B403" t="s">
        <v>853</v>
      </c>
      <c r="C403" s="23" t="s">
        <v>4128</v>
      </c>
      <c r="D403" s="23">
        <v>45264</v>
      </c>
      <c r="E403" s="22">
        <v>12</v>
      </c>
      <c r="F403" s="22">
        <v>4</v>
      </c>
      <c r="G403" s="22">
        <v>2023</v>
      </c>
      <c r="H403" s="23">
        <f t="shared" si="18"/>
        <v>45264</v>
      </c>
      <c r="I403" s="25">
        <v>45291</v>
      </c>
      <c r="J403" s="22">
        <f t="shared" si="19"/>
        <v>27</v>
      </c>
      <c r="K403" t="s">
        <v>23</v>
      </c>
      <c r="L403">
        <v>9716</v>
      </c>
      <c r="M403">
        <v>182</v>
      </c>
      <c r="N403" s="26">
        <v>165.52</v>
      </c>
      <c r="O403" s="26">
        <f t="shared" si="20"/>
        <v>165.52</v>
      </c>
      <c r="P403">
        <v>0</v>
      </c>
      <c r="Q403" t="b">
        <v>1</v>
      </c>
      <c r="S403" t="s">
        <v>25</v>
      </c>
    </row>
    <row r="404" spans="1:19">
      <c r="A404" t="s">
        <v>854</v>
      </c>
      <c r="B404" t="s">
        <v>855</v>
      </c>
      <c r="C404" s="23" t="s">
        <v>4127</v>
      </c>
      <c r="D404" s="23" t="s">
        <v>856</v>
      </c>
      <c r="E404" s="22">
        <v>16</v>
      </c>
      <c r="F404" s="22">
        <v>1</v>
      </c>
      <c r="G404" s="22">
        <v>2023</v>
      </c>
      <c r="H404" s="23">
        <f t="shared" si="18"/>
        <v>44942</v>
      </c>
      <c r="I404" s="25">
        <v>44949</v>
      </c>
      <c r="J404" s="22">
        <f t="shared" si="19"/>
        <v>7</v>
      </c>
      <c r="K404" t="s">
        <v>33</v>
      </c>
      <c r="L404">
        <v>89891</v>
      </c>
      <c r="M404">
        <v>1523</v>
      </c>
      <c r="N404" s="26">
        <v>1541.49</v>
      </c>
      <c r="O404" s="26">
        <f t="shared" si="20"/>
        <v>1541.49</v>
      </c>
      <c r="P404">
        <v>113</v>
      </c>
      <c r="Q404" t="b">
        <v>1</v>
      </c>
      <c r="S404" t="s">
        <v>34</v>
      </c>
    </row>
    <row r="405" spans="1:19">
      <c r="A405" t="s">
        <v>857</v>
      </c>
      <c r="B405" t="s">
        <v>858</v>
      </c>
      <c r="C405" s="23" t="s">
        <v>4128</v>
      </c>
      <c r="D405" s="23">
        <v>45172</v>
      </c>
      <c r="E405" s="22">
        <v>9</v>
      </c>
      <c r="F405" s="22">
        <v>3</v>
      </c>
      <c r="G405" s="22">
        <v>2023</v>
      </c>
      <c r="H405" s="23">
        <f t="shared" si="18"/>
        <v>45172</v>
      </c>
      <c r="I405" s="25">
        <v>45197</v>
      </c>
      <c r="J405" s="22">
        <f t="shared" si="19"/>
        <v>25</v>
      </c>
      <c r="K405" t="s">
        <v>138</v>
      </c>
      <c r="L405">
        <v>88545</v>
      </c>
      <c r="M405">
        <v>3207</v>
      </c>
      <c r="N405" s="26">
        <v>3762.35</v>
      </c>
      <c r="O405" s="26">
        <f t="shared" si="20"/>
        <v>3632.575</v>
      </c>
      <c r="P405">
        <v>0</v>
      </c>
      <c r="Q405" t="b">
        <v>1</v>
      </c>
      <c r="S405" t="s">
        <v>68</v>
      </c>
    </row>
    <row r="406" spans="1:19">
      <c r="A406" t="s">
        <v>859</v>
      </c>
      <c r="B406" t="s">
        <v>860</v>
      </c>
      <c r="C406" s="23" t="s">
        <v>4127</v>
      </c>
      <c r="D406" s="23">
        <v>44982</v>
      </c>
      <c r="E406" s="22">
        <v>2</v>
      </c>
      <c r="F406" s="22">
        <v>25</v>
      </c>
      <c r="G406" s="22">
        <v>2023</v>
      </c>
      <c r="H406" s="23">
        <f t="shared" si="18"/>
        <v>44982</v>
      </c>
      <c r="I406" s="25">
        <v>45002</v>
      </c>
      <c r="J406" s="22">
        <f t="shared" si="19"/>
        <v>20</v>
      </c>
      <c r="K406" t="s">
        <v>23</v>
      </c>
      <c r="L406">
        <v>90912</v>
      </c>
      <c r="M406">
        <v>3992</v>
      </c>
      <c r="N406" s="26">
        <v>7464.44</v>
      </c>
      <c r="O406" s="26">
        <f t="shared" si="20"/>
        <v>3632.575</v>
      </c>
      <c r="P406">
        <v>418</v>
      </c>
      <c r="Q406" t="b">
        <v>1</v>
      </c>
      <c r="S406" t="s">
        <v>25</v>
      </c>
    </row>
    <row r="407" spans="1:19">
      <c r="A407" t="s">
        <v>861</v>
      </c>
      <c r="B407" t="s">
        <v>862</v>
      </c>
      <c r="C407" s="23" t="s">
        <v>4131</v>
      </c>
      <c r="D407" s="23">
        <v>44964</v>
      </c>
      <c r="E407" s="22">
        <v>2</v>
      </c>
      <c r="F407" s="22">
        <v>7</v>
      </c>
      <c r="G407" s="22">
        <v>2023</v>
      </c>
      <c r="H407" s="23">
        <f t="shared" si="18"/>
        <v>44964</v>
      </c>
      <c r="I407" s="25">
        <v>44973</v>
      </c>
      <c r="J407" s="22">
        <f t="shared" si="19"/>
        <v>9</v>
      </c>
      <c r="K407" t="s">
        <v>19</v>
      </c>
      <c r="L407">
        <v>71316</v>
      </c>
      <c r="M407">
        <v>2779</v>
      </c>
      <c r="N407" s="26">
        <v>2178.99</v>
      </c>
      <c r="O407" s="26">
        <f t="shared" si="20"/>
        <v>2178.99</v>
      </c>
      <c r="P407">
        <v>234</v>
      </c>
      <c r="Q407" t="b">
        <v>0</v>
      </c>
      <c r="S407" t="s">
        <v>20</v>
      </c>
    </row>
    <row r="408" spans="1:19">
      <c r="A408" t="s">
        <v>863</v>
      </c>
      <c r="B408" t="s">
        <v>864</v>
      </c>
      <c r="C408" s="23" t="s">
        <v>4129</v>
      </c>
      <c r="D408" s="23" t="s">
        <v>865</v>
      </c>
      <c r="E408" s="22">
        <v>17</v>
      </c>
      <c r="F408" s="22">
        <v>3</v>
      </c>
      <c r="G408" s="22">
        <v>2023</v>
      </c>
      <c r="H408" s="23">
        <f t="shared" si="18"/>
        <v>45002</v>
      </c>
      <c r="I408" s="25">
        <v>45013</v>
      </c>
      <c r="J408" s="22">
        <f t="shared" si="19"/>
        <v>11</v>
      </c>
      <c r="K408" t="s">
        <v>23</v>
      </c>
      <c r="L408">
        <v>3368</v>
      </c>
      <c r="M408">
        <v>140</v>
      </c>
      <c r="N408" s="26">
        <v>71.06</v>
      </c>
      <c r="O408" s="26">
        <f t="shared" si="20"/>
        <v>71.06</v>
      </c>
      <c r="P408">
        <v>11</v>
      </c>
      <c r="Q408" t="b">
        <v>0</v>
      </c>
      <c r="S408" t="s">
        <v>25</v>
      </c>
    </row>
    <row r="409" spans="1:19">
      <c r="A409" t="s">
        <v>866</v>
      </c>
      <c r="B409" t="s">
        <v>867</v>
      </c>
      <c r="C409" s="23" t="s">
        <v>4131</v>
      </c>
      <c r="D409" s="23">
        <v>45067</v>
      </c>
      <c r="E409" s="22">
        <v>5</v>
      </c>
      <c r="F409" s="22">
        <v>21</v>
      </c>
      <c r="G409" s="22">
        <v>2023</v>
      </c>
      <c r="H409" s="23">
        <f t="shared" si="18"/>
        <v>45067</v>
      </c>
      <c r="I409" s="25">
        <v>45074</v>
      </c>
      <c r="J409" s="22">
        <f t="shared" si="19"/>
        <v>7</v>
      </c>
      <c r="K409" t="s">
        <v>266</v>
      </c>
      <c r="L409">
        <v>78575</v>
      </c>
      <c r="M409">
        <v>2058</v>
      </c>
      <c r="N409" s="26">
        <v>-1214.52</v>
      </c>
      <c r="O409" s="26">
        <f t="shared" si="20"/>
        <v>-344.195</v>
      </c>
      <c r="P409">
        <v>119</v>
      </c>
      <c r="Q409" t="b">
        <v>0</v>
      </c>
      <c r="S409" t="s">
        <v>20</v>
      </c>
    </row>
    <row r="410" spans="1:19">
      <c r="A410" t="s">
        <v>868</v>
      </c>
      <c r="B410" t="s">
        <v>869</v>
      </c>
      <c r="C410" s="23" t="s">
        <v>4127</v>
      </c>
      <c r="D410" s="23">
        <v>45291</v>
      </c>
      <c r="E410" s="22">
        <v>12</v>
      </c>
      <c r="F410" s="22">
        <v>31</v>
      </c>
      <c r="G410" s="22">
        <v>2023</v>
      </c>
      <c r="H410" s="23">
        <f t="shared" si="18"/>
        <v>45291</v>
      </c>
      <c r="I410" s="25">
        <v>45302</v>
      </c>
      <c r="J410" s="22">
        <f t="shared" si="19"/>
        <v>11</v>
      </c>
      <c r="K410" t="s">
        <v>41</v>
      </c>
      <c r="L410">
        <v>7655</v>
      </c>
      <c r="M410">
        <v>276</v>
      </c>
      <c r="N410" s="26">
        <v>512.57</v>
      </c>
      <c r="O410" s="26">
        <f t="shared" si="20"/>
        <v>512.57</v>
      </c>
      <c r="P410">
        <v>14</v>
      </c>
      <c r="Q410" t="b">
        <v>1</v>
      </c>
      <c r="S410" t="s">
        <v>42</v>
      </c>
    </row>
    <row r="411" spans="1:19">
      <c r="A411" t="s">
        <v>870</v>
      </c>
      <c r="B411" t="s">
        <v>871</v>
      </c>
      <c r="C411" s="23" t="s">
        <v>4129</v>
      </c>
      <c r="D411" s="23">
        <v>45198</v>
      </c>
      <c r="E411" s="22">
        <v>9</v>
      </c>
      <c r="F411" s="22">
        <v>29</v>
      </c>
      <c r="G411" s="22">
        <v>2023</v>
      </c>
      <c r="H411" s="23">
        <f t="shared" si="18"/>
        <v>45198</v>
      </c>
      <c r="I411" s="25">
        <v>45227</v>
      </c>
      <c r="J411" s="22">
        <f t="shared" si="19"/>
        <v>29</v>
      </c>
      <c r="K411" t="s">
        <v>23</v>
      </c>
      <c r="L411">
        <v>71031</v>
      </c>
      <c r="M411">
        <v>1716</v>
      </c>
      <c r="N411" s="26">
        <v>2524.71</v>
      </c>
      <c r="O411" s="26">
        <f t="shared" si="20"/>
        <v>2524.71</v>
      </c>
      <c r="P411">
        <v>112</v>
      </c>
      <c r="Q411" t="b">
        <v>1</v>
      </c>
      <c r="S411" t="s">
        <v>25</v>
      </c>
    </row>
    <row r="412" spans="1:19">
      <c r="A412" t="s">
        <v>872</v>
      </c>
      <c r="B412" t="s">
        <v>873</v>
      </c>
      <c r="C412" s="23" t="s">
        <v>4127</v>
      </c>
      <c r="D412" s="23">
        <v>45177</v>
      </c>
      <c r="E412" s="22">
        <v>9</v>
      </c>
      <c r="F412" s="22">
        <v>8</v>
      </c>
      <c r="G412" s="22">
        <v>2023</v>
      </c>
      <c r="H412" s="23">
        <f t="shared" si="18"/>
        <v>45177</v>
      </c>
      <c r="I412" s="25">
        <v>45156</v>
      </c>
      <c r="J412" s="22">
        <f t="shared" si="19"/>
        <v>-21</v>
      </c>
      <c r="K412" t="s">
        <v>23</v>
      </c>
      <c r="L412">
        <v>77429</v>
      </c>
      <c r="M412">
        <v>2401</v>
      </c>
      <c r="N412" s="26">
        <v>2183.86</v>
      </c>
      <c r="O412" s="26">
        <f t="shared" si="20"/>
        <v>2183.86</v>
      </c>
      <c r="P412">
        <v>182</v>
      </c>
      <c r="Q412" t="b">
        <v>0</v>
      </c>
      <c r="S412" t="s">
        <v>68</v>
      </c>
    </row>
    <row r="413" spans="1:19">
      <c r="A413" t="s">
        <v>874</v>
      </c>
      <c r="B413" t="s">
        <v>875</v>
      </c>
      <c r="C413" s="23" t="s">
        <v>4127</v>
      </c>
      <c r="D413" s="23">
        <v>45286</v>
      </c>
      <c r="E413" s="22">
        <v>12</v>
      </c>
      <c r="F413" s="22">
        <v>26</v>
      </c>
      <c r="G413" s="22">
        <v>2023</v>
      </c>
      <c r="H413" s="23">
        <f t="shared" si="18"/>
        <v>45286</v>
      </c>
      <c r="I413" s="25">
        <v>45299</v>
      </c>
      <c r="J413" s="22">
        <f t="shared" si="19"/>
        <v>13</v>
      </c>
      <c r="K413" t="s">
        <v>33</v>
      </c>
      <c r="L413">
        <v>92083</v>
      </c>
      <c r="M413">
        <v>2694</v>
      </c>
      <c r="N413" s="26">
        <v>2063.03</v>
      </c>
      <c r="O413" s="26">
        <f t="shared" si="20"/>
        <v>2063.03</v>
      </c>
      <c r="P413">
        <v>308</v>
      </c>
      <c r="Q413" t="b">
        <v>1</v>
      </c>
      <c r="S413" t="s">
        <v>34</v>
      </c>
    </row>
    <row r="414" spans="1:19">
      <c r="A414" t="s">
        <v>876</v>
      </c>
      <c r="B414" t="s">
        <v>877</v>
      </c>
      <c r="C414" s="23" t="s">
        <v>4129</v>
      </c>
      <c r="D414" s="23">
        <v>45209</v>
      </c>
      <c r="E414" s="22">
        <v>10</v>
      </c>
      <c r="F414" s="22">
        <v>10</v>
      </c>
      <c r="G414" s="22">
        <v>2023</v>
      </c>
      <c r="H414" s="23">
        <f t="shared" si="18"/>
        <v>45209</v>
      </c>
      <c r="I414" s="25">
        <v>45213</v>
      </c>
      <c r="J414" s="22">
        <f t="shared" si="19"/>
        <v>4</v>
      </c>
      <c r="K414" t="s">
        <v>14</v>
      </c>
      <c r="L414">
        <v>88922</v>
      </c>
      <c r="M414">
        <v>1518</v>
      </c>
      <c r="N414" s="26">
        <v>1429.05</v>
      </c>
      <c r="O414" s="26">
        <f t="shared" si="20"/>
        <v>1429.05</v>
      </c>
      <c r="P414">
        <v>0</v>
      </c>
      <c r="Q414" t="b">
        <v>0</v>
      </c>
      <c r="S414" t="s">
        <v>16</v>
      </c>
    </row>
    <row r="415" spans="1:19">
      <c r="A415" t="s">
        <v>878</v>
      </c>
      <c r="B415" t="s">
        <v>879</v>
      </c>
      <c r="C415" s="23" t="s">
        <v>4129</v>
      </c>
      <c r="D415" s="23">
        <v>45158</v>
      </c>
      <c r="E415" s="22">
        <v>8</v>
      </c>
      <c r="F415" s="22">
        <v>20</v>
      </c>
      <c r="G415" s="22">
        <v>2023</v>
      </c>
      <c r="H415" s="23">
        <f t="shared" si="18"/>
        <v>45158</v>
      </c>
      <c r="I415" s="25">
        <v>45179</v>
      </c>
      <c r="J415" s="22">
        <f t="shared" si="19"/>
        <v>21</v>
      </c>
      <c r="K415" t="s">
        <v>234</v>
      </c>
      <c r="L415">
        <v>56766</v>
      </c>
      <c r="M415">
        <v>1446</v>
      </c>
      <c r="N415" s="26">
        <v>971.99</v>
      </c>
      <c r="O415" s="26">
        <f t="shared" si="20"/>
        <v>971.99</v>
      </c>
      <c r="P415">
        <v>102</v>
      </c>
      <c r="Q415" t="b">
        <v>0</v>
      </c>
      <c r="S415" t="s">
        <v>16</v>
      </c>
    </row>
    <row r="416" spans="1:19">
      <c r="A416" t="s">
        <v>880</v>
      </c>
      <c r="B416" t="s">
        <v>881</v>
      </c>
      <c r="C416" s="23" t="s">
        <v>4127</v>
      </c>
      <c r="D416" s="23">
        <v>45159</v>
      </c>
      <c r="E416" s="22">
        <v>8</v>
      </c>
      <c r="F416" s="22">
        <v>21</v>
      </c>
      <c r="G416" s="22">
        <v>2023</v>
      </c>
      <c r="H416" s="23">
        <f t="shared" si="18"/>
        <v>45159</v>
      </c>
      <c r="I416" s="25">
        <v>45169</v>
      </c>
      <c r="J416" s="22">
        <f t="shared" si="19"/>
        <v>10</v>
      </c>
      <c r="K416" t="s">
        <v>41</v>
      </c>
      <c r="L416">
        <v>14403</v>
      </c>
      <c r="M416">
        <v>699</v>
      </c>
      <c r="N416" s="26">
        <v>1336.7</v>
      </c>
      <c r="O416" s="26">
        <f t="shared" si="20"/>
        <v>1336.7</v>
      </c>
      <c r="P416">
        <v>79</v>
      </c>
      <c r="Q416" t="b">
        <v>1</v>
      </c>
      <c r="S416" t="s">
        <v>42</v>
      </c>
    </row>
    <row r="417" spans="1:19">
      <c r="A417" t="s">
        <v>882</v>
      </c>
      <c r="B417" t="s">
        <v>883</v>
      </c>
      <c r="C417" s="23" t="s">
        <v>4131</v>
      </c>
      <c r="D417" s="23">
        <v>45087</v>
      </c>
      <c r="E417" s="22">
        <v>6</v>
      </c>
      <c r="F417" s="22">
        <v>10</v>
      </c>
      <c r="G417" s="22">
        <v>2023</v>
      </c>
      <c r="H417" s="23">
        <f t="shared" si="18"/>
        <v>45087</v>
      </c>
      <c r="I417" s="25">
        <v>45102</v>
      </c>
      <c r="J417" s="22">
        <f t="shared" si="19"/>
        <v>15</v>
      </c>
      <c r="K417" t="s">
        <v>41</v>
      </c>
      <c r="L417">
        <v>33097</v>
      </c>
      <c r="M417">
        <v>660</v>
      </c>
      <c r="N417" s="26">
        <v>1106.36</v>
      </c>
      <c r="O417" s="26">
        <f t="shared" si="20"/>
        <v>1106.36</v>
      </c>
      <c r="P417">
        <v>66</v>
      </c>
      <c r="Q417" t="b">
        <v>1</v>
      </c>
      <c r="S417" t="s">
        <v>42</v>
      </c>
    </row>
    <row r="418" spans="1:19">
      <c r="A418" t="s">
        <v>884</v>
      </c>
      <c r="B418" t="s">
        <v>885</v>
      </c>
      <c r="C418" s="23" t="s">
        <v>4128</v>
      </c>
      <c r="D418" s="23">
        <v>45118</v>
      </c>
      <c r="E418" s="22">
        <v>7</v>
      </c>
      <c r="F418" s="22">
        <v>11</v>
      </c>
      <c r="G418" s="22">
        <v>2023</v>
      </c>
      <c r="H418" s="23">
        <f t="shared" si="18"/>
        <v>45118</v>
      </c>
      <c r="I418" s="25">
        <v>45119</v>
      </c>
      <c r="J418" s="22">
        <f t="shared" si="19"/>
        <v>1</v>
      </c>
      <c r="K418" t="s">
        <v>14</v>
      </c>
      <c r="L418">
        <v>79657</v>
      </c>
      <c r="M418">
        <v>1222</v>
      </c>
      <c r="N418" s="26">
        <v>1458.56</v>
      </c>
      <c r="O418" s="26">
        <f t="shared" si="20"/>
        <v>1458.56</v>
      </c>
      <c r="P418">
        <v>94</v>
      </c>
      <c r="Q418" t="b">
        <v>1</v>
      </c>
      <c r="S418" t="s">
        <v>16</v>
      </c>
    </row>
    <row r="419" spans="1:19">
      <c r="A419" t="s">
        <v>886</v>
      </c>
      <c r="B419" t="s">
        <v>887</v>
      </c>
      <c r="C419" s="23" t="s">
        <v>4131</v>
      </c>
      <c r="D419" s="23" t="s">
        <v>888</v>
      </c>
      <c r="E419" s="22">
        <v>31</v>
      </c>
      <c r="F419" s="22">
        <v>8</v>
      </c>
      <c r="G419" s="22">
        <v>2023</v>
      </c>
      <c r="H419" s="23">
        <f t="shared" si="18"/>
        <v>45169</v>
      </c>
      <c r="I419" s="25">
        <v>45184</v>
      </c>
      <c r="J419" s="22">
        <f t="shared" si="19"/>
        <v>15</v>
      </c>
      <c r="K419" t="s">
        <v>19</v>
      </c>
      <c r="L419">
        <v>11966</v>
      </c>
      <c r="M419">
        <v>320</v>
      </c>
      <c r="N419" s="26">
        <v>575.18</v>
      </c>
      <c r="O419" s="26">
        <f t="shared" si="20"/>
        <v>575.18</v>
      </c>
      <c r="P419">
        <v>16</v>
      </c>
      <c r="Q419" t="b">
        <v>1</v>
      </c>
      <c r="S419" t="s">
        <v>20</v>
      </c>
    </row>
    <row r="420" spans="1:19">
      <c r="A420" t="s">
        <v>889</v>
      </c>
      <c r="B420" t="s">
        <v>890</v>
      </c>
      <c r="C420" s="23" t="s">
        <v>4131</v>
      </c>
      <c r="D420" s="23" t="s">
        <v>891</v>
      </c>
      <c r="E420" s="22">
        <v>13</v>
      </c>
      <c r="F420" s="22">
        <v>2</v>
      </c>
      <c r="G420" s="22">
        <v>2023</v>
      </c>
      <c r="H420" s="23">
        <f t="shared" si="18"/>
        <v>44970</v>
      </c>
      <c r="I420" s="25">
        <v>44990</v>
      </c>
      <c r="J420" s="22">
        <f t="shared" si="19"/>
        <v>20</v>
      </c>
      <c r="K420" t="s">
        <v>41</v>
      </c>
      <c r="L420">
        <v>94848</v>
      </c>
      <c r="M420">
        <v>3946</v>
      </c>
      <c r="N420" s="26">
        <v>3449.54</v>
      </c>
      <c r="O420" s="26">
        <f t="shared" si="20"/>
        <v>3449.54</v>
      </c>
      <c r="P420">
        <v>473</v>
      </c>
      <c r="Q420" t="b">
        <v>0</v>
      </c>
      <c r="S420" t="s">
        <v>42</v>
      </c>
    </row>
    <row r="421" spans="1:19">
      <c r="A421" t="s">
        <v>892</v>
      </c>
      <c r="B421" t="s">
        <v>893</v>
      </c>
      <c r="C421" s="23" t="s">
        <v>4128</v>
      </c>
      <c r="D421" s="23">
        <v>44976</v>
      </c>
      <c r="E421" s="22">
        <v>2</v>
      </c>
      <c r="F421" s="22">
        <v>19</v>
      </c>
      <c r="G421" s="22">
        <v>2023</v>
      </c>
      <c r="H421" s="23">
        <f t="shared" si="18"/>
        <v>44976</v>
      </c>
      <c r="I421" s="25">
        <v>44997</v>
      </c>
      <c r="J421" s="22">
        <f t="shared" si="19"/>
        <v>21</v>
      </c>
      <c r="K421" t="s">
        <v>14</v>
      </c>
      <c r="L421">
        <v>53921</v>
      </c>
      <c r="M421">
        <v>1794</v>
      </c>
      <c r="N421" s="26">
        <v>2826.77</v>
      </c>
      <c r="O421" s="26">
        <f t="shared" si="20"/>
        <v>2826.77</v>
      </c>
      <c r="P421">
        <v>274</v>
      </c>
      <c r="Q421" t="b">
        <v>1</v>
      </c>
      <c r="S421" t="s">
        <v>16</v>
      </c>
    </row>
    <row r="422" spans="1:19">
      <c r="A422" t="s">
        <v>894</v>
      </c>
      <c r="B422" t="s">
        <v>895</v>
      </c>
      <c r="C422" s="23" t="s">
        <v>4131</v>
      </c>
      <c r="D422" s="23">
        <v>44993</v>
      </c>
      <c r="E422" s="22">
        <v>3</v>
      </c>
      <c r="F422" s="22">
        <v>8</v>
      </c>
      <c r="G422" s="22">
        <v>2023</v>
      </c>
      <c r="H422" s="23">
        <f t="shared" si="18"/>
        <v>44993</v>
      </c>
      <c r="I422" s="25">
        <v>45015</v>
      </c>
      <c r="J422" s="22">
        <f t="shared" si="19"/>
        <v>22</v>
      </c>
      <c r="K422" t="s">
        <v>41</v>
      </c>
      <c r="L422">
        <v>50726</v>
      </c>
      <c r="M422">
        <v>1888</v>
      </c>
      <c r="N422" s="26">
        <v>3368.57</v>
      </c>
      <c r="O422" s="26">
        <f t="shared" si="20"/>
        <v>3368.57</v>
      </c>
      <c r="P422">
        <v>158</v>
      </c>
      <c r="Q422" t="b">
        <v>0</v>
      </c>
      <c r="S422" t="s">
        <v>42</v>
      </c>
    </row>
    <row r="423" spans="1:19">
      <c r="A423" t="s">
        <v>896</v>
      </c>
      <c r="B423" t="s">
        <v>897</v>
      </c>
      <c r="C423" s="23" t="s">
        <v>4131</v>
      </c>
      <c r="D423" s="23">
        <v>45214</v>
      </c>
      <c r="E423" s="22">
        <v>10</v>
      </c>
      <c r="F423" s="22">
        <v>15</v>
      </c>
      <c r="G423" s="22">
        <v>2023</v>
      </c>
      <c r="H423" s="23">
        <f t="shared" si="18"/>
        <v>45214</v>
      </c>
      <c r="I423" s="25">
        <v>45231</v>
      </c>
      <c r="J423" s="22">
        <f t="shared" si="19"/>
        <v>17</v>
      </c>
      <c r="K423" t="s">
        <v>14</v>
      </c>
      <c r="L423">
        <v>51300</v>
      </c>
      <c r="M423">
        <v>902</v>
      </c>
      <c r="N423" s="26">
        <v>933.71</v>
      </c>
      <c r="O423" s="26">
        <f t="shared" si="20"/>
        <v>933.71</v>
      </c>
      <c r="P423">
        <v>62</v>
      </c>
      <c r="Q423" t="b">
        <v>0</v>
      </c>
      <c r="S423" t="s">
        <v>16</v>
      </c>
    </row>
    <row r="424" spans="1:19">
      <c r="A424" t="s">
        <v>898</v>
      </c>
      <c r="B424" t="s">
        <v>899</v>
      </c>
      <c r="C424" s="23" t="s">
        <v>4127</v>
      </c>
      <c r="D424" s="23">
        <v>45137</v>
      </c>
      <c r="E424" s="22">
        <v>7</v>
      </c>
      <c r="F424" s="22">
        <v>30</v>
      </c>
      <c r="G424" s="22">
        <v>2023</v>
      </c>
      <c r="H424" s="23">
        <f t="shared" si="18"/>
        <v>45137</v>
      </c>
      <c r="I424" s="25">
        <v>45162</v>
      </c>
      <c r="J424" s="22">
        <f t="shared" si="19"/>
        <v>25</v>
      </c>
      <c r="K424" t="s">
        <v>415</v>
      </c>
      <c r="L424">
        <v>23677</v>
      </c>
      <c r="M424">
        <v>822</v>
      </c>
      <c r="N424" s="26">
        <v>1344.95</v>
      </c>
      <c r="O424" s="26">
        <f t="shared" si="20"/>
        <v>1344.95</v>
      </c>
      <c r="P424">
        <v>0</v>
      </c>
      <c r="Q424" t="b">
        <v>1</v>
      </c>
      <c r="S424" t="s">
        <v>34</v>
      </c>
    </row>
    <row r="425" spans="1:19">
      <c r="A425" t="s">
        <v>900</v>
      </c>
      <c r="B425" t="s">
        <v>901</v>
      </c>
      <c r="C425" s="23" t="s">
        <v>4127</v>
      </c>
      <c r="D425" s="23">
        <v>45143</v>
      </c>
      <c r="E425" s="22">
        <v>8</v>
      </c>
      <c r="F425" s="22">
        <v>5</v>
      </c>
      <c r="G425" s="22">
        <v>2023</v>
      </c>
      <c r="H425" s="23">
        <f t="shared" si="18"/>
        <v>45143</v>
      </c>
      <c r="I425" s="25">
        <v>45156</v>
      </c>
      <c r="J425" s="22">
        <f t="shared" si="19"/>
        <v>13</v>
      </c>
      <c r="K425" t="s">
        <v>41</v>
      </c>
      <c r="L425">
        <v>56609</v>
      </c>
      <c r="M425">
        <v>1298</v>
      </c>
      <c r="N425" s="26">
        <v>1223.51</v>
      </c>
      <c r="O425" s="26">
        <f t="shared" si="20"/>
        <v>1223.51</v>
      </c>
      <c r="P425">
        <v>118</v>
      </c>
      <c r="Q425" t="b">
        <v>1</v>
      </c>
      <c r="S425" t="s">
        <v>42</v>
      </c>
    </row>
    <row r="426" spans="1:19">
      <c r="A426" t="s">
        <v>902</v>
      </c>
      <c r="B426" t="s">
        <v>903</v>
      </c>
      <c r="C426" s="23" t="s">
        <v>4128</v>
      </c>
      <c r="D426" s="23">
        <v>45074</v>
      </c>
      <c r="E426" s="22">
        <v>5</v>
      </c>
      <c r="F426" s="22">
        <v>28</v>
      </c>
      <c r="G426" s="22">
        <v>2023</v>
      </c>
      <c r="H426" s="23">
        <f t="shared" si="18"/>
        <v>45074</v>
      </c>
      <c r="I426" s="25">
        <v>45081</v>
      </c>
      <c r="J426" s="22">
        <f t="shared" si="19"/>
        <v>7</v>
      </c>
      <c r="K426" t="s">
        <v>19</v>
      </c>
      <c r="L426">
        <v>97825</v>
      </c>
      <c r="M426">
        <v>4242</v>
      </c>
      <c r="N426" s="26">
        <v>4022.63</v>
      </c>
      <c r="O426" s="26">
        <f t="shared" si="20"/>
        <v>3632.575</v>
      </c>
      <c r="P426">
        <v>354</v>
      </c>
      <c r="Q426" t="b">
        <v>1</v>
      </c>
      <c r="S426" t="s">
        <v>20</v>
      </c>
    </row>
    <row r="427" spans="1:19">
      <c r="A427" t="s">
        <v>904</v>
      </c>
      <c r="B427" t="s">
        <v>905</v>
      </c>
      <c r="C427" s="23" t="s">
        <v>4129</v>
      </c>
      <c r="D427" s="23">
        <v>45222</v>
      </c>
      <c r="E427" s="22">
        <v>10</v>
      </c>
      <c r="F427" s="22">
        <v>23</v>
      </c>
      <c r="G427" s="22">
        <v>2023</v>
      </c>
      <c r="H427" s="23">
        <f t="shared" si="18"/>
        <v>45222</v>
      </c>
      <c r="I427" s="25">
        <v>45228</v>
      </c>
      <c r="J427" s="22">
        <f t="shared" si="19"/>
        <v>6</v>
      </c>
      <c r="K427" t="s">
        <v>41</v>
      </c>
      <c r="L427">
        <v>57661</v>
      </c>
      <c r="M427">
        <v>2028</v>
      </c>
      <c r="N427" s="26">
        <v>1339.67</v>
      </c>
      <c r="O427" s="26">
        <f t="shared" si="20"/>
        <v>1339.67</v>
      </c>
      <c r="P427">
        <v>362</v>
      </c>
      <c r="Q427" t="b">
        <v>0</v>
      </c>
      <c r="S427" t="s">
        <v>42</v>
      </c>
    </row>
    <row r="428" spans="1:19">
      <c r="A428" t="s">
        <v>906</v>
      </c>
      <c r="B428" t="s">
        <v>907</v>
      </c>
      <c r="C428" s="23" t="s">
        <v>4128</v>
      </c>
      <c r="D428" s="23">
        <v>45173</v>
      </c>
      <c r="E428" s="22">
        <v>9</v>
      </c>
      <c r="F428" s="22">
        <v>4</v>
      </c>
      <c r="G428" s="22">
        <v>2023</v>
      </c>
      <c r="H428" s="23">
        <f t="shared" si="18"/>
        <v>45173</v>
      </c>
      <c r="I428" s="25">
        <v>45177</v>
      </c>
      <c r="J428" s="22">
        <f t="shared" si="19"/>
        <v>4</v>
      </c>
      <c r="K428" t="s">
        <v>23</v>
      </c>
      <c r="L428">
        <v>32024</v>
      </c>
      <c r="M428">
        <v>574</v>
      </c>
      <c r="N428" s="26">
        <v>665.89</v>
      </c>
      <c r="O428" s="26">
        <f t="shared" si="20"/>
        <v>665.89</v>
      </c>
      <c r="P428">
        <v>99</v>
      </c>
      <c r="Q428" t="b">
        <v>1</v>
      </c>
      <c r="S428" t="s">
        <v>68</v>
      </c>
    </row>
    <row r="429" spans="1:19">
      <c r="A429" t="s">
        <v>908</v>
      </c>
      <c r="B429" t="s">
        <v>909</v>
      </c>
      <c r="C429" s="23" t="s">
        <v>4129</v>
      </c>
      <c r="D429" s="23">
        <v>45211</v>
      </c>
      <c r="E429" s="22">
        <v>10</v>
      </c>
      <c r="F429" s="22">
        <v>12</v>
      </c>
      <c r="G429" s="22">
        <v>2023</v>
      </c>
      <c r="H429" s="23">
        <f t="shared" si="18"/>
        <v>45211</v>
      </c>
      <c r="I429" s="25">
        <v>45213</v>
      </c>
      <c r="J429" s="22">
        <f t="shared" si="19"/>
        <v>2</v>
      </c>
      <c r="K429" t="s">
        <v>41</v>
      </c>
      <c r="L429">
        <v>71313</v>
      </c>
      <c r="M429">
        <v>897</v>
      </c>
      <c r="N429" s="26">
        <v>1430.33</v>
      </c>
      <c r="O429" s="26">
        <f t="shared" si="20"/>
        <v>1430.33</v>
      </c>
      <c r="P429">
        <v>105</v>
      </c>
      <c r="Q429" t="b">
        <v>0</v>
      </c>
      <c r="S429" t="s">
        <v>42</v>
      </c>
    </row>
    <row r="430" spans="1:19">
      <c r="A430" t="s">
        <v>910</v>
      </c>
      <c r="B430" t="s">
        <v>911</v>
      </c>
      <c r="C430" s="23" t="s">
        <v>4131</v>
      </c>
      <c r="D430" s="23">
        <v>45220</v>
      </c>
      <c r="E430" s="22">
        <v>10</v>
      </c>
      <c r="F430" s="22">
        <v>21</v>
      </c>
      <c r="G430" s="22">
        <v>2023</v>
      </c>
      <c r="H430" s="23">
        <f t="shared" si="18"/>
        <v>45220</v>
      </c>
      <c r="I430" s="25">
        <v>45233</v>
      </c>
      <c r="J430" s="22">
        <f t="shared" si="19"/>
        <v>13</v>
      </c>
      <c r="K430" t="s">
        <v>14</v>
      </c>
      <c r="L430">
        <v>54006</v>
      </c>
      <c r="M430">
        <v>632</v>
      </c>
      <c r="N430" s="26">
        <v>1207.33</v>
      </c>
      <c r="O430" s="26">
        <f t="shared" si="20"/>
        <v>1207.33</v>
      </c>
      <c r="P430">
        <v>77</v>
      </c>
      <c r="Q430" t="b">
        <v>0</v>
      </c>
      <c r="S430" t="s">
        <v>68</v>
      </c>
    </row>
    <row r="431" spans="1:19">
      <c r="A431" t="s">
        <v>912</v>
      </c>
      <c r="B431" t="s">
        <v>913</v>
      </c>
      <c r="C431" s="23" t="s">
        <v>4127</v>
      </c>
      <c r="D431" s="23">
        <v>45214</v>
      </c>
      <c r="E431" s="22">
        <v>10</v>
      </c>
      <c r="F431" s="22">
        <v>15</v>
      </c>
      <c r="G431" s="22">
        <v>2023</v>
      </c>
      <c r="H431" s="23">
        <f t="shared" si="18"/>
        <v>45214</v>
      </c>
      <c r="I431" s="25">
        <v>45240</v>
      </c>
      <c r="J431" s="22">
        <f t="shared" si="19"/>
        <v>26</v>
      </c>
      <c r="K431" t="s">
        <v>19</v>
      </c>
      <c r="L431">
        <v>96285</v>
      </c>
      <c r="M431">
        <v>2393</v>
      </c>
      <c r="N431" s="26">
        <v>3363.83</v>
      </c>
      <c r="O431" s="26">
        <f t="shared" si="20"/>
        <v>3363.83</v>
      </c>
      <c r="P431">
        <v>197</v>
      </c>
      <c r="Q431" t="b">
        <v>1</v>
      </c>
      <c r="R431">
        <v>96312</v>
      </c>
      <c r="S431" t="s">
        <v>20</v>
      </c>
    </row>
    <row r="432" spans="1:19">
      <c r="A432" t="s">
        <v>914</v>
      </c>
      <c r="B432" t="s">
        <v>915</v>
      </c>
      <c r="C432" s="23" t="s">
        <v>4128</v>
      </c>
      <c r="D432" s="23">
        <v>45241</v>
      </c>
      <c r="E432" s="22">
        <v>11</v>
      </c>
      <c r="F432" s="22">
        <v>11</v>
      </c>
      <c r="G432" s="22">
        <v>2023</v>
      </c>
      <c r="H432" s="23">
        <f t="shared" si="18"/>
        <v>45241</v>
      </c>
      <c r="I432" s="25">
        <v>45245</v>
      </c>
      <c r="J432" s="22">
        <f t="shared" si="19"/>
        <v>4</v>
      </c>
      <c r="K432" t="s">
        <v>58</v>
      </c>
      <c r="L432">
        <v>16338</v>
      </c>
      <c r="M432">
        <v>337</v>
      </c>
      <c r="N432" s="26">
        <v>604.82</v>
      </c>
      <c r="O432" s="26">
        <f t="shared" si="20"/>
        <v>604.82</v>
      </c>
      <c r="P432">
        <v>20</v>
      </c>
      <c r="Q432" t="b">
        <v>1</v>
      </c>
      <c r="S432" t="s">
        <v>59</v>
      </c>
    </row>
    <row r="433" spans="1:19">
      <c r="A433" t="s">
        <v>916</v>
      </c>
      <c r="B433" t="s">
        <v>917</v>
      </c>
      <c r="C433" s="23" t="s">
        <v>4131</v>
      </c>
      <c r="D433" s="23">
        <v>45238</v>
      </c>
      <c r="E433" s="22">
        <v>11</v>
      </c>
      <c r="F433" s="22">
        <v>8</v>
      </c>
      <c r="G433" s="22">
        <v>2023</v>
      </c>
      <c r="H433" s="23">
        <f t="shared" si="18"/>
        <v>45238</v>
      </c>
      <c r="I433" s="25">
        <v>45262</v>
      </c>
      <c r="J433" s="22">
        <f t="shared" si="19"/>
        <v>24</v>
      </c>
      <c r="K433" t="s">
        <v>41</v>
      </c>
      <c r="L433">
        <v>69027</v>
      </c>
      <c r="M433">
        <v>2474</v>
      </c>
      <c r="N433" s="26">
        <v>4289.28</v>
      </c>
      <c r="O433" s="26">
        <f t="shared" si="20"/>
        <v>3632.575</v>
      </c>
      <c r="P433">
        <v>336</v>
      </c>
      <c r="Q433" t="b">
        <v>1</v>
      </c>
      <c r="S433" t="s">
        <v>42</v>
      </c>
    </row>
    <row r="434" spans="1:19">
      <c r="A434" t="s">
        <v>918</v>
      </c>
      <c r="B434" t="s">
        <v>919</v>
      </c>
      <c r="C434" s="23" t="s">
        <v>4129</v>
      </c>
      <c r="D434" s="23" t="s">
        <v>920</v>
      </c>
      <c r="E434" s="22">
        <v>17</v>
      </c>
      <c r="F434" s="22">
        <v>5</v>
      </c>
      <c r="G434" s="22">
        <v>2023</v>
      </c>
      <c r="H434" s="23">
        <f t="shared" si="18"/>
        <v>45063</v>
      </c>
      <c r="I434" s="25">
        <v>45093</v>
      </c>
      <c r="J434" s="22">
        <f t="shared" si="19"/>
        <v>30</v>
      </c>
      <c r="K434" t="s">
        <v>19</v>
      </c>
      <c r="L434">
        <v>93772</v>
      </c>
      <c r="M434">
        <v>2810</v>
      </c>
      <c r="N434" s="26">
        <v>2135.64</v>
      </c>
      <c r="O434" s="26">
        <f t="shared" si="20"/>
        <v>2135.64</v>
      </c>
      <c r="P434">
        <v>181</v>
      </c>
      <c r="Q434" t="b">
        <v>1</v>
      </c>
      <c r="S434" t="s">
        <v>20</v>
      </c>
    </row>
    <row r="435" spans="1:19">
      <c r="A435" t="s">
        <v>921</v>
      </c>
      <c r="B435" t="s">
        <v>922</v>
      </c>
      <c r="C435" s="23" t="s">
        <v>4131</v>
      </c>
      <c r="D435" s="23">
        <v>45066</v>
      </c>
      <c r="E435" s="22">
        <v>5</v>
      </c>
      <c r="F435" s="22">
        <v>20</v>
      </c>
      <c r="G435" s="22">
        <v>2023</v>
      </c>
      <c r="H435" s="23">
        <f t="shared" si="18"/>
        <v>45066</v>
      </c>
      <c r="I435" s="25">
        <v>45094</v>
      </c>
      <c r="J435" s="22">
        <f t="shared" si="19"/>
        <v>28</v>
      </c>
      <c r="K435" t="s">
        <v>14</v>
      </c>
      <c r="L435">
        <v>81135</v>
      </c>
      <c r="M435">
        <v>1674</v>
      </c>
      <c r="N435" s="26">
        <v>2056.89</v>
      </c>
      <c r="O435" s="26">
        <f t="shared" si="20"/>
        <v>2056.89</v>
      </c>
      <c r="P435">
        <v>196</v>
      </c>
      <c r="Q435" t="b">
        <v>1</v>
      </c>
      <c r="S435" t="s">
        <v>16</v>
      </c>
    </row>
    <row r="436" spans="1:19">
      <c r="A436" t="s">
        <v>923</v>
      </c>
      <c r="B436" t="s">
        <v>924</v>
      </c>
      <c r="C436" s="23" t="s">
        <v>4128</v>
      </c>
      <c r="D436" s="23">
        <v>45100</v>
      </c>
      <c r="E436" s="22">
        <v>6</v>
      </c>
      <c r="F436" s="22">
        <v>23</v>
      </c>
      <c r="G436" s="22">
        <v>2023</v>
      </c>
      <c r="H436" s="23">
        <f t="shared" si="18"/>
        <v>45100</v>
      </c>
      <c r="I436" s="25">
        <v>45107</v>
      </c>
      <c r="J436" s="22">
        <f t="shared" si="19"/>
        <v>7</v>
      </c>
      <c r="K436" t="s">
        <v>33</v>
      </c>
      <c r="L436">
        <v>20508</v>
      </c>
      <c r="M436">
        <v>327</v>
      </c>
      <c r="N436" s="26">
        <v>220.85</v>
      </c>
      <c r="O436" s="26">
        <f t="shared" si="20"/>
        <v>220.85</v>
      </c>
      <c r="P436">
        <v>62</v>
      </c>
      <c r="Q436" t="b">
        <v>1</v>
      </c>
      <c r="S436" t="s">
        <v>34</v>
      </c>
    </row>
    <row r="437" spans="1:19">
      <c r="A437" t="s">
        <v>925</v>
      </c>
      <c r="B437" t="s">
        <v>926</v>
      </c>
      <c r="C437" s="23" t="s">
        <v>4131</v>
      </c>
      <c r="D437" s="23">
        <v>45000</v>
      </c>
      <c r="E437" s="22">
        <v>3</v>
      </c>
      <c r="F437" s="22">
        <v>15</v>
      </c>
      <c r="G437" s="22">
        <v>2023</v>
      </c>
      <c r="H437" s="23">
        <f t="shared" si="18"/>
        <v>45000</v>
      </c>
      <c r="I437" s="25">
        <v>45007</v>
      </c>
      <c r="J437" s="22">
        <f t="shared" si="19"/>
        <v>7</v>
      </c>
      <c r="K437" t="s">
        <v>19</v>
      </c>
      <c r="L437">
        <v>4051</v>
      </c>
      <c r="M437">
        <v>61</v>
      </c>
      <c r="N437" s="26">
        <v>92.92</v>
      </c>
      <c r="O437" s="26">
        <f t="shared" si="20"/>
        <v>92.92</v>
      </c>
      <c r="P437">
        <v>11</v>
      </c>
      <c r="Q437" t="b">
        <v>1</v>
      </c>
      <c r="S437" t="s">
        <v>20</v>
      </c>
    </row>
    <row r="438" spans="1:19">
      <c r="A438" t="s">
        <v>927</v>
      </c>
      <c r="B438" t="s">
        <v>928</v>
      </c>
      <c r="C438" s="23" t="s">
        <v>4129</v>
      </c>
      <c r="D438" s="23">
        <v>44999</v>
      </c>
      <c r="E438" s="22">
        <v>3</v>
      </c>
      <c r="F438" s="22">
        <v>14</v>
      </c>
      <c r="G438" s="22">
        <v>2023</v>
      </c>
      <c r="H438" s="23">
        <f t="shared" si="18"/>
        <v>44999</v>
      </c>
      <c r="I438" s="25">
        <v>45024</v>
      </c>
      <c r="J438" s="22">
        <f t="shared" si="19"/>
        <v>25</v>
      </c>
      <c r="K438" t="s">
        <v>14</v>
      </c>
      <c r="L438">
        <v>49747</v>
      </c>
      <c r="M438">
        <v>2218</v>
      </c>
      <c r="N438" s="26">
        <v>4269.32</v>
      </c>
      <c r="O438" s="26">
        <f t="shared" si="20"/>
        <v>3632.575</v>
      </c>
      <c r="P438">
        <v>190</v>
      </c>
      <c r="Q438" t="b">
        <v>1</v>
      </c>
      <c r="S438" t="s">
        <v>16</v>
      </c>
    </row>
    <row r="439" spans="1:19">
      <c r="A439" t="s">
        <v>929</v>
      </c>
      <c r="B439" t="s">
        <v>930</v>
      </c>
      <c r="C439" s="23" t="s">
        <v>4131</v>
      </c>
      <c r="D439" s="23">
        <v>44973</v>
      </c>
      <c r="E439" s="22">
        <v>2</v>
      </c>
      <c r="F439" s="22">
        <v>16</v>
      </c>
      <c r="G439" s="22">
        <v>2023</v>
      </c>
      <c r="H439" s="23">
        <f t="shared" si="18"/>
        <v>44973</v>
      </c>
      <c r="I439" s="25">
        <v>44992</v>
      </c>
      <c r="J439" s="22">
        <f t="shared" si="19"/>
        <v>19</v>
      </c>
      <c r="K439" t="s">
        <v>138</v>
      </c>
      <c r="L439">
        <v>88142</v>
      </c>
      <c r="M439">
        <v>1739</v>
      </c>
      <c r="N439" s="26">
        <v>1227.1</v>
      </c>
      <c r="O439" s="26">
        <f t="shared" si="20"/>
        <v>1227.1</v>
      </c>
      <c r="P439">
        <v>249</v>
      </c>
      <c r="Q439" t="b">
        <v>1</v>
      </c>
      <c r="S439" t="s">
        <v>139</v>
      </c>
    </row>
    <row r="440" spans="1:19">
      <c r="A440" t="s">
        <v>931</v>
      </c>
      <c r="B440" t="s">
        <v>932</v>
      </c>
      <c r="C440" s="23" t="s">
        <v>4128</v>
      </c>
      <c r="D440" s="23">
        <v>45141</v>
      </c>
      <c r="E440" s="22">
        <v>8</v>
      </c>
      <c r="F440" s="22">
        <v>3</v>
      </c>
      <c r="G440" s="22">
        <v>2023</v>
      </c>
      <c r="H440" s="23">
        <f t="shared" si="18"/>
        <v>45141</v>
      </c>
      <c r="I440" s="25">
        <v>45165</v>
      </c>
      <c r="J440" s="22">
        <f t="shared" si="19"/>
        <v>24</v>
      </c>
      <c r="K440" t="s">
        <v>41</v>
      </c>
      <c r="L440">
        <v>88235</v>
      </c>
      <c r="M440">
        <v>3182</v>
      </c>
      <c r="N440" s="26">
        <v>5093.82</v>
      </c>
      <c r="O440" s="26">
        <f t="shared" si="20"/>
        <v>3632.575</v>
      </c>
      <c r="P440">
        <v>385</v>
      </c>
      <c r="Q440" t="b">
        <v>1</v>
      </c>
      <c r="S440" t="s">
        <v>42</v>
      </c>
    </row>
    <row r="441" spans="1:19">
      <c r="A441" t="s">
        <v>933</v>
      </c>
      <c r="B441" t="s">
        <v>934</v>
      </c>
      <c r="C441" s="23" t="s">
        <v>4131</v>
      </c>
      <c r="D441" s="23">
        <v>45086</v>
      </c>
      <c r="E441" s="22">
        <v>6</v>
      </c>
      <c r="F441" s="22">
        <v>9</v>
      </c>
      <c r="G441" s="22">
        <v>2023</v>
      </c>
      <c r="H441" s="23">
        <f t="shared" si="18"/>
        <v>45086</v>
      </c>
      <c r="I441" s="25">
        <v>45110</v>
      </c>
      <c r="J441" s="22">
        <f t="shared" si="19"/>
        <v>24</v>
      </c>
      <c r="K441" t="s">
        <v>19</v>
      </c>
      <c r="L441">
        <v>55021</v>
      </c>
      <c r="M441">
        <v>2334</v>
      </c>
      <c r="N441" s="26">
        <v>3380.47</v>
      </c>
      <c r="O441" s="26">
        <f t="shared" si="20"/>
        <v>3380.47</v>
      </c>
      <c r="P441">
        <v>423</v>
      </c>
      <c r="Q441" t="b">
        <v>0</v>
      </c>
      <c r="S441" t="s">
        <v>20</v>
      </c>
    </row>
    <row r="442" spans="1:19">
      <c r="A442" t="s">
        <v>935</v>
      </c>
      <c r="B442" t="s">
        <v>936</v>
      </c>
      <c r="C442" s="23" t="s">
        <v>4127</v>
      </c>
      <c r="D442" s="23">
        <v>45217</v>
      </c>
      <c r="E442" s="22">
        <v>10</v>
      </c>
      <c r="F442" s="22">
        <v>18</v>
      </c>
      <c r="G442" s="22">
        <v>2023</v>
      </c>
      <c r="H442" s="23">
        <f t="shared" si="18"/>
        <v>45217</v>
      </c>
      <c r="I442" s="25">
        <v>45227</v>
      </c>
      <c r="J442" s="22">
        <f t="shared" si="19"/>
        <v>10</v>
      </c>
      <c r="K442" t="s">
        <v>33</v>
      </c>
      <c r="L442">
        <v>67412</v>
      </c>
      <c r="M442">
        <v>2329</v>
      </c>
      <c r="N442" s="26">
        <v>3203.32</v>
      </c>
      <c r="O442" s="26">
        <f t="shared" si="20"/>
        <v>3203.32</v>
      </c>
      <c r="P442">
        <v>211</v>
      </c>
      <c r="Q442" t="b">
        <v>1</v>
      </c>
      <c r="S442" t="s">
        <v>34</v>
      </c>
    </row>
    <row r="443" spans="1:19">
      <c r="A443" t="s">
        <v>937</v>
      </c>
      <c r="B443" t="s">
        <v>938</v>
      </c>
      <c r="C443" s="23" t="s">
        <v>4128</v>
      </c>
      <c r="D443" s="23">
        <v>45006</v>
      </c>
      <c r="E443" s="22">
        <v>3</v>
      </c>
      <c r="F443" s="22">
        <v>21</v>
      </c>
      <c r="G443" s="22">
        <v>2023</v>
      </c>
      <c r="H443" s="23">
        <f t="shared" si="18"/>
        <v>45006</v>
      </c>
      <c r="I443" s="25">
        <v>45033</v>
      </c>
      <c r="J443" s="22">
        <f t="shared" si="19"/>
        <v>27</v>
      </c>
      <c r="K443" t="s">
        <v>23</v>
      </c>
      <c r="L443">
        <v>59335</v>
      </c>
      <c r="M443">
        <v>2633</v>
      </c>
      <c r="N443" s="26">
        <v>2857.28</v>
      </c>
      <c r="O443" s="26">
        <f t="shared" si="20"/>
        <v>2857.28</v>
      </c>
      <c r="P443">
        <v>133</v>
      </c>
      <c r="Q443" t="b">
        <v>1</v>
      </c>
      <c r="S443" t="s">
        <v>25</v>
      </c>
    </row>
    <row r="444" spans="1:19">
      <c r="A444" t="s">
        <v>939</v>
      </c>
      <c r="B444" t="s">
        <v>940</v>
      </c>
      <c r="C444" s="23" t="s">
        <v>4128</v>
      </c>
      <c r="D444" s="23">
        <v>45272</v>
      </c>
      <c r="E444" s="22">
        <v>12</v>
      </c>
      <c r="F444" s="22">
        <v>12</v>
      </c>
      <c r="G444" s="22">
        <v>2023</v>
      </c>
      <c r="H444" s="23">
        <f t="shared" si="18"/>
        <v>45272</v>
      </c>
      <c r="I444" s="25">
        <v>45295</v>
      </c>
      <c r="J444" s="22">
        <f t="shared" si="19"/>
        <v>23</v>
      </c>
      <c r="K444" t="s">
        <v>23</v>
      </c>
      <c r="L444">
        <v>57179</v>
      </c>
      <c r="M444">
        <v>1469</v>
      </c>
      <c r="N444" s="26">
        <v>1517.03</v>
      </c>
      <c r="O444" s="26">
        <f t="shared" si="20"/>
        <v>1517.03</v>
      </c>
      <c r="P444">
        <v>109</v>
      </c>
      <c r="Q444" t="b">
        <v>1</v>
      </c>
      <c r="S444" t="s">
        <v>25</v>
      </c>
    </row>
    <row r="445" spans="1:19">
      <c r="A445" t="s">
        <v>941</v>
      </c>
      <c r="B445" t="s">
        <v>942</v>
      </c>
      <c r="C445" s="23" t="s">
        <v>4131</v>
      </c>
      <c r="D445" s="23">
        <v>45153</v>
      </c>
      <c r="E445" s="22">
        <v>8</v>
      </c>
      <c r="F445" s="22">
        <v>15</v>
      </c>
      <c r="G445" s="22">
        <v>2023</v>
      </c>
      <c r="H445" s="23">
        <f t="shared" si="18"/>
        <v>45153</v>
      </c>
      <c r="I445" s="25">
        <v>45175</v>
      </c>
      <c r="J445" s="22">
        <f t="shared" si="19"/>
        <v>22</v>
      </c>
      <c r="K445" t="s">
        <v>41</v>
      </c>
      <c r="L445">
        <v>33093</v>
      </c>
      <c r="M445">
        <v>1596</v>
      </c>
      <c r="N445" s="26">
        <v>906.33</v>
      </c>
      <c r="O445" s="26">
        <f t="shared" si="20"/>
        <v>906.33</v>
      </c>
      <c r="P445">
        <v>163</v>
      </c>
      <c r="Q445" t="b">
        <v>1</v>
      </c>
      <c r="S445" t="s">
        <v>42</v>
      </c>
    </row>
    <row r="446" spans="1:19">
      <c r="A446" t="s">
        <v>943</v>
      </c>
      <c r="B446" t="s">
        <v>944</v>
      </c>
      <c r="C446" s="23" t="s">
        <v>4131</v>
      </c>
      <c r="D446" s="23">
        <v>45153</v>
      </c>
      <c r="E446" s="22">
        <v>8</v>
      </c>
      <c r="F446" s="22">
        <v>15</v>
      </c>
      <c r="G446" s="22">
        <v>2023</v>
      </c>
      <c r="H446" s="23">
        <f t="shared" si="18"/>
        <v>45153</v>
      </c>
      <c r="I446" s="25">
        <v>45160</v>
      </c>
      <c r="J446" s="22">
        <f t="shared" si="19"/>
        <v>7</v>
      </c>
      <c r="K446" t="s">
        <v>41</v>
      </c>
      <c r="L446">
        <v>70678</v>
      </c>
      <c r="M446">
        <v>1083</v>
      </c>
      <c r="N446" s="26">
        <v>895.49</v>
      </c>
      <c r="O446" s="26">
        <f t="shared" si="20"/>
        <v>895.49</v>
      </c>
      <c r="P446">
        <v>105</v>
      </c>
      <c r="Q446" t="b">
        <v>1</v>
      </c>
      <c r="S446" t="s">
        <v>42</v>
      </c>
    </row>
    <row r="447" spans="1:19">
      <c r="A447" t="s">
        <v>945</v>
      </c>
      <c r="B447" t="s">
        <v>946</v>
      </c>
      <c r="C447" s="23" t="s">
        <v>4131</v>
      </c>
      <c r="D447" s="23">
        <v>45189</v>
      </c>
      <c r="E447" s="22">
        <v>9</v>
      </c>
      <c r="F447" s="22">
        <v>20</v>
      </c>
      <c r="G447" s="22">
        <v>2023</v>
      </c>
      <c r="H447" s="23">
        <f t="shared" si="18"/>
        <v>45189</v>
      </c>
      <c r="I447" s="25">
        <v>45218</v>
      </c>
      <c r="J447" s="22">
        <f t="shared" si="19"/>
        <v>29</v>
      </c>
      <c r="K447" t="s">
        <v>41</v>
      </c>
      <c r="L447">
        <v>81738</v>
      </c>
      <c r="M447">
        <v>1151</v>
      </c>
      <c r="N447" s="26">
        <v>601.7</v>
      </c>
      <c r="O447" s="26">
        <f t="shared" si="20"/>
        <v>601.7</v>
      </c>
      <c r="P447">
        <v>194</v>
      </c>
      <c r="Q447" t="b">
        <v>1</v>
      </c>
      <c r="S447" t="s">
        <v>68</v>
      </c>
    </row>
    <row r="448" spans="1:19">
      <c r="A448" t="s">
        <v>947</v>
      </c>
      <c r="B448" t="s">
        <v>948</v>
      </c>
      <c r="C448" s="23" t="s">
        <v>4131</v>
      </c>
      <c r="D448" s="23">
        <v>45072</v>
      </c>
      <c r="E448" s="22">
        <v>5</v>
      </c>
      <c r="F448" s="22">
        <v>26</v>
      </c>
      <c r="G448" s="22">
        <v>2023</v>
      </c>
      <c r="H448" s="23">
        <f t="shared" si="18"/>
        <v>45072</v>
      </c>
      <c r="I448" s="25">
        <v>45091</v>
      </c>
      <c r="J448" s="22">
        <f t="shared" si="19"/>
        <v>19</v>
      </c>
      <c r="K448" t="s">
        <v>23</v>
      </c>
      <c r="L448">
        <v>40734</v>
      </c>
      <c r="M448">
        <v>1480</v>
      </c>
      <c r="N448" s="26">
        <v>2030.75</v>
      </c>
      <c r="O448" s="26">
        <f t="shared" si="20"/>
        <v>2030.75</v>
      </c>
      <c r="P448">
        <v>225</v>
      </c>
      <c r="Q448" t="b">
        <v>1</v>
      </c>
      <c r="S448" t="s">
        <v>25</v>
      </c>
    </row>
    <row r="449" spans="1:19">
      <c r="A449" t="s">
        <v>949</v>
      </c>
      <c r="B449" t="s">
        <v>950</v>
      </c>
      <c r="C449" s="23" t="s">
        <v>4128</v>
      </c>
      <c r="D449" s="23">
        <v>45196</v>
      </c>
      <c r="E449" s="22">
        <v>9</v>
      </c>
      <c r="F449" s="22">
        <v>27</v>
      </c>
      <c r="G449" s="22">
        <v>2023</v>
      </c>
      <c r="H449" s="23">
        <f t="shared" si="18"/>
        <v>45196</v>
      </c>
      <c r="I449" s="25">
        <v>45223</v>
      </c>
      <c r="J449" s="22">
        <f t="shared" si="19"/>
        <v>27</v>
      </c>
      <c r="K449" t="s">
        <v>138</v>
      </c>
      <c r="L449">
        <v>73615</v>
      </c>
      <c r="M449">
        <v>3512</v>
      </c>
      <c r="N449" s="26">
        <v>2313.63</v>
      </c>
      <c r="O449" s="26">
        <f t="shared" si="20"/>
        <v>2313.63</v>
      </c>
      <c r="P449">
        <v>0</v>
      </c>
      <c r="Q449" t="b">
        <v>1</v>
      </c>
      <c r="S449" t="s">
        <v>139</v>
      </c>
    </row>
    <row r="450" spans="1:19">
      <c r="A450" t="s">
        <v>951</v>
      </c>
      <c r="B450" t="s">
        <v>952</v>
      </c>
      <c r="C450" s="23" t="s">
        <v>4129</v>
      </c>
      <c r="D450" s="23">
        <v>45129</v>
      </c>
      <c r="E450" s="22">
        <v>7</v>
      </c>
      <c r="F450" s="22">
        <v>22</v>
      </c>
      <c r="G450" s="22">
        <v>2023</v>
      </c>
      <c r="H450" s="23">
        <f t="shared" si="18"/>
        <v>45129</v>
      </c>
      <c r="I450" s="25">
        <v>45139</v>
      </c>
      <c r="J450" s="22">
        <f t="shared" si="19"/>
        <v>10</v>
      </c>
      <c r="K450" t="s">
        <v>23</v>
      </c>
      <c r="L450">
        <v>74523</v>
      </c>
      <c r="M450">
        <v>3156</v>
      </c>
      <c r="N450" s="26">
        <v>5710.87</v>
      </c>
      <c r="O450" s="26">
        <f t="shared" si="20"/>
        <v>3632.575</v>
      </c>
      <c r="P450">
        <v>374</v>
      </c>
      <c r="Q450" t="b">
        <v>0</v>
      </c>
      <c r="S450" t="s">
        <v>25</v>
      </c>
    </row>
    <row r="451" spans="1:19">
      <c r="A451" t="s">
        <v>953</v>
      </c>
      <c r="B451" t="s">
        <v>954</v>
      </c>
      <c r="C451" s="23" t="s">
        <v>4127</v>
      </c>
      <c r="D451" s="23">
        <v>45031</v>
      </c>
      <c r="E451" s="22">
        <v>4</v>
      </c>
      <c r="F451" s="22">
        <v>15</v>
      </c>
      <c r="G451" s="22">
        <v>2023</v>
      </c>
      <c r="H451" s="23">
        <f t="shared" ref="H451:H514" si="21">IF(E451&gt;12,DATE(G451,F451,E451),D451)</f>
        <v>45031</v>
      </c>
      <c r="I451" s="25">
        <v>45043</v>
      </c>
      <c r="J451" s="22">
        <f t="shared" ref="J451:J514" si="22">DATEDIF(H451,I451,"D")</f>
        <v>12</v>
      </c>
      <c r="K451" t="s">
        <v>14</v>
      </c>
      <c r="L451">
        <v>95476</v>
      </c>
      <c r="M451">
        <v>1246</v>
      </c>
      <c r="N451" s="26">
        <v>1600.75</v>
      </c>
      <c r="O451" s="26">
        <f t="shared" ref="O451:O514" si="23">IF(N451&lt;$W$8,$W$8,IF(N451&gt;$W$9,$W$9,N451))</f>
        <v>1600.75</v>
      </c>
      <c r="P451">
        <v>80</v>
      </c>
      <c r="Q451" t="b">
        <v>1</v>
      </c>
      <c r="S451" t="s">
        <v>16</v>
      </c>
    </row>
    <row r="452" spans="1:19">
      <c r="A452" t="s">
        <v>955</v>
      </c>
      <c r="B452" t="s">
        <v>956</v>
      </c>
      <c r="C452" s="23" t="s">
        <v>4128</v>
      </c>
      <c r="D452" s="23">
        <v>44997</v>
      </c>
      <c r="E452" s="22">
        <v>3</v>
      </c>
      <c r="F452" s="22">
        <v>12</v>
      </c>
      <c r="G452" s="22">
        <v>2023</v>
      </c>
      <c r="H452" s="23">
        <f t="shared" si="21"/>
        <v>44997</v>
      </c>
      <c r="I452" s="25">
        <v>45012</v>
      </c>
      <c r="J452" s="22">
        <f t="shared" si="22"/>
        <v>15</v>
      </c>
      <c r="K452" t="s">
        <v>138</v>
      </c>
      <c r="L452">
        <v>18019</v>
      </c>
      <c r="M452">
        <v>381</v>
      </c>
      <c r="N452" s="26">
        <v>590.37</v>
      </c>
      <c r="O452" s="26">
        <f t="shared" si="23"/>
        <v>590.37</v>
      </c>
      <c r="P452">
        <v>70</v>
      </c>
      <c r="Q452" t="b">
        <v>1</v>
      </c>
      <c r="S452" t="s">
        <v>139</v>
      </c>
    </row>
    <row r="453" spans="1:19">
      <c r="A453" t="s">
        <v>957</v>
      </c>
      <c r="B453" t="s">
        <v>958</v>
      </c>
      <c r="C453" s="23" t="s">
        <v>4127</v>
      </c>
      <c r="D453" s="23">
        <v>44988</v>
      </c>
      <c r="E453" s="22">
        <v>3</v>
      </c>
      <c r="F453" s="22">
        <v>3</v>
      </c>
      <c r="G453" s="22">
        <v>2023</v>
      </c>
      <c r="H453" s="23">
        <f t="shared" si="21"/>
        <v>44988</v>
      </c>
      <c r="I453" s="25">
        <v>44990</v>
      </c>
      <c r="J453" s="22">
        <f t="shared" si="22"/>
        <v>2</v>
      </c>
      <c r="K453" t="s">
        <v>33</v>
      </c>
      <c r="L453">
        <v>84613</v>
      </c>
      <c r="M453">
        <v>3994</v>
      </c>
      <c r="N453" s="26">
        <v>4458.44</v>
      </c>
      <c r="O453" s="26">
        <f t="shared" si="23"/>
        <v>3632.575</v>
      </c>
      <c r="P453">
        <v>760</v>
      </c>
      <c r="Q453" t="b">
        <v>1</v>
      </c>
      <c r="S453" t="s">
        <v>34</v>
      </c>
    </row>
    <row r="454" spans="1:19">
      <c r="A454" t="s">
        <v>959</v>
      </c>
      <c r="B454" t="s">
        <v>960</v>
      </c>
      <c r="C454" s="23" t="s">
        <v>4131</v>
      </c>
      <c r="D454" s="23">
        <v>45147</v>
      </c>
      <c r="E454" s="22">
        <v>8</v>
      </c>
      <c r="F454" s="22">
        <v>9</v>
      </c>
      <c r="G454" s="22">
        <v>2023</v>
      </c>
      <c r="H454" s="23">
        <f t="shared" si="21"/>
        <v>45147</v>
      </c>
      <c r="I454" s="25">
        <v>45168</v>
      </c>
      <c r="J454" s="22">
        <f t="shared" si="22"/>
        <v>21</v>
      </c>
      <c r="K454" t="s">
        <v>33</v>
      </c>
      <c r="L454">
        <v>92794</v>
      </c>
      <c r="M454">
        <v>1867</v>
      </c>
      <c r="N454" s="26">
        <v>2503.4</v>
      </c>
      <c r="O454" s="26">
        <f t="shared" si="23"/>
        <v>2503.4</v>
      </c>
      <c r="P454">
        <v>367</v>
      </c>
      <c r="Q454" t="b">
        <v>1</v>
      </c>
      <c r="S454" t="s">
        <v>34</v>
      </c>
    </row>
    <row r="455" spans="1:19">
      <c r="A455" t="s">
        <v>961</v>
      </c>
      <c r="B455" t="s">
        <v>962</v>
      </c>
      <c r="C455" s="23" t="s">
        <v>4127</v>
      </c>
      <c r="D455" s="23">
        <v>45287</v>
      </c>
      <c r="E455" s="22">
        <v>12</v>
      </c>
      <c r="F455" s="22">
        <v>27</v>
      </c>
      <c r="G455" s="22">
        <v>2023</v>
      </c>
      <c r="H455" s="23">
        <f t="shared" si="21"/>
        <v>45287</v>
      </c>
      <c r="I455" s="25">
        <v>45308</v>
      </c>
      <c r="J455" s="22">
        <f t="shared" si="22"/>
        <v>21</v>
      </c>
      <c r="K455" t="s">
        <v>23</v>
      </c>
      <c r="L455">
        <v>87672</v>
      </c>
      <c r="M455">
        <v>3616</v>
      </c>
      <c r="N455" s="26">
        <v>6920.98</v>
      </c>
      <c r="O455" s="26">
        <f t="shared" si="23"/>
        <v>3632.575</v>
      </c>
      <c r="P455">
        <v>651</v>
      </c>
      <c r="Q455" t="b">
        <v>1</v>
      </c>
      <c r="S455" t="s">
        <v>25</v>
      </c>
    </row>
    <row r="456" spans="1:19">
      <c r="A456" t="s">
        <v>963</v>
      </c>
      <c r="B456" t="s">
        <v>964</v>
      </c>
      <c r="C456" s="23" t="s">
        <v>4129</v>
      </c>
      <c r="D456" s="23">
        <v>45269</v>
      </c>
      <c r="E456" s="22">
        <v>12</v>
      </c>
      <c r="F456" s="22">
        <v>9</v>
      </c>
      <c r="G456" s="22">
        <v>2023</v>
      </c>
      <c r="H456" s="23">
        <f t="shared" si="21"/>
        <v>45269</v>
      </c>
      <c r="I456" s="25">
        <v>45189</v>
      </c>
      <c r="J456" s="22">
        <f t="shared" si="22"/>
        <v>-80</v>
      </c>
      <c r="K456" t="s">
        <v>23</v>
      </c>
      <c r="L456">
        <v>74847</v>
      </c>
      <c r="M456">
        <v>3218</v>
      </c>
      <c r="N456" s="26">
        <v>2008.36</v>
      </c>
      <c r="O456" s="26">
        <f t="shared" si="23"/>
        <v>2008.36</v>
      </c>
      <c r="P456">
        <v>244</v>
      </c>
      <c r="Q456" t="b">
        <v>0</v>
      </c>
      <c r="S456" t="s">
        <v>25</v>
      </c>
    </row>
    <row r="457" spans="1:19">
      <c r="A457" t="s">
        <v>965</v>
      </c>
      <c r="B457" t="s">
        <v>966</v>
      </c>
      <c r="C457" s="23" t="s">
        <v>4131</v>
      </c>
      <c r="D457" s="23">
        <v>44948</v>
      </c>
      <c r="E457" s="22">
        <v>1</v>
      </c>
      <c r="F457" s="22">
        <v>22</v>
      </c>
      <c r="G457" s="22">
        <v>2023</v>
      </c>
      <c r="H457" s="23">
        <f t="shared" si="21"/>
        <v>44948</v>
      </c>
      <c r="I457" s="25">
        <v>44967</v>
      </c>
      <c r="J457" s="22">
        <f t="shared" si="22"/>
        <v>19</v>
      </c>
      <c r="K457" t="s">
        <v>23</v>
      </c>
      <c r="L457">
        <v>83750</v>
      </c>
      <c r="M457">
        <v>2497</v>
      </c>
      <c r="N457" s="26">
        <v>2199.62</v>
      </c>
      <c r="O457" s="26">
        <f t="shared" si="23"/>
        <v>2199.62</v>
      </c>
      <c r="P457">
        <v>142</v>
      </c>
      <c r="Q457" t="b">
        <v>1</v>
      </c>
      <c r="S457" t="s">
        <v>25</v>
      </c>
    </row>
    <row r="458" spans="1:19">
      <c r="A458" t="s">
        <v>967</v>
      </c>
      <c r="B458" t="s">
        <v>968</v>
      </c>
      <c r="C458" s="23" t="s">
        <v>4127</v>
      </c>
      <c r="D458" s="23">
        <v>44966</v>
      </c>
      <c r="E458" s="22">
        <v>2</v>
      </c>
      <c r="F458" s="22">
        <v>9</v>
      </c>
      <c r="G458" s="22">
        <v>2023</v>
      </c>
      <c r="H458" s="23">
        <f t="shared" si="21"/>
        <v>44966</v>
      </c>
      <c r="I458" s="25">
        <v>44995</v>
      </c>
      <c r="J458" s="22">
        <f t="shared" si="22"/>
        <v>29</v>
      </c>
      <c r="K458" t="s">
        <v>19</v>
      </c>
      <c r="L458">
        <v>80634</v>
      </c>
      <c r="M458">
        <v>2052</v>
      </c>
      <c r="N458" s="26">
        <v>3426.8</v>
      </c>
      <c r="O458" s="26">
        <f t="shared" si="23"/>
        <v>3426.8</v>
      </c>
      <c r="P458">
        <v>280</v>
      </c>
      <c r="Q458" t="b">
        <v>0</v>
      </c>
      <c r="S458" t="s">
        <v>20</v>
      </c>
    </row>
    <row r="459" spans="1:19">
      <c r="A459" t="s">
        <v>969</v>
      </c>
      <c r="B459" t="s">
        <v>970</v>
      </c>
      <c r="C459" s="23" t="s">
        <v>4129</v>
      </c>
      <c r="D459" s="23">
        <v>45220</v>
      </c>
      <c r="E459" s="22">
        <v>10</v>
      </c>
      <c r="F459" s="22">
        <v>21</v>
      </c>
      <c r="G459" s="22">
        <v>2023</v>
      </c>
      <c r="H459" s="23">
        <f t="shared" si="21"/>
        <v>45220</v>
      </c>
      <c r="I459" s="25">
        <v>45249</v>
      </c>
      <c r="J459" s="22">
        <f t="shared" si="22"/>
        <v>29</v>
      </c>
      <c r="K459" t="s">
        <v>19</v>
      </c>
      <c r="L459">
        <v>29251</v>
      </c>
      <c r="M459">
        <v>819</v>
      </c>
      <c r="N459" s="26">
        <v>530.8</v>
      </c>
      <c r="O459" s="26">
        <f t="shared" si="23"/>
        <v>530.8</v>
      </c>
      <c r="P459">
        <v>153</v>
      </c>
      <c r="Q459" t="b">
        <v>1</v>
      </c>
      <c r="S459" t="s">
        <v>20</v>
      </c>
    </row>
    <row r="460" spans="1:19">
      <c r="A460" t="s">
        <v>971</v>
      </c>
      <c r="B460" t="s">
        <v>972</v>
      </c>
      <c r="C460" s="23" t="s">
        <v>4128</v>
      </c>
      <c r="D460" s="23">
        <v>45075</v>
      </c>
      <c r="E460" s="22">
        <v>5</v>
      </c>
      <c r="F460" s="22">
        <v>29</v>
      </c>
      <c r="G460" s="22">
        <v>2023</v>
      </c>
      <c r="H460" s="23">
        <f t="shared" si="21"/>
        <v>45075</v>
      </c>
      <c r="I460" s="25">
        <v>45102</v>
      </c>
      <c r="J460" s="22">
        <f t="shared" si="22"/>
        <v>27</v>
      </c>
      <c r="K460" t="s">
        <v>33</v>
      </c>
      <c r="L460">
        <v>26945</v>
      </c>
      <c r="M460">
        <v>514</v>
      </c>
      <c r="N460" s="26">
        <v>315.33</v>
      </c>
      <c r="O460" s="26">
        <f t="shared" si="23"/>
        <v>315.33</v>
      </c>
      <c r="P460">
        <v>39</v>
      </c>
      <c r="Q460" t="b">
        <v>1</v>
      </c>
      <c r="S460" t="s">
        <v>34</v>
      </c>
    </row>
    <row r="461" spans="1:19">
      <c r="A461" t="s">
        <v>973</v>
      </c>
      <c r="B461" t="s">
        <v>974</v>
      </c>
      <c r="C461" s="23" t="s">
        <v>4131</v>
      </c>
      <c r="D461" s="23">
        <v>45093</v>
      </c>
      <c r="E461" s="22">
        <v>6</v>
      </c>
      <c r="F461" s="22">
        <v>16</v>
      </c>
      <c r="G461" s="22">
        <v>2023</v>
      </c>
      <c r="H461" s="23">
        <f t="shared" si="21"/>
        <v>45093</v>
      </c>
      <c r="I461" s="25">
        <v>45102</v>
      </c>
      <c r="J461" s="22">
        <f t="shared" si="22"/>
        <v>9</v>
      </c>
      <c r="K461" t="s">
        <v>14</v>
      </c>
      <c r="L461">
        <v>91852</v>
      </c>
      <c r="M461">
        <v>4186</v>
      </c>
      <c r="N461" s="26">
        <v>4363.12</v>
      </c>
      <c r="O461" s="26">
        <f t="shared" si="23"/>
        <v>3632.575</v>
      </c>
      <c r="P461">
        <v>0</v>
      </c>
      <c r="Q461" t="b">
        <v>0</v>
      </c>
      <c r="S461" t="s">
        <v>16</v>
      </c>
    </row>
    <row r="462" spans="1:19">
      <c r="A462" t="s">
        <v>975</v>
      </c>
      <c r="B462" t="s">
        <v>976</v>
      </c>
      <c r="C462" s="23" t="s">
        <v>4127</v>
      </c>
      <c r="D462" s="23">
        <v>45162</v>
      </c>
      <c r="E462" s="22">
        <v>8</v>
      </c>
      <c r="F462" s="22">
        <v>24</v>
      </c>
      <c r="G462" s="22">
        <v>2023</v>
      </c>
      <c r="H462" s="23">
        <f t="shared" si="21"/>
        <v>45162</v>
      </c>
      <c r="I462" s="25">
        <v>45169</v>
      </c>
      <c r="J462" s="22">
        <f t="shared" si="22"/>
        <v>7</v>
      </c>
      <c r="K462" t="s">
        <v>138</v>
      </c>
      <c r="L462">
        <v>33217</v>
      </c>
      <c r="M462">
        <v>930</v>
      </c>
      <c r="N462" s="26">
        <v>593.57</v>
      </c>
      <c r="O462" s="26">
        <f t="shared" si="23"/>
        <v>593.57</v>
      </c>
      <c r="P462">
        <v>158</v>
      </c>
      <c r="Q462" t="b">
        <v>1</v>
      </c>
      <c r="R462">
        <v>33288</v>
      </c>
      <c r="S462" t="s">
        <v>139</v>
      </c>
    </row>
    <row r="463" spans="1:19">
      <c r="A463" t="s">
        <v>977</v>
      </c>
      <c r="B463" t="s">
        <v>978</v>
      </c>
      <c r="C463" s="23" t="s">
        <v>4131</v>
      </c>
      <c r="D463" s="23">
        <v>44972</v>
      </c>
      <c r="E463" s="22">
        <v>2</v>
      </c>
      <c r="F463" s="22">
        <v>15</v>
      </c>
      <c r="G463" s="22">
        <v>2023</v>
      </c>
      <c r="H463" s="23">
        <f t="shared" si="21"/>
        <v>44972</v>
      </c>
      <c r="I463" s="25">
        <v>44989</v>
      </c>
      <c r="J463" s="22">
        <f t="shared" si="22"/>
        <v>17</v>
      </c>
      <c r="K463" t="s">
        <v>14</v>
      </c>
      <c r="L463">
        <v>9308</v>
      </c>
      <c r="M463">
        <v>421</v>
      </c>
      <c r="N463" s="26">
        <v>579.98</v>
      </c>
      <c r="O463" s="26">
        <f t="shared" si="23"/>
        <v>579.98</v>
      </c>
      <c r="P463">
        <v>25</v>
      </c>
      <c r="Q463" t="b">
        <v>0</v>
      </c>
      <c r="S463" t="s">
        <v>16</v>
      </c>
    </row>
    <row r="464" spans="1:19">
      <c r="A464" t="s">
        <v>979</v>
      </c>
      <c r="B464" t="s">
        <v>980</v>
      </c>
      <c r="C464" s="23" t="s">
        <v>4128</v>
      </c>
      <c r="D464" s="23">
        <v>45150</v>
      </c>
      <c r="E464" s="22">
        <v>8</v>
      </c>
      <c r="F464" s="22">
        <v>12</v>
      </c>
      <c r="G464" s="22">
        <v>2023</v>
      </c>
      <c r="H464" s="23">
        <f t="shared" si="21"/>
        <v>45150</v>
      </c>
      <c r="I464" s="25">
        <v>45151</v>
      </c>
      <c r="J464" s="22">
        <f t="shared" si="22"/>
        <v>1</v>
      </c>
      <c r="K464" t="s">
        <v>23</v>
      </c>
      <c r="L464">
        <v>6949</v>
      </c>
      <c r="M464">
        <v>98</v>
      </c>
      <c r="N464" s="26">
        <v>82.26</v>
      </c>
      <c r="O464" s="26">
        <f t="shared" si="23"/>
        <v>82.26</v>
      </c>
      <c r="P464">
        <v>10</v>
      </c>
      <c r="Q464" t="b">
        <v>1</v>
      </c>
      <c r="S464" t="s">
        <v>25</v>
      </c>
    </row>
    <row r="465" spans="1:19">
      <c r="A465" t="s">
        <v>981</v>
      </c>
      <c r="B465" t="s">
        <v>982</v>
      </c>
      <c r="C465" s="23" t="s">
        <v>4128</v>
      </c>
      <c r="D465" s="23">
        <v>45129</v>
      </c>
      <c r="E465" s="22">
        <v>7</v>
      </c>
      <c r="F465" s="22">
        <v>22</v>
      </c>
      <c r="G465" s="22">
        <v>2023</v>
      </c>
      <c r="H465" s="23">
        <f t="shared" si="21"/>
        <v>45129</v>
      </c>
      <c r="I465" s="25">
        <v>45139</v>
      </c>
      <c r="J465" s="22">
        <f t="shared" si="22"/>
        <v>10</v>
      </c>
      <c r="K465" t="s">
        <v>41</v>
      </c>
      <c r="L465">
        <v>52990</v>
      </c>
      <c r="M465">
        <v>2624</v>
      </c>
      <c r="N465" s="26">
        <v>4837.47</v>
      </c>
      <c r="O465" s="26">
        <f t="shared" si="23"/>
        <v>3632.575</v>
      </c>
      <c r="P465">
        <v>398</v>
      </c>
      <c r="Q465" t="b">
        <v>1</v>
      </c>
      <c r="S465" t="s">
        <v>42</v>
      </c>
    </row>
    <row r="466" spans="1:19">
      <c r="A466" t="s">
        <v>983</v>
      </c>
      <c r="B466" t="s">
        <v>984</v>
      </c>
      <c r="C466" s="23" t="s">
        <v>4131</v>
      </c>
      <c r="D466" s="23">
        <v>45040</v>
      </c>
      <c r="E466" s="22">
        <v>4</v>
      </c>
      <c r="F466" s="22">
        <v>24</v>
      </c>
      <c r="G466" s="22">
        <v>2023</v>
      </c>
      <c r="H466" s="23">
        <f t="shared" si="21"/>
        <v>45040</v>
      </c>
      <c r="I466" s="25">
        <v>45041</v>
      </c>
      <c r="J466" s="22">
        <f t="shared" si="22"/>
        <v>1</v>
      </c>
      <c r="K466" t="s">
        <v>191</v>
      </c>
      <c r="L466">
        <v>2150</v>
      </c>
      <c r="M466">
        <v>59</v>
      </c>
      <c r="N466" s="26">
        <v>98.84</v>
      </c>
      <c r="O466" s="26">
        <f t="shared" si="23"/>
        <v>98.84</v>
      </c>
      <c r="P466">
        <v>5</v>
      </c>
      <c r="Q466" t="b">
        <v>0</v>
      </c>
      <c r="S466" t="s">
        <v>42</v>
      </c>
    </row>
    <row r="467" spans="1:19">
      <c r="A467" t="s">
        <v>985</v>
      </c>
      <c r="B467" t="s">
        <v>986</v>
      </c>
      <c r="C467" s="23" t="s">
        <v>4131</v>
      </c>
      <c r="D467" s="23">
        <v>45188</v>
      </c>
      <c r="E467" s="22">
        <v>9</v>
      </c>
      <c r="F467" s="22">
        <v>19</v>
      </c>
      <c r="G467" s="22">
        <v>2023</v>
      </c>
      <c r="H467" s="23">
        <f t="shared" si="21"/>
        <v>45188</v>
      </c>
      <c r="I467" s="25">
        <v>45195</v>
      </c>
      <c r="J467" s="22">
        <f t="shared" si="22"/>
        <v>7</v>
      </c>
      <c r="K467" t="s">
        <v>19</v>
      </c>
      <c r="L467">
        <v>90480</v>
      </c>
      <c r="M467">
        <v>1077</v>
      </c>
      <c r="N467" s="26">
        <v>1668.87</v>
      </c>
      <c r="O467" s="26">
        <f t="shared" si="23"/>
        <v>1668.87</v>
      </c>
      <c r="P467">
        <v>67</v>
      </c>
      <c r="Q467" t="b">
        <v>1</v>
      </c>
      <c r="S467" t="s">
        <v>20</v>
      </c>
    </row>
    <row r="468" spans="1:19">
      <c r="A468" t="s">
        <v>987</v>
      </c>
      <c r="B468" t="s">
        <v>988</v>
      </c>
      <c r="C468" s="23" t="s">
        <v>4128</v>
      </c>
      <c r="D468" s="23">
        <v>45026</v>
      </c>
      <c r="E468" s="22">
        <v>4</v>
      </c>
      <c r="F468" s="22">
        <v>10</v>
      </c>
      <c r="G468" s="22">
        <v>2023</v>
      </c>
      <c r="H468" s="23">
        <f t="shared" si="21"/>
        <v>45026</v>
      </c>
      <c r="I468" s="25">
        <v>45021</v>
      </c>
      <c r="J468" s="22">
        <f t="shared" si="22"/>
        <v>-5</v>
      </c>
      <c r="K468" t="s">
        <v>138</v>
      </c>
      <c r="L468">
        <v>75740</v>
      </c>
      <c r="M468">
        <v>872</v>
      </c>
      <c r="N468" s="26">
        <v>1242.96</v>
      </c>
      <c r="O468" s="26">
        <f t="shared" si="23"/>
        <v>1242.96</v>
      </c>
      <c r="P468">
        <v>144</v>
      </c>
      <c r="Q468" t="b">
        <v>1</v>
      </c>
      <c r="S468" t="s">
        <v>139</v>
      </c>
    </row>
    <row r="469" spans="1:19">
      <c r="A469" t="s">
        <v>989</v>
      </c>
      <c r="B469" t="s">
        <v>990</v>
      </c>
      <c r="C469" s="23" t="s">
        <v>4129</v>
      </c>
      <c r="D469" s="23">
        <v>45257</v>
      </c>
      <c r="E469" s="22">
        <v>11</v>
      </c>
      <c r="F469" s="22">
        <v>27</v>
      </c>
      <c r="G469" s="22">
        <v>2023</v>
      </c>
      <c r="H469" s="23">
        <f t="shared" si="21"/>
        <v>45257</v>
      </c>
      <c r="I469" s="25">
        <v>45263</v>
      </c>
      <c r="J469" s="22">
        <f t="shared" si="22"/>
        <v>6</v>
      </c>
      <c r="K469" t="s">
        <v>41</v>
      </c>
      <c r="L469">
        <v>67617</v>
      </c>
      <c r="M469">
        <v>2694</v>
      </c>
      <c r="N469" s="26">
        <v>4836.27</v>
      </c>
      <c r="O469" s="26">
        <f t="shared" si="23"/>
        <v>3632.575</v>
      </c>
      <c r="P469">
        <v>389</v>
      </c>
      <c r="Q469" t="b">
        <v>0</v>
      </c>
      <c r="S469" t="s">
        <v>42</v>
      </c>
    </row>
    <row r="470" spans="1:19">
      <c r="A470" t="s">
        <v>991</v>
      </c>
      <c r="B470" t="s">
        <v>992</v>
      </c>
      <c r="C470" s="23" t="s">
        <v>4131</v>
      </c>
      <c r="D470" s="23">
        <v>45001</v>
      </c>
      <c r="E470" s="22">
        <v>3</v>
      </c>
      <c r="F470" s="22">
        <v>16</v>
      </c>
      <c r="G470" s="22">
        <v>2023</v>
      </c>
      <c r="H470" s="23">
        <f t="shared" si="21"/>
        <v>45001</v>
      </c>
      <c r="I470" s="25">
        <v>45029</v>
      </c>
      <c r="J470" s="22">
        <f t="shared" si="22"/>
        <v>28</v>
      </c>
      <c r="K470" t="s">
        <v>33</v>
      </c>
      <c r="L470">
        <v>95841</v>
      </c>
      <c r="M470">
        <v>3484</v>
      </c>
      <c r="N470" s="26">
        <v>2907.72</v>
      </c>
      <c r="O470" s="26">
        <f t="shared" si="23"/>
        <v>2907.72</v>
      </c>
      <c r="P470">
        <v>690</v>
      </c>
      <c r="Q470" t="b">
        <v>1</v>
      </c>
      <c r="S470" t="s">
        <v>34</v>
      </c>
    </row>
    <row r="471" spans="1:19">
      <c r="A471" t="s">
        <v>993</v>
      </c>
      <c r="B471" t="s">
        <v>994</v>
      </c>
      <c r="C471" s="23" t="s">
        <v>4128</v>
      </c>
      <c r="D471" s="23">
        <v>45005</v>
      </c>
      <c r="E471" s="22">
        <v>3</v>
      </c>
      <c r="F471" s="22">
        <v>20</v>
      </c>
      <c r="G471" s="22">
        <v>2023</v>
      </c>
      <c r="H471" s="23">
        <f t="shared" si="21"/>
        <v>45005</v>
      </c>
      <c r="I471" s="25">
        <v>45016</v>
      </c>
      <c r="J471" s="22">
        <f t="shared" si="22"/>
        <v>11</v>
      </c>
      <c r="K471" t="s">
        <v>14</v>
      </c>
      <c r="L471">
        <v>17896</v>
      </c>
      <c r="M471">
        <v>753</v>
      </c>
      <c r="N471" s="26">
        <v>1362.68</v>
      </c>
      <c r="O471" s="26">
        <f t="shared" si="23"/>
        <v>1362.68</v>
      </c>
      <c r="P471">
        <v>76</v>
      </c>
      <c r="Q471" t="b">
        <v>0</v>
      </c>
      <c r="S471" t="s">
        <v>16</v>
      </c>
    </row>
    <row r="472" spans="1:19">
      <c r="A472" t="s">
        <v>995</v>
      </c>
      <c r="B472" t="s">
        <v>996</v>
      </c>
      <c r="C472" s="23" t="s">
        <v>4131</v>
      </c>
      <c r="D472" s="23">
        <v>45017</v>
      </c>
      <c r="E472" s="22">
        <v>4</v>
      </c>
      <c r="F472" s="22">
        <v>1</v>
      </c>
      <c r="G472" s="22">
        <v>2023</v>
      </c>
      <c r="H472" s="23">
        <f t="shared" si="21"/>
        <v>45017</v>
      </c>
      <c r="I472" s="25">
        <v>45024</v>
      </c>
      <c r="J472" s="22">
        <f t="shared" si="22"/>
        <v>7</v>
      </c>
      <c r="K472" t="s">
        <v>19</v>
      </c>
      <c r="L472">
        <v>47175</v>
      </c>
      <c r="M472">
        <v>670</v>
      </c>
      <c r="N472" s="26">
        <v>1128.44</v>
      </c>
      <c r="O472" s="26">
        <f t="shared" si="23"/>
        <v>1128.44</v>
      </c>
      <c r="P472">
        <v>39</v>
      </c>
      <c r="Q472" t="b">
        <v>1</v>
      </c>
      <c r="S472" t="s">
        <v>20</v>
      </c>
    </row>
    <row r="473" spans="1:19">
      <c r="A473" t="s">
        <v>997</v>
      </c>
      <c r="B473" t="s">
        <v>998</v>
      </c>
      <c r="C473" s="23" t="s">
        <v>4127</v>
      </c>
      <c r="D473" s="23">
        <v>45164</v>
      </c>
      <c r="E473" s="22">
        <v>8</v>
      </c>
      <c r="F473" s="22">
        <v>26</v>
      </c>
      <c r="G473" s="22">
        <v>2023</v>
      </c>
      <c r="H473" s="23">
        <f t="shared" si="21"/>
        <v>45164</v>
      </c>
      <c r="I473" s="25">
        <v>45180</v>
      </c>
      <c r="J473" s="22">
        <f t="shared" si="22"/>
        <v>16</v>
      </c>
      <c r="K473" t="s">
        <v>14</v>
      </c>
      <c r="L473">
        <v>8805</v>
      </c>
      <c r="M473">
        <v>100</v>
      </c>
      <c r="N473" s="26">
        <v>162.22</v>
      </c>
      <c r="O473" s="26">
        <f t="shared" si="23"/>
        <v>162.22</v>
      </c>
      <c r="P473">
        <v>16</v>
      </c>
      <c r="Q473" t="b">
        <v>0</v>
      </c>
      <c r="S473" t="s">
        <v>16</v>
      </c>
    </row>
    <row r="474" spans="1:19">
      <c r="A474" t="s">
        <v>999</v>
      </c>
      <c r="B474" t="s">
        <v>1000</v>
      </c>
      <c r="C474" s="23" t="s">
        <v>4128</v>
      </c>
      <c r="D474" s="23">
        <v>45156</v>
      </c>
      <c r="E474" s="22">
        <v>8</v>
      </c>
      <c r="F474" s="22">
        <v>18</v>
      </c>
      <c r="G474" s="22">
        <v>2023</v>
      </c>
      <c r="H474" s="23">
        <f t="shared" si="21"/>
        <v>45156</v>
      </c>
      <c r="I474" s="25">
        <v>45180</v>
      </c>
      <c r="J474" s="22">
        <f t="shared" si="22"/>
        <v>24</v>
      </c>
      <c r="K474" t="s">
        <v>19</v>
      </c>
      <c r="L474">
        <v>6237</v>
      </c>
      <c r="M474">
        <v>189</v>
      </c>
      <c r="N474" s="26">
        <v>253.62</v>
      </c>
      <c r="O474" s="26">
        <f t="shared" si="23"/>
        <v>253.62</v>
      </c>
      <c r="P474">
        <v>24</v>
      </c>
      <c r="Q474" t="b">
        <v>1</v>
      </c>
      <c r="S474" t="s">
        <v>20</v>
      </c>
    </row>
    <row r="475" spans="1:19">
      <c r="A475" t="s">
        <v>1001</v>
      </c>
      <c r="B475" t="s">
        <v>1002</v>
      </c>
      <c r="C475" s="23" t="s">
        <v>4128</v>
      </c>
      <c r="D475" s="23">
        <v>45256</v>
      </c>
      <c r="E475" s="22">
        <v>11</v>
      </c>
      <c r="F475" s="22">
        <v>26</v>
      </c>
      <c r="G475" s="22">
        <v>2023</v>
      </c>
      <c r="H475" s="23">
        <f t="shared" si="21"/>
        <v>45256</v>
      </c>
      <c r="I475" s="25">
        <v>45269</v>
      </c>
      <c r="J475" s="22">
        <f t="shared" si="22"/>
        <v>13</v>
      </c>
      <c r="K475" t="s">
        <v>19</v>
      </c>
      <c r="L475">
        <v>21056</v>
      </c>
      <c r="M475">
        <v>537</v>
      </c>
      <c r="N475" s="26">
        <v>466.85</v>
      </c>
      <c r="O475" s="26">
        <f t="shared" si="23"/>
        <v>466.85</v>
      </c>
      <c r="P475">
        <v>44</v>
      </c>
      <c r="Q475" t="b">
        <v>0</v>
      </c>
      <c r="S475" t="s">
        <v>20</v>
      </c>
    </row>
    <row r="476" spans="1:19">
      <c r="A476" t="s">
        <v>1003</v>
      </c>
      <c r="B476" t="s">
        <v>1004</v>
      </c>
      <c r="C476" s="23" t="s">
        <v>4127</v>
      </c>
      <c r="D476" s="23">
        <v>45248</v>
      </c>
      <c r="E476" s="22">
        <v>11</v>
      </c>
      <c r="F476" s="22">
        <v>18</v>
      </c>
      <c r="G476" s="22">
        <v>2023</v>
      </c>
      <c r="H476" s="23">
        <f t="shared" si="21"/>
        <v>45248</v>
      </c>
      <c r="I476" s="25">
        <v>45272</v>
      </c>
      <c r="J476" s="22">
        <f t="shared" si="22"/>
        <v>24</v>
      </c>
      <c r="K476" t="s">
        <v>23</v>
      </c>
      <c r="L476">
        <v>46543</v>
      </c>
      <c r="M476">
        <v>1325</v>
      </c>
      <c r="N476" s="26">
        <v>1504.3</v>
      </c>
      <c r="O476" s="26">
        <f t="shared" si="23"/>
        <v>1504.3</v>
      </c>
      <c r="P476">
        <v>221</v>
      </c>
      <c r="Q476" t="b">
        <v>0</v>
      </c>
      <c r="S476" t="s">
        <v>25</v>
      </c>
    </row>
    <row r="477" spans="1:19">
      <c r="A477" t="s">
        <v>1005</v>
      </c>
      <c r="B477" t="s">
        <v>1006</v>
      </c>
      <c r="C477" s="23" t="s">
        <v>4128</v>
      </c>
      <c r="D477" s="23">
        <v>45167</v>
      </c>
      <c r="E477" s="22">
        <v>8</v>
      </c>
      <c r="F477" s="22">
        <v>29</v>
      </c>
      <c r="G477" s="22">
        <v>2023</v>
      </c>
      <c r="H477" s="23">
        <f t="shared" si="21"/>
        <v>45167</v>
      </c>
      <c r="I477" s="25">
        <v>45178</v>
      </c>
      <c r="J477" s="22">
        <f t="shared" si="22"/>
        <v>11</v>
      </c>
      <c r="K477" t="s">
        <v>14</v>
      </c>
      <c r="L477">
        <v>57556</v>
      </c>
      <c r="M477">
        <v>2858</v>
      </c>
      <c r="N477" s="26">
        <v>4831.04</v>
      </c>
      <c r="O477" s="26">
        <f t="shared" si="23"/>
        <v>3632.575</v>
      </c>
      <c r="P477">
        <v>230</v>
      </c>
      <c r="Q477" t="b">
        <v>1</v>
      </c>
      <c r="S477" t="s">
        <v>16</v>
      </c>
    </row>
    <row r="478" spans="1:19">
      <c r="A478" t="s">
        <v>1007</v>
      </c>
      <c r="B478" t="s">
        <v>1008</v>
      </c>
      <c r="C478" s="23" t="s">
        <v>4131</v>
      </c>
      <c r="D478" s="23">
        <v>45067</v>
      </c>
      <c r="E478" s="22">
        <v>5</v>
      </c>
      <c r="F478" s="22">
        <v>21</v>
      </c>
      <c r="G478" s="22">
        <v>2023</v>
      </c>
      <c r="H478" s="23">
        <f t="shared" si="21"/>
        <v>45067</v>
      </c>
      <c r="I478" s="25">
        <v>45082</v>
      </c>
      <c r="J478" s="22">
        <f t="shared" si="22"/>
        <v>15</v>
      </c>
      <c r="K478" t="s">
        <v>191</v>
      </c>
      <c r="L478">
        <v>4343</v>
      </c>
      <c r="M478">
        <v>212</v>
      </c>
      <c r="N478" s="26">
        <v>116.11</v>
      </c>
      <c r="O478" s="26">
        <f t="shared" si="23"/>
        <v>116.11</v>
      </c>
      <c r="P478">
        <v>0</v>
      </c>
      <c r="Q478" t="b">
        <v>0</v>
      </c>
      <c r="S478" t="s">
        <v>42</v>
      </c>
    </row>
    <row r="479" spans="1:19">
      <c r="A479" t="s">
        <v>1009</v>
      </c>
      <c r="B479" t="s">
        <v>1010</v>
      </c>
      <c r="C479" s="23" t="s">
        <v>4131</v>
      </c>
      <c r="D479" s="23">
        <v>44964</v>
      </c>
      <c r="E479" s="22">
        <v>2</v>
      </c>
      <c r="F479" s="22">
        <v>7</v>
      </c>
      <c r="G479" s="22">
        <v>2023</v>
      </c>
      <c r="H479" s="23">
        <f t="shared" si="21"/>
        <v>44964</v>
      </c>
      <c r="I479" s="25">
        <v>44977</v>
      </c>
      <c r="J479" s="22">
        <f t="shared" si="22"/>
        <v>13</v>
      </c>
      <c r="K479" t="s">
        <v>41</v>
      </c>
      <c r="L479">
        <v>14500</v>
      </c>
      <c r="M479">
        <v>691</v>
      </c>
      <c r="N479" s="26">
        <v>1156.1</v>
      </c>
      <c r="O479" s="26">
        <f t="shared" si="23"/>
        <v>1156.1</v>
      </c>
      <c r="P479">
        <v>44</v>
      </c>
      <c r="Q479" t="b">
        <v>1</v>
      </c>
      <c r="S479" t="s">
        <v>42</v>
      </c>
    </row>
    <row r="480" spans="1:19">
      <c r="A480" t="s">
        <v>1011</v>
      </c>
      <c r="B480" t="s">
        <v>1012</v>
      </c>
      <c r="C480" s="23" t="s">
        <v>4128</v>
      </c>
      <c r="D480" s="23">
        <v>44956</v>
      </c>
      <c r="E480" s="22">
        <v>1</v>
      </c>
      <c r="F480" s="22">
        <v>30</v>
      </c>
      <c r="G480" s="22">
        <v>2023</v>
      </c>
      <c r="H480" s="23">
        <f t="shared" si="21"/>
        <v>44956</v>
      </c>
      <c r="I480" s="25">
        <v>44976</v>
      </c>
      <c r="J480" s="22">
        <f t="shared" si="22"/>
        <v>20</v>
      </c>
      <c r="K480" t="s">
        <v>138</v>
      </c>
      <c r="L480">
        <v>54222</v>
      </c>
      <c r="M480">
        <v>2242</v>
      </c>
      <c r="N480" s="26">
        <v>1928.36</v>
      </c>
      <c r="O480" s="26">
        <f t="shared" si="23"/>
        <v>1928.36</v>
      </c>
      <c r="P480">
        <v>246</v>
      </c>
      <c r="Q480" t="b">
        <v>0</v>
      </c>
      <c r="S480" t="s">
        <v>139</v>
      </c>
    </row>
    <row r="481" spans="1:19">
      <c r="A481" t="s">
        <v>1013</v>
      </c>
      <c r="B481" t="s">
        <v>1014</v>
      </c>
      <c r="C481" s="23" t="s">
        <v>4128</v>
      </c>
      <c r="D481" s="23">
        <v>45257</v>
      </c>
      <c r="E481" s="22">
        <v>11</v>
      </c>
      <c r="F481" s="22">
        <v>27</v>
      </c>
      <c r="G481" s="22">
        <v>2023</v>
      </c>
      <c r="H481" s="23">
        <f t="shared" si="21"/>
        <v>45257</v>
      </c>
      <c r="I481" s="25">
        <v>45282</v>
      </c>
      <c r="J481" s="22">
        <f t="shared" si="22"/>
        <v>25</v>
      </c>
      <c r="K481" t="s">
        <v>23</v>
      </c>
      <c r="L481">
        <v>30375</v>
      </c>
      <c r="M481">
        <v>734</v>
      </c>
      <c r="N481" s="26">
        <v>525.88</v>
      </c>
      <c r="O481" s="26">
        <f t="shared" si="23"/>
        <v>525.88</v>
      </c>
      <c r="P481">
        <v>82</v>
      </c>
      <c r="Q481" t="b">
        <v>0</v>
      </c>
      <c r="S481" t="s">
        <v>25</v>
      </c>
    </row>
    <row r="482" spans="1:19">
      <c r="A482" t="s">
        <v>1015</v>
      </c>
      <c r="B482" t="s">
        <v>1016</v>
      </c>
      <c r="C482" s="23" t="s">
        <v>4127</v>
      </c>
      <c r="D482" s="23">
        <v>45241</v>
      </c>
      <c r="E482" s="22">
        <v>11</v>
      </c>
      <c r="F482" s="22">
        <v>11</v>
      </c>
      <c r="G482" s="22">
        <v>2023</v>
      </c>
      <c r="H482" s="23">
        <f t="shared" si="21"/>
        <v>45241</v>
      </c>
      <c r="I482" s="25">
        <v>45247</v>
      </c>
      <c r="J482" s="22">
        <f t="shared" si="22"/>
        <v>6</v>
      </c>
      <c r="K482" t="s">
        <v>33</v>
      </c>
      <c r="L482">
        <v>10662</v>
      </c>
      <c r="M482">
        <v>282</v>
      </c>
      <c r="N482" s="26">
        <v>189.94</v>
      </c>
      <c r="O482" s="26">
        <f t="shared" si="23"/>
        <v>189.94</v>
      </c>
      <c r="P482">
        <v>35</v>
      </c>
      <c r="Q482" t="b">
        <v>1</v>
      </c>
      <c r="S482" t="s">
        <v>34</v>
      </c>
    </row>
    <row r="483" spans="1:19">
      <c r="A483" t="s">
        <v>1017</v>
      </c>
      <c r="B483" t="s">
        <v>1018</v>
      </c>
      <c r="C483" s="23" t="s">
        <v>4128</v>
      </c>
      <c r="D483" s="23">
        <v>45224</v>
      </c>
      <c r="E483" s="22">
        <v>10</v>
      </c>
      <c r="F483" s="22">
        <v>25</v>
      </c>
      <c r="G483" s="22">
        <v>2023</v>
      </c>
      <c r="H483" s="23">
        <f t="shared" si="21"/>
        <v>45224</v>
      </c>
      <c r="I483" s="25">
        <v>45254</v>
      </c>
      <c r="J483" s="22">
        <f t="shared" si="22"/>
        <v>30</v>
      </c>
      <c r="K483" t="s">
        <v>191</v>
      </c>
      <c r="L483">
        <v>17964</v>
      </c>
      <c r="M483">
        <v>574</v>
      </c>
      <c r="N483" s="26">
        <v>310.46</v>
      </c>
      <c r="O483" s="26">
        <f t="shared" si="23"/>
        <v>310.46</v>
      </c>
      <c r="P483">
        <v>89</v>
      </c>
      <c r="Q483" t="b">
        <v>1</v>
      </c>
      <c r="S483" t="s">
        <v>42</v>
      </c>
    </row>
    <row r="484" spans="1:19">
      <c r="A484" t="s">
        <v>1019</v>
      </c>
      <c r="B484" t="s">
        <v>1020</v>
      </c>
      <c r="C484" s="23" t="s">
        <v>4129</v>
      </c>
      <c r="D484" s="23">
        <v>44948</v>
      </c>
      <c r="E484" s="22">
        <v>1</v>
      </c>
      <c r="F484" s="22">
        <v>22</v>
      </c>
      <c r="G484" s="22">
        <v>2023</v>
      </c>
      <c r="H484" s="23">
        <f t="shared" si="21"/>
        <v>44948</v>
      </c>
      <c r="I484" s="25">
        <v>44964</v>
      </c>
      <c r="J484" s="22">
        <f t="shared" si="22"/>
        <v>16</v>
      </c>
      <c r="K484" t="s">
        <v>33</v>
      </c>
      <c r="L484">
        <v>60638</v>
      </c>
      <c r="M484">
        <v>2620</v>
      </c>
      <c r="N484" s="26">
        <v>3367.69</v>
      </c>
      <c r="O484" s="26">
        <f t="shared" si="23"/>
        <v>3367.69</v>
      </c>
      <c r="P484">
        <v>487</v>
      </c>
      <c r="Q484" t="b">
        <v>0</v>
      </c>
      <c r="S484" t="s">
        <v>34</v>
      </c>
    </row>
    <row r="485" spans="1:19">
      <c r="A485" t="s">
        <v>1021</v>
      </c>
      <c r="B485" t="s">
        <v>1022</v>
      </c>
      <c r="C485" s="23" t="s">
        <v>4129</v>
      </c>
      <c r="D485" s="23">
        <v>45260</v>
      </c>
      <c r="E485" s="22">
        <v>11</v>
      </c>
      <c r="F485" s="22">
        <v>30</v>
      </c>
      <c r="G485" s="22">
        <v>2023</v>
      </c>
      <c r="H485" s="23">
        <f t="shared" si="21"/>
        <v>45260</v>
      </c>
      <c r="I485" s="25">
        <v>45276</v>
      </c>
      <c r="J485" s="22">
        <f t="shared" si="22"/>
        <v>16</v>
      </c>
      <c r="K485" t="s">
        <v>41</v>
      </c>
      <c r="L485">
        <v>74666</v>
      </c>
      <c r="M485">
        <v>951</v>
      </c>
      <c r="N485" s="26">
        <v>786.85</v>
      </c>
      <c r="O485" s="26">
        <f t="shared" si="23"/>
        <v>786.85</v>
      </c>
      <c r="P485">
        <v>67</v>
      </c>
      <c r="Q485" t="b">
        <v>0</v>
      </c>
      <c r="S485" t="s">
        <v>42</v>
      </c>
    </row>
    <row r="486" spans="1:19">
      <c r="A486" t="s">
        <v>1023</v>
      </c>
      <c r="B486" t="s">
        <v>1024</v>
      </c>
      <c r="C486" s="23" t="s">
        <v>4129</v>
      </c>
      <c r="D486" s="23">
        <v>45183</v>
      </c>
      <c r="E486" s="22">
        <v>9</v>
      </c>
      <c r="F486" s="22">
        <v>14</v>
      </c>
      <c r="G486" s="22">
        <v>2023</v>
      </c>
      <c r="H486" s="23">
        <f t="shared" si="21"/>
        <v>45183</v>
      </c>
      <c r="I486" s="25">
        <v>45201</v>
      </c>
      <c r="J486" s="22">
        <f t="shared" si="22"/>
        <v>18</v>
      </c>
      <c r="K486" t="s">
        <v>41</v>
      </c>
      <c r="L486">
        <v>86067</v>
      </c>
      <c r="M486">
        <v>2321</v>
      </c>
      <c r="N486" s="26">
        <v>4605.21</v>
      </c>
      <c r="O486" s="26">
        <f t="shared" si="23"/>
        <v>3632.575</v>
      </c>
      <c r="P486">
        <v>134</v>
      </c>
      <c r="Q486" t="b">
        <v>0</v>
      </c>
      <c r="S486" t="s">
        <v>42</v>
      </c>
    </row>
    <row r="487" spans="1:19">
      <c r="A487" t="s">
        <v>1025</v>
      </c>
      <c r="B487" t="s">
        <v>1026</v>
      </c>
      <c r="C487" s="23" t="s">
        <v>4127</v>
      </c>
      <c r="D487" s="23">
        <v>44979</v>
      </c>
      <c r="E487" s="22">
        <v>2</v>
      </c>
      <c r="F487" s="22">
        <v>22</v>
      </c>
      <c r="G487" s="22">
        <v>2023</v>
      </c>
      <c r="H487" s="23">
        <f t="shared" si="21"/>
        <v>44979</v>
      </c>
      <c r="I487" s="25">
        <v>44999</v>
      </c>
      <c r="J487" s="22">
        <f t="shared" si="22"/>
        <v>20</v>
      </c>
      <c r="K487" t="s">
        <v>23</v>
      </c>
      <c r="L487">
        <v>68215</v>
      </c>
      <c r="M487">
        <v>907</v>
      </c>
      <c r="N487" s="26">
        <v>1235.02</v>
      </c>
      <c r="O487" s="26">
        <f t="shared" si="23"/>
        <v>1235.02</v>
      </c>
      <c r="P487">
        <v>0</v>
      </c>
      <c r="Q487" t="b">
        <v>0</v>
      </c>
      <c r="S487" t="s">
        <v>25</v>
      </c>
    </row>
    <row r="488" spans="1:19">
      <c r="A488" t="s">
        <v>1027</v>
      </c>
      <c r="B488" t="s">
        <v>1028</v>
      </c>
      <c r="C488" s="23" t="s">
        <v>4129</v>
      </c>
      <c r="D488" s="23">
        <v>45292</v>
      </c>
      <c r="E488" s="22">
        <v>1</v>
      </c>
      <c r="F488" s="22">
        <v>1</v>
      </c>
      <c r="G488" s="22">
        <v>2024</v>
      </c>
      <c r="H488" s="23">
        <f t="shared" si="21"/>
        <v>45292</v>
      </c>
      <c r="I488" s="25">
        <v>45302</v>
      </c>
      <c r="J488" s="22">
        <f t="shared" si="22"/>
        <v>10</v>
      </c>
      <c r="K488" t="s">
        <v>138</v>
      </c>
      <c r="L488">
        <v>70042</v>
      </c>
      <c r="M488">
        <v>2142</v>
      </c>
      <c r="N488" s="26">
        <v>1514.03</v>
      </c>
      <c r="O488" s="26">
        <f t="shared" si="23"/>
        <v>1514.03</v>
      </c>
      <c r="P488">
        <v>153</v>
      </c>
      <c r="Q488" t="b">
        <v>1</v>
      </c>
      <c r="S488" t="s">
        <v>139</v>
      </c>
    </row>
    <row r="489" spans="1:19">
      <c r="A489" t="s">
        <v>1029</v>
      </c>
      <c r="B489" t="s">
        <v>1030</v>
      </c>
      <c r="C489" s="23" t="s">
        <v>4127</v>
      </c>
      <c r="D489" s="23">
        <v>45257</v>
      </c>
      <c r="E489" s="22">
        <v>11</v>
      </c>
      <c r="F489" s="22">
        <v>27</v>
      </c>
      <c r="G489" s="22">
        <v>2023</v>
      </c>
      <c r="H489" s="23">
        <f t="shared" si="21"/>
        <v>45257</v>
      </c>
      <c r="I489" s="25">
        <v>45283</v>
      </c>
      <c r="J489" s="22">
        <f t="shared" si="22"/>
        <v>26</v>
      </c>
      <c r="K489" t="s">
        <v>23</v>
      </c>
      <c r="L489">
        <v>14284</v>
      </c>
      <c r="M489">
        <v>656</v>
      </c>
      <c r="N489" s="26">
        <v>1005.74</v>
      </c>
      <c r="O489" s="26">
        <f t="shared" si="23"/>
        <v>1005.74</v>
      </c>
      <c r="P489">
        <v>97</v>
      </c>
      <c r="Q489" t="b">
        <v>0</v>
      </c>
      <c r="S489" t="s">
        <v>25</v>
      </c>
    </row>
    <row r="490" spans="1:19">
      <c r="A490" t="s">
        <v>1031</v>
      </c>
      <c r="B490" t="s">
        <v>1032</v>
      </c>
      <c r="C490" s="23" t="s">
        <v>4128</v>
      </c>
      <c r="D490" s="23">
        <v>45151</v>
      </c>
      <c r="E490" s="22">
        <v>8</v>
      </c>
      <c r="F490" s="22">
        <v>13</v>
      </c>
      <c r="G490" s="22">
        <v>2023</v>
      </c>
      <c r="H490" s="23">
        <f t="shared" si="21"/>
        <v>45151</v>
      </c>
      <c r="I490" s="25">
        <v>45173</v>
      </c>
      <c r="J490" s="22">
        <f t="shared" si="22"/>
        <v>22</v>
      </c>
      <c r="K490" t="s">
        <v>23</v>
      </c>
      <c r="L490">
        <v>73789</v>
      </c>
      <c r="M490">
        <v>3047</v>
      </c>
      <c r="N490" s="26">
        <v>5626.64</v>
      </c>
      <c r="O490" s="26">
        <f t="shared" si="23"/>
        <v>3632.575</v>
      </c>
      <c r="P490">
        <v>484</v>
      </c>
      <c r="Q490" t="b">
        <v>0</v>
      </c>
      <c r="S490" t="s">
        <v>25</v>
      </c>
    </row>
    <row r="491" spans="1:19">
      <c r="A491" t="s">
        <v>1033</v>
      </c>
      <c r="B491" t="s">
        <v>1034</v>
      </c>
      <c r="C491" s="23" t="s">
        <v>4127</v>
      </c>
      <c r="D491" s="23">
        <v>45239</v>
      </c>
      <c r="E491" s="22">
        <v>11</v>
      </c>
      <c r="F491" s="22">
        <v>9</v>
      </c>
      <c r="G491" s="22">
        <v>2023</v>
      </c>
      <c r="H491" s="23">
        <f t="shared" si="21"/>
        <v>45239</v>
      </c>
      <c r="I491" s="25">
        <v>45267</v>
      </c>
      <c r="J491" s="22">
        <f t="shared" si="22"/>
        <v>28</v>
      </c>
      <c r="K491" t="s">
        <v>23</v>
      </c>
      <c r="L491">
        <v>85664</v>
      </c>
      <c r="M491">
        <v>1637</v>
      </c>
      <c r="N491" s="26">
        <v>2648.29</v>
      </c>
      <c r="O491" s="26">
        <f t="shared" si="23"/>
        <v>2648.29</v>
      </c>
      <c r="P491">
        <v>274</v>
      </c>
      <c r="Q491" t="b">
        <v>1</v>
      </c>
      <c r="S491" t="s">
        <v>25</v>
      </c>
    </row>
    <row r="492" spans="1:19">
      <c r="A492" t="s">
        <v>1035</v>
      </c>
      <c r="B492" t="s">
        <v>1036</v>
      </c>
      <c r="C492" s="23" t="s">
        <v>4131</v>
      </c>
      <c r="D492" s="23">
        <v>45071</v>
      </c>
      <c r="E492" s="22">
        <v>5</v>
      </c>
      <c r="F492" s="22">
        <v>25</v>
      </c>
      <c r="G492" s="22">
        <v>2023</v>
      </c>
      <c r="H492" s="23">
        <f t="shared" si="21"/>
        <v>45071</v>
      </c>
      <c r="I492" s="25">
        <v>45079</v>
      </c>
      <c r="J492" s="22">
        <f t="shared" si="22"/>
        <v>8</v>
      </c>
      <c r="K492" t="s">
        <v>138</v>
      </c>
      <c r="L492">
        <v>94468</v>
      </c>
      <c r="M492">
        <v>4632</v>
      </c>
      <c r="N492" s="26">
        <v>2847.1</v>
      </c>
      <c r="O492" s="26">
        <f t="shared" si="23"/>
        <v>2847.1</v>
      </c>
      <c r="P492">
        <v>400</v>
      </c>
      <c r="Q492" t="b">
        <v>1</v>
      </c>
      <c r="S492" t="s">
        <v>139</v>
      </c>
    </row>
    <row r="493" spans="1:19">
      <c r="A493" t="s">
        <v>1037</v>
      </c>
      <c r="B493" t="s">
        <v>1038</v>
      </c>
      <c r="C493" s="23" t="s">
        <v>4131</v>
      </c>
      <c r="D493" s="23">
        <v>45274</v>
      </c>
      <c r="E493" s="22">
        <v>12</v>
      </c>
      <c r="F493" s="22">
        <v>14</v>
      </c>
      <c r="G493" s="22">
        <v>2023</v>
      </c>
      <c r="H493" s="23">
        <f t="shared" si="21"/>
        <v>45274</v>
      </c>
      <c r="I493" s="25">
        <v>45277</v>
      </c>
      <c r="J493" s="22">
        <f t="shared" si="22"/>
        <v>3</v>
      </c>
      <c r="K493" t="s">
        <v>33</v>
      </c>
      <c r="L493">
        <v>62389</v>
      </c>
      <c r="M493">
        <v>2289</v>
      </c>
      <c r="N493" s="26">
        <v>4220.52</v>
      </c>
      <c r="O493" s="26">
        <f t="shared" si="23"/>
        <v>3632.575</v>
      </c>
      <c r="P493">
        <v>219</v>
      </c>
      <c r="Q493" t="b">
        <v>0</v>
      </c>
      <c r="S493" t="s">
        <v>34</v>
      </c>
    </row>
    <row r="494" spans="1:19">
      <c r="A494" t="s">
        <v>1039</v>
      </c>
      <c r="B494" t="s">
        <v>1040</v>
      </c>
      <c r="C494" s="23" t="s">
        <v>4131</v>
      </c>
      <c r="D494" s="23">
        <v>45258</v>
      </c>
      <c r="E494" s="22">
        <v>11</v>
      </c>
      <c r="F494" s="22">
        <v>28</v>
      </c>
      <c r="G494" s="22">
        <v>2023</v>
      </c>
      <c r="H494" s="23">
        <f t="shared" si="21"/>
        <v>45258</v>
      </c>
      <c r="I494" s="25">
        <v>45278</v>
      </c>
      <c r="J494" s="22">
        <f t="shared" si="22"/>
        <v>20</v>
      </c>
      <c r="K494" t="s">
        <v>58</v>
      </c>
      <c r="L494">
        <v>10435</v>
      </c>
      <c r="M494">
        <v>108</v>
      </c>
      <c r="N494" s="26">
        <v>182.62</v>
      </c>
      <c r="O494" s="26">
        <f t="shared" si="23"/>
        <v>182.62</v>
      </c>
      <c r="P494">
        <v>13</v>
      </c>
      <c r="Q494" t="b">
        <v>1</v>
      </c>
      <c r="S494" t="s">
        <v>59</v>
      </c>
    </row>
    <row r="495" spans="1:19">
      <c r="A495" t="s">
        <v>1041</v>
      </c>
      <c r="B495" t="s">
        <v>1042</v>
      </c>
      <c r="C495" s="23" t="s">
        <v>4131</v>
      </c>
      <c r="D495" s="23">
        <v>45212</v>
      </c>
      <c r="E495" s="22">
        <v>10</v>
      </c>
      <c r="F495" s="22">
        <v>13</v>
      </c>
      <c r="G495" s="22">
        <v>2023</v>
      </c>
      <c r="H495" s="23">
        <f t="shared" si="21"/>
        <v>45212</v>
      </c>
      <c r="I495" s="25">
        <v>45216</v>
      </c>
      <c r="J495" s="22">
        <f t="shared" si="22"/>
        <v>4</v>
      </c>
      <c r="K495" t="s">
        <v>19</v>
      </c>
      <c r="L495">
        <v>55340</v>
      </c>
      <c r="M495">
        <v>1118</v>
      </c>
      <c r="N495" s="26">
        <v>824.48</v>
      </c>
      <c r="O495" s="26">
        <f t="shared" si="23"/>
        <v>824.48</v>
      </c>
      <c r="P495">
        <v>66</v>
      </c>
      <c r="Q495" t="b">
        <v>0</v>
      </c>
      <c r="S495" t="s">
        <v>20</v>
      </c>
    </row>
    <row r="496" spans="1:19">
      <c r="A496" t="s">
        <v>1043</v>
      </c>
      <c r="B496" t="s">
        <v>1044</v>
      </c>
      <c r="C496" s="23" t="s">
        <v>4127</v>
      </c>
      <c r="D496" s="23">
        <v>45263</v>
      </c>
      <c r="E496" s="22">
        <v>12</v>
      </c>
      <c r="F496" s="22">
        <v>3</v>
      </c>
      <c r="G496" s="22">
        <v>2023</v>
      </c>
      <c r="H496" s="23">
        <f t="shared" si="21"/>
        <v>45263</v>
      </c>
      <c r="I496" s="25">
        <v>45292</v>
      </c>
      <c r="J496" s="22">
        <f t="shared" si="22"/>
        <v>29</v>
      </c>
      <c r="K496" t="s">
        <v>23</v>
      </c>
      <c r="L496">
        <v>45078</v>
      </c>
      <c r="M496">
        <v>920</v>
      </c>
      <c r="N496" s="26">
        <v>531.46</v>
      </c>
      <c r="O496" s="26">
        <f t="shared" si="23"/>
        <v>531.46</v>
      </c>
      <c r="P496">
        <v>130</v>
      </c>
      <c r="Q496" t="b">
        <v>0</v>
      </c>
      <c r="S496" t="s">
        <v>25</v>
      </c>
    </row>
    <row r="497" spans="1:19">
      <c r="A497" t="s">
        <v>1045</v>
      </c>
      <c r="B497" t="s">
        <v>1046</v>
      </c>
      <c r="C497" s="23" t="s">
        <v>4129</v>
      </c>
      <c r="D497" s="23">
        <v>45003</v>
      </c>
      <c r="E497" s="22">
        <v>3</v>
      </c>
      <c r="F497" s="22">
        <v>18</v>
      </c>
      <c r="G497" s="22">
        <v>2023</v>
      </c>
      <c r="H497" s="23">
        <f t="shared" si="21"/>
        <v>45003</v>
      </c>
      <c r="I497" s="25">
        <v>45004</v>
      </c>
      <c r="J497" s="22">
        <f t="shared" si="22"/>
        <v>1</v>
      </c>
      <c r="K497" t="s">
        <v>14</v>
      </c>
      <c r="L497">
        <v>79832</v>
      </c>
      <c r="M497">
        <v>1019</v>
      </c>
      <c r="N497" s="26">
        <v>1361.35</v>
      </c>
      <c r="O497" s="26">
        <f t="shared" si="23"/>
        <v>1361.35</v>
      </c>
      <c r="P497">
        <v>201</v>
      </c>
      <c r="Q497" t="b">
        <v>1</v>
      </c>
      <c r="S497" t="s">
        <v>16</v>
      </c>
    </row>
    <row r="498" spans="1:19">
      <c r="A498" t="s">
        <v>1047</v>
      </c>
      <c r="B498" t="s">
        <v>1048</v>
      </c>
      <c r="C498" s="23" t="s">
        <v>4128</v>
      </c>
      <c r="D498" s="23">
        <v>44999</v>
      </c>
      <c r="E498" s="22">
        <v>3</v>
      </c>
      <c r="F498" s="22">
        <v>14</v>
      </c>
      <c r="G498" s="22">
        <v>2023</v>
      </c>
      <c r="H498" s="23">
        <f t="shared" si="21"/>
        <v>44999</v>
      </c>
      <c r="I498" s="25">
        <v>45027</v>
      </c>
      <c r="J498" s="22">
        <f t="shared" si="22"/>
        <v>28</v>
      </c>
      <c r="K498" t="s">
        <v>138</v>
      </c>
      <c r="L498">
        <v>52293</v>
      </c>
      <c r="M498">
        <v>2530</v>
      </c>
      <c r="N498" s="26">
        <v>1857.16</v>
      </c>
      <c r="O498" s="26">
        <f t="shared" si="23"/>
        <v>1857.16</v>
      </c>
      <c r="P498">
        <v>263</v>
      </c>
      <c r="Q498" t="b">
        <v>1</v>
      </c>
      <c r="S498" t="s">
        <v>139</v>
      </c>
    </row>
    <row r="499" spans="1:19">
      <c r="A499" t="s">
        <v>1049</v>
      </c>
      <c r="B499" t="s">
        <v>1050</v>
      </c>
      <c r="C499" s="23" t="s">
        <v>4129</v>
      </c>
      <c r="D499" s="23">
        <v>45262</v>
      </c>
      <c r="E499" s="22">
        <v>12</v>
      </c>
      <c r="F499" s="22">
        <v>2</v>
      </c>
      <c r="G499" s="22">
        <v>2023</v>
      </c>
      <c r="H499" s="23">
        <f t="shared" si="21"/>
        <v>45262</v>
      </c>
      <c r="I499" s="25">
        <v>45263</v>
      </c>
      <c r="J499" s="22">
        <f t="shared" si="22"/>
        <v>1</v>
      </c>
      <c r="K499" t="s">
        <v>19</v>
      </c>
      <c r="L499">
        <v>96981</v>
      </c>
      <c r="M499">
        <v>2825</v>
      </c>
      <c r="N499" s="26">
        <v>4949.08</v>
      </c>
      <c r="O499" s="26">
        <f t="shared" si="23"/>
        <v>3632.575</v>
      </c>
      <c r="P499">
        <v>460</v>
      </c>
      <c r="Q499" t="b">
        <v>1</v>
      </c>
      <c r="S499" t="s">
        <v>20</v>
      </c>
    </row>
    <row r="500" spans="1:19">
      <c r="A500" t="s">
        <v>1051</v>
      </c>
      <c r="B500" t="s">
        <v>1052</v>
      </c>
      <c r="C500" s="23" t="s">
        <v>4131</v>
      </c>
      <c r="D500" s="23">
        <v>45231</v>
      </c>
      <c r="E500" s="22">
        <v>11</v>
      </c>
      <c r="F500" s="22">
        <v>1</v>
      </c>
      <c r="G500" s="22">
        <v>2023</v>
      </c>
      <c r="H500" s="23">
        <f t="shared" si="21"/>
        <v>45231</v>
      </c>
      <c r="I500" s="25">
        <v>44957</v>
      </c>
      <c r="J500" s="22">
        <f t="shared" si="22"/>
        <v>-274</v>
      </c>
      <c r="K500" t="s">
        <v>41</v>
      </c>
      <c r="L500">
        <v>79781</v>
      </c>
      <c r="M500">
        <v>3656</v>
      </c>
      <c r="N500" s="26">
        <v>3793.11</v>
      </c>
      <c r="O500" s="26">
        <f t="shared" si="23"/>
        <v>3632.575</v>
      </c>
      <c r="P500">
        <v>0</v>
      </c>
      <c r="Q500" t="b">
        <v>1</v>
      </c>
      <c r="S500" t="s">
        <v>42</v>
      </c>
    </row>
    <row r="501" spans="1:19">
      <c r="A501" t="s">
        <v>1053</v>
      </c>
      <c r="B501" t="s">
        <v>1054</v>
      </c>
      <c r="C501" s="23" t="s">
        <v>4127</v>
      </c>
      <c r="D501" s="23">
        <v>45213</v>
      </c>
      <c r="E501" s="22">
        <v>10</v>
      </c>
      <c r="F501" s="22">
        <v>14</v>
      </c>
      <c r="G501" s="22">
        <v>2023</v>
      </c>
      <c r="H501" s="23">
        <f t="shared" si="21"/>
        <v>45213</v>
      </c>
      <c r="I501" s="25">
        <v>45215</v>
      </c>
      <c r="J501" s="22">
        <f t="shared" si="22"/>
        <v>2</v>
      </c>
      <c r="K501" t="s">
        <v>14</v>
      </c>
      <c r="L501">
        <v>61403</v>
      </c>
      <c r="M501">
        <v>1405</v>
      </c>
      <c r="N501" s="26">
        <v>2626.42</v>
      </c>
      <c r="O501" s="26">
        <f t="shared" si="23"/>
        <v>2626.42</v>
      </c>
      <c r="P501">
        <v>97</v>
      </c>
      <c r="Q501" t="b">
        <v>1</v>
      </c>
      <c r="S501" t="s">
        <v>16</v>
      </c>
    </row>
    <row r="502" spans="1:19">
      <c r="A502" t="s">
        <v>1055</v>
      </c>
      <c r="B502" t="s">
        <v>1056</v>
      </c>
      <c r="C502" s="23" t="s">
        <v>4129</v>
      </c>
      <c r="D502" s="23">
        <v>44992</v>
      </c>
      <c r="E502" s="22">
        <v>3</v>
      </c>
      <c r="F502" s="22">
        <v>7</v>
      </c>
      <c r="G502" s="22">
        <v>2023</v>
      </c>
      <c r="H502" s="23">
        <f t="shared" si="21"/>
        <v>44992</v>
      </c>
      <c r="I502" s="25">
        <v>45020</v>
      </c>
      <c r="J502" s="22">
        <f t="shared" si="22"/>
        <v>28</v>
      </c>
      <c r="K502" t="s">
        <v>33</v>
      </c>
      <c r="L502">
        <v>30124</v>
      </c>
      <c r="M502">
        <v>452</v>
      </c>
      <c r="N502" s="26">
        <v>609.54</v>
      </c>
      <c r="O502" s="26">
        <f t="shared" si="23"/>
        <v>609.54</v>
      </c>
      <c r="P502">
        <v>62</v>
      </c>
      <c r="Q502" t="b">
        <v>1</v>
      </c>
      <c r="S502" t="s">
        <v>34</v>
      </c>
    </row>
    <row r="503" spans="1:19">
      <c r="A503" t="s">
        <v>1057</v>
      </c>
      <c r="B503" t="s">
        <v>1058</v>
      </c>
      <c r="C503" s="23" t="s">
        <v>4127</v>
      </c>
      <c r="D503" s="23">
        <v>45277</v>
      </c>
      <c r="E503" s="22">
        <v>12</v>
      </c>
      <c r="F503" s="22">
        <v>17</v>
      </c>
      <c r="G503" s="22">
        <v>2023</v>
      </c>
      <c r="H503" s="23">
        <f t="shared" si="21"/>
        <v>45277</v>
      </c>
      <c r="I503" s="25">
        <v>45278</v>
      </c>
      <c r="J503" s="22">
        <f t="shared" si="22"/>
        <v>1</v>
      </c>
      <c r="K503" t="s">
        <v>41</v>
      </c>
      <c r="L503">
        <v>96435</v>
      </c>
      <c r="M503">
        <v>2794</v>
      </c>
      <c r="N503" s="26">
        <v>2162.58</v>
      </c>
      <c r="O503" s="26">
        <f t="shared" si="23"/>
        <v>2162.58</v>
      </c>
      <c r="P503">
        <v>265</v>
      </c>
      <c r="Q503" t="b">
        <v>1</v>
      </c>
      <c r="S503" t="s">
        <v>42</v>
      </c>
    </row>
    <row r="504" spans="1:19">
      <c r="A504" t="s">
        <v>1059</v>
      </c>
      <c r="B504" t="s">
        <v>1060</v>
      </c>
      <c r="C504" s="23" t="s">
        <v>4129</v>
      </c>
      <c r="D504" s="23">
        <v>45270</v>
      </c>
      <c r="E504" s="22">
        <v>12</v>
      </c>
      <c r="F504" s="22">
        <v>10</v>
      </c>
      <c r="G504" s="22">
        <v>2023</v>
      </c>
      <c r="H504" s="23">
        <f t="shared" si="21"/>
        <v>45270</v>
      </c>
      <c r="I504" s="25">
        <v>45279</v>
      </c>
      <c r="J504" s="22">
        <f t="shared" si="22"/>
        <v>9</v>
      </c>
      <c r="K504" t="s">
        <v>19</v>
      </c>
      <c r="L504">
        <v>44919</v>
      </c>
      <c r="M504">
        <v>653</v>
      </c>
      <c r="N504" s="26">
        <v>463.24</v>
      </c>
      <c r="O504" s="26">
        <f t="shared" si="23"/>
        <v>463.24</v>
      </c>
      <c r="P504">
        <v>0</v>
      </c>
      <c r="Q504" t="b">
        <v>1</v>
      </c>
      <c r="S504" t="s">
        <v>20</v>
      </c>
    </row>
    <row r="505" spans="1:19">
      <c r="A505" t="s">
        <v>1061</v>
      </c>
      <c r="B505" t="s">
        <v>1062</v>
      </c>
      <c r="C505" s="23" t="s">
        <v>4127</v>
      </c>
      <c r="D505" s="23">
        <v>45112</v>
      </c>
      <c r="E505" s="22">
        <v>7</v>
      </c>
      <c r="F505" s="22">
        <v>5</v>
      </c>
      <c r="G505" s="22">
        <v>2023</v>
      </c>
      <c r="H505" s="23">
        <f t="shared" si="21"/>
        <v>45112</v>
      </c>
      <c r="I505" s="25">
        <v>45142</v>
      </c>
      <c r="J505" s="22">
        <f t="shared" si="22"/>
        <v>30</v>
      </c>
      <c r="K505" t="s">
        <v>14</v>
      </c>
      <c r="L505">
        <v>36247</v>
      </c>
      <c r="M505">
        <v>1067</v>
      </c>
      <c r="N505" s="26">
        <v>1456.14</v>
      </c>
      <c r="O505" s="26">
        <f t="shared" si="23"/>
        <v>1456.14</v>
      </c>
      <c r="P505">
        <v>154</v>
      </c>
      <c r="Q505" t="b">
        <v>1</v>
      </c>
      <c r="S505" t="s">
        <v>16</v>
      </c>
    </row>
    <row r="506" spans="1:19">
      <c r="A506" t="s">
        <v>1063</v>
      </c>
      <c r="B506" t="s">
        <v>1064</v>
      </c>
      <c r="C506" s="23" t="s">
        <v>4129</v>
      </c>
      <c r="D506" s="23">
        <v>45101</v>
      </c>
      <c r="E506" s="22">
        <v>6</v>
      </c>
      <c r="F506" s="22">
        <v>24</v>
      </c>
      <c r="G506" s="22">
        <v>2023</v>
      </c>
      <c r="H506" s="23">
        <f t="shared" si="21"/>
        <v>45101</v>
      </c>
      <c r="I506" s="25">
        <v>45102</v>
      </c>
      <c r="J506" s="22">
        <f t="shared" si="22"/>
        <v>1</v>
      </c>
      <c r="K506" t="s">
        <v>41</v>
      </c>
      <c r="L506">
        <v>95758</v>
      </c>
      <c r="M506">
        <v>4482</v>
      </c>
      <c r="N506" s="26">
        <v>7363.14</v>
      </c>
      <c r="O506" s="26">
        <f t="shared" si="23"/>
        <v>3632.575</v>
      </c>
      <c r="P506">
        <v>801</v>
      </c>
      <c r="Q506" t="b">
        <v>1</v>
      </c>
      <c r="S506" t="s">
        <v>42</v>
      </c>
    </row>
    <row r="507" spans="1:19">
      <c r="A507" t="s">
        <v>1065</v>
      </c>
      <c r="B507" t="s">
        <v>1066</v>
      </c>
      <c r="C507" s="23" t="s">
        <v>4128</v>
      </c>
      <c r="D507" s="23">
        <v>45042</v>
      </c>
      <c r="E507" s="22">
        <v>4</v>
      </c>
      <c r="F507" s="22">
        <v>26</v>
      </c>
      <c r="G507" s="22">
        <v>2023</v>
      </c>
      <c r="H507" s="23">
        <f t="shared" si="21"/>
        <v>45042</v>
      </c>
      <c r="I507" s="25">
        <v>45052</v>
      </c>
      <c r="J507" s="22">
        <f t="shared" si="22"/>
        <v>10</v>
      </c>
      <c r="K507" t="s">
        <v>19</v>
      </c>
      <c r="L507">
        <v>92747</v>
      </c>
      <c r="M507">
        <v>2859</v>
      </c>
      <c r="N507" s="26">
        <v>4780.99</v>
      </c>
      <c r="O507" s="26">
        <f t="shared" si="23"/>
        <v>3632.575</v>
      </c>
      <c r="P507">
        <v>0</v>
      </c>
      <c r="Q507" t="b">
        <v>1</v>
      </c>
      <c r="S507" t="s">
        <v>20</v>
      </c>
    </row>
    <row r="508" spans="1:19">
      <c r="A508" t="s">
        <v>1067</v>
      </c>
      <c r="B508" t="s">
        <v>1068</v>
      </c>
      <c r="C508" s="23" t="s">
        <v>4128</v>
      </c>
      <c r="D508" s="23">
        <v>45078</v>
      </c>
      <c r="E508" s="22">
        <v>6</v>
      </c>
      <c r="F508" s="22">
        <v>1</v>
      </c>
      <c r="G508" s="22">
        <v>2023</v>
      </c>
      <c r="H508" s="23">
        <f t="shared" si="21"/>
        <v>45078</v>
      </c>
      <c r="I508" s="25">
        <v>45093</v>
      </c>
      <c r="J508" s="22">
        <f t="shared" si="22"/>
        <v>15</v>
      </c>
      <c r="K508" t="s">
        <v>14</v>
      </c>
      <c r="L508">
        <v>63752</v>
      </c>
      <c r="M508">
        <v>2209</v>
      </c>
      <c r="N508" s="26">
        <v>2018.22</v>
      </c>
      <c r="O508" s="26">
        <f t="shared" si="23"/>
        <v>2018.22</v>
      </c>
      <c r="P508">
        <v>239</v>
      </c>
      <c r="Q508" t="b">
        <v>1</v>
      </c>
      <c r="S508" t="s">
        <v>16</v>
      </c>
    </row>
    <row r="509" spans="1:19">
      <c r="A509" t="s">
        <v>1069</v>
      </c>
      <c r="B509" t="s">
        <v>1070</v>
      </c>
      <c r="C509" s="23" t="s">
        <v>4127</v>
      </c>
      <c r="D509" s="23">
        <v>45203</v>
      </c>
      <c r="E509" s="22">
        <v>10</v>
      </c>
      <c r="F509" s="22">
        <v>4</v>
      </c>
      <c r="G509" s="22">
        <v>2023</v>
      </c>
      <c r="H509" s="23">
        <f t="shared" si="21"/>
        <v>45203</v>
      </c>
      <c r="I509" s="25">
        <v>45216</v>
      </c>
      <c r="J509" s="22">
        <f t="shared" si="22"/>
        <v>13</v>
      </c>
      <c r="K509" t="s">
        <v>41</v>
      </c>
      <c r="L509">
        <v>57573</v>
      </c>
      <c r="M509">
        <v>936</v>
      </c>
      <c r="N509" s="26">
        <v>754.76</v>
      </c>
      <c r="O509" s="26">
        <f t="shared" si="23"/>
        <v>754.76</v>
      </c>
      <c r="P509">
        <v>0</v>
      </c>
      <c r="Q509" t="b">
        <v>1</v>
      </c>
      <c r="S509" t="s">
        <v>42</v>
      </c>
    </row>
    <row r="510" spans="1:19">
      <c r="A510" t="s">
        <v>1071</v>
      </c>
      <c r="B510" t="s">
        <v>1072</v>
      </c>
      <c r="C510" s="23" t="s">
        <v>4131</v>
      </c>
      <c r="D510" s="23">
        <v>44946</v>
      </c>
      <c r="E510" s="22">
        <v>1</v>
      </c>
      <c r="F510" s="22">
        <v>20</v>
      </c>
      <c r="G510" s="22">
        <v>2023</v>
      </c>
      <c r="H510" s="23">
        <f t="shared" si="21"/>
        <v>44946</v>
      </c>
      <c r="I510" s="25">
        <v>44970</v>
      </c>
      <c r="J510" s="22">
        <f t="shared" si="22"/>
        <v>24</v>
      </c>
      <c r="K510" t="s">
        <v>41</v>
      </c>
      <c r="L510">
        <v>60101</v>
      </c>
      <c r="M510">
        <v>706</v>
      </c>
      <c r="N510" s="26">
        <v>370.74</v>
      </c>
      <c r="O510" s="26">
        <f t="shared" si="23"/>
        <v>370.74</v>
      </c>
      <c r="P510">
        <v>121</v>
      </c>
      <c r="Q510" t="b">
        <v>1</v>
      </c>
      <c r="S510" t="s">
        <v>42</v>
      </c>
    </row>
    <row r="511" spans="1:19">
      <c r="A511" t="s">
        <v>1073</v>
      </c>
      <c r="B511" t="s">
        <v>1074</v>
      </c>
      <c r="C511" s="23" t="s">
        <v>4128</v>
      </c>
      <c r="D511" s="23">
        <v>45243</v>
      </c>
      <c r="E511" s="22">
        <v>11</v>
      </c>
      <c r="F511" s="22">
        <v>13</v>
      </c>
      <c r="G511" s="22">
        <v>2023</v>
      </c>
      <c r="H511" s="23">
        <f t="shared" si="21"/>
        <v>45243</v>
      </c>
      <c r="I511" s="25">
        <v>45262</v>
      </c>
      <c r="J511" s="22">
        <f t="shared" si="22"/>
        <v>19</v>
      </c>
      <c r="K511" t="s">
        <v>14</v>
      </c>
      <c r="L511">
        <v>27646</v>
      </c>
      <c r="M511">
        <v>398</v>
      </c>
      <c r="N511" s="26">
        <v>604.48</v>
      </c>
      <c r="O511" s="26">
        <f t="shared" si="23"/>
        <v>604.48</v>
      </c>
      <c r="P511">
        <v>62</v>
      </c>
      <c r="Q511" t="b">
        <v>1</v>
      </c>
      <c r="S511" t="s">
        <v>16</v>
      </c>
    </row>
    <row r="512" spans="1:19">
      <c r="A512" t="s">
        <v>1075</v>
      </c>
      <c r="B512" t="s">
        <v>1076</v>
      </c>
      <c r="C512" s="23" t="s">
        <v>4129</v>
      </c>
      <c r="D512" s="23">
        <v>45010</v>
      </c>
      <c r="E512" s="22">
        <v>3</v>
      </c>
      <c r="F512" s="22">
        <v>25</v>
      </c>
      <c r="G512" s="22">
        <v>2023</v>
      </c>
      <c r="H512" s="23">
        <f t="shared" si="21"/>
        <v>45010</v>
      </c>
      <c r="I512" s="25">
        <v>45016</v>
      </c>
      <c r="J512" s="22">
        <f t="shared" si="22"/>
        <v>6</v>
      </c>
      <c r="K512" t="s">
        <v>14</v>
      </c>
      <c r="L512">
        <v>24049</v>
      </c>
      <c r="M512">
        <v>816</v>
      </c>
      <c r="N512" s="26">
        <v>501.72</v>
      </c>
      <c r="O512" s="26">
        <f t="shared" si="23"/>
        <v>501.72</v>
      </c>
      <c r="P512">
        <v>71</v>
      </c>
      <c r="Q512" t="b">
        <v>1</v>
      </c>
      <c r="S512" t="s">
        <v>16</v>
      </c>
    </row>
    <row r="513" spans="1:19">
      <c r="A513" t="s">
        <v>1077</v>
      </c>
      <c r="B513" t="s">
        <v>1078</v>
      </c>
      <c r="C513" s="23" t="s">
        <v>4128</v>
      </c>
      <c r="D513" s="23">
        <v>45246</v>
      </c>
      <c r="E513" s="22">
        <v>11</v>
      </c>
      <c r="F513" s="22">
        <v>16</v>
      </c>
      <c r="G513" s="22">
        <v>2023</v>
      </c>
      <c r="H513" s="23">
        <f t="shared" si="21"/>
        <v>45246</v>
      </c>
      <c r="I513" s="25">
        <v>45250</v>
      </c>
      <c r="J513" s="22">
        <f t="shared" si="22"/>
        <v>4</v>
      </c>
      <c r="K513" t="s">
        <v>14</v>
      </c>
      <c r="L513">
        <v>80605</v>
      </c>
      <c r="M513">
        <v>1112</v>
      </c>
      <c r="N513" s="26">
        <v>1257.83</v>
      </c>
      <c r="O513" s="26">
        <f t="shared" si="23"/>
        <v>1257.83</v>
      </c>
      <c r="P513">
        <v>207</v>
      </c>
      <c r="Q513" t="b">
        <v>0</v>
      </c>
      <c r="S513" t="s">
        <v>16</v>
      </c>
    </row>
    <row r="514" spans="1:19">
      <c r="A514" t="s">
        <v>1079</v>
      </c>
      <c r="B514" t="s">
        <v>1080</v>
      </c>
      <c r="C514" s="23" t="s">
        <v>4128</v>
      </c>
      <c r="D514" s="23" t="s">
        <v>1081</v>
      </c>
      <c r="E514" s="22">
        <v>13</v>
      </c>
      <c r="F514" s="22">
        <v>8</v>
      </c>
      <c r="G514" s="22">
        <v>2023</v>
      </c>
      <c r="H514" s="23">
        <f t="shared" si="21"/>
        <v>45151</v>
      </c>
      <c r="I514" s="25">
        <v>45153</v>
      </c>
      <c r="J514" s="22">
        <f t="shared" si="22"/>
        <v>2</v>
      </c>
      <c r="K514" t="s">
        <v>19</v>
      </c>
      <c r="L514">
        <v>99116</v>
      </c>
      <c r="M514">
        <v>2481</v>
      </c>
      <c r="N514" s="26">
        <v>3479.66</v>
      </c>
      <c r="O514" s="26">
        <f t="shared" si="23"/>
        <v>3479.66</v>
      </c>
      <c r="P514">
        <v>181</v>
      </c>
      <c r="Q514" t="b">
        <v>0</v>
      </c>
      <c r="S514" t="s">
        <v>20</v>
      </c>
    </row>
    <row r="515" spans="1:19">
      <c r="A515" t="s">
        <v>1082</v>
      </c>
      <c r="B515" t="s">
        <v>1083</v>
      </c>
      <c r="C515" s="23" t="s">
        <v>4127</v>
      </c>
      <c r="D515" s="23">
        <v>45113</v>
      </c>
      <c r="E515" s="22">
        <v>7</v>
      </c>
      <c r="F515" s="22">
        <v>6</v>
      </c>
      <c r="G515" s="22">
        <v>2023</v>
      </c>
      <c r="H515" s="23">
        <f t="shared" ref="H515:H578" si="24">IF(E515&gt;12,DATE(G515,F515,E515),D515)</f>
        <v>45113</v>
      </c>
      <c r="I515" s="25">
        <v>45125</v>
      </c>
      <c r="J515" s="22">
        <f t="shared" ref="J515:J578" si="25">DATEDIF(H515,I515,"D")</f>
        <v>12</v>
      </c>
      <c r="K515" t="s">
        <v>14</v>
      </c>
      <c r="L515">
        <v>98379</v>
      </c>
      <c r="M515">
        <v>3148</v>
      </c>
      <c r="N515" s="26">
        <v>5999.03</v>
      </c>
      <c r="O515" s="26">
        <f t="shared" ref="O515:O578" si="26">IF(N515&lt;$W$8,$W$8,IF(N515&gt;$W$9,$W$9,N515))</f>
        <v>3632.575</v>
      </c>
      <c r="P515">
        <v>0</v>
      </c>
      <c r="Q515" t="b">
        <v>1</v>
      </c>
      <c r="S515" t="s">
        <v>16</v>
      </c>
    </row>
    <row r="516" spans="1:19">
      <c r="A516" t="s">
        <v>1084</v>
      </c>
      <c r="B516" t="s">
        <v>1085</v>
      </c>
      <c r="C516" s="23" t="s">
        <v>4129</v>
      </c>
      <c r="D516" s="23">
        <v>45154</v>
      </c>
      <c r="E516" s="22">
        <v>8</v>
      </c>
      <c r="F516" s="22">
        <v>16</v>
      </c>
      <c r="G516" s="22">
        <v>2023</v>
      </c>
      <c r="H516" s="23">
        <f t="shared" si="24"/>
        <v>45154</v>
      </c>
      <c r="I516" s="25">
        <v>45161</v>
      </c>
      <c r="J516" s="22">
        <f t="shared" si="25"/>
        <v>7</v>
      </c>
      <c r="K516" t="s">
        <v>41</v>
      </c>
      <c r="L516">
        <v>69385</v>
      </c>
      <c r="M516">
        <v>1772</v>
      </c>
      <c r="N516" s="26">
        <v>1714.77</v>
      </c>
      <c r="O516" s="26">
        <f t="shared" si="26"/>
        <v>1714.77</v>
      </c>
      <c r="P516">
        <v>96</v>
      </c>
      <c r="Q516" t="b">
        <v>1</v>
      </c>
      <c r="S516" t="s">
        <v>42</v>
      </c>
    </row>
    <row r="517" spans="1:19">
      <c r="A517" t="s">
        <v>1086</v>
      </c>
      <c r="B517" t="s">
        <v>1087</v>
      </c>
      <c r="C517" s="23" t="s">
        <v>4129</v>
      </c>
      <c r="D517" s="23">
        <v>45156</v>
      </c>
      <c r="E517" s="22">
        <v>8</v>
      </c>
      <c r="F517" s="22">
        <v>18</v>
      </c>
      <c r="G517" s="22">
        <v>2023</v>
      </c>
      <c r="H517" s="23">
        <f t="shared" si="24"/>
        <v>45156</v>
      </c>
      <c r="I517" s="25">
        <v>45177</v>
      </c>
      <c r="J517" s="22">
        <f t="shared" si="25"/>
        <v>21</v>
      </c>
      <c r="K517" t="s">
        <v>14</v>
      </c>
      <c r="L517">
        <v>41158</v>
      </c>
      <c r="M517">
        <v>681</v>
      </c>
      <c r="N517" s="26">
        <v>595.64</v>
      </c>
      <c r="O517" s="26">
        <f t="shared" si="26"/>
        <v>595.64</v>
      </c>
      <c r="P517">
        <v>0</v>
      </c>
      <c r="Q517" t="b">
        <v>1</v>
      </c>
      <c r="S517" t="s">
        <v>16</v>
      </c>
    </row>
    <row r="518" spans="1:19">
      <c r="A518" t="s">
        <v>1088</v>
      </c>
      <c r="B518" t="s">
        <v>1089</v>
      </c>
      <c r="C518" s="23" t="s">
        <v>4128</v>
      </c>
      <c r="D518" s="23">
        <v>45167</v>
      </c>
      <c r="E518" s="22">
        <v>8</v>
      </c>
      <c r="F518" s="22">
        <v>29</v>
      </c>
      <c r="G518" s="22">
        <v>2023</v>
      </c>
      <c r="H518" s="23">
        <f t="shared" si="24"/>
        <v>45167</v>
      </c>
      <c r="I518" s="25">
        <v>45174</v>
      </c>
      <c r="J518" s="22">
        <f t="shared" si="25"/>
        <v>7</v>
      </c>
      <c r="K518" t="s">
        <v>14</v>
      </c>
      <c r="L518">
        <v>66417</v>
      </c>
      <c r="M518">
        <v>1391</v>
      </c>
      <c r="N518" s="26">
        <v>2060.41</v>
      </c>
      <c r="O518" s="26">
        <f t="shared" si="26"/>
        <v>2060.41</v>
      </c>
      <c r="P518">
        <v>127</v>
      </c>
      <c r="Q518" t="b">
        <v>0</v>
      </c>
      <c r="S518" t="s">
        <v>16</v>
      </c>
    </row>
    <row r="519" spans="1:19">
      <c r="A519" t="s">
        <v>1090</v>
      </c>
      <c r="B519" t="s">
        <v>1091</v>
      </c>
      <c r="C519" s="23" t="s">
        <v>4131</v>
      </c>
      <c r="D519" s="23">
        <v>45274</v>
      </c>
      <c r="E519" s="22">
        <v>12</v>
      </c>
      <c r="F519" s="22">
        <v>14</v>
      </c>
      <c r="G519" s="22">
        <v>2023</v>
      </c>
      <c r="H519" s="23">
        <f t="shared" si="24"/>
        <v>45274</v>
      </c>
      <c r="I519" s="25">
        <v>45288</v>
      </c>
      <c r="J519" s="22">
        <f t="shared" si="25"/>
        <v>14</v>
      </c>
      <c r="K519" t="s">
        <v>19</v>
      </c>
      <c r="L519">
        <v>24289</v>
      </c>
      <c r="M519">
        <v>1144</v>
      </c>
      <c r="N519" s="26">
        <v>1634.61</v>
      </c>
      <c r="O519" s="26">
        <f t="shared" si="26"/>
        <v>1634.61</v>
      </c>
      <c r="P519">
        <v>134</v>
      </c>
      <c r="Q519" t="b">
        <v>0</v>
      </c>
      <c r="S519" t="s">
        <v>20</v>
      </c>
    </row>
    <row r="520" spans="1:19">
      <c r="A520" t="s">
        <v>1092</v>
      </c>
      <c r="B520" t="s">
        <v>1093</v>
      </c>
      <c r="C520" s="23" t="s">
        <v>4127</v>
      </c>
      <c r="D520" s="23">
        <v>45163</v>
      </c>
      <c r="E520" s="22">
        <v>8</v>
      </c>
      <c r="F520" s="22">
        <v>25</v>
      </c>
      <c r="G520" s="22">
        <v>2023</v>
      </c>
      <c r="H520" s="23">
        <f t="shared" si="24"/>
        <v>45163</v>
      </c>
      <c r="I520" s="25">
        <v>45187</v>
      </c>
      <c r="J520" s="22">
        <f t="shared" si="25"/>
        <v>24</v>
      </c>
      <c r="K520" t="s">
        <v>14</v>
      </c>
      <c r="L520">
        <v>10823</v>
      </c>
      <c r="M520">
        <v>400</v>
      </c>
      <c r="N520" s="26">
        <v>399.27</v>
      </c>
      <c r="O520" s="26">
        <f t="shared" si="26"/>
        <v>399.27</v>
      </c>
      <c r="P520">
        <v>40</v>
      </c>
      <c r="Q520" t="b">
        <v>1</v>
      </c>
      <c r="S520" t="s">
        <v>16</v>
      </c>
    </row>
    <row r="521" spans="1:19">
      <c r="A521" t="s">
        <v>1094</v>
      </c>
      <c r="B521" t="s">
        <v>1095</v>
      </c>
      <c r="C521" s="23" t="s">
        <v>4131</v>
      </c>
      <c r="D521" s="23">
        <v>45184</v>
      </c>
      <c r="E521" s="22">
        <v>9</v>
      </c>
      <c r="F521" s="22">
        <v>15</v>
      </c>
      <c r="G521" s="22">
        <v>2023</v>
      </c>
      <c r="H521" s="23">
        <f t="shared" si="24"/>
        <v>45184</v>
      </c>
      <c r="I521" s="25">
        <v>45213</v>
      </c>
      <c r="J521" s="22">
        <f t="shared" si="25"/>
        <v>29</v>
      </c>
      <c r="K521" t="s">
        <v>23</v>
      </c>
      <c r="L521">
        <v>61160</v>
      </c>
      <c r="M521">
        <v>1825</v>
      </c>
      <c r="N521" s="26">
        <v>3453.18</v>
      </c>
      <c r="O521" s="26">
        <f t="shared" si="26"/>
        <v>3453.18</v>
      </c>
      <c r="P521">
        <v>0</v>
      </c>
      <c r="Q521" t="b">
        <v>0</v>
      </c>
      <c r="S521" t="s">
        <v>25</v>
      </c>
    </row>
    <row r="522" spans="1:19">
      <c r="A522" t="s">
        <v>1096</v>
      </c>
      <c r="B522" t="s">
        <v>1097</v>
      </c>
      <c r="C522" s="23" t="s">
        <v>4128</v>
      </c>
      <c r="D522" s="23">
        <v>45029</v>
      </c>
      <c r="E522" s="22">
        <v>4</v>
      </c>
      <c r="F522" s="22">
        <v>13</v>
      </c>
      <c r="G522" s="22">
        <v>2023</v>
      </c>
      <c r="H522" s="23">
        <f t="shared" si="24"/>
        <v>45029</v>
      </c>
      <c r="I522" s="25">
        <v>45041</v>
      </c>
      <c r="J522" s="22">
        <f t="shared" si="25"/>
        <v>12</v>
      </c>
      <c r="K522" t="s">
        <v>33</v>
      </c>
      <c r="L522">
        <v>42975</v>
      </c>
      <c r="M522">
        <v>451</v>
      </c>
      <c r="N522" s="26">
        <v>797.05</v>
      </c>
      <c r="O522" s="26">
        <f t="shared" si="26"/>
        <v>797.05</v>
      </c>
      <c r="P522">
        <v>0</v>
      </c>
      <c r="Q522" t="b">
        <v>1</v>
      </c>
      <c r="S522" t="s">
        <v>34</v>
      </c>
    </row>
    <row r="523" spans="1:19">
      <c r="A523" t="s">
        <v>1098</v>
      </c>
      <c r="B523" t="s">
        <v>1099</v>
      </c>
      <c r="C523" s="23" t="s">
        <v>4127</v>
      </c>
      <c r="D523" s="23">
        <v>45174</v>
      </c>
      <c r="E523" s="22">
        <v>9</v>
      </c>
      <c r="F523" s="22">
        <v>5</v>
      </c>
      <c r="G523" s="22">
        <v>2023</v>
      </c>
      <c r="H523" s="23">
        <f t="shared" si="24"/>
        <v>45174</v>
      </c>
      <c r="I523" s="25">
        <v>45058</v>
      </c>
      <c r="J523" s="22">
        <f t="shared" si="25"/>
        <v>-116</v>
      </c>
      <c r="K523" t="s">
        <v>33</v>
      </c>
      <c r="L523">
        <v>10540</v>
      </c>
      <c r="M523">
        <v>523</v>
      </c>
      <c r="N523" s="26">
        <v>437.21</v>
      </c>
      <c r="O523" s="26">
        <f t="shared" si="26"/>
        <v>437.21</v>
      </c>
      <c r="P523">
        <v>95</v>
      </c>
      <c r="Q523" t="b">
        <v>1</v>
      </c>
      <c r="S523" t="s">
        <v>34</v>
      </c>
    </row>
    <row r="524" spans="1:19">
      <c r="A524" t="s">
        <v>1100</v>
      </c>
      <c r="B524" t="s">
        <v>1101</v>
      </c>
      <c r="C524" s="23" t="s">
        <v>4128</v>
      </c>
      <c r="D524" s="23">
        <v>45173</v>
      </c>
      <c r="E524" s="22">
        <v>9</v>
      </c>
      <c r="F524" s="22">
        <v>4</v>
      </c>
      <c r="G524" s="22">
        <v>2023</v>
      </c>
      <c r="H524" s="23">
        <f t="shared" si="24"/>
        <v>45173</v>
      </c>
      <c r="I524" s="25">
        <v>45182</v>
      </c>
      <c r="J524" s="22">
        <f t="shared" si="25"/>
        <v>9</v>
      </c>
      <c r="K524" t="s">
        <v>23</v>
      </c>
      <c r="L524">
        <v>17364</v>
      </c>
      <c r="M524">
        <v>640</v>
      </c>
      <c r="N524" s="26">
        <v>549.58</v>
      </c>
      <c r="O524" s="26">
        <f t="shared" si="26"/>
        <v>549.58</v>
      </c>
      <c r="P524">
        <v>124</v>
      </c>
      <c r="Q524" t="b">
        <v>1</v>
      </c>
      <c r="S524" t="s">
        <v>25</v>
      </c>
    </row>
    <row r="525" spans="1:19">
      <c r="A525" t="s">
        <v>1102</v>
      </c>
      <c r="B525" t="s">
        <v>1103</v>
      </c>
      <c r="C525" s="23" t="s">
        <v>4129</v>
      </c>
      <c r="D525" s="23">
        <v>44979</v>
      </c>
      <c r="E525" s="22">
        <v>2</v>
      </c>
      <c r="F525" s="22">
        <v>22</v>
      </c>
      <c r="G525" s="22">
        <v>2023</v>
      </c>
      <c r="H525" s="23">
        <f t="shared" si="24"/>
        <v>44979</v>
      </c>
      <c r="I525" s="25">
        <v>44993</v>
      </c>
      <c r="J525" s="22">
        <f t="shared" si="25"/>
        <v>14</v>
      </c>
      <c r="K525" t="s">
        <v>14</v>
      </c>
      <c r="L525">
        <v>5611</v>
      </c>
      <c r="M525">
        <v>127</v>
      </c>
      <c r="N525" s="26">
        <v>161.09</v>
      </c>
      <c r="O525" s="26">
        <f t="shared" si="26"/>
        <v>161.09</v>
      </c>
      <c r="P525">
        <v>10</v>
      </c>
      <c r="Q525" t="b">
        <v>1</v>
      </c>
      <c r="R525">
        <v>5636</v>
      </c>
      <c r="S525" t="s">
        <v>16</v>
      </c>
    </row>
    <row r="526" spans="1:19">
      <c r="A526" t="s">
        <v>1104</v>
      </c>
      <c r="B526" t="s">
        <v>1105</v>
      </c>
      <c r="C526" s="23" t="s">
        <v>4131</v>
      </c>
      <c r="D526" s="23">
        <v>44990</v>
      </c>
      <c r="E526" s="22">
        <v>3</v>
      </c>
      <c r="F526" s="22">
        <v>5</v>
      </c>
      <c r="G526" s="22">
        <v>2023</v>
      </c>
      <c r="H526" s="23">
        <f t="shared" si="24"/>
        <v>44990</v>
      </c>
      <c r="I526" s="25">
        <v>45011</v>
      </c>
      <c r="J526" s="22">
        <f t="shared" si="25"/>
        <v>21</v>
      </c>
      <c r="K526" t="s">
        <v>14</v>
      </c>
      <c r="L526">
        <v>28663</v>
      </c>
      <c r="M526">
        <v>1294</v>
      </c>
      <c r="N526" s="26">
        <v>2148.5</v>
      </c>
      <c r="O526" s="26">
        <f t="shared" si="26"/>
        <v>2148.5</v>
      </c>
      <c r="P526">
        <v>203</v>
      </c>
      <c r="Q526" t="b">
        <v>0</v>
      </c>
      <c r="S526" t="s">
        <v>16</v>
      </c>
    </row>
    <row r="527" spans="1:19">
      <c r="A527" t="s">
        <v>1106</v>
      </c>
      <c r="B527" t="s">
        <v>1107</v>
      </c>
      <c r="C527" s="23" t="s">
        <v>4127</v>
      </c>
      <c r="D527" s="23">
        <v>45066</v>
      </c>
      <c r="E527" s="22">
        <v>5</v>
      </c>
      <c r="F527" s="22">
        <v>20</v>
      </c>
      <c r="G527" s="22">
        <v>2023</v>
      </c>
      <c r="H527" s="23">
        <f t="shared" si="24"/>
        <v>45066</v>
      </c>
      <c r="I527" s="25">
        <v>45067</v>
      </c>
      <c r="J527" s="22">
        <f t="shared" si="25"/>
        <v>1</v>
      </c>
      <c r="K527" t="s">
        <v>41</v>
      </c>
      <c r="L527">
        <v>52991</v>
      </c>
      <c r="M527">
        <v>1077</v>
      </c>
      <c r="N527" s="26">
        <v>609.65</v>
      </c>
      <c r="O527" s="26">
        <f t="shared" si="26"/>
        <v>609.65</v>
      </c>
      <c r="P527">
        <v>161</v>
      </c>
      <c r="Q527" t="b">
        <v>0</v>
      </c>
      <c r="S527" t="s">
        <v>42</v>
      </c>
    </row>
    <row r="528" spans="1:19">
      <c r="A528" t="s">
        <v>1108</v>
      </c>
      <c r="B528" t="s">
        <v>1109</v>
      </c>
      <c r="C528" s="23" t="s">
        <v>4127</v>
      </c>
      <c r="D528" s="23">
        <v>45268</v>
      </c>
      <c r="E528" s="22">
        <v>12</v>
      </c>
      <c r="F528" s="22">
        <v>8</v>
      </c>
      <c r="G528" s="22">
        <v>2023</v>
      </c>
      <c r="H528" s="23">
        <f t="shared" si="24"/>
        <v>45268</v>
      </c>
      <c r="I528" s="25">
        <v>45160</v>
      </c>
      <c r="J528" s="22">
        <f t="shared" si="25"/>
        <v>-108</v>
      </c>
      <c r="K528" t="s">
        <v>23</v>
      </c>
      <c r="L528">
        <v>58679</v>
      </c>
      <c r="M528">
        <v>1863</v>
      </c>
      <c r="N528" s="26">
        <v>2869.03</v>
      </c>
      <c r="O528" s="26">
        <f t="shared" si="26"/>
        <v>2869.03</v>
      </c>
      <c r="P528">
        <v>189</v>
      </c>
      <c r="Q528" t="b">
        <v>1</v>
      </c>
      <c r="S528" t="s">
        <v>25</v>
      </c>
    </row>
    <row r="529" spans="1:19">
      <c r="A529" t="s">
        <v>1110</v>
      </c>
      <c r="B529" t="s">
        <v>1111</v>
      </c>
      <c r="C529" s="23" t="s">
        <v>4127</v>
      </c>
      <c r="D529" s="23">
        <v>45040</v>
      </c>
      <c r="E529" s="22">
        <v>4</v>
      </c>
      <c r="F529" s="22">
        <v>24</v>
      </c>
      <c r="G529" s="22">
        <v>2023</v>
      </c>
      <c r="H529" s="23">
        <f t="shared" si="24"/>
        <v>45040</v>
      </c>
      <c r="I529" s="25">
        <v>45065</v>
      </c>
      <c r="J529" s="22">
        <f t="shared" si="25"/>
        <v>25</v>
      </c>
      <c r="K529" t="s">
        <v>14</v>
      </c>
      <c r="L529">
        <v>31977</v>
      </c>
      <c r="M529">
        <v>1133</v>
      </c>
      <c r="N529" s="26">
        <v>1668.18</v>
      </c>
      <c r="O529" s="26">
        <f t="shared" si="26"/>
        <v>1668.18</v>
      </c>
      <c r="P529">
        <v>59</v>
      </c>
      <c r="Q529" t="b">
        <v>1</v>
      </c>
      <c r="S529" t="s">
        <v>16</v>
      </c>
    </row>
    <row r="530" spans="1:19">
      <c r="A530" t="s">
        <v>1112</v>
      </c>
      <c r="B530" t="s">
        <v>1113</v>
      </c>
      <c r="C530" s="23" t="s">
        <v>4127</v>
      </c>
      <c r="D530" s="23">
        <v>44940</v>
      </c>
      <c r="E530" s="22">
        <v>1</v>
      </c>
      <c r="F530" s="22">
        <v>14</v>
      </c>
      <c r="G530" s="22">
        <v>2023</v>
      </c>
      <c r="H530" s="23">
        <f t="shared" si="24"/>
        <v>44940</v>
      </c>
      <c r="I530" s="25">
        <v>44942</v>
      </c>
      <c r="J530" s="22">
        <f t="shared" si="25"/>
        <v>2</v>
      </c>
      <c r="K530" t="s">
        <v>23</v>
      </c>
      <c r="L530">
        <v>95704</v>
      </c>
      <c r="M530">
        <v>1803</v>
      </c>
      <c r="N530" s="26">
        <v>1527.54</v>
      </c>
      <c r="O530" s="26">
        <f t="shared" si="26"/>
        <v>1527.54</v>
      </c>
      <c r="P530">
        <v>276</v>
      </c>
      <c r="Q530" t="b">
        <v>0</v>
      </c>
      <c r="S530" t="s">
        <v>25</v>
      </c>
    </row>
    <row r="531" spans="1:19">
      <c r="A531" t="s">
        <v>1114</v>
      </c>
      <c r="B531" t="s">
        <v>1115</v>
      </c>
      <c r="C531" s="23" t="s">
        <v>4129</v>
      </c>
      <c r="D531" s="23">
        <v>45118</v>
      </c>
      <c r="E531" s="22">
        <v>7</v>
      </c>
      <c r="F531" s="22">
        <v>11</v>
      </c>
      <c r="G531" s="22">
        <v>2023</v>
      </c>
      <c r="H531" s="23">
        <f t="shared" si="24"/>
        <v>45118</v>
      </c>
      <c r="I531" s="25">
        <v>45147</v>
      </c>
      <c r="J531" s="22">
        <f t="shared" si="25"/>
        <v>29</v>
      </c>
      <c r="K531" t="s">
        <v>14</v>
      </c>
      <c r="L531">
        <v>50115</v>
      </c>
      <c r="M531">
        <v>2462</v>
      </c>
      <c r="N531" s="26">
        <v>3747.24</v>
      </c>
      <c r="O531" s="26">
        <f t="shared" si="26"/>
        <v>3632.575</v>
      </c>
      <c r="P531">
        <v>472</v>
      </c>
      <c r="Q531" t="b">
        <v>1</v>
      </c>
      <c r="S531" t="s">
        <v>16</v>
      </c>
    </row>
    <row r="532" spans="1:19">
      <c r="A532" t="s">
        <v>1116</v>
      </c>
      <c r="B532" t="s">
        <v>1117</v>
      </c>
      <c r="C532" s="23" t="s">
        <v>4128</v>
      </c>
      <c r="D532" s="23">
        <v>45118</v>
      </c>
      <c r="E532" s="22">
        <v>7</v>
      </c>
      <c r="F532" s="22">
        <v>11</v>
      </c>
      <c r="G532" s="22">
        <v>2023</v>
      </c>
      <c r="H532" s="23">
        <f t="shared" si="24"/>
        <v>45118</v>
      </c>
      <c r="I532" s="25">
        <v>45122</v>
      </c>
      <c r="J532" s="22">
        <f t="shared" si="25"/>
        <v>4</v>
      </c>
      <c r="K532" t="s">
        <v>33</v>
      </c>
      <c r="L532">
        <v>92007</v>
      </c>
      <c r="M532">
        <v>3673</v>
      </c>
      <c r="N532" s="26">
        <v>7016.44</v>
      </c>
      <c r="O532" s="26">
        <f t="shared" si="26"/>
        <v>3632.575</v>
      </c>
      <c r="P532">
        <v>531</v>
      </c>
      <c r="Q532" t="b">
        <v>0</v>
      </c>
      <c r="S532" t="s">
        <v>34</v>
      </c>
    </row>
    <row r="533" spans="1:19">
      <c r="A533" t="s">
        <v>1118</v>
      </c>
      <c r="B533" t="s">
        <v>1119</v>
      </c>
      <c r="C533" s="23" t="s">
        <v>4127</v>
      </c>
      <c r="D533" s="23">
        <v>44977</v>
      </c>
      <c r="E533" s="22">
        <v>2</v>
      </c>
      <c r="F533" s="22">
        <v>20</v>
      </c>
      <c r="G533" s="22">
        <v>2023</v>
      </c>
      <c r="H533" s="23">
        <f t="shared" si="24"/>
        <v>44977</v>
      </c>
      <c r="I533" s="25">
        <v>44987</v>
      </c>
      <c r="J533" s="22">
        <f t="shared" si="25"/>
        <v>10</v>
      </c>
      <c r="K533" t="s">
        <v>19</v>
      </c>
      <c r="L533">
        <v>89223</v>
      </c>
      <c r="M533">
        <v>2883</v>
      </c>
      <c r="N533" s="26">
        <v>1643.83</v>
      </c>
      <c r="O533" s="26">
        <f t="shared" si="26"/>
        <v>1643.83</v>
      </c>
      <c r="P533">
        <v>332</v>
      </c>
      <c r="Q533" t="b">
        <v>0</v>
      </c>
      <c r="S533" t="s">
        <v>20</v>
      </c>
    </row>
    <row r="534" spans="1:19">
      <c r="A534" t="s">
        <v>1120</v>
      </c>
      <c r="B534" t="s">
        <v>1121</v>
      </c>
      <c r="C534" s="23" t="s">
        <v>4131</v>
      </c>
      <c r="D534" s="23">
        <v>45001</v>
      </c>
      <c r="E534" s="22">
        <v>3</v>
      </c>
      <c r="F534" s="22">
        <v>16</v>
      </c>
      <c r="G534" s="22">
        <v>2023</v>
      </c>
      <c r="H534" s="23">
        <f t="shared" si="24"/>
        <v>45001</v>
      </c>
      <c r="I534" s="25">
        <v>45006</v>
      </c>
      <c r="J534" s="22">
        <f t="shared" si="25"/>
        <v>5</v>
      </c>
      <c r="K534" t="s">
        <v>14</v>
      </c>
      <c r="L534">
        <v>61890</v>
      </c>
      <c r="M534">
        <v>1065</v>
      </c>
      <c r="N534" s="26">
        <v>1043.14</v>
      </c>
      <c r="O534" s="26">
        <f t="shared" si="26"/>
        <v>1043.14</v>
      </c>
      <c r="P534">
        <v>137</v>
      </c>
      <c r="Q534" t="b">
        <v>0</v>
      </c>
      <c r="S534" t="s">
        <v>16</v>
      </c>
    </row>
    <row r="535" spans="1:19">
      <c r="A535" t="s">
        <v>1122</v>
      </c>
      <c r="B535" t="s">
        <v>1123</v>
      </c>
      <c r="C535" s="23" t="s">
        <v>4131</v>
      </c>
      <c r="D535" s="23">
        <v>45168</v>
      </c>
      <c r="E535" s="22">
        <v>8</v>
      </c>
      <c r="F535" s="22">
        <v>30</v>
      </c>
      <c r="G535" s="22">
        <v>2023</v>
      </c>
      <c r="H535" s="23">
        <f t="shared" si="24"/>
        <v>45168</v>
      </c>
      <c r="I535" s="25">
        <v>45177</v>
      </c>
      <c r="J535" s="22">
        <f t="shared" si="25"/>
        <v>9</v>
      </c>
      <c r="K535" t="s">
        <v>415</v>
      </c>
      <c r="L535">
        <v>67387</v>
      </c>
      <c r="M535">
        <v>819</v>
      </c>
      <c r="N535" s="26">
        <v>947.8</v>
      </c>
      <c r="O535" s="26">
        <f t="shared" si="26"/>
        <v>947.8</v>
      </c>
      <c r="P535">
        <v>65</v>
      </c>
      <c r="Q535" t="b">
        <v>0</v>
      </c>
      <c r="S535" t="s">
        <v>34</v>
      </c>
    </row>
    <row r="536" spans="1:19">
      <c r="A536" t="s">
        <v>1124</v>
      </c>
      <c r="B536" t="s">
        <v>1125</v>
      </c>
      <c r="C536" s="23" t="s">
        <v>4127</v>
      </c>
      <c r="D536" s="23">
        <v>45288</v>
      </c>
      <c r="E536" s="22">
        <v>12</v>
      </c>
      <c r="F536" s="22">
        <v>28</v>
      </c>
      <c r="G536" s="22">
        <v>2023</v>
      </c>
      <c r="H536" s="23">
        <f t="shared" si="24"/>
        <v>45288</v>
      </c>
      <c r="I536" s="25">
        <v>45303</v>
      </c>
      <c r="J536" s="22">
        <f t="shared" si="25"/>
        <v>15</v>
      </c>
      <c r="K536" t="s">
        <v>19</v>
      </c>
      <c r="L536">
        <v>19071</v>
      </c>
      <c r="M536">
        <v>434</v>
      </c>
      <c r="N536" s="26">
        <v>802.42</v>
      </c>
      <c r="O536" s="26">
        <f t="shared" si="26"/>
        <v>802.42</v>
      </c>
      <c r="P536">
        <v>70</v>
      </c>
      <c r="Q536" t="b">
        <v>1</v>
      </c>
      <c r="S536" t="s">
        <v>20</v>
      </c>
    </row>
    <row r="537" spans="1:19">
      <c r="A537" t="s">
        <v>1126</v>
      </c>
      <c r="B537" t="s">
        <v>1127</v>
      </c>
      <c r="C537" s="23" t="s">
        <v>4129</v>
      </c>
      <c r="D537" s="23">
        <v>45201</v>
      </c>
      <c r="E537" s="22">
        <v>10</v>
      </c>
      <c r="F537" s="22">
        <v>2</v>
      </c>
      <c r="G537" s="22">
        <v>2023</v>
      </c>
      <c r="H537" s="23">
        <f t="shared" si="24"/>
        <v>45201</v>
      </c>
      <c r="I537" s="25">
        <v>44997</v>
      </c>
      <c r="J537" s="22">
        <f t="shared" si="25"/>
        <v>-204</v>
      </c>
      <c r="K537" t="s">
        <v>14</v>
      </c>
      <c r="L537">
        <v>60275</v>
      </c>
      <c r="M537">
        <v>2418</v>
      </c>
      <c r="N537" s="26">
        <v>4699.12</v>
      </c>
      <c r="O537" s="26">
        <f t="shared" si="26"/>
        <v>3632.575</v>
      </c>
      <c r="P537">
        <v>391</v>
      </c>
      <c r="Q537" t="b">
        <v>1</v>
      </c>
      <c r="S537" t="s">
        <v>16</v>
      </c>
    </row>
    <row r="538" spans="1:19">
      <c r="A538" t="s">
        <v>1128</v>
      </c>
      <c r="B538" t="s">
        <v>1129</v>
      </c>
      <c r="C538" s="23" t="s">
        <v>4131</v>
      </c>
      <c r="D538" s="23">
        <v>45037</v>
      </c>
      <c r="E538" s="22">
        <v>4</v>
      </c>
      <c r="F538" s="22">
        <v>21</v>
      </c>
      <c r="G538" s="22">
        <v>2023</v>
      </c>
      <c r="H538" s="23">
        <f t="shared" si="24"/>
        <v>45037</v>
      </c>
      <c r="I538" s="25">
        <v>45067</v>
      </c>
      <c r="J538" s="22">
        <f t="shared" si="25"/>
        <v>30</v>
      </c>
      <c r="K538" t="s">
        <v>33</v>
      </c>
      <c r="L538">
        <v>73369</v>
      </c>
      <c r="M538">
        <v>1524</v>
      </c>
      <c r="N538" s="26">
        <v>1777.25</v>
      </c>
      <c r="O538" s="26">
        <f t="shared" si="26"/>
        <v>1777.25</v>
      </c>
      <c r="P538">
        <v>0</v>
      </c>
      <c r="Q538" t="b">
        <v>0</v>
      </c>
      <c r="S538" t="s">
        <v>34</v>
      </c>
    </row>
    <row r="539" spans="1:19">
      <c r="A539" t="s">
        <v>1130</v>
      </c>
      <c r="B539" t="s">
        <v>1131</v>
      </c>
      <c r="C539" s="23" t="s">
        <v>4129</v>
      </c>
      <c r="D539" s="23">
        <v>45238</v>
      </c>
      <c r="E539" s="22">
        <v>11</v>
      </c>
      <c r="F539" s="22">
        <v>8</v>
      </c>
      <c r="G539" s="22">
        <v>2023</v>
      </c>
      <c r="H539" s="23">
        <f t="shared" si="24"/>
        <v>45238</v>
      </c>
      <c r="I539" s="25">
        <v>45267</v>
      </c>
      <c r="J539" s="22">
        <f t="shared" si="25"/>
        <v>29</v>
      </c>
      <c r="K539" t="s">
        <v>41</v>
      </c>
      <c r="L539">
        <v>12938</v>
      </c>
      <c r="M539">
        <v>408</v>
      </c>
      <c r="N539" s="26">
        <v>663.02</v>
      </c>
      <c r="O539" s="26">
        <f t="shared" si="26"/>
        <v>663.02</v>
      </c>
      <c r="P539">
        <v>74</v>
      </c>
      <c r="Q539" t="b">
        <v>1</v>
      </c>
      <c r="S539" t="s">
        <v>42</v>
      </c>
    </row>
    <row r="540" spans="1:19">
      <c r="A540" t="s">
        <v>1132</v>
      </c>
      <c r="B540" t="s">
        <v>1133</v>
      </c>
      <c r="C540" s="23" t="s">
        <v>4131</v>
      </c>
      <c r="D540" s="23">
        <v>45074</v>
      </c>
      <c r="E540" s="22">
        <v>5</v>
      </c>
      <c r="F540" s="22">
        <v>28</v>
      </c>
      <c r="G540" s="22">
        <v>2023</v>
      </c>
      <c r="H540" s="23">
        <f t="shared" si="24"/>
        <v>45074</v>
      </c>
      <c r="I540" s="25">
        <v>45100</v>
      </c>
      <c r="J540" s="22">
        <f t="shared" si="25"/>
        <v>26</v>
      </c>
      <c r="K540" t="s">
        <v>23</v>
      </c>
      <c r="L540">
        <v>36195</v>
      </c>
      <c r="M540">
        <v>1415</v>
      </c>
      <c r="N540" s="26">
        <v>1835.95</v>
      </c>
      <c r="O540" s="26">
        <f t="shared" si="26"/>
        <v>1835.95</v>
      </c>
      <c r="P540">
        <v>127</v>
      </c>
      <c r="Q540" t="b">
        <v>0</v>
      </c>
      <c r="S540" t="s">
        <v>25</v>
      </c>
    </row>
    <row r="541" spans="1:19">
      <c r="A541" t="s">
        <v>1134</v>
      </c>
      <c r="B541" t="s">
        <v>1135</v>
      </c>
      <c r="C541" s="23" t="s">
        <v>4127</v>
      </c>
      <c r="D541" s="23">
        <v>45049</v>
      </c>
      <c r="E541" s="22">
        <v>5</v>
      </c>
      <c r="F541" s="22">
        <v>3</v>
      </c>
      <c r="G541" s="22">
        <v>2023</v>
      </c>
      <c r="H541" s="23">
        <f t="shared" si="24"/>
        <v>45049</v>
      </c>
      <c r="I541" s="25">
        <v>45079</v>
      </c>
      <c r="J541" s="22">
        <f t="shared" si="25"/>
        <v>30</v>
      </c>
      <c r="K541" t="s">
        <v>19</v>
      </c>
      <c r="L541">
        <v>92680</v>
      </c>
      <c r="M541">
        <v>1326</v>
      </c>
      <c r="N541" s="26">
        <v>1732.65</v>
      </c>
      <c r="O541" s="26">
        <f t="shared" si="26"/>
        <v>1732.65</v>
      </c>
      <c r="P541">
        <v>261</v>
      </c>
      <c r="Q541" t="b">
        <v>0</v>
      </c>
      <c r="S541" t="s">
        <v>20</v>
      </c>
    </row>
    <row r="542" spans="1:19">
      <c r="A542" t="s">
        <v>1136</v>
      </c>
      <c r="B542" t="s">
        <v>1137</v>
      </c>
      <c r="C542" s="23" t="s">
        <v>4128</v>
      </c>
      <c r="D542" s="23" t="s">
        <v>1138</v>
      </c>
      <c r="E542" s="22">
        <v>23</v>
      </c>
      <c r="F542" s="22">
        <v>8</v>
      </c>
      <c r="G542" s="22">
        <v>2023</v>
      </c>
      <c r="H542" s="23">
        <f t="shared" si="24"/>
        <v>45161</v>
      </c>
      <c r="I542" s="25">
        <v>45168</v>
      </c>
      <c r="J542" s="22">
        <f t="shared" si="25"/>
        <v>7</v>
      </c>
      <c r="K542" t="s">
        <v>23</v>
      </c>
      <c r="L542">
        <v>5000</v>
      </c>
      <c r="M542">
        <v>187</v>
      </c>
      <c r="N542" s="26">
        <v>171.51</v>
      </c>
      <c r="O542" s="26">
        <f t="shared" si="26"/>
        <v>171.51</v>
      </c>
      <c r="P542">
        <v>20</v>
      </c>
      <c r="Q542" t="b">
        <v>1</v>
      </c>
      <c r="S542" t="s">
        <v>25</v>
      </c>
    </row>
    <row r="543" spans="1:19">
      <c r="A543" t="s">
        <v>1139</v>
      </c>
      <c r="B543" t="s">
        <v>1140</v>
      </c>
      <c r="C543" s="23" t="s">
        <v>4129</v>
      </c>
      <c r="D543" s="23">
        <v>45182</v>
      </c>
      <c r="E543" s="22">
        <v>9</v>
      </c>
      <c r="F543" s="22">
        <v>13</v>
      </c>
      <c r="G543" s="22">
        <v>2023</v>
      </c>
      <c r="H543" s="23">
        <f t="shared" si="24"/>
        <v>45182</v>
      </c>
      <c r="I543" s="25">
        <v>45186</v>
      </c>
      <c r="J543" s="22">
        <f t="shared" si="25"/>
        <v>4</v>
      </c>
      <c r="K543" t="s">
        <v>14</v>
      </c>
      <c r="L543">
        <v>71588</v>
      </c>
      <c r="M543">
        <v>978</v>
      </c>
      <c r="N543" s="26">
        <v>807.27</v>
      </c>
      <c r="O543" s="26">
        <f t="shared" si="26"/>
        <v>807.27</v>
      </c>
      <c r="P543">
        <v>74</v>
      </c>
      <c r="Q543" t="b">
        <v>1</v>
      </c>
      <c r="S543" t="s">
        <v>16</v>
      </c>
    </row>
    <row r="544" spans="1:19">
      <c r="A544" t="s">
        <v>1141</v>
      </c>
      <c r="B544" t="s">
        <v>1142</v>
      </c>
      <c r="C544" s="23" t="s">
        <v>4129</v>
      </c>
      <c r="D544" s="23">
        <v>45190</v>
      </c>
      <c r="E544" s="22">
        <v>9</v>
      </c>
      <c r="F544" s="22">
        <v>21</v>
      </c>
      <c r="G544" s="22">
        <v>2023</v>
      </c>
      <c r="H544" s="23">
        <f t="shared" si="24"/>
        <v>45190</v>
      </c>
      <c r="I544" s="25">
        <v>45220</v>
      </c>
      <c r="J544" s="22">
        <f t="shared" si="25"/>
        <v>30</v>
      </c>
      <c r="K544" t="s">
        <v>14</v>
      </c>
      <c r="L544">
        <v>94610</v>
      </c>
      <c r="M544">
        <v>4598</v>
      </c>
      <c r="N544" s="26">
        <v>4285.37</v>
      </c>
      <c r="O544" s="26">
        <f t="shared" si="26"/>
        <v>3632.575</v>
      </c>
      <c r="P544">
        <v>472</v>
      </c>
      <c r="Q544" t="b">
        <v>1</v>
      </c>
      <c r="S544" t="s">
        <v>16</v>
      </c>
    </row>
    <row r="545" spans="1:19">
      <c r="A545" t="s">
        <v>1143</v>
      </c>
      <c r="B545" t="s">
        <v>1144</v>
      </c>
      <c r="C545" s="23" t="s">
        <v>4131</v>
      </c>
      <c r="D545" s="23">
        <v>45076</v>
      </c>
      <c r="E545" s="22">
        <v>5</v>
      </c>
      <c r="F545" s="22">
        <v>30</v>
      </c>
      <c r="G545" s="22">
        <v>2023</v>
      </c>
      <c r="H545" s="23">
        <f t="shared" si="24"/>
        <v>45076</v>
      </c>
      <c r="I545" s="25">
        <v>45097</v>
      </c>
      <c r="J545" s="22">
        <f t="shared" si="25"/>
        <v>21</v>
      </c>
      <c r="K545" t="s">
        <v>41</v>
      </c>
      <c r="L545">
        <v>98856</v>
      </c>
      <c r="M545">
        <v>2919</v>
      </c>
      <c r="N545" s="26">
        <v>3895.38</v>
      </c>
      <c r="O545" s="26">
        <f t="shared" si="26"/>
        <v>3632.575</v>
      </c>
      <c r="P545">
        <v>338</v>
      </c>
      <c r="Q545" t="b">
        <v>0</v>
      </c>
      <c r="S545" t="s">
        <v>42</v>
      </c>
    </row>
    <row r="546" spans="1:19">
      <c r="A546" t="s">
        <v>1145</v>
      </c>
      <c r="B546" t="s">
        <v>1146</v>
      </c>
      <c r="C546" s="23" t="s">
        <v>4127</v>
      </c>
      <c r="D546" s="23">
        <v>45050</v>
      </c>
      <c r="E546" s="22">
        <v>5</v>
      </c>
      <c r="F546" s="22">
        <v>4</v>
      </c>
      <c r="G546" s="22">
        <v>2023</v>
      </c>
      <c r="H546" s="23">
        <f t="shared" si="24"/>
        <v>45050</v>
      </c>
      <c r="I546" s="25">
        <v>45074</v>
      </c>
      <c r="J546" s="22">
        <f t="shared" si="25"/>
        <v>24</v>
      </c>
      <c r="K546" t="s">
        <v>23</v>
      </c>
      <c r="L546">
        <v>39304</v>
      </c>
      <c r="M546">
        <v>629</v>
      </c>
      <c r="N546" s="26">
        <v>342.01</v>
      </c>
      <c r="O546" s="26">
        <f t="shared" si="26"/>
        <v>342.01</v>
      </c>
      <c r="P546">
        <v>37</v>
      </c>
      <c r="Q546" t="b">
        <v>0</v>
      </c>
      <c r="S546" t="s">
        <v>25</v>
      </c>
    </row>
    <row r="547" spans="1:19">
      <c r="A547" t="s">
        <v>1147</v>
      </c>
      <c r="B547" t="s">
        <v>1148</v>
      </c>
      <c r="C547" s="23" t="s">
        <v>4127</v>
      </c>
      <c r="D547" s="23">
        <v>45181</v>
      </c>
      <c r="E547" s="22">
        <v>9</v>
      </c>
      <c r="F547" s="22">
        <v>12</v>
      </c>
      <c r="G547" s="22">
        <v>2023</v>
      </c>
      <c r="H547" s="23">
        <f t="shared" si="24"/>
        <v>45181</v>
      </c>
      <c r="I547" s="25">
        <v>45291</v>
      </c>
      <c r="J547" s="22">
        <f t="shared" si="25"/>
        <v>110</v>
      </c>
      <c r="K547" t="s">
        <v>19</v>
      </c>
      <c r="L547">
        <v>70449</v>
      </c>
      <c r="M547">
        <v>1669</v>
      </c>
      <c r="N547" s="26">
        <v>3105.8</v>
      </c>
      <c r="O547" s="26">
        <f t="shared" si="26"/>
        <v>3105.8</v>
      </c>
      <c r="P547">
        <v>228</v>
      </c>
      <c r="Q547" t="b">
        <v>1</v>
      </c>
      <c r="S547" t="s">
        <v>20</v>
      </c>
    </row>
    <row r="548" spans="1:19">
      <c r="A548" t="s">
        <v>1149</v>
      </c>
      <c r="B548" t="s">
        <v>1150</v>
      </c>
      <c r="C548" s="23" t="s">
        <v>4129</v>
      </c>
      <c r="D548" s="23">
        <v>45023</v>
      </c>
      <c r="E548" s="22">
        <v>4</v>
      </c>
      <c r="F548" s="22">
        <v>7</v>
      </c>
      <c r="G548" s="22">
        <v>2023</v>
      </c>
      <c r="H548" s="23">
        <f t="shared" si="24"/>
        <v>45023</v>
      </c>
      <c r="I548" s="25">
        <v>45137</v>
      </c>
      <c r="J548" s="22">
        <f t="shared" si="25"/>
        <v>114</v>
      </c>
      <c r="K548" t="s">
        <v>19</v>
      </c>
      <c r="L548">
        <v>83986</v>
      </c>
      <c r="M548">
        <v>2228</v>
      </c>
      <c r="N548" s="26">
        <v>1636.3</v>
      </c>
      <c r="O548" s="26">
        <f t="shared" si="26"/>
        <v>1636.3</v>
      </c>
      <c r="P548">
        <v>311</v>
      </c>
      <c r="Q548" t="b">
        <v>1</v>
      </c>
      <c r="S548" t="s">
        <v>20</v>
      </c>
    </row>
    <row r="549" spans="1:19">
      <c r="A549" t="s">
        <v>1151</v>
      </c>
      <c r="B549" t="s">
        <v>1152</v>
      </c>
      <c r="C549" s="23" t="s">
        <v>4127</v>
      </c>
      <c r="D549" s="23">
        <v>45196</v>
      </c>
      <c r="E549" s="22">
        <v>9</v>
      </c>
      <c r="F549" s="22">
        <v>27</v>
      </c>
      <c r="G549" s="22">
        <v>2023</v>
      </c>
      <c r="H549" s="23">
        <f t="shared" si="24"/>
        <v>45196</v>
      </c>
      <c r="I549" s="25">
        <v>45197</v>
      </c>
      <c r="J549" s="22">
        <f t="shared" si="25"/>
        <v>1</v>
      </c>
      <c r="K549" t="s">
        <v>41</v>
      </c>
      <c r="L549">
        <v>90643</v>
      </c>
      <c r="M549">
        <v>3655</v>
      </c>
      <c r="N549" s="26">
        <v>3034.14</v>
      </c>
      <c r="O549" s="26">
        <f t="shared" si="26"/>
        <v>3034.14</v>
      </c>
      <c r="P549">
        <v>587</v>
      </c>
      <c r="Q549" t="b">
        <v>0</v>
      </c>
      <c r="S549" t="s">
        <v>42</v>
      </c>
    </row>
    <row r="550" spans="1:19">
      <c r="A550" t="s">
        <v>1153</v>
      </c>
      <c r="B550" t="s">
        <v>1154</v>
      </c>
      <c r="C550" s="23" t="s">
        <v>4128</v>
      </c>
      <c r="D550" s="23">
        <v>45186</v>
      </c>
      <c r="E550" s="22">
        <v>9</v>
      </c>
      <c r="F550" s="22">
        <v>17</v>
      </c>
      <c r="G550" s="22">
        <v>2023</v>
      </c>
      <c r="H550" s="23">
        <f t="shared" si="24"/>
        <v>45186</v>
      </c>
      <c r="I550" s="25">
        <v>45215</v>
      </c>
      <c r="J550" s="22">
        <f t="shared" si="25"/>
        <v>29</v>
      </c>
      <c r="K550" t="s">
        <v>14</v>
      </c>
      <c r="L550">
        <v>21764</v>
      </c>
      <c r="M550">
        <v>864</v>
      </c>
      <c r="N550" s="26">
        <v>1103.69</v>
      </c>
      <c r="O550" s="26">
        <f t="shared" si="26"/>
        <v>1103.69</v>
      </c>
      <c r="P550">
        <v>46</v>
      </c>
      <c r="Q550" t="b">
        <v>1</v>
      </c>
      <c r="S550" t="s">
        <v>16</v>
      </c>
    </row>
    <row r="551" spans="1:19">
      <c r="A551" t="s">
        <v>1155</v>
      </c>
      <c r="B551" t="s">
        <v>1156</v>
      </c>
      <c r="C551" s="23" t="s">
        <v>4129</v>
      </c>
      <c r="D551" s="23" t="s">
        <v>1157</v>
      </c>
      <c r="E551" s="22">
        <v>29</v>
      </c>
      <c r="F551" s="22">
        <v>8</v>
      </c>
      <c r="G551" s="22">
        <v>2023</v>
      </c>
      <c r="H551" s="23">
        <f t="shared" si="24"/>
        <v>45167</v>
      </c>
      <c r="I551" s="25">
        <v>45197</v>
      </c>
      <c r="J551" s="22">
        <f t="shared" si="25"/>
        <v>30</v>
      </c>
      <c r="K551" t="s">
        <v>19</v>
      </c>
      <c r="L551">
        <v>87027</v>
      </c>
      <c r="M551">
        <v>3000</v>
      </c>
      <c r="N551" s="26">
        <v>4695.52</v>
      </c>
      <c r="O551" s="26">
        <f t="shared" si="26"/>
        <v>3632.575</v>
      </c>
      <c r="P551">
        <v>393</v>
      </c>
      <c r="Q551" t="b">
        <v>0</v>
      </c>
      <c r="S551" t="s">
        <v>20</v>
      </c>
    </row>
    <row r="552" spans="1:19">
      <c r="A552" t="s">
        <v>1158</v>
      </c>
      <c r="B552" t="s">
        <v>1159</v>
      </c>
      <c r="C552" s="23" t="s">
        <v>4127</v>
      </c>
      <c r="D552" s="23">
        <v>45125</v>
      </c>
      <c r="E552" s="22">
        <v>7</v>
      </c>
      <c r="F552" s="22">
        <v>18</v>
      </c>
      <c r="G552" s="22">
        <v>2023</v>
      </c>
      <c r="H552" s="23">
        <f t="shared" si="24"/>
        <v>45125</v>
      </c>
      <c r="I552" s="25">
        <v>45155</v>
      </c>
      <c r="J552" s="22">
        <f t="shared" si="25"/>
        <v>30</v>
      </c>
      <c r="K552" t="s">
        <v>41</v>
      </c>
      <c r="L552">
        <v>39494</v>
      </c>
      <c r="M552">
        <v>562</v>
      </c>
      <c r="N552" s="26">
        <v>361.7</v>
      </c>
      <c r="O552" s="26">
        <f t="shared" si="26"/>
        <v>361.7</v>
      </c>
      <c r="P552">
        <v>32</v>
      </c>
      <c r="Q552" t="b">
        <v>0</v>
      </c>
      <c r="S552" t="s">
        <v>42</v>
      </c>
    </row>
    <row r="553" spans="1:19">
      <c r="A553" t="s">
        <v>1160</v>
      </c>
      <c r="B553" t="s">
        <v>1161</v>
      </c>
      <c r="C553" s="23" t="s">
        <v>4128</v>
      </c>
      <c r="D553" s="23">
        <v>44935</v>
      </c>
      <c r="E553" s="22">
        <v>1</v>
      </c>
      <c r="F553" s="22">
        <v>9</v>
      </c>
      <c r="G553" s="22">
        <v>2023</v>
      </c>
      <c r="H553" s="23">
        <f t="shared" si="24"/>
        <v>44935</v>
      </c>
      <c r="I553" s="25">
        <v>45186</v>
      </c>
      <c r="J553" s="22">
        <f t="shared" si="25"/>
        <v>251</v>
      </c>
      <c r="K553" t="s">
        <v>33</v>
      </c>
      <c r="L553">
        <v>4373</v>
      </c>
      <c r="M553">
        <v>70</v>
      </c>
      <c r="N553" s="26">
        <v>68.36</v>
      </c>
      <c r="O553" s="26">
        <f t="shared" si="26"/>
        <v>68.36</v>
      </c>
      <c r="P553">
        <v>10</v>
      </c>
      <c r="Q553" t="b">
        <v>1</v>
      </c>
      <c r="S553" t="s">
        <v>34</v>
      </c>
    </row>
    <row r="554" spans="1:19">
      <c r="A554" t="s">
        <v>1162</v>
      </c>
      <c r="B554" t="s">
        <v>1163</v>
      </c>
      <c r="C554" s="23" t="s">
        <v>4127</v>
      </c>
      <c r="D554" s="23">
        <v>45050</v>
      </c>
      <c r="E554" s="22">
        <v>5</v>
      </c>
      <c r="F554" s="22">
        <v>4</v>
      </c>
      <c r="G554" s="22">
        <v>2023</v>
      </c>
      <c r="H554" s="23">
        <f t="shared" si="24"/>
        <v>45050</v>
      </c>
      <c r="I554" s="25">
        <v>45056</v>
      </c>
      <c r="J554" s="22">
        <f t="shared" si="25"/>
        <v>6</v>
      </c>
      <c r="K554" t="s">
        <v>33</v>
      </c>
      <c r="L554">
        <v>13161</v>
      </c>
      <c r="M554">
        <v>180</v>
      </c>
      <c r="N554" s="26">
        <v>351.54</v>
      </c>
      <c r="O554" s="26">
        <f t="shared" si="26"/>
        <v>351.54</v>
      </c>
      <c r="P554">
        <v>10</v>
      </c>
      <c r="Q554" t="b">
        <v>1</v>
      </c>
      <c r="S554" t="s">
        <v>34</v>
      </c>
    </row>
    <row r="555" spans="1:19">
      <c r="A555" t="s">
        <v>1164</v>
      </c>
      <c r="B555" t="s">
        <v>1165</v>
      </c>
      <c r="C555" s="23" t="s">
        <v>4131</v>
      </c>
      <c r="D555" s="23">
        <v>45224</v>
      </c>
      <c r="E555" s="22">
        <v>10</v>
      </c>
      <c r="F555" s="22">
        <v>25</v>
      </c>
      <c r="G555" s="22">
        <v>2023</v>
      </c>
      <c r="H555" s="23">
        <f t="shared" si="24"/>
        <v>45224</v>
      </c>
      <c r="I555" s="25">
        <v>45225</v>
      </c>
      <c r="J555" s="22">
        <f t="shared" si="25"/>
        <v>1</v>
      </c>
      <c r="K555" t="s">
        <v>14</v>
      </c>
      <c r="L555">
        <v>98532</v>
      </c>
      <c r="M555">
        <v>3260</v>
      </c>
      <c r="N555" s="26">
        <v>2912.86</v>
      </c>
      <c r="O555" s="26">
        <f t="shared" si="26"/>
        <v>2912.86</v>
      </c>
      <c r="P555">
        <v>608</v>
      </c>
      <c r="Q555" t="b">
        <v>1</v>
      </c>
      <c r="S555" t="s">
        <v>16</v>
      </c>
    </row>
    <row r="556" spans="1:19">
      <c r="A556" t="s">
        <v>1166</v>
      </c>
      <c r="B556" t="s">
        <v>1167</v>
      </c>
      <c r="C556" s="23" t="s">
        <v>4127</v>
      </c>
      <c r="D556" s="23">
        <v>44949</v>
      </c>
      <c r="E556" s="22">
        <v>1</v>
      </c>
      <c r="F556" s="22">
        <v>23</v>
      </c>
      <c r="G556" s="22">
        <v>2023</v>
      </c>
      <c r="H556" s="23">
        <f t="shared" si="24"/>
        <v>44949</v>
      </c>
      <c r="I556" s="25">
        <v>44953</v>
      </c>
      <c r="J556" s="22">
        <f t="shared" si="25"/>
        <v>4</v>
      </c>
      <c r="K556" t="s">
        <v>19</v>
      </c>
      <c r="L556">
        <v>93658</v>
      </c>
      <c r="M556">
        <v>4222</v>
      </c>
      <c r="N556" s="26">
        <v>4093.55</v>
      </c>
      <c r="O556" s="26">
        <f t="shared" si="26"/>
        <v>3632.575</v>
      </c>
      <c r="P556">
        <v>655</v>
      </c>
      <c r="Q556" t="b">
        <v>1</v>
      </c>
      <c r="S556" t="s">
        <v>20</v>
      </c>
    </row>
    <row r="557" spans="1:19">
      <c r="A557" t="s">
        <v>1168</v>
      </c>
      <c r="B557" t="s">
        <v>1169</v>
      </c>
      <c r="C557" s="23" t="s">
        <v>4128</v>
      </c>
      <c r="D557" s="23">
        <v>45256</v>
      </c>
      <c r="E557" s="22">
        <v>11</v>
      </c>
      <c r="F557" s="22">
        <v>26</v>
      </c>
      <c r="G557" s="22">
        <v>2023</v>
      </c>
      <c r="H557" s="23">
        <f t="shared" si="24"/>
        <v>45256</v>
      </c>
      <c r="I557" s="25">
        <v>45259</v>
      </c>
      <c r="J557" s="22">
        <f t="shared" si="25"/>
        <v>3</v>
      </c>
      <c r="K557" t="s">
        <v>138</v>
      </c>
      <c r="L557">
        <v>28350</v>
      </c>
      <c r="M557">
        <v>775</v>
      </c>
      <c r="N557" s="26">
        <v>1359.93</v>
      </c>
      <c r="O557" s="26">
        <f t="shared" si="26"/>
        <v>1359.93</v>
      </c>
      <c r="P557">
        <v>0</v>
      </c>
      <c r="Q557" t="b">
        <v>0</v>
      </c>
      <c r="S557" t="s">
        <v>139</v>
      </c>
    </row>
    <row r="558" spans="1:19">
      <c r="A558" t="s">
        <v>1170</v>
      </c>
      <c r="B558" t="s">
        <v>1171</v>
      </c>
      <c r="C558" s="23" t="s">
        <v>4127</v>
      </c>
      <c r="D558" s="23">
        <v>45164</v>
      </c>
      <c r="E558" s="22">
        <v>8</v>
      </c>
      <c r="F558" s="22">
        <v>26</v>
      </c>
      <c r="G558" s="22">
        <v>2023</v>
      </c>
      <c r="H558" s="23">
        <f t="shared" si="24"/>
        <v>45164</v>
      </c>
      <c r="I558" s="25">
        <v>45188</v>
      </c>
      <c r="J558" s="22">
        <f t="shared" si="25"/>
        <v>24</v>
      </c>
      <c r="K558" t="s">
        <v>23</v>
      </c>
      <c r="L558">
        <v>94008</v>
      </c>
      <c r="M558">
        <v>1544</v>
      </c>
      <c r="N558" s="26">
        <v>888.3</v>
      </c>
      <c r="O558" s="26">
        <f t="shared" si="26"/>
        <v>888.3</v>
      </c>
      <c r="P558">
        <v>179</v>
      </c>
      <c r="Q558" t="b">
        <v>0</v>
      </c>
      <c r="S558" t="s">
        <v>25</v>
      </c>
    </row>
    <row r="559" spans="1:19">
      <c r="A559" t="s">
        <v>1172</v>
      </c>
      <c r="B559" t="s">
        <v>1173</v>
      </c>
      <c r="C559" s="23" t="s">
        <v>4131</v>
      </c>
      <c r="D559" s="23">
        <v>45020</v>
      </c>
      <c r="E559" s="22">
        <v>4</v>
      </c>
      <c r="F559" s="22">
        <v>4</v>
      </c>
      <c r="G559" s="22">
        <v>2023</v>
      </c>
      <c r="H559" s="23">
        <f t="shared" si="24"/>
        <v>45020</v>
      </c>
      <c r="I559" s="25">
        <v>45028</v>
      </c>
      <c r="J559" s="22">
        <f t="shared" si="25"/>
        <v>8</v>
      </c>
      <c r="K559" t="s">
        <v>14</v>
      </c>
      <c r="L559">
        <v>95297</v>
      </c>
      <c r="M559">
        <v>3080</v>
      </c>
      <c r="N559" s="26">
        <v>3686.51</v>
      </c>
      <c r="O559" s="26">
        <f t="shared" si="26"/>
        <v>3632.575</v>
      </c>
      <c r="P559">
        <v>214</v>
      </c>
      <c r="Q559" t="b">
        <v>1</v>
      </c>
      <c r="S559" t="s">
        <v>16</v>
      </c>
    </row>
    <row r="560" spans="1:19">
      <c r="A560" t="s">
        <v>1174</v>
      </c>
      <c r="B560" t="s">
        <v>1175</v>
      </c>
      <c r="C560" s="23" t="s">
        <v>4128</v>
      </c>
      <c r="D560" s="23" t="s">
        <v>1138</v>
      </c>
      <c r="E560" s="22">
        <v>23</v>
      </c>
      <c r="F560" s="22">
        <v>8</v>
      </c>
      <c r="G560" s="22">
        <v>2023</v>
      </c>
      <c r="H560" s="23">
        <f t="shared" si="24"/>
        <v>45161</v>
      </c>
      <c r="I560" s="25">
        <v>45176</v>
      </c>
      <c r="J560" s="22">
        <f t="shared" si="25"/>
        <v>15</v>
      </c>
      <c r="K560" t="s">
        <v>33</v>
      </c>
      <c r="L560">
        <v>26351</v>
      </c>
      <c r="M560">
        <v>1119</v>
      </c>
      <c r="N560" s="26">
        <v>1196.69</v>
      </c>
      <c r="O560" s="26">
        <f t="shared" si="26"/>
        <v>1196.69</v>
      </c>
      <c r="P560">
        <v>0</v>
      </c>
      <c r="Q560" t="b">
        <v>1</v>
      </c>
      <c r="S560" t="s">
        <v>34</v>
      </c>
    </row>
    <row r="561" spans="1:19">
      <c r="A561" t="s">
        <v>1176</v>
      </c>
      <c r="B561" t="s">
        <v>1177</v>
      </c>
      <c r="C561" s="23" t="s">
        <v>4129</v>
      </c>
      <c r="D561" s="23" t="s">
        <v>1178</v>
      </c>
      <c r="E561" s="22">
        <v>14</v>
      </c>
      <c r="F561" s="22">
        <v>4</v>
      </c>
      <c r="G561" s="22">
        <v>2023</v>
      </c>
      <c r="H561" s="23">
        <f t="shared" si="24"/>
        <v>45030</v>
      </c>
      <c r="I561" s="25">
        <v>45058</v>
      </c>
      <c r="J561" s="22">
        <f t="shared" si="25"/>
        <v>28</v>
      </c>
      <c r="K561" t="s">
        <v>14</v>
      </c>
      <c r="L561">
        <v>89668</v>
      </c>
      <c r="M561">
        <v>3556</v>
      </c>
      <c r="N561" s="26">
        <v>3466.67</v>
      </c>
      <c r="O561" s="26">
        <f t="shared" si="26"/>
        <v>3466.67</v>
      </c>
      <c r="P561">
        <v>641</v>
      </c>
      <c r="Q561" t="b">
        <v>0</v>
      </c>
      <c r="S561" t="s">
        <v>16</v>
      </c>
    </row>
    <row r="562" spans="1:19">
      <c r="A562" t="s">
        <v>1179</v>
      </c>
      <c r="B562" t="s">
        <v>1180</v>
      </c>
      <c r="C562" s="23" t="s">
        <v>4129</v>
      </c>
      <c r="D562" s="23">
        <v>45029</v>
      </c>
      <c r="E562" s="22">
        <v>4</v>
      </c>
      <c r="F562" s="22">
        <v>13</v>
      </c>
      <c r="G562" s="22">
        <v>2023</v>
      </c>
      <c r="H562" s="23">
        <f t="shared" si="24"/>
        <v>45029</v>
      </c>
      <c r="I562" s="25">
        <v>45058</v>
      </c>
      <c r="J562" s="22">
        <f t="shared" si="25"/>
        <v>29</v>
      </c>
      <c r="K562" t="s">
        <v>23</v>
      </c>
      <c r="L562">
        <v>16305</v>
      </c>
      <c r="M562">
        <v>737</v>
      </c>
      <c r="N562" s="26">
        <v>684.34</v>
      </c>
      <c r="O562" s="26">
        <f t="shared" si="26"/>
        <v>684.34</v>
      </c>
      <c r="P562">
        <v>136</v>
      </c>
      <c r="Q562" t="b">
        <v>1</v>
      </c>
      <c r="S562" t="s">
        <v>25</v>
      </c>
    </row>
    <row r="563" spans="1:19">
      <c r="A563" t="s">
        <v>1181</v>
      </c>
      <c r="B563" t="s">
        <v>1182</v>
      </c>
      <c r="C563" s="23" t="s">
        <v>4128</v>
      </c>
      <c r="D563" s="23">
        <v>45085</v>
      </c>
      <c r="E563" s="22">
        <v>6</v>
      </c>
      <c r="F563" s="22">
        <v>8</v>
      </c>
      <c r="G563" s="22">
        <v>2023</v>
      </c>
      <c r="H563" s="23">
        <f t="shared" si="24"/>
        <v>45085</v>
      </c>
      <c r="I563" s="25">
        <v>45104</v>
      </c>
      <c r="J563" s="22">
        <f t="shared" si="25"/>
        <v>19</v>
      </c>
      <c r="K563" t="s">
        <v>23</v>
      </c>
      <c r="L563">
        <v>76353</v>
      </c>
      <c r="M563">
        <v>1612</v>
      </c>
      <c r="N563" s="26">
        <v>1026.94</v>
      </c>
      <c r="O563" s="26">
        <f t="shared" si="26"/>
        <v>1026.94</v>
      </c>
      <c r="P563">
        <v>80</v>
      </c>
      <c r="Q563" t="b">
        <v>1</v>
      </c>
      <c r="S563" t="s">
        <v>25</v>
      </c>
    </row>
    <row r="564" spans="1:19">
      <c r="A564" t="s">
        <v>1183</v>
      </c>
      <c r="B564" t="s">
        <v>1184</v>
      </c>
      <c r="C564" s="23" t="s">
        <v>4131</v>
      </c>
      <c r="D564" s="23">
        <v>45205</v>
      </c>
      <c r="E564" s="22">
        <v>10</v>
      </c>
      <c r="F564" s="22">
        <v>6</v>
      </c>
      <c r="G564" s="22">
        <v>2023</v>
      </c>
      <c r="H564" s="23">
        <f t="shared" si="24"/>
        <v>45205</v>
      </c>
      <c r="I564" s="25">
        <v>45110</v>
      </c>
      <c r="J564" s="22">
        <f t="shared" si="25"/>
        <v>-95</v>
      </c>
      <c r="K564" t="s">
        <v>138</v>
      </c>
      <c r="L564">
        <v>77797</v>
      </c>
      <c r="M564">
        <v>1381</v>
      </c>
      <c r="N564" s="26">
        <v>1342.66</v>
      </c>
      <c r="O564" s="26">
        <f t="shared" si="26"/>
        <v>1342.66</v>
      </c>
      <c r="P564">
        <v>192</v>
      </c>
      <c r="Q564" t="b">
        <v>1</v>
      </c>
      <c r="S564" t="s">
        <v>139</v>
      </c>
    </row>
    <row r="565" spans="1:19">
      <c r="A565" t="s">
        <v>1185</v>
      </c>
      <c r="B565" t="s">
        <v>1186</v>
      </c>
      <c r="C565" s="23" t="s">
        <v>4129</v>
      </c>
      <c r="D565" s="23">
        <v>45258</v>
      </c>
      <c r="E565" s="22">
        <v>11</v>
      </c>
      <c r="F565" s="22">
        <v>28</v>
      </c>
      <c r="G565" s="22">
        <v>2023</v>
      </c>
      <c r="H565" s="23">
        <f t="shared" si="24"/>
        <v>45258</v>
      </c>
      <c r="I565" s="25">
        <v>45276</v>
      </c>
      <c r="J565" s="22">
        <f t="shared" si="25"/>
        <v>18</v>
      </c>
      <c r="K565" t="s">
        <v>19</v>
      </c>
      <c r="L565">
        <v>66953</v>
      </c>
      <c r="M565">
        <v>3025</v>
      </c>
      <c r="N565" s="26">
        <v>1707.85</v>
      </c>
      <c r="O565" s="26">
        <f t="shared" si="26"/>
        <v>1707.85</v>
      </c>
      <c r="P565">
        <v>477</v>
      </c>
      <c r="Q565" t="b">
        <v>1</v>
      </c>
      <c r="S565" t="s">
        <v>20</v>
      </c>
    </row>
    <row r="566" spans="1:19">
      <c r="A566" t="s">
        <v>1187</v>
      </c>
      <c r="B566" t="s">
        <v>1188</v>
      </c>
      <c r="C566" s="23" t="s">
        <v>4128</v>
      </c>
      <c r="D566" s="23">
        <v>44951</v>
      </c>
      <c r="E566" s="22">
        <v>1</v>
      </c>
      <c r="F566" s="22">
        <v>25</v>
      </c>
      <c r="G566" s="22">
        <v>2023</v>
      </c>
      <c r="H566" s="23">
        <f t="shared" si="24"/>
        <v>44951</v>
      </c>
      <c r="I566" s="25">
        <v>44960</v>
      </c>
      <c r="J566" s="22">
        <f t="shared" si="25"/>
        <v>9</v>
      </c>
      <c r="K566" t="s">
        <v>33</v>
      </c>
      <c r="L566">
        <v>58458</v>
      </c>
      <c r="M566">
        <v>2122</v>
      </c>
      <c r="N566" s="26">
        <v>3546.81</v>
      </c>
      <c r="O566" s="26">
        <f t="shared" si="26"/>
        <v>3546.81</v>
      </c>
      <c r="P566">
        <v>303</v>
      </c>
      <c r="Q566" t="b">
        <v>1</v>
      </c>
      <c r="S566" t="s">
        <v>34</v>
      </c>
    </row>
    <row r="567" spans="1:19">
      <c r="A567" t="s">
        <v>1189</v>
      </c>
      <c r="B567" t="s">
        <v>1190</v>
      </c>
      <c r="C567" s="23" t="s">
        <v>4127</v>
      </c>
      <c r="D567" s="23">
        <v>44990</v>
      </c>
      <c r="E567" s="22">
        <v>3</v>
      </c>
      <c r="F567" s="22">
        <v>5</v>
      </c>
      <c r="G567" s="22">
        <v>2023</v>
      </c>
      <c r="H567" s="23">
        <f t="shared" si="24"/>
        <v>44990</v>
      </c>
      <c r="I567" s="25">
        <v>44999</v>
      </c>
      <c r="J567" s="22">
        <f t="shared" si="25"/>
        <v>9</v>
      </c>
      <c r="K567" t="s">
        <v>41</v>
      </c>
      <c r="L567">
        <v>21358</v>
      </c>
      <c r="M567">
        <v>479</v>
      </c>
      <c r="N567" s="26">
        <v>525.63</v>
      </c>
      <c r="O567" s="26">
        <f t="shared" si="26"/>
        <v>525.63</v>
      </c>
      <c r="P567">
        <v>29</v>
      </c>
      <c r="Q567" t="b">
        <v>1</v>
      </c>
      <c r="S567" t="s">
        <v>42</v>
      </c>
    </row>
    <row r="568" spans="1:19">
      <c r="A568" t="s">
        <v>1191</v>
      </c>
      <c r="B568" t="s">
        <v>1192</v>
      </c>
      <c r="C568" s="23" t="s">
        <v>4127</v>
      </c>
      <c r="D568" s="23">
        <v>45131</v>
      </c>
      <c r="E568" s="22">
        <v>7</v>
      </c>
      <c r="F568" s="22">
        <v>24</v>
      </c>
      <c r="G568" s="22">
        <v>2023</v>
      </c>
      <c r="H568" s="23">
        <f t="shared" si="24"/>
        <v>45131</v>
      </c>
      <c r="I568" s="25">
        <v>45132</v>
      </c>
      <c r="J568" s="22">
        <f t="shared" si="25"/>
        <v>1</v>
      </c>
      <c r="K568" t="s">
        <v>138</v>
      </c>
      <c r="L568">
        <v>4267</v>
      </c>
      <c r="M568">
        <v>169</v>
      </c>
      <c r="N568" s="26">
        <v>197.03</v>
      </c>
      <c r="O568" s="26">
        <f t="shared" si="26"/>
        <v>197.03</v>
      </c>
      <c r="P568">
        <v>13</v>
      </c>
      <c r="Q568" t="b">
        <v>1</v>
      </c>
      <c r="S568" t="s">
        <v>139</v>
      </c>
    </row>
    <row r="569" spans="1:19">
      <c r="A569" t="s">
        <v>1193</v>
      </c>
      <c r="B569" t="s">
        <v>1194</v>
      </c>
      <c r="C569" s="23" t="s">
        <v>4127</v>
      </c>
      <c r="D569" s="23">
        <v>45124</v>
      </c>
      <c r="E569" s="22">
        <v>7</v>
      </c>
      <c r="F569" s="22">
        <v>17</v>
      </c>
      <c r="G569" s="22">
        <v>2023</v>
      </c>
      <c r="H569" s="23">
        <f t="shared" si="24"/>
        <v>45124</v>
      </c>
      <c r="I569" s="25">
        <v>45147</v>
      </c>
      <c r="J569" s="22">
        <f t="shared" si="25"/>
        <v>23</v>
      </c>
      <c r="K569" t="s">
        <v>41</v>
      </c>
      <c r="L569">
        <v>83745</v>
      </c>
      <c r="M569">
        <v>3567</v>
      </c>
      <c r="N569" s="26">
        <v>6564.68</v>
      </c>
      <c r="O569" s="26">
        <f t="shared" si="26"/>
        <v>3632.575</v>
      </c>
      <c r="P569">
        <v>312</v>
      </c>
      <c r="Q569" t="b">
        <v>1</v>
      </c>
      <c r="S569" t="s">
        <v>68</v>
      </c>
    </row>
    <row r="570" spans="1:19">
      <c r="A570" t="s">
        <v>1195</v>
      </c>
      <c r="B570" t="s">
        <v>1196</v>
      </c>
      <c r="C570" s="23" t="s">
        <v>4127</v>
      </c>
      <c r="D570" s="23">
        <v>45281</v>
      </c>
      <c r="E570" s="22">
        <v>12</v>
      </c>
      <c r="F570" s="22">
        <v>21</v>
      </c>
      <c r="G570" s="22">
        <v>2023</v>
      </c>
      <c r="H570" s="23">
        <f t="shared" si="24"/>
        <v>45281</v>
      </c>
      <c r="I570" s="25">
        <v>45300</v>
      </c>
      <c r="J570" s="22">
        <f t="shared" si="25"/>
        <v>19</v>
      </c>
      <c r="K570" t="s">
        <v>14</v>
      </c>
      <c r="L570">
        <v>90588</v>
      </c>
      <c r="M570">
        <v>3134</v>
      </c>
      <c r="N570" s="26">
        <v>4660.52</v>
      </c>
      <c r="O570" s="26">
        <f t="shared" si="26"/>
        <v>3632.575</v>
      </c>
      <c r="P570">
        <v>547</v>
      </c>
      <c r="Q570" t="b">
        <v>1</v>
      </c>
      <c r="S570" t="s">
        <v>16</v>
      </c>
    </row>
    <row r="571" spans="1:19">
      <c r="A571" t="s">
        <v>1197</v>
      </c>
      <c r="B571" t="s">
        <v>1198</v>
      </c>
      <c r="C571" s="23" t="s">
        <v>4128</v>
      </c>
      <c r="D571" s="23">
        <v>45192</v>
      </c>
      <c r="E571" s="22">
        <v>9</v>
      </c>
      <c r="F571" s="22">
        <v>23</v>
      </c>
      <c r="G571" s="22">
        <v>2023</v>
      </c>
      <c r="H571" s="23">
        <f t="shared" si="24"/>
        <v>45192</v>
      </c>
      <c r="I571" s="25">
        <v>45208</v>
      </c>
      <c r="J571" s="22">
        <f t="shared" si="25"/>
        <v>16</v>
      </c>
      <c r="K571" t="s">
        <v>41</v>
      </c>
      <c r="L571">
        <v>39513</v>
      </c>
      <c r="M571">
        <v>1482</v>
      </c>
      <c r="N571" s="26">
        <v>758.92</v>
      </c>
      <c r="O571" s="26">
        <f t="shared" si="26"/>
        <v>758.92</v>
      </c>
      <c r="P571">
        <v>177</v>
      </c>
      <c r="Q571" t="b">
        <v>0</v>
      </c>
      <c r="S571" t="s">
        <v>42</v>
      </c>
    </row>
    <row r="572" spans="1:19">
      <c r="A572" t="s">
        <v>1199</v>
      </c>
      <c r="B572" t="s">
        <v>1200</v>
      </c>
      <c r="C572" s="23" t="s">
        <v>4131</v>
      </c>
      <c r="D572" s="23">
        <v>45085</v>
      </c>
      <c r="E572" s="22">
        <v>6</v>
      </c>
      <c r="F572" s="22">
        <v>8</v>
      </c>
      <c r="G572" s="22">
        <v>2023</v>
      </c>
      <c r="H572" s="23">
        <f t="shared" si="24"/>
        <v>45085</v>
      </c>
      <c r="I572" s="25">
        <v>45147</v>
      </c>
      <c r="J572" s="22">
        <f t="shared" si="25"/>
        <v>62</v>
      </c>
      <c r="K572" t="s">
        <v>19</v>
      </c>
      <c r="L572">
        <v>27092</v>
      </c>
      <c r="M572">
        <v>677</v>
      </c>
      <c r="N572" s="26">
        <v>1296.29</v>
      </c>
      <c r="O572" s="26">
        <f t="shared" si="26"/>
        <v>1296.29</v>
      </c>
      <c r="P572">
        <v>83</v>
      </c>
      <c r="Q572" t="b">
        <v>1</v>
      </c>
      <c r="S572" t="s">
        <v>20</v>
      </c>
    </row>
    <row r="573" spans="1:19">
      <c r="A573" t="s">
        <v>1201</v>
      </c>
      <c r="B573" t="s">
        <v>1202</v>
      </c>
      <c r="C573" s="23" t="s">
        <v>4128</v>
      </c>
      <c r="D573" s="23">
        <v>45235</v>
      </c>
      <c r="E573" s="22">
        <v>11</v>
      </c>
      <c r="F573" s="22">
        <v>5</v>
      </c>
      <c r="G573" s="22">
        <v>2023</v>
      </c>
      <c r="H573" s="23">
        <f t="shared" si="24"/>
        <v>45235</v>
      </c>
      <c r="I573" s="25">
        <v>45259</v>
      </c>
      <c r="J573" s="22">
        <f t="shared" si="25"/>
        <v>24</v>
      </c>
      <c r="K573" t="s">
        <v>33</v>
      </c>
      <c r="L573">
        <v>12338</v>
      </c>
      <c r="M573">
        <v>389</v>
      </c>
      <c r="N573" s="26">
        <v>332.87</v>
      </c>
      <c r="O573" s="26">
        <f t="shared" si="26"/>
        <v>332.87</v>
      </c>
      <c r="P573">
        <v>74</v>
      </c>
      <c r="Q573" t="b">
        <v>1</v>
      </c>
      <c r="S573" t="s">
        <v>34</v>
      </c>
    </row>
    <row r="574" spans="1:19">
      <c r="A574" t="s">
        <v>1203</v>
      </c>
      <c r="B574" t="s">
        <v>1204</v>
      </c>
      <c r="C574" s="23" t="s">
        <v>4129</v>
      </c>
      <c r="D574" s="23">
        <v>45077</v>
      </c>
      <c r="E574" s="22">
        <v>5</v>
      </c>
      <c r="F574" s="22">
        <v>31</v>
      </c>
      <c r="G574" s="22">
        <v>2023</v>
      </c>
      <c r="H574" s="23">
        <f t="shared" si="24"/>
        <v>45077</v>
      </c>
      <c r="I574" s="25">
        <v>45100</v>
      </c>
      <c r="J574" s="22">
        <f t="shared" si="25"/>
        <v>23</v>
      </c>
      <c r="K574" t="s">
        <v>41</v>
      </c>
      <c r="L574">
        <v>1412</v>
      </c>
      <c r="M574">
        <v>43</v>
      </c>
      <c r="N574" s="26">
        <v>28.44</v>
      </c>
      <c r="O574" s="26">
        <f t="shared" si="26"/>
        <v>28.44</v>
      </c>
      <c r="P574">
        <v>6</v>
      </c>
      <c r="Q574" t="b">
        <v>1</v>
      </c>
      <c r="S574" t="s">
        <v>68</v>
      </c>
    </row>
    <row r="575" spans="1:19">
      <c r="A575" t="s">
        <v>1205</v>
      </c>
      <c r="B575" t="s">
        <v>1206</v>
      </c>
      <c r="C575" s="23" t="s">
        <v>4131</v>
      </c>
      <c r="D575" s="23">
        <v>45265</v>
      </c>
      <c r="E575" s="22">
        <v>12</v>
      </c>
      <c r="F575" s="22">
        <v>5</v>
      </c>
      <c r="G575" s="22">
        <v>2023</v>
      </c>
      <c r="H575" s="23">
        <f t="shared" si="24"/>
        <v>45265</v>
      </c>
      <c r="I575" s="25">
        <v>45270</v>
      </c>
      <c r="J575" s="22">
        <f t="shared" si="25"/>
        <v>5</v>
      </c>
      <c r="K575" t="s">
        <v>138</v>
      </c>
      <c r="L575">
        <v>8543</v>
      </c>
      <c r="M575">
        <v>375</v>
      </c>
      <c r="N575" s="26">
        <v>619.57</v>
      </c>
      <c r="O575" s="26">
        <f t="shared" si="26"/>
        <v>619.57</v>
      </c>
      <c r="P575">
        <v>69</v>
      </c>
      <c r="Q575" t="b">
        <v>0</v>
      </c>
      <c r="S575" t="s">
        <v>139</v>
      </c>
    </row>
    <row r="576" spans="1:19">
      <c r="A576" t="s">
        <v>1207</v>
      </c>
      <c r="B576" t="s">
        <v>1208</v>
      </c>
      <c r="C576" s="23" t="s">
        <v>4129</v>
      </c>
      <c r="D576" s="23">
        <v>45145</v>
      </c>
      <c r="E576" s="22">
        <v>8</v>
      </c>
      <c r="F576" s="22">
        <v>7</v>
      </c>
      <c r="G576" s="22">
        <v>2023</v>
      </c>
      <c r="H576" s="23">
        <f t="shared" si="24"/>
        <v>45145</v>
      </c>
      <c r="I576" s="25">
        <v>45152</v>
      </c>
      <c r="J576" s="22">
        <f t="shared" si="25"/>
        <v>7</v>
      </c>
      <c r="K576" t="s">
        <v>19</v>
      </c>
      <c r="L576">
        <v>34496</v>
      </c>
      <c r="M576">
        <v>1503</v>
      </c>
      <c r="N576" s="26">
        <v>1879.83</v>
      </c>
      <c r="O576" s="26">
        <f t="shared" si="26"/>
        <v>1879.83</v>
      </c>
      <c r="P576">
        <v>178</v>
      </c>
      <c r="Q576" t="b">
        <v>0</v>
      </c>
      <c r="S576" t="s">
        <v>20</v>
      </c>
    </row>
    <row r="577" spans="1:19">
      <c r="A577" t="s">
        <v>1209</v>
      </c>
      <c r="B577" t="s">
        <v>1210</v>
      </c>
      <c r="C577" s="23" t="s">
        <v>4128</v>
      </c>
      <c r="D577" s="23" t="s">
        <v>1211</v>
      </c>
      <c r="E577" s="22">
        <v>17</v>
      </c>
      <c r="F577" s="22">
        <v>8</v>
      </c>
      <c r="G577" s="22">
        <v>2023</v>
      </c>
      <c r="H577" s="23">
        <f t="shared" si="24"/>
        <v>45155</v>
      </c>
      <c r="I577" s="25">
        <v>45158</v>
      </c>
      <c r="J577" s="22">
        <f t="shared" si="25"/>
        <v>3</v>
      </c>
      <c r="K577" t="s">
        <v>19</v>
      </c>
      <c r="L577">
        <v>61692</v>
      </c>
      <c r="M577">
        <v>2671</v>
      </c>
      <c r="N577" s="26">
        <v>3073.4</v>
      </c>
      <c r="O577" s="26">
        <f t="shared" si="26"/>
        <v>3073.4</v>
      </c>
      <c r="P577">
        <v>193</v>
      </c>
      <c r="Q577" t="b">
        <v>0</v>
      </c>
      <c r="S577" t="s">
        <v>20</v>
      </c>
    </row>
    <row r="578" spans="1:19">
      <c r="A578" t="s">
        <v>1212</v>
      </c>
      <c r="B578" t="s">
        <v>1213</v>
      </c>
      <c r="C578" s="23" t="s">
        <v>4128</v>
      </c>
      <c r="D578" s="23">
        <v>45107</v>
      </c>
      <c r="E578" s="22">
        <v>6</v>
      </c>
      <c r="F578" s="22">
        <v>30</v>
      </c>
      <c r="G578" s="22">
        <v>2023</v>
      </c>
      <c r="H578" s="23">
        <f t="shared" si="24"/>
        <v>45107</v>
      </c>
      <c r="I578" s="25">
        <v>45120</v>
      </c>
      <c r="J578" s="22">
        <f t="shared" si="25"/>
        <v>13</v>
      </c>
      <c r="K578" t="s">
        <v>19</v>
      </c>
      <c r="L578">
        <v>90084</v>
      </c>
      <c r="M578">
        <v>940</v>
      </c>
      <c r="N578" s="26">
        <v>-821.8</v>
      </c>
      <c r="O578" s="26">
        <f t="shared" si="26"/>
        <v>-344.195</v>
      </c>
      <c r="P578">
        <v>178</v>
      </c>
      <c r="Q578" t="b">
        <v>0</v>
      </c>
      <c r="S578" t="s">
        <v>20</v>
      </c>
    </row>
    <row r="579" spans="1:19">
      <c r="A579" t="s">
        <v>1214</v>
      </c>
      <c r="B579" t="s">
        <v>1215</v>
      </c>
      <c r="C579" s="23" t="s">
        <v>4127</v>
      </c>
      <c r="D579" s="23">
        <v>45254</v>
      </c>
      <c r="E579" s="22">
        <v>11</v>
      </c>
      <c r="F579" s="22">
        <v>24</v>
      </c>
      <c r="G579" s="22">
        <v>2023</v>
      </c>
      <c r="H579" s="23">
        <f t="shared" ref="H579:H642" si="27">IF(E579&gt;12,DATE(G579,F579,E579),D579)</f>
        <v>45254</v>
      </c>
      <c r="I579" s="25">
        <v>45276</v>
      </c>
      <c r="J579" s="22">
        <f t="shared" ref="J579:J642" si="28">DATEDIF(H579,I579,"D")</f>
        <v>22</v>
      </c>
      <c r="K579" t="s">
        <v>14</v>
      </c>
      <c r="L579">
        <v>93920</v>
      </c>
      <c r="M579">
        <v>3755</v>
      </c>
      <c r="N579" s="26">
        <v>4961.13</v>
      </c>
      <c r="O579" s="26">
        <f t="shared" ref="O579:O642" si="29">IF(N579&lt;$W$8,$W$8,IF(N579&gt;$W$9,$W$9,N579))</f>
        <v>3632.575</v>
      </c>
      <c r="P579">
        <v>446</v>
      </c>
      <c r="Q579" t="b">
        <v>1</v>
      </c>
      <c r="S579" t="s">
        <v>16</v>
      </c>
    </row>
    <row r="580" spans="1:19">
      <c r="A580" t="s">
        <v>1216</v>
      </c>
      <c r="B580" t="s">
        <v>1217</v>
      </c>
      <c r="C580" s="23" t="s">
        <v>4131</v>
      </c>
      <c r="D580" s="23">
        <v>44965</v>
      </c>
      <c r="E580" s="22">
        <v>2</v>
      </c>
      <c r="F580" s="22">
        <v>8</v>
      </c>
      <c r="G580" s="22">
        <v>2023</v>
      </c>
      <c r="H580" s="23">
        <f t="shared" si="27"/>
        <v>44965</v>
      </c>
      <c r="I580" s="25">
        <v>44978</v>
      </c>
      <c r="J580" s="22">
        <f t="shared" si="28"/>
        <v>13</v>
      </c>
      <c r="K580" t="s">
        <v>14</v>
      </c>
      <c r="L580">
        <v>45425</v>
      </c>
      <c r="M580">
        <v>1832</v>
      </c>
      <c r="N580" s="26">
        <v>1670.01</v>
      </c>
      <c r="O580" s="26">
        <f t="shared" si="29"/>
        <v>1670.01</v>
      </c>
      <c r="P580">
        <v>141</v>
      </c>
      <c r="Q580" t="b">
        <v>1</v>
      </c>
      <c r="S580" t="s">
        <v>16</v>
      </c>
    </row>
    <row r="581" spans="1:19">
      <c r="A581" t="s">
        <v>1218</v>
      </c>
      <c r="B581" t="s">
        <v>1219</v>
      </c>
      <c r="C581" s="23" t="s">
        <v>4127</v>
      </c>
      <c r="D581" s="23">
        <v>45189</v>
      </c>
      <c r="E581" s="22">
        <v>9</v>
      </c>
      <c r="F581" s="22">
        <v>20</v>
      </c>
      <c r="G581" s="22">
        <v>2023</v>
      </c>
      <c r="H581" s="23">
        <f t="shared" si="27"/>
        <v>45189</v>
      </c>
      <c r="I581" s="25">
        <v>45190</v>
      </c>
      <c r="J581" s="22">
        <f t="shared" si="28"/>
        <v>1</v>
      </c>
      <c r="K581" t="s">
        <v>14</v>
      </c>
      <c r="L581">
        <v>39756</v>
      </c>
      <c r="M581">
        <v>1476</v>
      </c>
      <c r="N581" s="26">
        <v>2734.1</v>
      </c>
      <c r="O581" s="26">
        <f t="shared" si="29"/>
        <v>2734.1</v>
      </c>
      <c r="P581">
        <v>140</v>
      </c>
      <c r="Q581" t="b">
        <v>1</v>
      </c>
      <c r="S581" t="s">
        <v>16</v>
      </c>
    </row>
    <row r="582" spans="1:19">
      <c r="A582" t="s">
        <v>1220</v>
      </c>
      <c r="B582" t="s">
        <v>1221</v>
      </c>
      <c r="C582" s="23" t="s">
        <v>4129</v>
      </c>
      <c r="D582" s="23">
        <v>44942</v>
      </c>
      <c r="E582" s="22">
        <v>1</v>
      </c>
      <c r="F582" s="22">
        <v>16</v>
      </c>
      <c r="G582" s="22">
        <v>2023</v>
      </c>
      <c r="H582" s="23">
        <f t="shared" si="27"/>
        <v>44942</v>
      </c>
      <c r="I582" s="25">
        <v>44944</v>
      </c>
      <c r="J582" s="22">
        <f t="shared" si="28"/>
        <v>2</v>
      </c>
      <c r="K582" t="s">
        <v>41</v>
      </c>
      <c r="L582">
        <v>19888</v>
      </c>
      <c r="M582">
        <v>800</v>
      </c>
      <c r="N582" s="26">
        <v>658.25</v>
      </c>
      <c r="O582" s="26">
        <f t="shared" si="29"/>
        <v>658.25</v>
      </c>
      <c r="P582">
        <v>46</v>
      </c>
      <c r="Q582" t="b">
        <v>0</v>
      </c>
      <c r="S582" t="s">
        <v>42</v>
      </c>
    </row>
    <row r="583" spans="1:19">
      <c r="A583" t="s">
        <v>1222</v>
      </c>
      <c r="B583" t="s">
        <v>1223</v>
      </c>
      <c r="C583" s="23" t="s">
        <v>4131</v>
      </c>
      <c r="D583" s="23" t="s">
        <v>1081</v>
      </c>
      <c r="E583" s="22">
        <v>13</v>
      </c>
      <c r="F583" s="22">
        <v>8</v>
      </c>
      <c r="G583" s="22">
        <v>2023</v>
      </c>
      <c r="H583" s="23">
        <f t="shared" si="27"/>
        <v>45151</v>
      </c>
      <c r="I583" s="25">
        <v>45167</v>
      </c>
      <c r="J583" s="22">
        <f t="shared" si="28"/>
        <v>16</v>
      </c>
      <c r="K583" t="s">
        <v>14</v>
      </c>
      <c r="L583">
        <v>36735</v>
      </c>
      <c r="M583">
        <v>1604</v>
      </c>
      <c r="N583" s="26">
        <v>2929.76</v>
      </c>
      <c r="O583" s="26">
        <f t="shared" si="29"/>
        <v>2929.76</v>
      </c>
      <c r="P583">
        <v>192</v>
      </c>
      <c r="Q583" t="b">
        <v>1</v>
      </c>
      <c r="S583" t="s">
        <v>16</v>
      </c>
    </row>
    <row r="584" spans="1:19">
      <c r="A584" t="s">
        <v>1224</v>
      </c>
      <c r="B584" t="s">
        <v>1225</v>
      </c>
      <c r="C584" s="23" t="s">
        <v>4129</v>
      </c>
      <c r="D584" s="23">
        <v>44961</v>
      </c>
      <c r="E584" s="22">
        <v>2</v>
      </c>
      <c r="F584" s="22">
        <v>4</v>
      </c>
      <c r="G584" s="22">
        <v>2023</v>
      </c>
      <c r="H584" s="23">
        <f t="shared" si="27"/>
        <v>44961</v>
      </c>
      <c r="I584" s="25">
        <v>44975</v>
      </c>
      <c r="J584" s="22">
        <f t="shared" si="28"/>
        <v>14</v>
      </c>
      <c r="K584" t="s">
        <v>19</v>
      </c>
      <c r="L584">
        <v>48295</v>
      </c>
      <c r="M584">
        <v>1391</v>
      </c>
      <c r="N584" s="26">
        <v>1862.7</v>
      </c>
      <c r="O584" s="26">
        <f t="shared" si="29"/>
        <v>1862.7</v>
      </c>
      <c r="P584">
        <v>247</v>
      </c>
      <c r="Q584" t="b">
        <v>0</v>
      </c>
      <c r="S584" t="s">
        <v>20</v>
      </c>
    </row>
    <row r="585" spans="1:19">
      <c r="A585" t="s">
        <v>1226</v>
      </c>
      <c r="B585" t="s">
        <v>1227</v>
      </c>
      <c r="C585" s="23" t="s">
        <v>4131</v>
      </c>
      <c r="D585" s="23">
        <v>45112</v>
      </c>
      <c r="E585" s="22">
        <v>7</v>
      </c>
      <c r="F585" s="22">
        <v>5</v>
      </c>
      <c r="G585" s="22">
        <v>2023</v>
      </c>
      <c r="H585" s="23">
        <f t="shared" si="27"/>
        <v>45112</v>
      </c>
      <c r="I585" s="25">
        <v>45139</v>
      </c>
      <c r="J585" s="22">
        <f t="shared" si="28"/>
        <v>27</v>
      </c>
      <c r="K585" t="s">
        <v>19</v>
      </c>
      <c r="L585">
        <v>84042</v>
      </c>
      <c r="M585">
        <v>2528</v>
      </c>
      <c r="N585" s="26">
        <v>4405.63</v>
      </c>
      <c r="O585" s="26">
        <f t="shared" si="29"/>
        <v>3632.575</v>
      </c>
      <c r="P585">
        <v>0</v>
      </c>
      <c r="Q585" t="b">
        <v>1</v>
      </c>
      <c r="S585" t="s">
        <v>20</v>
      </c>
    </row>
    <row r="586" spans="1:19">
      <c r="A586" t="s">
        <v>1228</v>
      </c>
      <c r="B586" t="s">
        <v>1229</v>
      </c>
      <c r="C586" s="23" t="s">
        <v>4131</v>
      </c>
      <c r="D586" s="23">
        <v>45236</v>
      </c>
      <c r="E586" s="22">
        <v>11</v>
      </c>
      <c r="F586" s="22">
        <v>6</v>
      </c>
      <c r="G586" s="22">
        <v>2023</v>
      </c>
      <c r="H586" s="23">
        <f t="shared" si="27"/>
        <v>45236</v>
      </c>
      <c r="I586" s="25">
        <v>45251</v>
      </c>
      <c r="J586" s="22">
        <f t="shared" si="28"/>
        <v>15</v>
      </c>
      <c r="K586" t="s">
        <v>33</v>
      </c>
      <c r="L586">
        <v>86999</v>
      </c>
      <c r="M586">
        <v>1303</v>
      </c>
      <c r="N586" s="26">
        <v>2044.76</v>
      </c>
      <c r="O586" s="26">
        <f t="shared" si="29"/>
        <v>2044.76</v>
      </c>
      <c r="P586">
        <v>247</v>
      </c>
      <c r="Q586" t="b">
        <v>1</v>
      </c>
      <c r="S586" t="s">
        <v>34</v>
      </c>
    </row>
    <row r="587" spans="1:19">
      <c r="A587" t="s">
        <v>1230</v>
      </c>
      <c r="B587" t="s">
        <v>1231</v>
      </c>
      <c r="C587" s="23" t="s">
        <v>4129</v>
      </c>
      <c r="D587" s="23">
        <v>45116</v>
      </c>
      <c r="E587" s="22">
        <v>7</v>
      </c>
      <c r="F587" s="22">
        <v>9</v>
      </c>
      <c r="G587" s="22">
        <v>2023</v>
      </c>
      <c r="H587" s="23">
        <f t="shared" si="27"/>
        <v>45116</v>
      </c>
      <c r="I587" s="25">
        <v>45130</v>
      </c>
      <c r="J587" s="22">
        <f t="shared" si="28"/>
        <v>14</v>
      </c>
      <c r="K587" t="s">
        <v>23</v>
      </c>
      <c r="L587">
        <v>18955</v>
      </c>
      <c r="M587">
        <v>481</v>
      </c>
      <c r="N587" s="26">
        <v>743.17</v>
      </c>
      <c r="O587" s="26">
        <f t="shared" si="29"/>
        <v>743.17</v>
      </c>
      <c r="P587">
        <v>33</v>
      </c>
      <c r="Q587" t="b">
        <v>1</v>
      </c>
      <c r="S587" t="s">
        <v>25</v>
      </c>
    </row>
    <row r="588" spans="1:19">
      <c r="A588" t="s">
        <v>1232</v>
      </c>
      <c r="B588" t="s">
        <v>1233</v>
      </c>
      <c r="C588" s="23" t="s">
        <v>4127</v>
      </c>
      <c r="D588" s="23">
        <v>45220</v>
      </c>
      <c r="E588" s="22">
        <v>10</v>
      </c>
      <c r="F588" s="22">
        <v>21</v>
      </c>
      <c r="G588" s="22">
        <v>2023</v>
      </c>
      <c r="H588" s="23">
        <f t="shared" si="27"/>
        <v>45220</v>
      </c>
      <c r="I588" s="25">
        <v>45226</v>
      </c>
      <c r="J588" s="22">
        <f t="shared" si="28"/>
        <v>6</v>
      </c>
      <c r="K588" t="s">
        <v>41</v>
      </c>
      <c r="L588">
        <v>38841</v>
      </c>
      <c r="M588">
        <v>1387</v>
      </c>
      <c r="N588" s="26">
        <v>1368.3</v>
      </c>
      <c r="O588" s="26">
        <f t="shared" si="29"/>
        <v>1368.3</v>
      </c>
      <c r="P588">
        <v>148</v>
      </c>
      <c r="Q588" t="b">
        <v>0</v>
      </c>
      <c r="S588" t="s">
        <v>42</v>
      </c>
    </row>
    <row r="589" spans="1:19">
      <c r="A589" t="s">
        <v>1234</v>
      </c>
      <c r="B589" t="s">
        <v>1235</v>
      </c>
      <c r="C589" s="23" t="s">
        <v>4131</v>
      </c>
      <c r="D589" s="23">
        <v>45087</v>
      </c>
      <c r="E589" s="22">
        <v>6</v>
      </c>
      <c r="F589" s="22">
        <v>10</v>
      </c>
      <c r="G589" s="22">
        <v>2023</v>
      </c>
      <c r="H589" s="23">
        <f t="shared" si="27"/>
        <v>45087</v>
      </c>
      <c r="I589" s="25">
        <v>45088</v>
      </c>
      <c r="J589" s="22">
        <f t="shared" si="28"/>
        <v>1</v>
      </c>
      <c r="K589" t="s">
        <v>41</v>
      </c>
      <c r="L589">
        <v>71640</v>
      </c>
      <c r="M589">
        <v>2952</v>
      </c>
      <c r="N589" s="26">
        <v>2511.7</v>
      </c>
      <c r="O589" s="26">
        <f t="shared" si="29"/>
        <v>2511.7</v>
      </c>
      <c r="P589">
        <v>0</v>
      </c>
      <c r="Q589" t="b">
        <v>0</v>
      </c>
      <c r="S589" t="s">
        <v>42</v>
      </c>
    </row>
    <row r="590" spans="1:19">
      <c r="A590" t="s">
        <v>1236</v>
      </c>
      <c r="B590" t="s">
        <v>1237</v>
      </c>
      <c r="C590" s="23" t="s">
        <v>4127</v>
      </c>
      <c r="D590" s="23" t="s">
        <v>1238</v>
      </c>
      <c r="E590" s="22">
        <v>28</v>
      </c>
      <c r="F590" s="22">
        <v>2</v>
      </c>
      <c r="G590" s="22">
        <v>2023</v>
      </c>
      <c r="H590" s="23">
        <f t="shared" si="27"/>
        <v>44985</v>
      </c>
      <c r="I590" s="25">
        <v>45004</v>
      </c>
      <c r="J590" s="22">
        <f t="shared" si="28"/>
        <v>19</v>
      </c>
      <c r="K590" t="s">
        <v>14</v>
      </c>
      <c r="L590">
        <v>66510</v>
      </c>
      <c r="M590">
        <v>1242</v>
      </c>
      <c r="N590" s="26">
        <v>1013.88</v>
      </c>
      <c r="O590" s="26">
        <f t="shared" si="29"/>
        <v>1013.88</v>
      </c>
      <c r="P590">
        <v>221</v>
      </c>
      <c r="Q590" t="b">
        <v>1</v>
      </c>
      <c r="S590" t="s">
        <v>16</v>
      </c>
    </row>
    <row r="591" spans="1:19">
      <c r="A591" t="s">
        <v>1239</v>
      </c>
      <c r="B591" t="s">
        <v>1240</v>
      </c>
      <c r="C591" s="23" t="s">
        <v>4128</v>
      </c>
      <c r="D591" s="23">
        <v>45022</v>
      </c>
      <c r="E591" s="22">
        <v>4</v>
      </c>
      <c r="F591" s="22">
        <v>6</v>
      </c>
      <c r="G591" s="22">
        <v>2023</v>
      </c>
      <c r="H591" s="23">
        <f t="shared" si="27"/>
        <v>45022</v>
      </c>
      <c r="I591" s="25">
        <v>45051</v>
      </c>
      <c r="J591" s="22">
        <f t="shared" si="28"/>
        <v>29</v>
      </c>
      <c r="K591" t="s">
        <v>19</v>
      </c>
      <c r="L591">
        <v>35911</v>
      </c>
      <c r="M591">
        <v>557</v>
      </c>
      <c r="N591" s="26">
        <v>994.68</v>
      </c>
      <c r="O591" s="26">
        <f t="shared" si="29"/>
        <v>994.68</v>
      </c>
      <c r="P591">
        <v>57</v>
      </c>
      <c r="Q591" t="b">
        <v>0</v>
      </c>
      <c r="S591" t="s">
        <v>20</v>
      </c>
    </row>
    <row r="592" spans="1:19">
      <c r="A592" t="s">
        <v>1241</v>
      </c>
      <c r="B592" t="s">
        <v>1242</v>
      </c>
      <c r="C592" s="23" t="s">
        <v>4127</v>
      </c>
      <c r="D592" s="23">
        <v>45214</v>
      </c>
      <c r="E592" s="22">
        <v>10</v>
      </c>
      <c r="F592" s="22">
        <v>15</v>
      </c>
      <c r="G592" s="22">
        <v>2023</v>
      </c>
      <c r="H592" s="23">
        <f t="shared" si="27"/>
        <v>45214</v>
      </c>
      <c r="I592" s="25">
        <v>45216</v>
      </c>
      <c r="J592" s="22">
        <f t="shared" si="28"/>
        <v>2</v>
      </c>
      <c r="K592" t="s">
        <v>138</v>
      </c>
      <c r="L592">
        <v>60031</v>
      </c>
      <c r="M592">
        <v>2192</v>
      </c>
      <c r="N592" s="26">
        <v>3793.56</v>
      </c>
      <c r="O592" s="26">
        <f t="shared" si="29"/>
        <v>3632.575</v>
      </c>
      <c r="P592">
        <v>317</v>
      </c>
      <c r="Q592" t="b">
        <v>1</v>
      </c>
      <c r="S592" t="s">
        <v>68</v>
      </c>
    </row>
    <row r="593" spans="1:19">
      <c r="A593" t="s">
        <v>1243</v>
      </c>
      <c r="B593" t="s">
        <v>1244</v>
      </c>
      <c r="C593" s="23" t="s">
        <v>4131</v>
      </c>
      <c r="D593" s="23">
        <v>45287</v>
      </c>
      <c r="E593" s="22">
        <v>12</v>
      </c>
      <c r="F593" s="22">
        <v>27</v>
      </c>
      <c r="G593" s="22">
        <v>2023</v>
      </c>
      <c r="H593" s="23">
        <f t="shared" si="27"/>
        <v>45287</v>
      </c>
      <c r="I593" s="25">
        <v>45309</v>
      </c>
      <c r="J593" s="22">
        <f t="shared" si="28"/>
        <v>22</v>
      </c>
      <c r="K593" t="s">
        <v>191</v>
      </c>
      <c r="L593">
        <v>89726</v>
      </c>
      <c r="M593">
        <v>904</v>
      </c>
      <c r="N593" s="26">
        <v>1049.42</v>
      </c>
      <c r="O593" s="26">
        <f t="shared" si="29"/>
        <v>1049.42</v>
      </c>
      <c r="P593">
        <v>142</v>
      </c>
      <c r="Q593" t="b">
        <v>1</v>
      </c>
      <c r="S593" t="s">
        <v>42</v>
      </c>
    </row>
    <row r="594" spans="1:19">
      <c r="A594" t="s">
        <v>1245</v>
      </c>
      <c r="B594" t="s">
        <v>1246</v>
      </c>
      <c r="C594" s="23" t="s">
        <v>4131</v>
      </c>
      <c r="D594" s="23">
        <v>45073</v>
      </c>
      <c r="E594" s="22">
        <v>5</v>
      </c>
      <c r="F594" s="22">
        <v>27</v>
      </c>
      <c r="G594" s="22">
        <v>2023</v>
      </c>
      <c r="H594" s="23">
        <f t="shared" si="27"/>
        <v>45073</v>
      </c>
      <c r="I594" s="25">
        <v>45076</v>
      </c>
      <c r="J594" s="22">
        <f t="shared" si="28"/>
        <v>3</v>
      </c>
      <c r="K594" t="s">
        <v>23</v>
      </c>
      <c r="L594">
        <v>8357</v>
      </c>
      <c r="M594">
        <v>143</v>
      </c>
      <c r="N594" s="26">
        <v>99.9</v>
      </c>
      <c r="O594" s="26">
        <f t="shared" si="29"/>
        <v>99.9</v>
      </c>
      <c r="P594">
        <v>16</v>
      </c>
      <c r="Q594" t="b">
        <v>1</v>
      </c>
      <c r="S594" t="s">
        <v>25</v>
      </c>
    </row>
    <row r="595" spans="1:19">
      <c r="A595" t="s">
        <v>1247</v>
      </c>
      <c r="B595" t="s">
        <v>1248</v>
      </c>
      <c r="C595" s="23" t="s">
        <v>4131</v>
      </c>
      <c r="D595" s="23">
        <v>45029</v>
      </c>
      <c r="E595" s="22">
        <v>4</v>
      </c>
      <c r="F595" s="22">
        <v>13</v>
      </c>
      <c r="G595" s="22">
        <v>2023</v>
      </c>
      <c r="H595" s="23">
        <f t="shared" si="27"/>
        <v>45029</v>
      </c>
      <c r="I595" s="25">
        <v>45054</v>
      </c>
      <c r="J595" s="22">
        <f t="shared" si="28"/>
        <v>25</v>
      </c>
      <c r="K595" t="s">
        <v>33</v>
      </c>
      <c r="L595">
        <v>33479</v>
      </c>
      <c r="M595">
        <v>373</v>
      </c>
      <c r="N595" s="26">
        <v>400.37</v>
      </c>
      <c r="O595" s="26">
        <f t="shared" si="29"/>
        <v>400.37</v>
      </c>
      <c r="P595">
        <v>35</v>
      </c>
      <c r="Q595" t="b">
        <v>0</v>
      </c>
      <c r="S595" t="s">
        <v>34</v>
      </c>
    </row>
    <row r="596" spans="1:19">
      <c r="A596" t="s">
        <v>1249</v>
      </c>
      <c r="B596" t="s">
        <v>1250</v>
      </c>
      <c r="C596" s="23" t="s">
        <v>4129</v>
      </c>
      <c r="D596" s="23">
        <v>45158</v>
      </c>
      <c r="E596" s="22">
        <v>8</v>
      </c>
      <c r="F596" s="22">
        <v>20</v>
      </c>
      <c r="G596" s="22">
        <v>2023</v>
      </c>
      <c r="H596" s="23">
        <f t="shared" si="27"/>
        <v>45158</v>
      </c>
      <c r="I596" s="25">
        <v>45187</v>
      </c>
      <c r="J596" s="22">
        <f t="shared" si="28"/>
        <v>29</v>
      </c>
      <c r="K596" t="s">
        <v>19</v>
      </c>
      <c r="L596">
        <v>62476</v>
      </c>
      <c r="M596">
        <v>1041</v>
      </c>
      <c r="N596" s="26">
        <v>1487.6</v>
      </c>
      <c r="O596" s="26">
        <f t="shared" si="29"/>
        <v>1487.6</v>
      </c>
      <c r="P596">
        <v>202</v>
      </c>
      <c r="Q596" t="b">
        <v>0</v>
      </c>
      <c r="S596" t="s">
        <v>20</v>
      </c>
    </row>
    <row r="597" spans="1:19">
      <c r="A597" t="s">
        <v>1251</v>
      </c>
      <c r="B597" t="s">
        <v>1252</v>
      </c>
      <c r="C597" s="23" t="s">
        <v>4131</v>
      </c>
      <c r="D597" s="23">
        <v>44971</v>
      </c>
      <c r="E597" s="22">
        <v>2</v>
      </c>
      <c r="F597" s="22">
        <v>14</v>
      </c>
      <c r="G597" s="22">
        <v>2023</v>
      </c>
      <c r="H597" s="23">
        <f t="shared" si="27"/>
        <v>44971</v>
      </c>
      <c r="I597" s="25">
        <v>44980</v>
      </c>
      <c r="J597" s="22">
        <f t="shared" si="28"/>
        <v>9</v>
      </c>
      <c r="K597" t="s">
        <v>23</v>
      </c>
      <c r="L597">
        <v>45811</v>
      </c>
      <c r="M597">
        <v>790</v>
      </c>
      <c r="N597" s="26">
        <v>933.47</v>
      </c>
      <c r="O597" s="26">
        <f t="shared" si="29"/>
        <v>933.47</v>
      </c>
      <c r="P597">
        <v>153</v>
      </c>
      <c r="Q597" t="b">
        <v>1</v>
      </c>
      <c r="S597" t="s">
        <v>25</v>
      </c>
    </row>
    <row r="598" spans="1:19">
      <c r="A598" t="s">
        <v>1253</v>
      </c>
      <c r="B598" t="s">
        <v>1254</v>
      </c>
      <c r="C598" s="23" t="s">
        <v>4129</v>
      </c>
      <c r="D598" s="23">
        <v>45090</v>
      </c>
      <c r="E598" s="22">
        <v>6</v>
      </c>
      <c r="F598" s="22">
        <v>13</v>
      </c>
      <c r="G598" s="22">
        <v>2023</v>
      </c>
      <c r="H598" s="23">
        <f t="shared" si="27"/>
        <v>45090</v>
      </c>
      <c r="I598" s="25">
        <v>45113</v>
      </c>
      <c r="J598" s="22">
        <f t="shared" si="28"/>
        <v>23</v>
      </c>
      <c r="K598" t="s">
        <v>41</v>
      </c>
      <c r="L598">
        <v>37208</v>
      </c>
      <c r="M598">
        <v>949</v>
      </c>
      <c r="N598" s="26">
        <v>1585.1</v>
      </c>
      <c r="O598" s="26">
        <f t="shared" si="29"/>
        <v>1585.1</v>
      </c>
      <c r="P598">
        <v>88</v>
      </c>
      <c r="Q598" t="b">
        <v>0</v>
      </c>
      <c r="S598" t="s">
        <v>42</v>
      </c>
    </row>
    <row r="599" spans="1:19">
      <c r="A599" t="s">
        <v>1255</v>
      </c>
      <c r="B599" t="s">
        <v>1256</v>
      </c>
      <c r="C599" s="23" t="s">
        <v>4127</v>
      </c>
      <c r="D599" s="23">
        <v>45208</v>
      </c>
      <c r="E599" s="22">
        <v>10</v>
      </c>
      <c r="F599" s="22">
        <v>9</v>
      </c>
      <c r="G599" s="22">
        <v>2023</v>
      </c>
      <c r="H599" s="23">
        <f t="shared" si="27"/>
        <v>45208</v>
      </c>
      <c r="I599" s="25">
        <v>45218</v>
      </c>
      <c r="J599" s="22">
        <f t="shared" si="28"/>
        <v>10</v>
      </c>
      <c r="K599" t="s">
        <v>23</v>
      </c>
      <c r="L599">
        <v>21150</v>
      </c>
      <c r="M599">
        <v>551</v>
      </c>
      <c r="N599" s="26">
        <v>1100.04</v>
      </c>
      <c r="O599" s="26">
        <f t="shared" si="29"/>
        <v>1100.04</v>
      </c>
      <c r="P599">
        <v>67</v>
      </c>
      <c r="Q599" t="b">
        <v>1</v>
      </c>
      <c r="S599" t="s">
        <v>25</v>
      </c>
    </row>
    <row r="600" spans="1:19">
      <c r="A600" t="s">
        <v>1257</v>
      </c>
      <c r="B600" t="s">
        <v>1258</v>
      </c>
      <c r="C600" s="23" t="s">
        <v>4131</v>
      </c>
      <c r="D600" s="23">
        <v>45007</v>
      </c>
      <c r="E600" s="22">
        <v>3</v>
      </c>
      <c r="F600" s="22">
        <v>22</v>
      </c>
      <c r="G600" s="22">
        <v>2023</v>
      </c>
      <c r="H600" s="23">
        <f t="shared" si="27"/>
        <v>45007</v>
      </c>
      <c r="I600" s="25">
        <v>45031</v>
      </c>
      <c r="J600" s="22">
        <f t="shared" si="28"/>
        <v>24</v>
      </c>
      <c r="K600" t="s">
        <v>14</v>
      </c>
      <c r="L600">
        <v>72180</v>
      </c>
      <c r="M600">
        <v>3245</v>
      </c>
      <c r="N600" s="26">
        <v>2552.84</v>
      </c>
      <c r="O600" s="26">
        <f t="shared" si="29"/>
        <v>2552.84</v>
      </c>
      <c r="P600">
        <v>635</v>
      </c>
      <c r="Q600" t="b">
        <v>0</v>
      </c>
      <c r="S600" t="s">
        <v>16</v>
      </c>
    </row>
    <row r="601" spans="1:19">
      <c r="A601" t="s">
        <v>1259</v>
      </c>
      <c r="B601" t="s">
        <v>1260</v>
      </c>
      <c r="C601" s="23" t="s">
        <v>4128</v>
      </c>
      <c r="D601" s="23">
        <v>45253</v>
      </c>
      <c r="E601" s="22">
        <v>11</v>
      </c>
      <c r="F601" s="22">
        <v>23</v>
      </c>
      <c r="G601" s="22">
        <v>2023</v>
      </c>
      <c r="H601" s="23">
        <f t="shared" si="27"/>
        <v>45253</v>
      </c>
      <c r="I601" s="25">
        <v>45269</v>
      </c>
      <c r="J601" s="22">
        <f t="shared" si="28"/>
        <v>16</v>
      </c>
      <c r="K601" t="s">
        <v>41</v>
      </c>
      <c r="L601">
        <v>44286</v>
      </c>
      <c r="M601">
        <v>1346</v>
      </c>
      <c r="N601" s="26">
        <v>1601.04</v>
      </c>
      <c r="O601" s="26">
        <f t="shared" si="29"/>
        <v>1601.04</v>
      </c>
      <c r="P601">
        <v>68</v>
      </c>
      <c r="Q601" t="b">
        <v>0</v>
      </c>
      <c r="S601" t="s">
        <v>42</v>
      </c>
    </row>
    <row r="602" spans="1:19">
      <c r="A602" t="s">
        <v>1261</v>
      </c>
      <c r="B602" t="s">
        <v>1262</v>
      </c>
      <c r="C602" s="23" t="s">
        <v>4128</v>
      </c>
      <c r="D602" s="23">
        <v>45041</v>
      </c>
      <c r="E602" s="22">
        <v>4</v>
      </c>
      <c r="F602" s="22">
        <v>25</v>
      </c>
      <c r="G602" s="22">
        <v>2023</v>
      </c>
      <c r="H602" s="23">
        <f t="shared" si="27"/>
        <v>45041</v>
      </c>
      <c r="I602" s="25">
        <v>45048</v>
      </c>
      <c r="J602" s="22">
        <f t="shared" si="28"/>
        <v>7</v>
      </c>
      <c r="K602" t="s">
        <v>41</v>
      </c>
      <c r="L602">
        <v>69450</v>
      </c>
      <c r="M602">
        <v>2704</v>
      </c>
      <c r="N602" s="26">
        <v>3100.07</v>
      </c>
      <c r="O602" s="26">
        <f t="shared" si="29"/>
        <v>3100.07</v>
      </c>
      <c r="P602">
        <v>302</v>
      </c>
      <c r="Q602" t="b">
        <v>0</v>
      </c>
      <c r="S602" t="s">
        <v>42</v>
      </c>
    </row>
    <row r="603" spans="1:19">
      <c r="A603" t="s">
        <v>1263</v>
      </c>
      <c r="B603" t="s">
        <v>1264</v>
      </c>
      <c r="C603" s="23" t="s">
        <v>4131</v>
      </c>
      <c r="D603" s="23">
        <v>44998</v>
      </c>
      <c r="E603" s="22">
        <v>3</v>
      </c>
      <c r="F603" s="22">
        <v>13</v>
      </c>
      <c r="G603" s="22">
        <v>2023</v>
      </c>
      <c r="H603" s="23">
        <f t="shared" si="27"/>
        <v>44998</v>
      </c>
      <c r="I603" s="25">
        <v>45024</v>
      </c>
      <c r="J603" s="22">
        <f t="shared" si="28"/>
        <v>26</v>
      </c>
      <c r="K603" t="s">
        <v>41</v>
      </c>
      <c r="L603">
        <v>22352</v>
      </c>
      <c r="M603">
        <v>316</v>
      </c>
      <c r="N603" s="26">
        <v>302.33</v>
      </c>
      <c r="O603" s="26">
        <f t="shared" si="29"/>
        <v>302.33</v>
      </c>
      <c r="P603">
        <v>20</v>
      </c>
      <c r="Q603" t="b">
        <v>1</v>
      </c>
      <c r="S603" t="s">
        <v>42</v>
      </c>
    </row>
    <row r="604" spans="1:19">
      <c r="A604" t="s">
        <v>1265</v>
      </c>
      <c r="B604" t="s">
        <v>1266</v>
      </c>
      <c r="C604" s="23" t="s">
        <v>4127</v>
      </c>
      <c r="D604" s="23">
        <v>45111</v>
      </c>
      <c r="E604" s="22">
        <v>7</v>
      </c>
      <c r="F604" s="22">
        <v>4</v>
      </c>
      <c r="G604" s="22">
        <v>2023</v>
      </c>
      <c r="H604" s="23">
        <f t="shared" si="27"/>
        <v>45111</v>
      </c>
      <c r="I604" s="25">
        <v>45120</v>
      </c>
      <c r="J604" s="22">
        <f t="shared" si="28"/>
        <v>9</v>
      </c>
      <c r="K604" t="s">
        <v>138</v>
      </c>
      <c r="L604">
        <v>56069</v>
      </c>
      <c r="M604">
        <v>1066</v>
      </c>
      <c r="N604" s="26">
        <v>849.75</v>
      </c>
      <c r="O604" s="26">
        <f t="shared" si="29"/>
        <v>849.75</v>
      </c>
      <c r="P604">
        <v>134</v>
      </c>
      <c r="Q604" t="b">
        <v>1</v>
      </c>
      <c r="S604" t="s">
        <v>139</v>
      </c>
    </row>
    <row r="605" spans="1:19">
      <c r="A605" t="s">
        <v>1267</v>
      </c>
      <c r="B605" t="s">
        <v>1268</v>
      </c>
      <c r="C605" s="23" t="s">
        <v>4128</v>
      </c>
      <c r="D605" s="23">
        <v>45209</v>
      </c>
      <c r="E605" s="22">
        <v>10</v>
      </c>
      <c r="F605" s="22">
        <v>10</v>
      </c>
      <c r="G605" s="22">
        <v>2023</v>
      </c>
      <c r="H605" s="23">
        <f t="shared" si="27"/>
        <v>45209</v>
      </c>
      <c r="I605" s="25">
        <v>45210</v>
      </c>
      <c r="J605" s="22">
        <f t="shared" si="28"/>
        <v>1</v>
      </c>
      <c r="K605" t="s">
        <v>14</v>
      </c>
      <c r="L605">
        <v>15397</v>
      </c>
      <c r="M605">
        <v>586</v>
      </c>
      <c r="N605" s="26">
        <v>350.74</v>
      </c>
      <c r="O605" s="26">
        <f t="shared" si="29"/>
        <v>350.74</v>
      </c>
      <c r="P605">
        <v>31</v>
      </c>
      <c r="Q605" t="b">
        <v>1</v>
      </c>
      <c r="S605" t="s">
        <v>16</v>
      </c>
    </row>
    <row r="606" spans="1:19">
      <c r="A606" t="s">
        <v>1269</v>
      </c>
      <c r="B606" t="s">
        <v>1270</v>
      </c>
      <c r="C606" s="23" t="s">
        <v>4131</v>
      </c>
      <c r="D606" s="23">
        <v>44960</v>
      </c>
      <c r="E606" s="22">
        <v>2</v>
      </c>
      <c r="F606" s="22">
        <v>3</v>
      </c>
      <c r="G606" s="22">
        <v>2023</v>
      </c>
      <c r="H606" s="23">
        <f t="shared" si="27"/>
        <v>44960</v>
      </c>
      <c r="I606" s="25">
        <v>44982</v>
      </c>
      <c r="J606" s="22">
        <f t="shared" si="28"/>
        <v>22</v>
      </c>
      <c r="K606" t="s">
        <v>23</v>
      </c>
      <c r="L606">
        <v>42555</v>
      </c>
      <c r="M606">
        <v>515</v>
      </c>
      <c r="N606" s="26">
        <v>-942.8</v>
      </c>
      <c r="O606" s="26">
        <f t="shared" si="29"/>
        <v>-344.195</v>
      </c>
      <c r="P606">
        <v>57</v>
      </c>
      <c r="Q606" t="b">
        <v>1</v>
      </c>
      <c r="S606" t="s">
        <v>25</v>
      </c>
    </row>
    <row r="607" spans="1:19">
      <c r="A607" t="s">
        <v>1271</v>
      </c>
      <c r="B607" t="s">
        <v>1272</v>
      </c>
      <c r="C607" s="23" t="s">
        <v>4128</v>
      </c>
      <c r="D607" s="23">
        <v>45172</v>
      </c>
      <c r="E607" s="22">
        <v>9</v>
      </c>
      <c r="F607" s="22">
        <v>3</v>
      </c>
      <c r="G607" s="22">
        <v>2023</v>
      </c>
      <c r="H607" s="23">
        <f t="shared" si="27"/>
        <v>45172</v>
      </c>
      <c r="I607" s="25">
        <v>45181</v>
      </c>
      <c r="J607" s="22">
        <f t="shared" si="28"/>
        <v>9</v>
      </c>
      <c r="K607" t="s">
        <v>23</v>
      </c>
      <c r="L607">
        <v>47959</v>
      </c>
      <c r="M607">
        <v>1413</v>
      </c>
      <c r="N607" s="26">
        <v>1596.37</v>
      </c>
      <c r="O607" s="26">
        <f t="shared" si="29"/>
        <v>1596.37</v>
      </c>
      <c r="P607">
        <v>117</v>
      </c>
      <c r="Q607" t="b">
        <v>1</v>
      </c>
      <c r="S607" t="s">
        <v>25</v>
      </c>
    </row>
    <row r="608" spans="1:19">
      <c r="A608" t="s">
        <v>1273</v>
      </c>
      <c r="B608" t="s">
        <v>1274</v>
      </c>
      <c r="C608" s="23" t="s">
        <v>4129</v>
      </c>
      <c r="D608" s="23" t="s">
        <v>1275</v>
      </c>
      <c r="E608" s="22">
        <v>22</v>
      </c>
      <c r="F608" s="22">
        <v>10</v>
      </c>
      <c r="G608" s="22">
        <v>2023</v>
      </c>
      <c r="H608" s="23">
        <f t="shared" si="27"/>
        <v>45221</v>
      </c>
      <c r="I608" s="25">
        <v>45249</v>
      </c>
      <c r="J608" s="22">
        <f t="shared" si="28"/>
        <v>28</v>
      </c>
      <c r="K608" t="s">
        <v>138</v>
      </c>
      <c r="L608">
        <v>1728</v>
      </c>
      <c r="M608">
        <v>58</v>
      </c>
      <c r="N608" s="26">
        <v>72.23</v>
      </c>
      <c r="O608" s="26">
        <f t="shared" si="29"/>
        <v>72.23</v>
      </c>
      <c r="P608">
        <v>7</v>
      </c>
      <c r="Q608" t="b">
        <v>0</v>
      </c>
      <c r="S608" t="s">
        <v>139</v>
      </c>
    </row>
    <row r="609" spans="1:19">
      <c r="A609" t="s">
        <v>1276</v>
      </c>
      <c r="B609" t="s">
        <v>1277</v>
      </c>
      <c r="C609" s="23" t="s">
        <v>4127</v>
      </c>
      <c r="D609" s="23">
        <v>45089</v>
      </c>
      <c r="E609" s="22">
        <v>6</v>
      </c>
      <c r="F609" s="22">
        <v>12</v>
      </c>
      <c r="G609" s="22">
        <v>2023</v>
      </c>
      <c r="H609" s="23">
        <f t="shared" si="27"/>
        <v>45089</v>
      </c>
      <c r="I609" s="25">
        <v>45096</v>
      </c>
      <c r="J609" s="22">
        <f t="shared" si="28"/>
        <v>7</v>
      </c>
      <c r="K609" t="s">
        <v>23</v>
      </c>
      <c r="L609">
        <v>51517</v>
      </c>
      <c r="M609">
        <v>1755</v>
      </c>
      <c r="N609" s="26">
        <v>3291.35</v>
      </c>
      <c r="O609" s="26">
        <f t="shared" si="29"/>
        <v>3291.35</v>
      </c>
      <c r="P609">
        <v>349</v>
      </c>
      <c r="Q609" t="b">
        <v>1</v>
      </c>
      <c r="S609" t="s">
        <v>25</v>
      </c>
    </row>
    <row r="610" spans="1:19">
      <c r="A610" t="s">
        <v>1278</v>
      </c>
      <c r="B610" t="s">
        <v>1279</v>
      </c>
      <c r="C610" s="23" t="s">
        <v>4129</v>
      </c>
      <c r="D610" s="23">
        <v>45275</v>
      </c>
      <c r="E610" s="22">
        <v>12</v>
      </c>
      <c r="F610" s="22">
        <v>15</v>
      </c>
      <c r="G610" s="22">
        <v>2023</v>
      </c>
      <c r="H610" s="23">
        <f t="shared" si="27"/>
        <v>45275</v>
      </c>
      <c r="I610" s="25">
        <v>45283</v>
      </c>
      <c r="J610" s="22">
        <f t="shared" si="28"/>
        <v>8</v>
      </c>
      <c r="K610" t="s">
        <v>23</v>
      </c>
      <c r="L610">
        <v>67234</v>
      </c>
      <c r="M610">
        <v>734</v>
      </c>
      <c r="N610" s="26">
        <v>1221.7</v>
      </c>
      <c r="O610" s="26">
        <f t="shared" si="29"/>
        <v>1221.7</v>
      </c>
      <c r="P610">
        <v>124</v>
      </c>
      <c r="Q610" t="b">
        <v>1</v>
      </c>
      <c r="S610" t="s">
        <v>25</v>
      </c>
    </row>
    <row r="611" spans="1:19">
      <c r="A611" t="s">
        <v>1280</v>
      </c>
      <c r="B611" t="s">
        <v>1281</v>
      </c>
      <c r="C611" s="23" t="s">
        <v>4127</v>
      </c>
      <c r="D611" s="23">
        <v>45209</v>
      </c>
      <c r="E611" s="22">
        <v>10</v>
      </c>
      <c r="F611" s="22">
        <v>10</v>
      </c>
      <c r="G611" s="22">
        <v>2023</v>
      </c>
      <c r="H611" s="23">
        <f t="shared" si="27"/>
        <v>45209</v>
      </c>
      <c r="I611" s="25">
        <v>45232</v>
      </c>
      <c r="J611" s="22">
        <f t="shared" si="28"/>
        <v>23</v>
      </c>
      <c r="K611" t="s">
        <v>14</v>
      </c>
      <c r="L611">
        <v>40954</v>
      </c>
      <c r="M611">
        <v>937</v>
      </c>
      <c r="N611" s="26">
        <v>651.92</v>
      </c>
      <c r="O611" s="26">
        <f t="shared" si="29"/>
        <v>651.92</v>
      </c>
      <c r="P611">
        <v>165</v>
      </c>
      <c r="Q611" t="b">
        <v>0</v>
      </c>
      <c r="S611" t="s">
        <v>16</v>
      </c>
    </row>
    <row r="612" spans="1:19">
      <c r="A612" t="s">
        <v>1282</v>
      </c>
      <c r="B612" t="s">
        <v>1283</v>
      </c>
      <c r="C612" s="23" t="s">
        <v>4127</v>
      </c>
      <c r="D612" s="23">
        <v>44993</v>
      </c>
      <c r="E612" s="22">
        <v>3</v>
      </c>
      <c r="F612" s="22">
        <v>8</v>
      </c>
      <c r="G612" s="22">
        <v>2023</v>
      </c>
      <c r="H612" s="23">
        <f t="shared" si="27"/>
        <v>44993</v>
      </c>
      <c r="I612" s="25">
        <v>45008</v>
      </c>
      <c r="J612" s="22">
        <f t="shared" si="28"/>
        <v>15</v>
      </c>
      <c r="K612" t="s">
        <v>23</v>
      </c>
      <c r="L612">
        <v>48280</v>
      </c>
      <c r="M612">
        <v>1711</v>
      </c>
      <c r="N612" s="26">
        <v>2306.65</v>
      </c>
      <c r="O612" s="26">
        <f t="shared" si="29"/>
        <v>2306.65</v>
      </c>
      <c r="P612">
        <v>0</v>
      </c>
      <c r="Q612" t="b">
        <v>1</v>
      </c>
      <c r="S612" t="s">
        <v>68</v>
      </c>
    </row>
    <row r="613" spans="1:19">
      <c r="A613" t="s">
        <v>1284</v>
      </c>
      <c r="B613" t="s">
        <v>1285</v>
      </c>
      <c r="C613" s="23" t="s">
        <v>4128</v>
      </c>
      <c r="D613" s="23">
        <v>44955</v>
      </c>
      <c r="E613" s="22">
        <v>1</v>
      </c>
      <c r="F613" s="22">
        <v>29</v>
      </c>
      <c r="G613" s="22">
        <v>2023</v>
      </c>
      <c r="H613" s="23">
        <f t="shared" si="27"/>
        <v>44955</v>
      </c>
      <c r="I613" s="25">
        <v>44981</v>
      </c>
      <c r="J613" s="22">
        <f t="shared" si="28"/>
        <v>26</v>
      </c>
      <c r="K613" t="s">
        <v>14</v>
      </c>
      <c r="L613">
        <v>80459</v>
      </c>
      <c r="M613">
        <v>1284</v>
      </c>
      <c r="N613" s="26">
        <v>1493.78</v>
      </c>
      <c r="O613" s="26">
        <f t="shared" si="29"/>
        <v>1493.78</v>
      </c>
      <c r="P613">
        <v>72</v>
      </c>
      <c r="Q613" t="b">
        <v>1</v>
      </c>
      <c r="S613" t="s">
        <v>16</v>
      </c>
    </row>
    <row r="614" spans="1:19">
      <c r="A614" t="s">
        <v>1286</v>
      </c>
      <c r="B614" t="s">
        <v>1287</v>
      </c>
      <c r="C614" s="23" t="s">
        <v>4128</v>
      </c>
      <c r="D614" s="23">
        <v>45082</v>
      </c>
      <c r="E614" s="22">
        <v>6</v>
      </c>
      <c r="F614" s="22">
        <v>5</v>
      </c>
      <c r="G614" s="22">
        <v>2023</v>
      </c>
      <c r="H614" s="23">
        <f t="shared" si="27"/>
        <v>45082</v>
      </c>
      <c r="I614" s="25">
        <v>45083</v>
      </c>
      <c r="J614" s="22">
        <f t="shared" si="28"/>
        <v>1</v>
      </c>
      <c r="K614" t="s">
        <v>19</v>
      </c>
      <c r="L614">
        <v>17779</v>
      </c>
      <c r="M614">
        <v>672</v>
      </c>
      <c r="N614" s="26">
        <v>1139.59</v>
      </c>
      <c r="O614" s="26">
        <f t="shared" si="29"/>
        <v>1139.59</v>
      </c>
      <c r="P614">
        <v>54</v>
      </c>
      <c r="Q614" t="b">
        <v>0</v>
      </c>
      <c r="S614" t="s">
        <v>20</v>
      </c>
    </row>
    <row r="615" spans="1:19">
      <c r="A615" t="s">
        <v>1288</v>
      </c>
      <c r="B615" t="s">
        <v>1289</v>
      </c>
      <c r="C615" s="23" t="s">
        <v>4129</v>
      </c>
      <c r="D615" s="23">
        <v>45290</v>
      </c>
      <c r="E615" s="22">
        <v>12</v>
      </c>
      <c r="F615" s="22">
        <v>30</v>
      </c>
      <c r="G615" s="22">
        <v>2023</v>
      </c>
      <c r="H615" s="23">
        <f t="shared" si="27"/>
        <v>45290</v>
      </c>
      <c r="I615" s="25">
        <v>45311</v>
      </c>
      <c r="J615" s="22">
        <f t="shared" si="28"/>
        <v>21</v>
      </c>
      <c r="K615" t="s">
        <v>41</v>
      </c>
      <c r="L615">
        <v>64932</v>
      </c>
      <c r="M615">
        <v>2586</v>
      </c>
      <c r="N615" s="26">
        <v>4102.3</v>
      </c>
      <c r="O615" s="26">
        <f t="shared" si="29"/>
        <v>3632.575</v>
      </c>
      <c r="P615">
        <v>0</v>
      </c>
      <c r="Q615" t="b">
        <v>1</v>
      </c>
      <c r="S615" t="s">
        <v>42</v>
      </c>
    </row>
    <row r="616" spans="1:19">
      <c r="A616" t="s">
        <v>1290</v>
      </c>
      <c r="B616" t="s">
        <v>1291</v>
      </c>
      <c r="C616" s="23" t="s">
        <v>4128</v>
      </c>
      <c r="D616" s="23">
        <v>45192</v>
      </c>
      <c r="E616" s="22">
        <v>9</v>
      </c>
      <c r="F616" s="22">
        <v>23</v>
      </c>
      <c r="G616" s="22">
        <v>2023</v>
      </c>
      <c r="H616" s="23">
        <f t="shared" si="27"/>
        <v>45192</v>
      </c>
      <c r="I616" s="25">
        <v>45194</v>
      </c>
      <c r="J616" s="22">
        <f t="shared" si="28"/>
        <v>2</v>
      </c>
      <c r="K616" t="s">
        <v>33</v>
      </c>
      <c r="L616">
        <v>73936</v>
      </c>
      <c r="M616">
        <v>3643</v>
      </c>
      <c r="N616" s="26">
        <v>5594.22</v>
      </c>
      <c r="O616" s="26">
        <f t="shared" si="29"/>
        <v>3632.575</v>
      </c>
      <c r="P616">
        <v>382</v>
      </c>
      <c r="Q616" t="b">
        <v>1</v>
      </c>
      <c r="S616" t="s">
        <v>34</v>
      </c>
    </row>
    <row r="617" spans="1:19">
      <c r="A617" t="s">
        <v>1292</v>
      </c>
      <c r="B617" t="s">
        <v>1293</v>
      </c>
      <c r="C617" s="23" t="s">
        <v>4131</v>
      </c>
      <c r="D617" s="23">
        <v>45055</v>
      </c>
      <c r="E617" s="22">
        <v>5</v>
      </c>
      <c r="F617" s="22">
        <v>9</v>
      </c>
      <c r="G617" s="22">
        <v>2023</v>
      </c>
      <c r="H617" s="23">
        <f t="shared" si="27"/>
        <v>45055</v>
      </c>
      <c r="I617" s="25">
        <v>45083</v>
      </c>
      <c r="J617" s="22">
        <f t="shared" si="28"/>
        <v>28</v>
      </c>
      <c r="K617" t="s">
        <v>41</v>
      </c>
      <c r="L617">
        <v>25466</v>
      </c>
      <c r="M617">
        <v>468</v>
      </c>
      <c r="N617" s="26">
        <v>473.06</v>
      </c>
      <c r="O617" s="26">
        <f t="shared" si="29"/>
        <v>473.06</v>
      </c>
      <c r="P617">
        <v>30</v>
      </c>
      <c r="Q617" t="b">
        <v>0</v>
      </c>
      <c r="S617" t="s">
        <v>42</v>
      </c>
    </row>
    <row r="618" spans="1:19">
      <c r="A618" t="s">
        <v>1294</v>
      </c>
      <c r="B618" t="s">
        <v>1295</v>
      </c>
      <c r="C618" s="23" t="s">
        <v>4129</v>
      </c>
      <c r="D618" s="23">
        <v>45067</v>
      </c>
      <c r="E618" s="22">
        <v>5</v>
      </c>
      <c r="F618" s="22">
        <v>21</v>
      </c>
      <c r="G618" s="22">
        <v>2023</v>
      </c>
      <c r="H618" s="23">
        <f t="shared" si="27"/>
        <v>45067</v>
      </c>
      <c r="I618" s="25">
        <v>45086</v>
      </c>
      <c r="J618" s="22">
        <f t="shared" si="28"/>
        <v>19</v>
      </c>
      <c r="K618" t="s">
        <v>14</v>
      </c>
      <c r="L618">
        <v>37939</v>
      </c>
      <c r="M618">
        <v>1631</v>
      </c>
      <c r="N618" s="26">
        <v>2784.84</v>
      </c>
      <c r="O618" s="26">
        <f t="shared" si="29"/>
        <v>2784.84</v>
      </c>
      <c r="P618">
        <v>253</v>
      </c>
      <c r="Q618" t="b">
        <v>0</v>
      </c>
      <c r="S618" t="s">
        <v>16</v>
      </c>
    </row>
    <row r="619" spans="1:19">
      <c r="A619" t="s">
        <v>1296</v>
      </c>
      <c r="B619" t="s">
        <v>1297</v>
      </c>
      <c r="C619" s="23" t="s">
        <v>4128</v>
      </c>
      <c r="D619" s="23">
        <v>44936</v>
      </c>
      <c r="E619" s="22">
        <v>1</v>
      </c>
      <c r="F619" s="22">
        <v>10</v>
      </c>
      <c r="G619" s="22">
        <v>2023</v>
      </c>
      <c r="H619" s="23">
        <f t="shared" si="27"/>
        <v>44936</v>
      </c>
      <c r="I619" s="25">
        <v>45227</v>
      </c>
      <c r="J619" s="22">
        <f t="shared" si="28"/>
        <v>291</v>
      </c>
      <c r="K619" t="s">
        <v>19</v>
      </c>
      <c r="L619">
        <v>70896</v>
      </c>
      <c r="M619">
        <v>2184</v>
      </c>
      <c r="N619" s="26">
        <v>1263.63</v>
      </c>
      <c r="O619" s="26">
        <f t="shared" si="29"/>
        <v>1263.63</v>
      </c>
      <c r="P619">
        <v>207</v>
      </c>
      <c r="Q619" t="b">
        <v>0</v>
      </c>
      <c r="S619" t="s">
        <v>20</v>
      </c>
    </row>
    <row r="620" spans="1:19">
      <c r="A620" t="s">
        <v>1298</v>
      </c>
      <c r="B620" t="s">
        <v>1299</v>
      </c>
      <c r="C620" s="23" t="s">
        <v>4129</v>
      </c>
      <c r="D620" s="23">
        <v>45255</v>
      </c>
      <c r="E620" s="22">
        <v>11</v>
      </c>
      <c r="F620" s="22">
        <v>25</v>
      </c>
      <c r="G620" s="22">
        <v>2023</v>
      </c>
      <c r="H620" s="23">
        <f t="shared" si="27"/>
        <v>45255</v>
      </c>
      <c r="I620" s="25">
        <v>45283</v>
      </c>
      <c r="J620" s="22">
        <f t="shared" si="28"/>
        <v>28</v>
      </c>
      <c r="K620" t="s">
        <v>14</v>
      </c>
      <c r="L620">
        <v>36270</v>
      </c>
      <c r="M620">
        <v>904</v>
      </c>
      <c r="N620" s="26">
        <v>668.45</v>
      </c>
      <c r="O620" s="26">
        <f t="shared" si="29"/>
        <v>668.45</v>
      </c>
      <c r="P620">
        <v>81</v>
      </c>
      <c r="Q620" t="b">
        <v>1</v>
      </c>
      <c r="S620" t="s">
        <v>16</v>
      </c>
    </row>
    <row r="621" spans="1:19">
      <c r="A621" t="s">
        <v>1300</v>
      </c>
      <c r="B621" t="s">
        <v>1301</v>
      </c>
      <c r="C621" s="23" t="s">
        <v>4127</v>
      </c>
      <c r="D621" s="23">
        <v>45005</v>
      </c>
      <c r="E621" s="22">
        <v>3</v>
      </c>
      <c r="F621" s="22">
        <v>20</v>
      </c>
      <c r="G621" s="22">
        <v>2023</v>
      </c>
      <c r="H621" s="23">
        <f t="shared" si="27"/>
        <v>45005</v>
      </c>
      <c r="I621" s="25">
        <v>45019</v>
      </c>
      <c r="J621" s="22">
        <f t="shared" si="28"/>
        <v>14</v>
      </c>
      <c r="K621" t="s">
        <v>41</v>
      </c>
      <c r="L621">
        <v>60163</v>
      </c>
      <c r="M621">
        <v>896</v>
      </c>
      <c r="N621" s="26">
        <v>899.08</v>
      </c>
      <c r="O621" s="26">
        <f t="shared" si="29"/>
        <v>899.08</v>
      </c>
      <c r="P621">
        <v>0</v>
      </c>
      <c r="Q621" t="b">
        <v>1</v>
      </c>
      <c r="S621" t="s">
        <v>42</v>
      </c>
    </row>
    <row r="622" spans="1:19">
      <c r="A622" t="s">
        <v>1302</v>
      </c>
      <c r="B622" t="s">
        <v>1303</v>
      </c>
      <c r="C622" s="23" t="s">
        <v>4129</v>
      </c>
      <c r="D622" s="23">
        <v>45236</v>
      </c>
      <c r="E622" s="22">
        <v>11</v>
      </c>
      <c r="F622" s="22">
        <v>6</v>
      </c>
      <c r="G622" s="22">
        <v>2023</v>
      </c>
      <c r="H622" s="23">
        <f t="shared" si="27"/>
        <v>45236</v>
      </c>
      <c r="I622" s="25">
        <v>45254</v>
      </c>
      <c r="J622" s="22">
        <f t="shared" si="28"/>
        <v>18</v>
      </c>
      <c r="K622" t="s">
        <v>41</v>
      </c>
      <c r="L622">
        <v>83637</v>
      </c>
      <c r="M622">
        <v>3296</v>
      </c>
      <c r="N622" s="26">
        <v>2027.74</v>
      </c>
      <c r="O622" s="26">
        <f t="shared" si="29"/>
        <v>2027.74</v>
      </c>
      <c r="P622">
        <v>589</v>
      </c>
      <c r="Q622" t="b">
        <v>1</v>
      </c>
      <c r="S622" t="s">
        <v>42</v>
      </c>
    </row>
    <row r="623" spans="1:19">
      <c r="A623" t="s">
        <v>1304</v>
      </c>
      <c r="B623" t="s">
        <v>1305</v>
      </c>
      <c r="C623" s="23" t="s">
        <v>4127</v>
      </c>
      <c r="D623" s="23">
        <v>44948</v>
      </c>
      <c r="E623" s="22">
        <v>1</v>
      </c>
      <c r="F623" s="22">
        <v>22</v>
      </c>
      <c r="G623" s="22">
        <v>2023</v>
      </c>
      <c r="H623" s="23">
        <f t="shared" si="27"/>
        <v>44948</v>
      </c>
      <c r="I623" s="25">
        <v>44971</v>
      </c>
      <c r="J623" s="22">
        <f t="shared" si="28"/>
        <v>23</v>
      </c>
      <c r="K623" t="s">
        <v>33</v>
      </c>
      <c r="L623">
        <v>52934</v>
      </c>
      <c r="M623">
        <v>1028</v>
      </c>
      <c r="N623" s="26">
        <v>876.36</v>
      </c>
      <c r="O623" s="26">
        <f t="shared" si="29"/>
        <v>876.36</v>
      </c>
      <c r="P623">
        <v>114</v>
      </c>
      <c r="Q623" t="b">
        <v>1</v>
      </c>
      <c r="S623" t="s">
        <v>68</v>
      </c>
    </row>
    <row r="624" spans="1:19">
      <c r="A624" t="s">
        <v>1306</v>
      </c>
      <c r="B624" t="s">
        <v>1307</v>
      </c>
      <c r="C624" s="23" t="s">
        <v>4129</v>
      </c>
      <c r="D624" s="23">
        <v>44950</v>
      </c>
      <c r="E624" s="22">
        <v>1</v>
      </c>
      <c r="F624" s="22">
        <v>24</v>
      </c>
      <c r="G624" s="22">
        <v>2023</v>
      </c>
      <c r="H624" s="23">
        <f t="shared" si="27"/>
        <v>44950</v>
      </c>
      <c r="I624" s="25">
        <v>44966</v>
      </c>
      <c r="J624" s="22">
        <f t="shared" si="28"/>
        <v>16</v>
      </c>
      <c r="K624" t="s">
        <v>19</v>
      </c>
      <c r="L624">
        <v>65895</v>
      </c>
      <c r="M624">
        <v>1637</v>
      </c>
      <c r="N624" s="26">
        <v>2856.94</v>
      </c>
      <c r="O624" s="26">
        <f t="shared" si="29"/>
        <v>2856.94</v>
      </c>
      <c r="P624">
        <v>322</v>
      </c>
      <c r="Q624" t="b">
        <v>0</v>
      </c>
      <c r="S624" t="s">
        <v>20</v>
      </c>
    </row>
    <row r="625" spans="1:19">
      <c r="A625" t="s">
        <v>1308</v>
      </c>
      <c r="B625" t="s">
        <v>1309</v>
      </c>
      <c r="C625" s="23" t="s">
        <v>4127</v>
      </c>
      <c r="D625" s="23">
        <v>45062</v>
      </c>
      <c r="E625" s="22">
        <v>5</v>
      </c>
      <c r="F625" s="22">
        <v>16</v>
      </c>
      <c r="G625" s="22">
        <v>2023</v>
      </c>
      <c r="H625" s="23">
        <f t="shared" si="27"/>
        <v>45062</v>
      </c>
      <c r="I625" s="25">
        <v>45088</v>
      </c>
      <c r="J625" s="22">
        <f t="shared" si="28"/>
        <v>26</v>
      </c>
      <c r="K625" t="s">
        <v>19</v>
      </c>
      <c r="L625">
        <v>33307</v>
      </c>
      <c r="M625">
        <v>416</v>
      </c>
      <c r="N625" s="26">
        <v>799.71</v>
      </c>
      <c r="O625" s="26">
        <f t="shared" si="29"/>
        <v>799.71</v>
      </c>
      <c r="P625">
        <v>61</v>
      </c>
      <c r="Q625" t="b">
        <v>1</v>
      </c>
      <c r="S625" t="s">
        <v>20</v>
      </c>
    </row>
    <row r="626" spans="1:19">
      <c r="A626" t="s">
        <v>1310</v>
      </c>
      <c r="B626" t="s">
        <v>1311</v>
      </c>
      <c r="C626" s="23" t="s">
        <v>4129</v>
      </c>
      <c r="D626" s="23">
        <v>45140</v>
      </c>
      <c r="E626" s="22">
        <v>8</v>
      </c>
      <c r="F626" s="22">
        <v>2</v>
      </c>
      <c r="G626" s="22">
        <v>2023</v>
      </c>
      <c r="H626" s="23">
        <f t="shared" si="27"/>
        <v>45140</v>
      </c>
      <c r="I626" s="25">
        <v>44973</v>
      </c>
      <c r="J626" s="22">
        <f t="shared" si="28"/>
        <v>-167</v>
      </c>
      <c r="K626" t="s">
        <v>41</v>
      </c>
      <c r="L626">
        <v>55098</v>
      </c>
      <c r="M626">
        <v>2317</v>
      </c>
      <c r="N626" s="26">
        <v>2217.15</v>
      </c>
      <c r="O626" s="26">
        <f t="shared" si="29"/>
        <v>2217.15</v>
      </c>
      <c r="P626">
        <v>0</v>
      </c>
      <c r="Q626" t="b">
        <v>1</v>
      </c>
      <c r="S626" t="s">
        <v>42</v>
      </c>
    </row>
    <row r="627" spans="1:19">
      <c r="A627" t="s">
        <v>1312</v>
      </c>
      <c r="B627" t="s">
        <v>1313</v>
      </c>
      <c r="C627" s="23" t="s">
        <v>4129</v>
      </c>
      <c r="D627" s="23">
        <v>45248</v>
      </c>
      <c r="E627" s="22">
        <v>11</v>
      </c>
      <c r="F627" s="22">
        <v>18</v>
      </c>
      <c r="G627" s="22">
        <v>2023</v>
      </c>
      <c r="H627" s="23">
        <f t="shared" si="27"/>
        <v>45248</v>
      </c>
      <c r="I627" s="25">
        <v>45271</v>
      </c>
      <c r="J627" s="22">
        <f t="shared" si="28"/>
        <v>23</v>
      </c>
      <c r="K627" t="s">
        <v>23</v>
      </c>
      <c r="L627">
        <v>61921</v>
      </c>
      <c r="M627">
        <v>2517</v>
      </c>
      <c r="N627" s="26">
        <v>2257.18</v>
      </c>
      <c r="O627" s="26">
        <f t="shared" si="29"/>
        <v>2257.18</v>
      </c>
      <c r="P627">
        <v>137</v>
      </c>
      <c r="Q627" t="b">
        <v>0</v>
      </c>
      <c r="S627" t="s">
        <v>25</v>
      </c>
    </row>
    <row r="628" spans="1:19">
      <c r="A628" t="s">
        <v>1314</v>
      </c>
      <c r="B628" t="s">
        <v>1315</v>
      </c>
      <c r="C628" s="23" t="s">
        <v>4127</v>
      </c>
      <c r="D628" s="23">
        <v>45081</v>
      </c>
      <c r="E628" s="22">
        <v>6</v>
      </c>
      <c r="F628" s="22">
        <v>4</v>
      </c>
      <c r="G628" s="22">
        <v>2023</v>
      </c>
      <c r="H628" s="23">
        <f t="shared" si="27"/>
        <v>45081</v>
      </c>
      <c r="I628" s="25">
        <v>45109</v>
      </c>
      <c r="J628" s="22">
        <f t="shared" si="28"/>
        <v>28</v>
      </c>
      <c r="K628" t="s">
        <v>14</v>
      </c>
      <c r="L628">
        <v>6486</v>
      </c>
      <c r="M628">
        <v>255</v>
      </c>
      <c r="N628" s="26">
        <v>234.56</v>
      </c>
      <c r="O628" s="26">
        <f t="shared" si="29"/>
        <v>234.56</v>
      </c>
      <c r="P628">
        <v>17</v>
      </c>
      <c r="Q628" t="b">
        <v>1</v>
      </c>
      <c r="S628" t="s">
        <v>16</v>
      </c>
    </row>
    <row r="629" spans="1:19">
      <c r="A629" t="s">
        <v>1316</v>
      </c>
      <c r="B629" t="s">
        <v>1317</v>
      </c>
      <c r="C629" s="23" t="s">
        <v>4131</v>
      </c>
      <c r="D629" s="23">
        <v>45277</v>
      </c>
      <c r="E629" s="22">
        <v>12</v>
      </c>
      <c r="F629" s="22">
        <v>17</v>
      </c>
      <c r="G629" s="22">
        <v>2023</v>
      </c>
      <c r="H629" s="23">
        <f t="shared" si="27"/>
        <v>45277</v>
      </c>
      <c r="I629" s="25">
        <v>45301</v>
      </c>
      <c r="J629" s="22">
        <f t="shared" si="28"/>
        <v>24</v>
      </c>
      <c r="K629" t="s">
        <v>19</v>
      </c>
      <c r="L629">
        <v>9335</v>
      </c>
      <c r="M629">
        <v>205</v>
      </c>
      <c r="N629" s="26">
        <v>187.9</v>
      </c>
      <c r="O629" s="26">
        <f t="shared" si="29"/>
        <v>187.9</v>
      </c>
      <c r="P629">
        <v>29</v>
      </c>
      <c r="Q629" t="b">
        <v>1</v>
      </c>
      <c r="S629" t="s">
        <v>20</v>
      </c>
    </row>
    <row r="630" spans="1:19">
      <c r="A630" t="s">
        <v>1318</v>
      </c>
      <c r="B630" t="s">
        <v>1319</v>
      </c>
      <c r="C630" s="23" t="s">
        <v>4131</v>
      </c>
      <c r="D630" s="23" t="s">
        <v>1320</v>
      </c>
      <c r="E630" s="22">
        <v>19</v>
      </c>
      <c r="F630" s="22">
        <v>12</v>
      </c>
      <c r="G630" s="22">
        <v>2023</v>
      </c>
      <c r="H630" s="23">
        <f t="shared" si="27"/>
        <v>45279</v>
      </c>
      <c r="I630" s="25">
        <v>45281</v>
      </c>
      <c r="J630" s="22">
        <f t="shared" si="28"/>
        <v>2</v>
      </c>
      <c r="K630" t="s">
        <v>41</v>
      </c>
      <c r="L630">
        <v>87900</v>
      </c>
      <c r="M630">
        <v>1488</v>
      </c>
      <c r="N630" s="26">
        <v>824.2</v>
      </c>
      <c r="O630" s="26">
        <f t="shared" si="29"/>
        <v>824.2</v>
      </c>
      <c r="P630">
        <v>275</v>
      </c>
      <c r="Q630" t="b">
        <v>0</v>
      </c>
      <c r="S630" t="s">
        <v>42</v>
      </c>
    </row>
    <row r="631" spans="1:19">
      <c r="A631" t="s">
        <v>1321</v>
      </c>
      <c r="B631" t="s">
        <v>1322</v>
      </c>
      <c r="C631" s="23" t="s">
        <v>4128</v>
      </c>
      <c r="D631" s="23">
        <v>45152</v>
      </c>
      <c r="E631" s="22">
        <v>8</v>
      </c>
      <c r="F631" s="22">
        <v>14</v>
      </c>
      <c r="G631" s="22">
        <v>2023</v>
      </c>
      <c r="H631" s="23">
        <f t="shared" si="27"/>
        <v>45152</v>
      </c>
      <c r="I631" s="25">
        <v>45162</v>
      </c>
      <c r="J631" s="22">
        <f t="shared" si="28"/>
        <v>10</v>
      </c>
      <c r="K631" t="s">
        <v>41</v>
      </c>
      <c r="L631">
        <v>90112</v>
      </c>
      <c r="M631">
        <v>3199</v>
      </c>
      <c r="N631" s="26">
        <v>6047.31</v>
      </c>
      <c r="O631" s="26">
        <f t="shared" si="29"/>
        <v>3632.575</v>
      </c>
      <c r="P631">
        <v>459</v>
      </c>
      <c r="Q631" t="b">
        <v>1</v>
      </c>
      <c r="S631" t="s">
        <v>42</v>
      </c>
    </row>
    <row r="632" spans="1:19">
      <c r="A632" t="s">
        <v>1323</v>
      </c>
      <c r="B632" t="s">
        <v>1324</v>
      </c>
      <c r="C632" s="23" t="s">
        <v>4127</v>
      </c>
      <c r="D632" s="23">
        <v>45101</v>
      </c>
      <c r="E632" s="22">
        <v>6</v>
      </c>
      <c r="F632" s="22">
        <v>24</v>
      </c>
      <c r="G632" s="22">
        <v>2023</v>
      </c>
      <c r="H632" s="23">
        <f t="shared" si="27"/>
        <v>45101</v>
      </c>
      <c r="I632" s="25">
        <v>45113</v>
      </c>
      <c r="J632" s="22">
        <f t="shared" si="28"/>
        <v>12</v>
      </c>
      <c r="K632" t="s">
        <v>41</v>
      </c>
      <c r="L632">
        <v>98203</v>
      </c>
      <c r="M632">
        <v>2931</v>
      </c>
      <c r="N632" s="26">
        <v>2405.02</v>
      </c>
      <c r="O632" s="26">
        <f t="shared" si="29"/>
        <v>2405.02</v>
      </c>
      <c r="P632">
        <v>205</v>
      </c>
      <c r="Q632" t="b">
        <v>1</v>
      </c>
      <c r="S632" t="s">
        <v>42</v>
      </c>
    </row>
    <row r="633" spans="1:19">
      <c r="A633" t="s">
        <v>1325</v>
      </c>
      <c r="B633" t="s">
        <v>1326</v>
      </c>
      <c r="C633" s="23" t="s">
        <v>4127</v>
      </c>
      <c r="D633" s="23">
        <v>45090</v>
      </c>
      <c r="E633" s="22">
        <v>6</v>
      </c>
      <c r="F633" s="22">
        <v>13</v>
      </c>
      <c r="G633" s="22">
        <v>2023</v>
      </c>
      <c r="H633" s="23">
        <f t="shared" si="27"/>
        <v>45090</v>
      </c>
      <c r="I633" s="25">
        <v>45093</v>
      </c>
      <c r="J633" s="22">
        <f t="shared" si="28"/>
        <v>3</v>
      </c>
      <c r="K633" t="s">
        <v>33</v>
      </c>
      <c r="L633">
        <v>12130</v>
      </c>
      <c r="M633">
        <v>207</v>
      </c>
      <c r="N633" s="26">
        <v>233.91</v>
      </c>
      <c r="O633" s="26">
        <f t="shared" si="29"/>
        <v>233.91</v>
      </c>
      <c r="P633">
        <v>13</v>
      </c>
      <c r="Q633" t="b">
        <v>1</v>
      </c>
      <c r="S633" t="s">
        <v>34</v>
      </c>
    </row>
    <row r="634" spans="1:19">
      <c r="A634" t="s">
        <v>1327</v>
      </c>
      <c r="B634" t="s">
        <v>1328</v>
      </c>
      <c r="C634" s="23" t="s">
        <v>4129</v>
      </c>
      <c r="D634" s="23">
        <v>45131</v>
      </c>
      <c r="E634" s="22">
        <v>7</v>
      </c>
      <c r="F634" s="22">
        <v>24</v>
      </c>
      <c r="G634" s="22">
        <v>2023</v>
      </c>
      <c r="H634" s="23">
        <f t="shared" si="27"/>
        <v>45131</v>
      </c>
      <c r="I634" s="25">
        <v>45151</v>
      </c>
      <c r="J634" s="22">
        <f t="shared" si="28"/>
        <v>20</v>
      </c>
      <c r="K634" t="s">
        <v>19</v>
      </c>
      <c r="L634">
        <v>88508</v>
      </c>
      <c r="M634">
        <v>3313</v>
      </c>
      <c r="N634" s="26">
        <v>1704.64</v>
      </c>
      <c r="O634" s="26">
        <f t="shared" si="29"/>
        <v>1704.64</v>
      </c>
      <c r="P634">
        <v>585</v>
      </c>
      <c r="Q634" t="b">
        <v>1</v>
      </c>
      <c r="S634" t="s">
        <v>20</v>
      </c>
    </row>
    <row r="635" spans="1:19">
      <c r="A635" t="s">
        <v>1329</v>
      </c>
      <c r="B635" t="s">
        <v>1330</v>
      </c>
      <c r="C635" s="23" t="s">
        <v>4131</v>
      </c>
      <c r="D635" s="23">
        <v>45214</v>
      </c>
      <c r="E635" s="22">
        <v>10</v>
      </c>
      <c r="F635" s="22">
        <v>15</v>
      </c>
      <c r="G635" s="22">
        <v>2023</v>
      </c>
      <c r="H635" s="23">
        <f t="shared" si="27"/>
        <v>45214</v>
      </c>
      <c r="I635" s="25">
        <v>45226</v>
      </c>
      <c r="J635" s="22">
        <f t="shared" si="28"/>
        <v>12</v>
      </c>
      <c r="K635" t="s">
        <v>14</v>
      </c>
      <c r="L635">
        <v>61566</v>
      </c>
      <c r="M635">
        <v>3056</v>
      </c>
      <c r="N635" s="26">
        <v>5460.87</v>
      </c>
      <c r="O635" s="26">
        <f t="shared" si="29"/>
        <v>3632.575</v>
      </c>
      <c r="P635">
        <v>216</v>
      </c>
      <c r="Q635" t="b">
        <v>0</v>
      </c>
      <c r="S635" t="s">
        <v>16</v>
      </c>
    </row>
    <row r="636" spans="1:19">
      <c r="A636" t="s">
        <v>1331</v>
      </c>
      <c r="B636" t="s">
        <v>1332</v>
      </c>
      <c r="C636" s="23" t="s">
        <v>4128</v>
      </c>
      <c r="D636" s="23">
        <v>44989</v>
      </c>
      <c r="E636" s="22">
        <v>3</v>
      </c>
      <c r="F636" s="22">
        <v>4</v>
      </c>
      <c r="G636" s="22">
        <v>2023</v>
      </c>
      <c r="H636" s="23">
        <f t="shared" si="27"/>
        <v>44989</v>
      </c>
      <c r="I636" s="25">
        <v>45004</v>
      </c>
      <c r="J636" s="22">
        <f t="shared" si="28"/>
        <v>15</v>
      </c>
      <c r="K636" t="s">
        <v>19</v>
      </c>
      <c r="L636">
        <v>67703</v>
      </c>
      <c r="M636">
        <v>2700</v>
      </c>
      <c r="N636" s="26">
        <v>4311.19</v>
      </c>
      <c r="O636" s="26">
        <f t="shared" si="29"/>
        <v>3632.575</v>
      </c>
      <c r="P636">
        <v>345</v>
      </c>
      <c r="Q636" t="b">
        <v>1</v>
      </c>
      <c r="S636" t="s">
        <v>20</v>
      </c>
    </row>
    <row r="637" spans="1:19">
      <c r="A637" t="s">
        <v>1333</v>
      </c>
      <c r="B637" t="s">
        <v>1334</v>
      </c>
      <c r="C637" s="23" t="s">
        <v>4131</v>
      </c>
      <c r="D637" s="23" t="s">
        <v>1335</v>
      </c>
      <c r="E637" s="22">
        <v>19</v>
      </c>
      <c r="F637" s="22">
        <v>2</v>
      </c>
      <c r="G637" s="22">
        <v>2023</v>
      </c>
      <c r="H637" s="23">
        <f t="shared" si="27"/>
        <v>44976</v>
      </c>
      <c r="I637" s="25">
        <v>45003</v>
      </c>
      <c r="J637" s="22">
        <f t="shared" si="28"/>
        <v>27</v>
      </c>
      <c r="K637" t="s">
        <v>138</v>
      </c>
      <c r="L637">
        <v>28192</v>
      </c>
      <c r="M637">
        <v>1116</v>
      </c>
      <c r="N637" s="26">
        <v>2142.87</v>
      </c>
      <c r="O637" s="26">
        <f t="shared" si="29"/>
        <v>2142.87</v>
      </c>
      <c r="P637">
        <v>62</v>
      </c>
      <c r="Q637" t="b">
        <v>1</v>
      </c>
      <c r="S637" t="s">
        <v>139</v>
      </c>
    </row>
    <row r="638" spans="1:19">
      <c r="A638" t="s">
        <v>1336</v>
      </c>
      <c r="B638" t="s">
        <v>1337</v>
      </c>
      <c r="C638" s="23" t="s">
        <v>4129</v>
      </c>
      <c r="D638" s="23">
        <v>45123</v>
      </c>
      <c r="E638" s="22">
        <v>7</v>
      </c>
      <c r="F638" s="22">
        <v>16</v>
      </c>
      <c r="G638" s="22">
        <v>2023</v>
      </c>
      <c r="H638" s="23">
        <f t="shared" si="27"/>
        <v>45123</v>
      </c>
      <c r="I638" s="25">
        <v>45139</v>
      </c>
      <c r="J638" s="22">
        <f t="shared" si="28"/>
        <v>16</v>
      </c>
      <c r="K638" t="s">
        <v>41</v>
      </c>
      <c r="L638">
        <v>2062</v>
      </c>
      <c r="M638">
        <v>99</v>
      </c>
      <c r="N638" s="26">
        <v>165.57</v>
      </c>
      <c r="O638" s="26">
        <f t="shared" si="29"/>
        <v>165.57</v>
      </c>
      <c r="P638">
        <v>6</v>
      </c>
      <c r="Q638" t="b">
        <v>1</v>
      </c>
      <c r="S638" t="s">
        <v>42</v>
      </c>
    </row>
    <row r="639" spans="1:19">
      <c r="A639" t="s">
        <v>1338</v>
      </c>
      <c r="B639" t="s">
        <v>1339</v>
      </c>
      <c r="C639" s="23" t="s">
        <v>4131</v>
      </c>
      <c r="D639" s="23">
        <v>45008</v>
      </c>
      <c r="E639" s="22">
        <v>3</v>
      </c>
      <c r="F639" s="22">
        <v>23</v>
      </c>
      <c r="G639" s="22">
        <v>2023</v>
      </c>
      <c r="H639" s="23">
        <f t="shared" si="27"/>
        <v>45008</v>
      </c>
      <c r="I639" s="25">
        <v>45026</v>
      </c>
      <c r="J639" s="22">
        <f t="shared" si="28"/>
        <v>18</v>
      </c>
      <c r="K639" t="s">
        <v>14</v>
      </c>
      <c r="L639">
        <v>85076</v>
      </c>
      <c r="M639">
        <v>1541</v>
      </c>
      <c r="N639" s="26">
        <v>1495.63</v>
      </c>
      <c r="O639" s="26">
        <f t="shared" si="29"/>
        <v>1495.63</v>
      </c>
      <c r="P639">
        <v>232</v>
      </c>
      <c r="Q639" t="b">
        <v>1</v>
      </c>
      <c r="S639" t="s">
        <v>16</v>
      </c>
    </row>
    <row r="640" spans="1:19">
      <c r="A640" t="s">
        <v>1340</v>
      </c>
      <c r="B640" t="s">
        <v>1341</v>
      </c>
      <c r="C640" s="23" t="s">
        <v>4127</v>
      </c>
      <c r="D640" s="23">
        <v>45087</v>
      </c>
      <c r="E640" s="22">
        <v>6</v>
      </c>
      <c r="F640" s="22">
        <v>10</v>
      </c>
      <c r="G640" s="22">
        <v>2023</v>
      </c>
      <c r="H640" s="23">
        <f t="shared" si="27"/>
        <v>45087</v>
      </c>
      <c r="I640" s="25">
        <v>45093</v>
      </c>
      <c r="J640" s="22">
        <f t="shared" si="28"/>
        <v>6</v>
      </c>
      <c r="K640" t="s">
        <v>19</v>
      </c>
      <c r="L640">
        <v>90780</v>
      </c>
      <c r="M640">
        <v>2961</v>
      </c>
      <c r="N640" s="26">
        <v>2581.43</v>
      </c>
      <c r="O640" s="26">
        <f t="shared" si="29"/>
        <v>2581.43</v>
      </c>
      <c r="P640">
        <v>454</v>
      </c>
      <c r="Q640" t="b">
        <v>1</v>
      </c>
      <c r="S640" t="s">
        <v>20</v>
      </c>
    </row>
    <row r="641" spans="1:19">
      <c r="A641" t="s">
        <v>1342</v>
      </c>
      <c r="B641" t="s">
        <v>1343</v>
      </c>
      <c r="C641" s="23" t="s">
        <v>4128</v>
      </c>
      <c r="D641" s="23">
        <v>45190</v>
      </c>
      <c r="E641" s="22">
        <v>9</v>
      </c>
      <c r="F641" s="22">
        <v>21</v>
      </c>
      <c r="G641" s="22">
        <v>2023</v>
      </c>
      <c r="H641" s="23">
        <f t="shared" si="27"/>
        <v>45190</v>
      </c>
      <c r="I641" s="25">
        <v>45202</v>
      </c>
      <c r="J641" s="22">
        <f t="shared" si="28"/>
        <v>12</v>
      </c>
      <c r="K641" t="s">
        <v>33</v>
      </c>
      <c r="L641">
        <v>22545</v>
      </c>
      <c r="M641">
        <v>1108</v>
      </c>
      <c r="N641" s="26">
        <v>1713.6</v>
      </c>
      <c r="O641" s="26">
        <f t="shared" si="29"/>
        <v>1713.6</v>
      </c>
      <c r="P641">
        <v>112</v>
      </c>
      <c r="Q641" t="b">
        <v>0</v>
      </c>
      <c r="S641" t="s">
        <v>34</v>
      </c>
    </row>
    <row r="642" spans="1:19">
      <c r="A642" t="s">
        <v>1344</v>
      </c>
      <c r="B642" t="s">
        <v>1345</v>
      </c>
      <c r="C642" s="23" t="s">
        <v>4131</v>
      </c>
      <c r="D642" s="23">
        <v>45269</v>
      </c>
      <c r="E642" s="22">
        <v>12</v>
      </c>
      <c r="F642" s="22">
        <v>9</v>
      </c>
      <c r="G642" s="22">
        <v>2023</v>
      </c>
      <c r="H642" s="23">
        <f t="shared" si="27"/>
        <v>45269</v>
      </c>
      <c r="I642" s="25">
        <v>45203</v>
      </c>
      <c r="J642" s="22">
        <f t="shared" si="28"/>
        <v>-66</v>
      </c>
      <c r="K642" t="s">
        <v>23</v>
      </c>
      <c r="L642">
        <v>22689</v>
      </c>
      <c r="M642">
        <v>376</v>
      </c>
      <c r="N642" s="26">
        <v>393.36</v>
      </c>
      <c r="O642" s="26">
        <f t="shared" si="29"/>
        <v>393.36</v>
      </c>
      <c r="P642">
        <v>30</v>
      </c>
      <c r="Q642" t="b">
        <v>1</v>
      </c>
      <c r="S642" t="s">
        <v>25</v>
      </c>
    </row>
    <row r="643" spans="1:19">
      <c r="A643" t="s">
        <v>1346</v>
      </c>
      <c r="B643" t="s">
        <v>1347</v>
      </c>
      <c r="C643" s="23" t="s">
        <v>4129</v>
      </c>
      <c r="D643" s="23">
        <v>45128</v>
      </c>
      <c r="E643" s="22">
        <v>7</v>
      </c>
      <c r="F643" s="22">
        <v>21</v>
      </c>
      <c r="G643" s="22">
        <v>2023</v>
      </c>
      <c r="H643" s="23">
        <f t="shared" ref="H643:H706" si="30">IF(E643&gt;12,DATE(G643,F643,E643),D643)</f>
        <v>45128</v>
      </c>
      <c r="I643" s="25">
        <v>45123</v>
      </c>
      <c r="J643" s="22">
        <f t="shared" ref="J643:J706" si="31">DATEDIF(H643,I643,"D")</f>
        <v>-5</v>
      </c>
      <c r="K643" t="s">
        <v>19</v>
      </c>
      <c r="L643">
        <v>12174</v>
      </c>
      <c r="M643">
        <v>462</v>
      </c>
      <c r="N643" s="26">
        <v>623.39</v>
      </c>
      <c r="O643" s="26">
        <f t="shared" ref="O643:O706" si="32">IF(N643&lt;$W$8,$W$8,IF(N643&gt;$W$9,$W$9,N643))</f>
        <v>623.39</v>
      </c>
      <c r="P643">
        <v>79</v>
      </c>
      <c r="Q643" t="b">
        <v>1</v>
      </c>
      <c r="S643" t="s">
        <v>20</v>
      </c>
    </row>
    <row r="644" spans="1:19">
      <c r="A644" t="s">
        <v>1348</v>
      </c>
      <c r="B644" t="s">
        <v>1349</v>
      </c>
      <c r="C644" s="23" t="s">
        <v>4129</v>
      </c>
      <c r="D644" s="23">
        <v>45037</v>
      </c>
      <c r="E644" s="22">
        <v>4</v>
      </c>
      <c r="F644" s="22">
        <v>21</v>
      </c>
      <c r="G644" s="22">
        <v>2023</v>
      </c>
      <c r="H644" s="23">
        <f t="shared" si="30"/>
        <v>45037</v>
      </c>
      <c r="I644" s="25">
        <v>45049</v>
      </c>
      <c r="J644" s="22">
        <f t="shared" si="31"/>
        <v>12</v>
      </c>
      <c r="K644" t="s">
        <v>23</v>
      </c>
      <c r="L644">
        <v>89461</v>
      </c>
      <c r="M644">
        <v>2990</v>
      </c>
      <c r="N644" s="26">
        <v>1523.06</v>
      </c>
      <c r="O644" s="26">
        <f t="shared" si="32"/>
        <v>1523.06</v>
      </c>
      <c r="P644">
        <v>246</v>
      </c>
      <c r="Q644" t="b">
        <v>1</v>
      </c>
      <c r="S644" t="s">
        <v>25</v>
      </c>
    </row>
    <row r="645" spans="1:19">
      <c r="A645" t="s">
        <v>1350</v>
      </c>
      <c r="B645" t="s">
        <v>1351</v>
      </c>
      <c r="C645" s="23" t="s">
        <v>4129</v>
      </c>
      <c r="D645" s="23">
        <v>45071</v>
      </c>
      <c r="E645" s="22">
        <v>5</v>
      </c>
      <c r="F645" s="22">
        <v>25</v>
      </c>
      <c r="G645" s="22">
        <v>2023</v>
      </c>
      <c r="H645" s="23">
        <f t="shared" si="30"/>
        <v>45071</v>
      </c>
      <c r="I645" s="25">
        <v>45095</v>
      </c>
      <c r="J645" s="22">
        <f t="shared" si="31"/>
        <v>24</v>
      </c>
      <c r="K645" t="s">
        <v>23</v>
      </c>
      <c r="L645">
        <v>10348</v>
      </c>
      <c r="M645">
        <v>346</v>
      </c>
      <c r="N645" s="26">
        <v>205.12</v>
      </c>
      <c r="O645" s="26">
        <f t="shared" si="32"/>
        <v>205.12</v>
      </c>
      <c r="P645">
        <v>45</v>
      </c>
      <c r="Q645" t="b">
        <v>1</v>
      </c>
      <c r="S645" t="s">
        <v>25</v>
      </c>
    </row>
    <row r="646" spans="1:19">
      <c r="A646" t="s">
        <v>1352</v>
      </c>
      <c r="B646" t="s">
        <v>1353</v>
      </c>
      <c r="C646" s="23" t="s">
        <v>4131</v>
      </c>
      <c r="D646" s="23">
        <v>45261</v>
      </c>
      <c r="E646" s="22">
        <v>12</v>
      </c>
      <c r="F646" s="22">
        <v>1</v>
      </c>
      <c r="G646" s="22">
        <v>2023</v>
      </c>
      <c r="H646" s="23">
        <f t="shared" si="30"/>
        <v>45261</v>
      </c>
      <c r="I646" s="25">
        <v>45279</v>
      </c>
      <c r="J646" s="22">
        <f t="shared" si="31"/>
        <v>18</v>
      </c>
      <c r="K646" t="s">
        <v>19</v>
      </c>
      <c r="L646">
        <v>24714</v>
      </c>
      <c r="M646">
        <v>936</v>
      </c>
      <c r="N646" s="26">
        <v>1219.66</v>
      </c>
      <c r="O646" s="26">
        <f t="shared" si="32"/>
        <v>1219.66</v>
      </c>
      <c r="P646">
        <v>182</v>
      </c>
      <c r="Q646" t="b">
        <v>1</v>
      </c>
      <c r="S646" t="s">
        <v>20</v>
      </c>
    </row>
    <row r="647" spans="1:19">
      <c r="A647" t="s">
        <v>1354</v>
      </c>
      <c r="B647" t="s">
        <v>1355</v>
      </c>
      <c r="C647" s="23" t="s">
        <v>4127</v>
      </c>
      <c r="D647" s="23">
        <v>44931</v>
      </c>
      <c r="E647" s="22">
        <v>1</v>
      </c>
      <c r="F647" s="22">
        <v>5</v>
      </c>
      <c r="G647" s="22">
        <v>2023</v>
      </c>
      <c r="H647" s="23">
        <f t="shared" si="30"/>
        <v>44931</v>
      </c>
      <c r="I647" s="25">
        <v>44949</v>
      </c>
      <c r="J647" s="22">
        <f t="shared" si="31"/>
        <v>18</v>
      </c>
      <c r="K647" t="s">
        <v>19</v>
      </c>
      <c r="L647">
        <v>39102</v>
      </c>
      <c r="M647">
        <v>1845</v>
      </c>
      <c r="N647" s="26">
        <v>2489.1</v>
      </c>
      <c r="O647" s="26">
        <f t="shared" si="32"/>
        <v>2489.1</v>
      </c>
      <c r="P647">
        <v>133</v>
      </c>
      <c r="Q647" t="b">
        <v>1</v>
      </c>
      <c r="S647" t="s">
        <v>20</v>
      </c>
    </row>
    <row r="648" spans="1:19">
      <c r="A648" t="s">
        <v>1356</v>
      </c>
      <c r="B648" t="s">
        <v>1357</v>
      </c>
      <c r="C648" s="23" t="s">
        <v>4128</v>
      </c>
      <c r="D648" s="23">
        <v>45062</v>
      </c>
      <c r="E648" s="22">
        <v>5</v>
      </c>
      <c r="F648" s="22">
        <v>16</v>
      </c>
      <c r="G648" s="22">
        <v>2023</v>
      </c>
      <c r="H648" s="23">
        <f t="shared" si="30"/>
        <v>45062</v>
      </c>
      <c r="I648" s="25">
        <v>45067</v>
      </c>
      <c r="J648" s="22">
        <f t="shared" si="31"/>
        <v>5</v>
      </c>
      <c r="K648" t="s">
        <v>41</v>
      </c>
      <c r="L648">
        <v>75460</v>
      </c>
      <c r="M648">
        <v>3116</v>
      </c>
      <c r="N648" s="26">
        <v>5070.29</v>
      </c>
      <c r="O648" s="26">
        <f t="shared" si="32"/>
        <v>3632.575</v>
      </c>
      <c r="P648">
        <v>0</v>
      </c>
      <c r="Q648" t="b">
        <v>1</v>
      </c>
      <c r="S648" t="s">
        <v>42</v>
      </c>
    </row>
    <row r="649" spans="1:19">
      <c r="A649" t="s">
        <v>1358</v>
      </c>
      <c r="B649" t="s">
        <v>1359</v>
      </c>
      <c r="C649" s="23" t="s">
        <v>4127</v>
      </c>
      <c r="D649" s="23">
        <v>45114</v>
      </c>
      <c r="E649" s="22">
        <v>7</v>
      </c>
      <c r="F649" s="22">
        <v>7</v>
      </c>
      <c r="G649" s="22">
        <v>2023</v>
      </c>
      <c r="H649" s="23">
        <f t="shared" si="30"/>
        <v>45114</v>
      </c>
      <c r="I649" s="25">
        <v>45125</v>
      </c>
      <c r="J649" s="22">
        <f t="shared" si="31"/>
        <v>11</v>
      </c>
      <c r="K649" t="s">
        <v>23</v>
      </c>
      <c r="L649">
        <v>90930</v>
      </c>
      <c r="M649">
        <v>1113</v>
      </c>
      <c r="N649" s="26">
        <v>776.82</v>
      </c>
      <c r="O649" s="26">
        <f t="shared" si="32"/>
        <v>776.82</v>
      </c>
      <c r="P649">
        <v>86</v>
      </c>
      <c r="Q649" t="b">
        <v>0</v>
      </c>
      <c r="S649" t="s">
        <v>25</v>
      </c>
    </row>
    <row r="650" spans="1:19">
      <c r="A650" t="s">
        <v>1360</v>
      </c>
      <c r="B650" t="s">
        <v>1361</v>
      </c>
      <c r="C650" s="23" t="s">
        <v>4128</v>
      </c>
      <c r="D650" s="23">
        <v>44953</v>
      </c>
      <c r="E650" s="22">
        <v>1</v>
      </c>
      <c r="F650" s="22">
        <v>27</v>
      </c>
      <c r="G650" s="22">
        <v>2023</v>
      </c>
      <c r="H650" s="23">
        <f t="shared" si="30"/>
        <v>44953</v>
      </c>
      <c r="I650" s="25">
        <v>44977</v>
      </c>
      <c r="J650" s="22">
        <f t="shared" si="31"/>
        <v>24</v>
      </c>
      <c r="K650" t="s">
        <v>33</v>
      </c>
      <c r="L650">
        <v>7801</v>
      </c>
      <c r="M650">
        <v>344</v>
      </c>
      <c r="N650" s="26">
        <v>436.8</v>
      </c>
      <c r="O650" s="26">
        <f t="shared" si="32"/>
        <v>436.8</v>
      </c>
      <c r="P650">
        <v>46</v>
      </c>
      <c r="Q650" t="b">
        <v>1</v>
      </c>
      <c r="S650" t="s">
        <v>34</v>
      </c>
    </row>
    <row r="651" spans="1:19">
      <c r="A651" t="s">
        <v>1362</v>
      </c>
      <c r="B651" t="s">
        <v>1363</v>
      </c>
      <c r="C651" s="23" t="s">
        <v>4131</v>
      </c>
      <c r="D651" s="23">
        <v>45210</v>
      </c>
      <c r="E651" s="22">
        <v>10</v>
      </c>
      <c r="F651" s="22">
        <v>11</v>
      </c>
      <c r="G651" s="22">
        <v>2023</v>
      </c>
      <c r="H651" s="23">
        <f t="shared" si="30"/>
        <v>45210</v>
      </c>
      <c r="I651" s="25">
        <v>45231</v>
      </c>
      <c r="J651" s="22">
        <f t="shared" si="31"/>
        <v>21</v>
      </c>
      <c r="K651" t="s">
        <v>33</v>
      </c>
      <c r="L651">
        <v>73267</v>
      </c>
      <c r="M651">
        <v>1393</v>
      </c>
      <c r="N651" s="26">
        <v>1102.8</v>
      </c>
      <c r="O651" s="26">
        <f t="shared" si="32"/>
        <v>1102.8</v>
      </c>
      <c r="P651">
        <v>148</v>
      </c>
      <c r="Q651" t="b">
        <v>0</v>
      </c>
      <c r="S651" t="s">
        <v>34</v>
      </c>
    </row>
    <row r="652" spans="1:19">
      <c r="A652" t="s">
        <v>1364</v>
      </c>
      <c r="B652" t="s">
        <v>1365</v>
      </c>
      <c r="C652" s="23" t="s">
        <v>4128</v>
      </c>
      <c r="D652" s="23">
        <v>45157</v>
      </c>
      <c r="E652" s="22">
        <v>8</v>
      </c>
      <c r="F652" s="22">
        <v>19</v>
      </c>
      <c r="G652" s="22">
        <v>2023</v>
      </c>
      <c r="H652" s="23">
        <f t="shared" si="30"/>
        <v>45157</v>
      </c>
      <c r="I652" s="25">
        <v>45169</v>
      </c>
      <c r="J652" s="22">
        <f t="shared" si="31"/>
        <v>12</v>
      </c>
      <c r="K652" t="s">
        <v>33</v>
      </c>
      <c r="L652">
        <v>49136</v>
      </c>
      <c r="M652">
        <v>1232</v>
      </c>
      <c r="N652" s="26">
        <v>788.23</v>
      </c>
      <c r="O652" s="26">
        <f t="shared" si="32"/>
        <v>788.23</v>
      </c>
      <c r="P652">
        <v>239</v>
      </c>
      <c r="Q652" t="b">
        <v>0</v>
      </c>
      <c r="S652" t="s">
        <v>34</v>
      </c>
    </row>
    <row r="653" spans="1:19">
      <c r="A653" t="s">
        <v>1366</v>
      </c>
      <c r="B653" t="s">
        <v>1367</v>
      </c>
      <c r="C653" s="23" t="s">
        <v>4127</v>
      </c>
      <c r="D653" s="23">
        <v>45246</v>
      </c>
      <c r="E653" s="22">
        <v>11</v>
      </c>
      <c r="F653" s="22">
        <v>16</v>
      </c>
      <c r="G653" s="22">
        <v>2023</v>
      </c>
      <c r="H653" s="23">
        <f t="shared" si="30"/>
        <v>45246</v>
      </c>
      <c r="I653" s="25">
        <v>45260</v>
      </c>
      <c r="J653" s="22">
        <f t="shared" si="31"/>
        <v>14</v>
      </c>
      <c r="K653" t="s">
        <v>41</v>
      </c>
      <c r="L653">
        <v>24625</v>
      </c>
      <c r="M653">
        <v>701</v>
      </c>
      <c r="N653" s="26">
        <v>782.14</v>
      </c>
      <c r="O653" s="26">
        <f t="shared" si="32"/>
        <v>782.14</v>
      </c>
      <c r="P653">
        <v>63</v>
      </c>
      <c r="Q653" t="b">
        <v>1</v>
      </c>
      <c r="S653" t="s">
        <v>42</v>
      </c>
    </row>
    <row r="654" spans="1:19">
      <c r="A654" t="s">
        <v>1368</v>
      </c>
      <c r="B654" t="s">
        <v>1369</v>
      </c>
      <c r="C654" s="23" t="s">
        <v>4131</v>
      </c>
      <c r="D654" s="23">
        <v>44976</v>
      </c>
      <c r="E654" s="22">
        <v>2</v>
      </c>
      <c r="F654" s="22">
        <v>19</v>
      </c>
      <c r="G654" s="22">
        <v>2023</v>
      </c>
      <c r="H654" s="23">
        <f t="shared" si="30"/>
        <v>44976</v>
      </c>
      <c r="I654" s="25">
        <v>44982</v>
      </c>
      <c r="J654" s="22">
        <f t="shared" si="31"/>
        <v>6</v>
      </c>
      <c r="K654" t="s">
        <v>41</v>
      </c>
      <c r="L654">
        <v>83873</v>
      </c>
      <c r="M654">
        <v>2452</v>
      </c>
      <c r="N654" s="26">
        <v>1826.75</v>
      </c>
      <c r="O654" s="26">
        <f t="shared" si="32"/>
        <v>1826.75</v>
      </c>
      <c r="P654">
        <v>269</v>
      </c>
      <c r="Q654" t="b">
        <v>0</v>
      </c>
      <c r="S654" t="s">
        <v>42</v>
      </c>
    </row>
    <row r="655" spans="1:19">
      <c r="A655" t="s">
        <v>1370</v>
      </c>
      <c r="B655" t="s">
        <v>1371</v>
      </c>
      <c r="C655" s="23" t="s">
        <v>4128</v>
      </c>
      <c r="D655" s="23">
        <v>45100</v>
      </c>
      <c r="E655" s="22">
        <v>6</v>
      </c>
      <c r="F655" s="22">
        <v>23</v>
      </c>
      <c r="G655" s="22">
        <v>2023</v>
      </c>
      <c r="H655" s="23">
        <f t="shared" si="30"/>
        <v>45100</v>
      </c>
      <c r="I655" s="25">
        <v>45119</v>
      </c>
      <c r="J655" s="22">
        <f t="shared" si="31"/>
        <v>19</v>
      </c>
      <c r="K655" t="s">
        <v>19</v>
      </c>
      <c r="L655">
        <v>73592</v>
      </c>
      <c r="M655">
        <v>2016</v>
      </c>
      <c r="N655" s="26">
        <v>1678.67</v>
      </c>
      <c r="O655" s="26">
        <f t="shared" si="32"/>
        <v>1678.67</v>
      </c>
      <c r="P655">
        <v>398</v>
      </c>
      <c r="Q655" t="b">
        <v>1</v>
      </c>
      <c r="S655" t="s">
        <v>20</v>
      </c>
    </row>
    <row r="656" spans="1:19">
      <c r="A656" t="s">
        <v>1372</v>
      </c>
      <c r="B656" t="s">
        <v>1373</v>
      </c>
      <c r="C656" s="23" t="s">
        <v>4128</v>
      </c>
      <c r="D656" s="23">
        <v>45000</v>
      </c>
      <c r="E656" s="22">
        <v>3</v>
      </c>
      <c r="F656" s="22">
        <v>15</v>
      </c>
      <c r="G656" s="22">
        <v>2023</v>
      </c>
      <c r="H656" s="23">
        <f t="shared" si="30"/>
        <v>45000</v>
      </c>
      <c r="I656" s="25">
        <v>45013</v>
      </c>
      <c r="J656" s="22">
        <f t="shared" si="31"/>
        <v>13</v>
      </c>
      <c r="K656" t="s">
        <v>41</v>
      </c>
      <c r="L656">
        <v>78052</v>
      </c>
      <c r="M656">
        <v>3707</v>
      </c>
      <c r="N656" s="26">
        <v>3619.26</v>
      </c>
      <c r="O656" s="26">
        <f t="shared" si="32"/>
        <v>3619.26</v>
      </c>
      <c r="P656">
        <v>483</v>
      </c>
      <c r="Q656" t="b">
        <v>1</v>
      </c>
      <c r="S656" t="s">
        <v>42</v>
      </c>
    </row>
    <row r="657" spans="1:19">
      <c r="A657" t="s">
        <v>1374</v>
      </c>
      <c r="B657" t="s">
        <v>1375</v>
      </c>
      <c r="C657" s="23" t="s">
        <v>4128</v>
      </c>
      <c r="D657" s="23" t="s">
        <v>1376</v>
      </c>
      <c r="E657" s="22">
        <v>14</v>
      </c>
      <c r="F657" s="22">
        <v>9</v>
      </c>
      <c r="G657" s="22">
        <v>2023</v>
      </c>
      <c r="H657" s="23">
        <f t="shared" si="30"/>
        <v>45183</v>
      </c>
      <c r="I657" s="25">
        <v>45195</v>
      </c>
      <c r="J657" s="22">
        <f t="shared" si="31"/>
        <v>12</v>
      </c>
      <c r="K657" t="s">
        <v>138</v>
      </c>
      <c r="L657">
        <v>45261</v>
      </c>
      <c r="M657">
        <v>1730</v>
      </c>
      <c r="N657" s="26">
        <v>1538.11</v>
      </c>
      <c r="O657" s="26">
        <f t="shared" si="32"/>
        <v>1538.11</v>
      </c>
      <c r="P657">
        <v>216</v>
      </c>
      <c r="Q657" t="b">
        <v>0</v>
      </c>
      <c r="S657" t="s">
        <v>139</v>
      </c>
    </row>
    <row r="658" spans="1:19">
      <c r="A658" t="s">
        <v>1377</v>
      </c>
      <c r="B658" t="s">
        <v>1378</v>
      </c>
      <c r="C658" s="23" t="s">
        <v>4129</v>
      </c>
      <c r="D658" s="23">
        <v>44946</v>
      </c>
      <c r="E658" s="22">
        <v>1</v>
      </c>
      <c r="F658" s="22">
        <v>20</v>
      </c>
      <c r="G658" s="22">
        <v>2023</v>
      </c>
      <c r="H658" s="23">
        <f t="shared" si="30"/>
        <v>44946</v>
      </c>
      <c r="I658" s="25">
        <v>44961</v>
      </c>
      <c r="J658" s="22">
        <f t="shared" si="31"/>
        <v>15</v>
      </c>
      <c r="K658" t="s">
        <v>14</v>
      </c>
      <c r="L658">
        <v>2542</v>
      </c>
      <c r="M658">
        <v>89</v>
      </c>
      <c r="N658" s="26">
        <v>56.19</v>
      </c>
      <c r="O658" s="26">
        <f t="shared" si="32"/>
        <v>56.19</v>
      </c>
      <c r="P658">
        <v>7</v>
      </c>
      <c r="Q658" t="b">
        <v>0</v>
      </c>
      <c r="S658" t="s">
        <v>16</v>
      </c>
    </row>
    <row r="659" spans="1:19">
      <c r="A659" t="s">
        <v>1379</v>
      </c>
      <c r="B659" t="s">
        <v>1380</v>
      </c>
      <c r="C659" s="23" t="s">
        <v>4128</v>
      </c>
      <c r="D659" s="23">
        <v>45169</v>
      </c>
      <c r="E659" s="22">
        <v>8</v>
      </c>
      <c r="F659" s="22">
        <v>31</v>
      </c>
      <c r="G659" s="22">
        <v>2023</v>
      </c>
      <c r="H659" s="23">
        <f t="shared" si="30"/>
        <v>45169</v>
      </c>
      <c r="I659" s="25">
        <v>45181</v>
      </c>
      <c r="J659" s="22">
        <f t="shared" si="31"/>
        <v>12</v>
      </c>
      <c r="K659" t="s">
        <v>33</v>
      </c>
      <c r="L659">
        <v>22677</v>
      </c>
      <c r="M659">
        <v>271</v>
      </c>
      <c r="N659" s="26">
        <v>172.05</v>
      </c>
      <c r="O659" s="26">
        <f t="shared" si="32"/>
        <v>172.05</v>
      </c>
      <c r="P659">
        <v>42</v>
      </c>
      <c r="Q659" t="b">
        <v>1</v>
      </c>
      <c r="S659" t="s">
        <v>34</v>
      </c>
    </row>
    <row r="660" spans="1:19">
      <c r="A660" t="s">
        <v>1381</v>
      </c>
      <c r="B660" t="s">
        <v>1382</v>
      </c>
      <c r="C660" s="23" t="s">
        <v>4128</v>
      </c>
      <c r="D660" s="23">
        <v>45190</v>
      </c>
      <c r="E660" s="22">
        <v>9</v>
      </c>
      <c r="F660" s="22">
        <v>21</v>
      </c>
      <c r="G660" s="22">
        <v>2023</v>
      </c>
      <c r="H660" s="23">
        <f t="shared" si="30"/>
        <v>45190</v>
      </c>
      <c r="I660" s="25">
        <v>45215</v>
      </c>
      <c r="J660" s="22">
        <f t="shared" si="31"/>
        <v>25</v>
      </c>
      <c r="K660" t="s">
        <v>33</v>
      </c>
      <c r="L660">
        <v>47732</v>
      </c>
      <c r="M660">
        <v>2203</v>
      </c>
      <c r="N660" s="26">
        <v>1740.09</v>
      </c>
      <c r="O660" s="26">
        <f t="shared" si="32"/>
        <v>1740.09</v>
      </c>
      <c r="P660">
        <v>114</v>
      </c>
      <c r="Q660" t="b">
        <v>0</v>
      </c>
      <c r="S660" t="s">
        <v>34</v>
      </c>
    </row>
    <row r="661" spans="1:19">
      <c r="A661" t="s">
        <v>1383</v>
      </c>
      <c r="B661" t="s">
        <v>1384</v>
      </c>
      <c r="C661" s="23" t="s">
        <v>4131</v>
      </c>
      <c r="D661" s="23">
        <v>45090</v>
      </c>
      <c r="E661" s="22">
        <v>6</v>
      </c>
      <c r="F661" s="22">
        <v>13</v>
      </c>
      <c r="G661" s="22">
        <v>2023</v>
      </c>
      <c r="H661" s="23">
        <f t="shared" si="30"/>
        <v>45090</v>
      </c>
      <c r="I661" s="25">
        <v>45100</v>
      </c>
      <c r="J661" s="22">
        <f t="shared" si="31"/>
        <v>10</v>
      </c>
      <c r="K661" t="s">
        <v>41</v>
      </c>
      <c r="L661">
        <v>51343</v>
      </c>
      <c r="M661">
        <v>2381</v>
      </c>
      <c r="N661" s="26">
        <v>1371.07</v>
      </c>
      <c r="O661" s="26">
        <f t="shared" si="32"/>
        <v>1371.07</v>
      </c>
      <c r="P661">
        <v>136</v>
      </c>
      <c r="Q661" t="b">
        <v>1</v>
      </c>
      <c r="S661" t="s">
        <v>42</v>
      </c>
    </row>
    <row r="662" spans="1:19">
      <c r="A662" t="s">
        <v>1385</v>
      </c>
      <c r="B662" t="s">
        <v>1386</v>
      </c>
      <c r="C662" s="23" t="s">
        <v>4131</v>
      </c>
      <c r="D662" s="23">
        <v>45080</v>
      </c>
      <c r="E662" s="22">
        <v>6</v>
      </c>
      <c r="F662" s="22">
        <v>3</v>
      </c>
      <c r="G662" s="22">
        <v>2023</v>
      </c>
      <c r="H662" s="23">
        <f t="shared" si="30"/>
        <v>45080</v>
      </c>
      <c r="I662" s="25">
        <v>45085</v>
      </c>
      <c r="J662" s="22">
        <f t="shared" si="31"/>
        <v>5</v>
      </c>
      <c r="K662" t="s">
        <v>19</v>
      </c>
      <c r="L662">
        <v>40081</v>
      </c>
      <c r="M662">
        <v>1651</v>
      </c>
      <c r="N662" s="26">
        <v>2376.92</v>
      </c>
      <c r="O662" s="26">
        <f t="shared" si="32"/>
        <v>2376.92</v>
      </c>
      <c r="P662">
        <v>230</v>
      </c>
      <c r="Q662" t="b">
        <v>0</v>
      </c>
      <c r="S662" t="s">
        <v>20</v>
      </c>
    </row>
    <row r="663" spans="1:19">
      <c r="A663" t="s">
        <v>1387</v>
      </c>
      <c r="B663" t="s">
        <v>1388</v>
      </c>
      <c r="C663" s="23" t="s">
        <v>4131</v>
      </c>
      <c r="D663" s="23">
        <v>45187</v>
      </c>
      <c r="E663" s="22">
        <v>9</v>
      </c>
      <c r="F663" s="22">
        <v>18</v>
      </c>
      <c r="G663" s="22">
        <v>2023</v>
      </c>
      <c r="H663" s="23">
        <f t="shared" si="30"/>
        <v>45187</v>
      </c>
      <c r="I663" s="25">
        <v>45214</v>
      </c>
      <c r="J663" s="22">
        <f t="shared" si="31"/>
        <v>27</v>
      </c>
      <c r="K663" t="s">
        <v>58</v>
      </c>
      <c r="L663">
        <v>63856</v>
      </c>
      <c r="M663">
        <v>656</v>
      </c>
      <c r="N663" s="26">
        <v>610.73</v>
      </c>
      <c r="O663" s="26">
        <f t="shared" si="32"/>
        <v>610.73</v>
      </c>
      <c r="P663">
        <v>0</v>
      </c>
      <c r="Q663" t="b">
        <v>0</v>
      </c>
      <c r="S663" t="s">
        <v>59</v>
      </c>
    </row>
    <row r="664" spans="1:19">
      <c r="A664" t="s">
        <v>1389</v>
      </c>
      <c r="B664" t="s">
        <v>1390</v>
      </c>
      <c r="C664" s="23" t="s">
        <v>4129</v>
      </c>
      <c r="D664" s="23">
        <v>45080</v>
      </c>
      <c r="E664" s="22">
        <v>6</v>
      </c>
      <c r="F664" s="22">
        <v>3</v>
      </c>
      <c r="G664" s="22">
        <v>2023</v>
      </c>
      <c r="H664" s="23">
        <f t="shared" si="30"/>
        <v>45080</v>
      </c>
      <c r="I664" s="25">
        <v>45013</v>
      </c>
      <c r="J664" s="22">
        <f t="shared" si="31"/>
        <v>-67</v>
      </c>
      <c r="K664" t="s">
        <v>19</v>
      </c>
      <c r="L664">
        <v>94105</v>
      </c>
      <c r="M664">
        <v>1156</v>
      </c>
      <c r="N664" s="26">
        <v>1063.08</v>
      </c>
      <c r="O664" s="26">
        <f t="shared" si="32"/>
        <v>1063.08</v>
      </c>
      <c r="P664">
        <v>223</v>
      </c>
      <c r="Q664" t="b">
        <v>1</v>
      </c>
      <c r="S664" t="s">
        <v>20</v>
      </c>
    </row>
    <row r="665" spans="1:19">
      <c r="A665" t="s">
        <v>1391</v>
      </c>
      <c r="B665" t="s">
        <v>1392</v>
      </c>
      <c r="C665" s="23" t="s">
        <v>4131</v>
      </c>
      <c r="D665" s="23">
        <v>45096</v>
      </c>
      <c r="E665" s="22">
        <v>6</v>
      </c>
      <c r="F665" s="22">
        <v>19</v>
      </c>
      <c r="G665" s="22">
        <v>2023</v>
      </c>
      <c r="H665" s="23">
        <f t="shared" si="30"/>
        <v>45096</v>
      </c>
      <c r="I665" s="25">
        <v>45121</v>
      </c>
      <c r="J665" s="22">
        <f t="shared" si="31"/>
        <v>25</v>
      </c>
      <c r="K665" t="s">
        <v>138</v>
      </c>
      <c r="L665">
        <v>89858</v>
      </c>
      <c r="M665">
        <v>1708</v>
      </c>
      <c r="N665" s="26">
        <v>1704.58</v>
      </c>
      <c r="O665" s="26">
        <f t="shared" si="32"/>
        <v>1704.58</v>
      </c>
      <c r="P665">
        <v>316</v>
      </c>
      <c r="Q665" t="b">
        <v>1</v>
      </c>
      <c r="S665" t="s">
        <v>139</v>
      </c>
    </row>
    <row r="666" spans="1:19">
      <c r="A666" t="s">
        <v>1393</v>
      </c>
      <c r="B666" t="s">
        <v>1394</v>
      </c>
      <c r="C666" s="23" t="s">
        <v>4128</v>
      </c>
      <c r="D666" s="23">
        <v>45225</v>
      </c>
      <c r="E666" s="22">
        <v>10</v>
      </c>
      <c r="F666" s="22">
        <v>26</v>
      </c>
      <c r="G666" s="22">
        <v>2023</v>
      </c>
      <c r="H666" s="23">
        <f t="shared" si="30"/>
        <v>45225</v>
      </c>
      <c r="I666" s="25">
        <v>45254</v>
      </c>
      <c r="J666" s="22">
        <f t="shared" si="31"/>
        <v>29</v>
      </c>
      <c r="K666" t="s">
        <v>14</v>
      </c>
      <c r="L666">
        <v>20065</v>
      </c>
      <c r="M666">
        <v>306</v>
      </c>
      <c r="N666" s="26">
        <v>457.22</v>
      </c>
      <c r="O666" s="26">
        <f t="shared" si="32"/>
        <v>457.22</v>
      </c>
      <c r="P666">
        <v>48</v>
      </c>
      <c r="Q666" t="b">
        <v>1</v>
      </c>
      <c r="S666" t="s">
        <v>16</v>
      </c>
    </row>
    <row r="667" spans="1:19">
      <c r="A667" t="s">
        <v>1395</v>
      </c>
      <c r="B667" t="s">
        <v>1396</v>
      </c>
      <c r="C667" s="23" t="s">
        <v>4127</v>
      </c>
      <c r="D667" s="23">
        <v>45279</v>
      </c>
      <c r="E667" s="22">
        <v>12</v>
      </c>
      <c r="F667" s="22">
        <v>19</v>
      </c>
      <c r="G667" s="22">
        <v>2023</v>
      </c>
      <c r="H667" s="23">
        <f t="shared" si="30"/>
        <v>45279</v>
      </c>
      <c r="I667" s="25">
        <v>45295</v>
      </c>
      <c r="J667" s="22">
        <f t="shared" si="31"/>
        <v>16</v>
      </c>
      <c r="K667" t="s">
        <v>41</v>
      </c>
      <c r="L667">
        <v>84460</v>
      </c>
      <c r="M667">
        <v>2192</v>
      </c>
      <c r="N667" s="26">
        <v>3958.64</v>
      </c>
      <c r="O667" s="26">
        <f t="shared" si="32"/>
        <v>3632.575</v>
      </c>
      <c r="P667">
        <v>378</v>
      </c>
      <c r="Q667" t="b">
        <v>0</v>
      </c>
      <c r="S667" t="s">
        <v>42</v>
      </c>
    </row>
    <row r="668" spans="1:19">
      <c r="A668" t="s">
        <v>1397</v>
      </c>
      <c r="B668" t="s">
        <v>1398</v>
      </c>
      <c r="C668" s="23" t="s">
        <v>4131</v>
      </c>
      <c r="D668" s="23">
        <v>45062</v>
      </c>
      <c r="E668" s="22">
        <v>5</v>
      </c>
      <c r="F668" s="22">
        <v>16</v>
      </c>
      <c r="G668" s="22">
        <v>2023</v>
      </c>
      <c r="H668" s="23">
        <f t="shared" si="30"/>
        <v>45062</v>
      </c>
      <c r="I668" s="25">
        <v>45084</v>
      </c>
      <c r="J668" s="22">
        <f t="shared" si="31"/>
        <v>22</v>
      </c>
      <c r="K668" t="s">
        <v>19</v>
      </c>
      <c r="L668">
        <v>89092</v>
      </c>
      <c r="M668">
        <v>4178</v>
      </c>
      <c r="N668" s="26">
        <v>6846.2</v>
      </c>
      <c r="O668" s="26">
        <f t="shared" si="32"/>
        <v>3632.575</v>
      </c>
      <c r="P668">
        <v>0</v>
      </c>
      <c r="Q668" t="b">
        <v>0</v>
      </c>
      <c r="S668" t="s">
        <v>20</v>
      </c>
    </row>
    <row r="669" spans="1:19">
      <c r="A669" t="s">
        <v>1399</v>
      </c>
      <c r="B669" t="s">
        <v>1400</v>
      </c>
      <c r="C669" s="23" t="s">
        <v>4128</v>
      </c>
      <c r="D669" s="23">
        <v>45223</v>
      </c>
      <c r="E669" s="22">
        <v>10</v>
      </c>
      <c r="F669" s="22">
        <v>24</v>
      </c>
      <c r="G669" s="22">
        <v>2023</v>
      </c>
      <c r="H669" s="23">
        <f t="shared" si="30"/>
        <v>45223</v>
      </c>
      <c r="I669" s="25">
        <v>45241</v>
      </c>
      <c r="J669" s="22">
        <f t="shared" si="31"/>
        <v>18</v>
      </c>
      <c r="K669" t="s">
        <v>33</v>
      </c>
      <c r="L669">
        <v>55693</v>
      </c>
      <c r="M669">
        <v>1608</v>
      </c>
      <c r="N669" s="26">
        <v>2558.8</v>
      </c>
      <c r="O669" s="26">
        <f t="shared" si="32"/>
        <v>2558.8</v>
      </c>
      <c r="P669">
        <v>110</v>
      </c>
      <c r="Q669" t="b">
        <v>1</v>
      </c>
      <c r="S669" t="s">
        <v>34</v>
      </c>
    </row>
    <row r="670" spans="1:19">
      <c r="A670" t="s">
        <v>1401</v>
      </c>
      <c r="B670" t="s">
        <v>1402</v>
      </c>
      <c r="C670" s="23" t="s">
        <v>4129</v>
      </c>
      <c r="D670" s="23">
        <v>45225</v>
      </c>
      <c r="E670" s="22">
        <v>10</v>
      </c>
      <c r="F670" s="22">
        <v>26</v>
      </c>
      <c r="G670" s="22">
        <v>2023</v>
      </c>
      <c r="H670" s="23">
        <f t="shared" si="30"/>
        <v>45225</v>
      </c>
      <c r="I670" s="25">
        <v>45239</v>
      </c>
      <c r="J670" s="22">
        <f t="shared" si="31"/>
        <v>14</v>
      </c>
      <c r="K670" t="s">
        <v>234</v>
      </c>
      <c r="L670">
        <v>27962</v>
      </c>
      <c r="M670">
        <v>294</v>
      </c>
      <c r="N670" s="26">
        <v>360.62</v>
      </c>
      <c r="O670" s="26">
        <f t="shared" si="32"/>
        <v>360.62</v>
      </c>
      <c r="P670">
        <v>48</v>
      </c>
      <c r="Q670" t="b">
        <v>0</v>
      </c>
      <c r="S670" t="s">
        <v>16</v>
      </c>
    </row>
    <row r="671" spans="1:19">
      <c r="A671" t="s">
        <v>1403</v>
      </c>
      <c r="B671" t="s">
        <v>1404</v>
      </c>
      <c r="C671" s="23" t="s">
        <v>4128</v>
      </c>
      <c r="D671" s="23">
        <v>45244</v>
      </c>
      <c r="E671" s="22">
        <v>11</v>
      </c>
      <c r="F671" s="22">
        <v>14</v>
      </c>
      <c r="G671" s="22">
        <v>2023</v>
      </c>
      <c r="H671" s="23">
        <f t="shared" si="30"/>
        <v>45244</v>
      </c>
      <c r="I671" s="25">
        <v>45256</v>
      </c>
      <c r="J671" s="22">
        <f t="shared" si="31"/>
        <v>12</v>
      </c>
      <c r="K671" t="s">
        <v>14</v>
      </c>
      <c r="L671">
        <v>29295</v>
      </c>
      <c r="M671">
        <v>624</v>
      </c>
      <c r="N671" s="26">
        <v>961.4</v>
      </c>
      <c r="O671" s="26">
        <f t="shared" si="32"/>
        <v>961.4</v>
      </c>
      <c r="P671">
        <v>50</v>
      </c>
      <c r="Q671" t="b">
        <v>0</v>
      </c>
      <c r="S671" t="s">
        <v>16</v>
      </c>
    </row>
    <row r="672" spans="1:19">
      <c r="A672" t="s">
        <v>1405</v>
      </c>
      <c r="B672" t="s">
        <v>1406</v>
      </c>
      <c r="C672" s="23" t="s">
        <v>4129</v>
      </c>
      <c r="D672" s="23">
        <v>45275</v>
      </c>
      <c r="E672" s="22">
        <v>12</v>
      </c>
      <c r="F672" s="22">
        <v>15</v>
      </c>
      <c r="G672" s="22">
        <v>2023</v>
      </c>
      <c r="H672" s="23">
        <f t="shared" si="30"/>
        <v>45275</v>
      </c>
      <c r="I672" s="25">
        <v>45289</v>
      </c>
      <c r="J672" s="22">
        <f t="shared" si="31"/>
        <v>14</v>
      </c>
      <c r="K672" t="s">
        <v>41</v>
      </c>
      <c r="L672">
        <v>14807</v>
      </c>
      <c r="M672">
        <v>174</v>
      </c>
      <c r="N672" s="26">
        <v>231.27</v>
      </c>
      <c r="O672" s="26">
        <f t="shared" si="32"/>
        <v>231.27</v>
      </c>
      <c r="P672">
        <v>17</v>
      </c>
      <c r="Q672" t="b">
        <v>0</v>
      </c>
      <c r="S672" t="s">
        <v>42</v>
      </c>
    </row>
    <row r="673" spans="1:19">
      <c r="A673" t="s">
        <v>1407</v>
      </c>
      <c r="B673" t="s">
        <v>1408</v>
      </c>
      <c r="C673" s="23" t="s">
        <v>4131</v>
      </c>
      <c r="D673" s="23">
        <v>45285</v>
      </c>
      <c r="E673" s="22">
        <v>12</v>
      </c>
      <c r="F673" s="22">
        <v>25</v>
      </c>
      <c r="G673" s="22">
        <v>2023</v>
      </c>
      <c r="H673" s="23">
        <f t="shared" si="30"/>
        <v>45285</v>
      </c>
      <c r="I673" s="25">
        <v>45288</v>
      </c>
      <c r="J673" s="22">
        <f t="shared" si="31"/>
        <v>3</v>
      </c>
      <c r="K673" t="s">
        <v>33</v>
      </c>
      <c r="L673">
        <v>43348</v>
      </c>
      <c r="M673">
        <v>496</v>
      </c>
      <c r="N673" s="26">
        <v>408.89</v>
      </c>
      <c r="O673" s="26">
        <f t="shared" si="32"/>
        <v>408.89</v>
      </c>
      <c r="P673">
        <v>85</v>
      </c>
      <c r="Q673" t="b">
        <v>0</v>
      </c>
      <c r="S673" t="s">
        <v>34</v>
      </c>
    </row>
    <row r="674" spans="1:19">
      <c r="A674" t="s">
        <v>1409</v>
      </c>
      <c r="B674" t="s">
        <v>1410</v>
      </c>
      <c r="C674" s="23" t="s">
        <v>4127</v>
      </c>
      <c r="D674" s="23">
        <v>45087</v>
      </c>
      <c r="E674" s="22">
        <v>6</v>
      </c>
      <c r="F674" s="22">
        <v>10</v>
      </c>
      <c r="G674" s="22">
        <v>2023</v>
      </c>
      <c r="H674" s="23">
        <f t="shared" si="30"/>
        <v>45087</v>
      </c>
      <c r="I674" s="25">
        <v>45107</v>
      </c>
      <c r="J674" s="22">
        <f t="shared" si="31"/>
        <v>20</v>
      </c>
      <c r="K674" t="s">
        <v>33</v>
      </c>
      <c r="L674">
        <v>27432</v>
      </c>
      <c r="M674">
        <v>576</v>
      </c>
      <c r="N674" s="26">
        <v>468.22</v>
      </c>
      <c r="O674" s="26">
        <f t="shared" si="32"/>
        <v>468.22</v>
      </c>
      <c r="P674">
        <v>75</v>
      </c>
      <c r="Q674" t="b">
        <v>1</v>
      </c>
      <c r="S674" t="s">
        <v>34</v>
      </c>
    </row>
    <row r="675" spans="1:19">
      <c r="A675" t="s">
        <v>1411</v>
      </c>
      <c r="B675" t="s">
        <v>1412</v>
      </c>
      <c r="C675" s="23" t="s">
        <v>4131</v>
      </c>
      <c r="D675" s="23">
        <v>45031</v>
      </c>
      <c r="E675" s="22">
        <v>4</v>
      </c>
      <c r="F675" s="22">
        <v>15</v>
      </c>
      <c r="G675" s="22">
        <v>2023</v>
      </c>
      <c r="H675" s="23">
        <f t="shared" si="30"/>
        <v>45031</v>
      </c>
      <c r="I675" s="25">
        <v>45040</v>
      </c>
      <c r="J675" s="22">
        <f t="shared" si="31"/>
        <v>9</v>
      </c>
      <c r="K675" t="s">
        <v>41</v>
      </c>
      <c r="L675">
        <v>84285</v>
      </c>
      <c r="M675">
        <v>1772</v>
      </c>
      <c r="N675" s="26">
        <v>1673.81</v>
      </c>
      <c r="O675" s="26">
        <f t="shared" si="32"/>
        <v>1673.81</v>
      </c>
      <c r="P675">
        <v>317</v>
      </c>
      <c r="Q675" t="b">
        <v>0</v>
      </c>
      <c r="S675" t="s">
        <v>42</v>
      </c>
    </row>
    <row r="676" spans="1:19">
      <c r="A676" t="s">
        <v>1413</v>
      </c>
      <c r="B676" t="s">
        <v>1414</v>
      </c>
      <c r="C676" s="23" t="s">
        <v>4128</v>
      </c>
      <c r="D676" s="23">
        <v>45168</v>
      </c>
      <c r="E676" s="22">
        <v>8</v>
      </c>
      <c r="F676" s="22">
        <v>30</v>
      </c>
      <c r="G676" s="22">
        <v>2023</v>
      </c>
      <c r="H676" s="23">
        <f t="shared" si="30"/>
        <v>45168</v>
      </c>
      <c r="I676" s="25">
        <v>45197</v>
      </c>
      <c r="J676" s="22">
        <f t="shared" si="31"/>
        <v>29</v>
      </c>
      <c r="K676" t="s">
        <v>14</v>
      </c>
      <c r="L676">
        <v>92792</v>
      </c>
      <c r="M676">
        <v>3849</v>
      </c>
      <c r="N676" s="26">
        <v>7183.02</v>
      </c>
      <c r="O676" s="26">
        <f t="shared" si="32"/>
        <v>3632.575</v>
      </c>
      <c r="P676">
        <v>315</v>
      </c>
      <c r="Q676" t="b">
        <v>1</v>
      </c>
      <c r="S676" t="s">
        <v>16</v>
      </c>
    </row>
    <row r="677" spans="1:19">
      <c r="A677" t="s">
        <v>1415</v>
      </c>
      <c r="B677" t="s">
        <v>1416</v>
      </c>
      <c r="C677" s="23" t="s">
        <v>4131</v>
      </c>
      <c r="D677" s="23">
        <v>44958</v>
      </c>
      <c r="E677" s="22">
        <v>2</v>
      </c>
      <c r="F677" s="22">
        <v>1</v>
      </c>
      <c r="G677" s="22">
        <v>2023</v>
      </c>
      <c r="H677" s="23">
        <f t="shared" si="30"/>
        <v>44958</v>
      </c>
      <c r="I677" s="25">
        <v>44963</v>
      </c>
      <c r="J677" s="22">
        <f t="shared" si="31"/>
        <v>5</v>
      </c>
      <c r="K677" t="s">
        <v>138</v>
      </c>
      <c r="L677">
        <v>58854</v>
      </c>
      <c r="M677">
        <v>2883</v>
      </c>
      <c r="N677" s="26">
        <v>3808.8</v>
      </c>
      <c r="O677" s="26">
        <f t="shared" si="32"/>
        <v>3632.575</v>
      </c>
      <c r="P677">
        <v>406</v>
      </c>
      <c r="Q677" t="b">
        <v>0</v>
      </c>
      <c r="S677" t="s">
        <v>139</v>
      </c>
    </row>
    <row r="678" spans="1:19">
      <c r="A678" t="s">
        <v>1417</v>
      </c>
      <c r="B678" t="s">
        <v>1418</v>
      </c>
      <c r="C678" s="23" t="s">
        <v>4131</v>
      </c>
      <c r="D678" s="23">
        <v>45214</v>
      </c>
      <c r="E678" s="22">
        <v>10</v>
      </c>
      <c r="F678" s="22">
        <v>15</v>
      </c>
      <c r="G678" s="22">
        <v>2023</v>
      </c>
      <c r="H678" s="23">
        <f t="shared" si="30"/>
        <v>45214</v>
      </c>
      <c r="I678" s="25">
        <v>45225</v>
      </c>
      <c r="J678" s="22">
        <f t="shared" si="31"/>
        <v>11</v>
      </c>
      <c r="K678" t="s">
        <v>14</v>
      </c>
      <c r="L678">
        <v>41262</v>
      </c>
      <c r="M678">
        <v>1025</v>
      </c>
      <c r="N678" s="26">
        <v>-1640.88</v>
      </c>
      <c r="O678" s="26">
        <f t="shared" si="32"/>
        <v>-344.195</v>
      </c>
      <c r="P678">
        <v>64</v>
      </c>
      <c r="Q678" t="b">
        <v>0</v>
      </c>
      <c r="S678" t="s">
        <v>16</v>
      </c>
    </row>
    <row r="679" spans="1:19">
      <c r="A679" t="s">
        <v>1419</v>
      </c>
      <c r="B679" t="s">
        <v>1420</v>
      </c>
      <c r="C679" s="23" t="s">
        <v>4127</v>
      </c>
      <c r="D679" s="23">
        <v>45196</v>
      </c>
      <c r="E679" s="22">
        <v>9</v>
      </c>
      <c r="F679" s="22">
        <v>27</v>
      </c>
      <c r="G679" s="22">
        <v>2023</v>
      </c>
      <c r="H679" s="23">
        <f t="shared" si="30"/>
        <v>45196</v>
      </c>
      <c r="I679" s="25">
        <v>45226</v>
      </c>
      <c r="J679" s="22">
        <f t="shared" si="31"/>
        <v>30</v>
      </c>
      <c r="K679" t="s">
        <v>14</v>
      </c>
      <c r="L679">
        <v>38080</v>
      </c>
      <c r="M679">
        <v>1034</v>
      </c>
      <c r="N679" s="26">
        <v>1054.51</v>
      </c>
      <c r="O679" s="26">
        <f t="shared" si="32"/>
        <v>1054.51</v>
      </c>
      <c r="P679">
        <v>151</v>
      </c>
      <c r="Q679" t="b">
        <v>0</v>
      </c>
      <c r="S679" t="s">
        <v>16</v>
      </c>
    </row>
    <row r="680" spans="1:19">
      <c r="A680" t="s">
        <v>1421</v>
      </c>
      <c r="B680" t="s">
        <v>1422</v>
      </c>
      <c r="C680" s="23" t="s">
        <v>4131</v>
      </c>
      <c r="D680" s="23">
        <v>45162</v>
      </c>
      <c r="E680" s="22">
        <v>8</v>
      </c>
      <c r="F680" s="22">
        <v>24</v>
      </c>
      <c r="G680" s="22">
        <v>2023</v>
      </c>
      <c r="H680" s="23">
        <f t="shared" si="30"/>
        <v>45162</v>
      </c>
      <c r="I680" s="25">
        <v>45174</v>
      </c>
      <c r="J680" s="22">
        <f t="shared" si="31"/>
        <v>12</v>
      </c>
      <c r="K680" t="s">
        <v>41</v>
      </c>
      <c r="L680">
        <v>2324</v>
      </c>
      <c r="M680">
        <v>101</v>
      </c>
      <c r="N680" s="26">
        <v>112.27</v>
      </c>
      <c r="O680" s="26">
        <f t="shared" si="32"/>
        <v>112.27</v>
      </c>
      <c r="P680">
        <v>0</v>
      </c>
      <c r="Q680" t="b">
        <v>1</v>
      </c>
      <c r="S680" t="s">
        <v>42</v>
      </c>
    </row>
    <row r="681" spans="1:19">
      <c r="A681" t="s">
        <v>1423</v>
      </c>
      <c r="B681" t="s">
        <v>1424</v>
      </c>
      <c r="C681" s="23" t="s">
        <v>4131</v>
      </c>
      <c r="D681" s="23">
        <v>45108</v>
      </c>
      <c r="E681" s="22">
        <v>7</v>
      </c>
      <c r="F681" s="22">
        <v>1</v>
      </c>
      <c r="G681" s="22">
        <v>2023</v>
      </c>
      <c r="H681" s="23">
        <f t="shared" si="30"/>
        <v>45108</v>
      </c>
      <c r="I681" s="25">
        <v>45129</v>
      </c>
      <c r="J681" s="22">
        <f t="shared" si="31"/>
        <v>21</v>
      </c>
      <c r="K681" t="s">
        <v>19</v>
      </c>
      <c r="L681">
        <v>92267</v>
      </c>
      <c r="M681">
        <v>1912</v>
      </c>
      <c r="N681" s="26">
        <v>1316.12</v>
      </c>
      <c r="O681" s="26">
        <f t="shared" si="32"/>
        <v>1316.12</v>
      </c>
      <c r="P681">
        <v>263</v>
      </c>
      <c r="Q681" t="b">
        <v>1</v>
      </c>
      <c r="S681" t="s">
        <v>20</v>
      </c>
    </row>
    <row r="682" spans="1:19">
      <c r="A682" t="s">
        <v>1425</v>
      </c>
      <c r="B682" t="s">
        <v>1426</v>
      </c>
      <c r="C682" s="23" t="s">
        <v>4128</v>
      </c>
      <c r="D682" s="23">
        <v>45275</v>
      </c>
      <c r="E682" s="22">
        <v>12</v>
      </c>
      <c r="F682" s="22">
        <v>15</v>
      </c>
      <c r="G682" s="22">
        <v>2023</v>
      </c>
      <c r="H682" s="23">
        <f t="shared" si="30"/>
        <v>45275</v>
      </c>
      <c r="I682" s="25">
        <v>45290</v>
      </c>
      <c r="J682" s="22">
        <f t="shared" si="31"/>
        <v>15</v>
      </c>
      <c r="K682" t="s">
        <v>41</v>
      </c>
      <c r="L682">
        <v>36909</v>
      </c>
      <c r="M682">
        <v>599</v>
      </c>
      <c r="N682" s="26">
        <v>453.41</v>
      </c>
      <c r="O682" s="26">
        <f t="shared" si="32"/>
        <v>453.41</v>
      </c>
      <c r="P682">
        <v>53</v>
      </c>
      <c r="Q682" t="b">
        <v>1</v>
      </c>
      <c r="S682" t="s">
        <v>42</v>
      </c>
    </row>
    <row r="683" spans="1:19">
      <c r="A683" t="s">
        <v>1427</v>
      </c>
      <c r="B683" t="s">
        <v>1428</v>
      </c>
      <c r="C683" s="23" t="s">
        <v>4127</v>
      </c>
      <c r="D683" s="23">
        <v>45239</v>
      </c>
      <c r="E683" s="22">
        <v>11</v>
      </c>
      <c r="F683" s="22">
        <v>9</v>
      </c>
      <c r="G683" s="22">
        <v>2023</v>
      </c>
      <c r="H683" s="23">
        <f t="shared" si="30"/>
        <v>45239</v>
      </c>
      <c r="I683" s="25">
        <v>45254</v>
      </c>
      <c r="J683" s="22">
        <f t="shared" si="31"/>
        <v>15</v>
      </c>
      <c r="K683" t="s">
        <v>41</v>
      </c>
      <c r="L683">
        <v>90339</v>
      </c>
      <c r="M683">
        <v>3986</v>
      </c>
      <c r="N683" s="26">
        <v>6939.76</v>
      </c>
      <c r="O683" s="26">
        <f t="shared" si="32"/>
        <v>3632.575</v>
      </c>
      <c r="P683">
        <v>218</v>
      </c>
      <c r="Q683" t="b">
        <v>1</v>
      </c>
      <c r="S683" t="s">
        <v>42</v>
      </c>
    </row>
    <row r="684" spans="1:19">
      <c r="A684" t="s">
        <v>1429</v>
      </c>
      <c r="B684" t="s">
        <v>1430</v>
      </c>
      <c r="C684" s="23" t="s">
        <v>4127</v>
      </c>
      <c r="D684" s="23">
        <v>45069</v>
      </c>
      <c r="E684" s="22">
        <v>5</v>
      </c>
      <c r="F684" s="22">
        <v>23</v>
      </c>
      <c r="G684" s="22">
        <v>2023</v>
      </c>
      <c r="H684" s="23">
        <f t="shared" si="30"/>
        <v>45069</v>
      </c>
      <c r="I684" s="25">
        <v>45094</v>
      </c>
      <c r="J684" s="22">
        <f t="shared" si="31"/>
        <v>25</v>
      </c>
      <c r="K684" t="s">
        <v>23</v>
      </c>
      <c r="L684">
        <v>20870</v>
      </c>
      <c r="M684">
        <v>247</v>
      </c>
      <c r="N684" s="26">
        <v>340.18</v>
      </c>
      <c r="O684" s="26">
        <f t="shared" si="32"/>
        <v>340.18</v>
      </c>
      <c r="P684">
        <v>16</v>
      </c>
      <c r="Q684" t="b">
        <v>0</v>
      </c>
      <c r="S684" t="s">
        <v>25</v>
      </c>
    </row>
    <row r="685" spans="1:19">
      <c r="A685" t="s">
        <v>1431</v>
      </c>
      <c r="B685" t="s">
        <v>1432</v>
      </c>
      <c r="C685" s="23" t="s">
        <v>4127</v>
      </c>
      <c r="D685" s="23">
        <v>45079</v>
      </c>
      <c r="E685" s="22">
        <v>6</v>
      </c>
      <c r="F685" s="22">
        <v>2</v>
      </c>
      <c r="G685" s="22">
        <v>2023</v>
      </c>
      <c r="H685" s="23">
        <f t="shared" si="30"/>
        <v>45079</v>
      </c>
      <c r="I685" s="25">
        <v>45097</v>
      </c>
      <c r="J685" s="22">
        <f t="shared" si="31"/>
        <v>18</v>
      </c>
      <c r="K685" t="s">
        <v>14</v>
      </c>
      <c r="L685">
        <v>35578</v>
      </c>
      <c r="M685">
        <v>1237</v>
      </c>
      <c r="N685" s="26">
        <v>1244.79</v>
      </c>
      <c r="O685" s="26">
        <f t="shared" si="32"/>
        <v>1244.79</v>
      </c>
      <c r="P685">
        <v>177</v>
      </c>
      <c r="Q685" t="b">
        <v>1</v>
      </c>
      <c r="S685" t="s">
        <v>16</v>
      </c>
    </row>
    <row r="686" spans="1:19">
      <c r="A686" t="s">
        <v>1433</v>
      </c>
      <c r="B686" t="s">
        <v>1434</v>
      </c>
      <c r="C686" s="23" t="s">
        <v>4128</v>
      </c>
      <c r="D686" s="23">
        <v>45280</v>
      </c>
      <c r="E686" s="22">
        <v>12</v>
      </c>
      <c r="F686" s="22">
        <v>20</v>
      </c>
      <c r="G686" s="22">
        <v>2023</v>
      </c>
      <c r="H686" s="23">
        <f t="shared" si="30"/>
        <v>45280</v>
      </c>
      <c r="I686" s="25">
        <v>45308</v>
      </c>
      <c r="J686" s="22">
        <f t="shared" si="31"/>
        <v>28</v>
      </c>
      <c r="K686" t="s">
        <v>19</v>
      </c>
      <c r="L686">
        <v>73124</v>
      </c>
      <c r="M686">
        <v>2375</v>
      </c>
      <c r="N686" s="26">
        <v>4047.66</v>
      </c>
      <c r="O686" s="26">
        <f t="shared" si="32"/>
        <v>3632.575</v>
      </c>
      <c r="P686">
        <v>451</v>
      </c>
      <c r="Q686" t="b">
        <v>1</v>
      </c>
      <c r="S686" t="s">
        <v>20</v>
      </c>
    </row>
    <row r="687" spans="1:19">
      <c r="A687" t="s">
        <v>1435</v>
      </c>
      <c r="B687" t="s">
        <v>1436</v>
      </c>
      <c r="C687" s="23" t="s">
        <v>4128</v>
      </c>
      <c r="D687" s="23">
        <v>45105</v>
      </c>
      <c r="E687" s="22">
        <v>6</v>
      </c>
      <c r="F687" s="22">
        <v>28</v>
      </c>
      <c r="G687" s="22">
        <v>2023</v>
      </c>
      <c r="H687" s="23">
        <f t="shared" si="30"/>
        <v>45105</v>
      </c>
      <c r="I687" s="25">
        <v>45127</v>
      </c>
      <c r="J687" s="22">
        <f t="shared" si="31"/>
        <v>22</v>
      </c>
      <c r="K687" t="s">
        <v>33</v>
      </c>
      <c r="L687">
        <v>27790</v>
      </c>
      <c r="M687">
        <v>662</v>
      </c>
      <c r="N687" s="26">
        <v>575.79</v>
      </c>
      <c r="O687" s="26">
        <f t="shared" si="32"/>
        <v>575.79</v>
      </c>
      <c r="P687">
        <v>53</v>
      </c>
      <c r="Q687" t="b">
        <v>1</v>
      </c>
      <c r="S687" t="s">
        <v>34</v>
      </c>
    </row>
    <row r="688" spans="1:19">
      <c r="A688" t="s">
        <v>1437</v>
      </c>
      <c r="B688" t="s">
        <v>1438</v>
      </c>
      <c r="C688" s="23" t="s">
        <v>4127</v>
      </c>
      <c r="D688" s="23">
        <v>45067</v>
      </c>
      <c r="E688" s="22">
        <v>5</v>
      </c>
      <c r="F688" s="22">
        <v>21</v>
      </c>
      <c r="G688" s="22">
        <v>2023</v>
      </c>
      <c r="H688" s="23">
        <f t="shared" si="30"/>
        <v>45067</v>
      </c>
      <c r="I688" s="25">
        <v>45073</v>
      </c>
      <c r="J688" s="22">
        <f t="shared" si="31"/>
        <v>6</v>
      </c>
      <c r="K688" t="s">
        <v>415</v>
      </c>
      <c r="L688">
        <v>26289</v>
      </c>
      <c r="M688">
        <v>594</v>
      </c>
      <c r="N688" s="26">
        <v>1166.65</v>
      </c>
      <c r="O688" s="26">
        <f t="shared" si="32"/>
        <v>1166.65</v>
      </c>
      <c r="P688">
        <v>0</v>
      </c>
      <c r="Q688" t="b">
        <v>0</v>
      </c>
      <c r="S688" t="s">
        <v>34</v>
      </c>
    </row>
    <row r="689" spans="1:19">
      <c r="A689" t="s">
        <v>1439</v>
      </c>
      <c r="B689" t="s">
        <v>1440</v>
      </c>
      <c r="C689" s="23" t="s">
        <v>4131</v>
      </c>
      <c r="D689" s="23">
        <v>45205</v>
      </c>
      <c r="E689" s="22">
        <v>10</v>
      </c>
      <c r="F689" s="22">
        <v>6</v>
      </c>
      <c r="G689" s="22">
        <v>2023</v>
      </c>
      <c r="H689" s="23">
        <f t="shared" si="30"/>
        <v>45205</v>
      </c>
      <c r="I689" s="25">
        <v>45234</v>
      </c>
      <c r="J689" s="22">
        <f t="shared" si="31"/>
        <v>29</v>
      </c>
      <c r="K689" t="s">
        <v>33</v>
      </c>
      <c r="L689">
        <v>56129</v>
      </c>
      <c r="M689">
        <v>2294</v>
      </c>
      <c r="N689" s="26">
        <v>2333.52</v>
      </c>
      <c r="O689" s="26">
        <f t="shared" si="32"/>
        <v>2333.52</v>
      </c>
      <c r="P689">
        <v>412</v>
      </c>
      <c r="Q689" t="b">
        <v>1</v>
      </c>
      <c r="S689" t="s">
        <v>34</v>
      </c>
    </row>
    <row r="690" spans="1:19">
      <c r="A690" t="s">
        <v>1441</v>
      </c>
      <c r="B690" t="s">
        <v>1442</v>
      </c>
      <c r="C690" s="23" t="s">
        <v>4128</v>
      </c>
      <c r="D690" s="23">
        <v>45103</v>
      </c>
      <c r="E690" s="22">
        <v>6</v>
      </c>
      <c r="F690" s="22">
        <v>26</v>
      </c>
      <c r="G690" s="22">
        <v>2023</v>
      </c>
      <c r="H690" s="23">
        <f t="shared" si="30"/>
        <v>45103</v>
      </c>
      <c r="I690" s="25">
        <v>45105</v>
      </c>
      <c r="J690" s="22">
        <f t="shared" si="31"/>
        <v>2</v>
      </c>
      <c r="K690" t="s">
        <v>41</v>
      </c>
      <c r="L690">
        <v>94714</v>
      </c>
      <c r="M690">
        <v>1274</v>
      </c>
      <c r="N690" s="26">
        <v>1281.6</v>
      </c>
      <c r="O690" s="26">
        <f t="shared" si="32"/>
        <v>1281.6</v>
      </c>
      <c r="P690">
        <v>163</v>
      </c>
      <c r="Q690" t="b">
        <v>0</v>
      </c>
      <c r="S690" t="s">
        <v>42</v>
      </c>
    </row>
    <row r="691" spans="1:19">
      <c r="A691" t="s">
        <v>1443</v>
      </c>
      <c r="B691" t="s">
        <v>1444</v>
      </c>
      <c r="C691" s="23" t="s">
        <v>4131</v>
      </c>
      <c r="D691" s="23" t="s">
        <v>1445</v>
      </c>
      <c r="E691" s="22">
        <v>29</v>
      </c>
      <c r="F691" s="22">
        <v>5</v>
      </c>
      <c r="G691" s="22">
        <v>2023</v>
      </c>
      <c r="H691" s="23">
        <f t="shared" si="30"/>
        <v>45075</v>
      </c>
      <c r="I691" s="25">
        <v>45086</v>
      </c>
      <c r="J691" s="22">
        <f t="shared" si="31"/>
        <v>11</v>
      </c>
      <c r="K691" t="s">
        <v>19</v>
      </c>
      <c r="L691">
        <v>95246</v>
      </c>
      <c r="M691">
        <v>1854</v>
      </c>
      <c r="N691" s="26">
        <v>1794.43</v>
      </c>
      <c r="O691" s="26">
        <f t="shared" si="32"/>
        <v>1794.43</v>
      </c>
      <c r="P691">
        <v>278</v>
      </c>
      <c r="Q691" t="b">
        <v>0</v>
      </c>
      <c r="S691" t="s">
        <v>20</v>
      </c>
    </row>
    <row r="692" spans="1:19">
      <c r="A692" t="s">
        <v>1446</v>
      </c>
      <c r="B692" t="s">
        <v>1447</v>
      </c>
      <c r="C692" s="23" t="s">
        <v>4131</v>
      </c>
      <c r="D692" s="23">
        <v>45292</v>
      </c>
      <c r="E692" s="22">
        <v>1</v>
      </c>
      <c r="F692" s="22">
        <v>1</v>
      </c>
      <c r="G692" s="22">
        <v>2024</v>
      </c>
      <c r="H692" s="23">
        <f t="shared" si="30"/>
        <v>45292</v>
      </c>
      <c r="I692" s="25">
        <v>45309</v>
      </c>
      <c r="J692" s="22">
        <f t="shared" si="31"/>
        <v>17</v>
      </c>
      <c r="K692" t="s">
        <v>23</v>
      </c>
      <c r="L692">
        <v>16485</v>
      </c>
      <c r="M692">
        <v>647</v>
      </c>
      <c r="N692" s="26">
        <v>442.01</v>
      </c>
      <c r="O692" s="26">
        <f t="shared" si="32"/>
        <v>442.01</v>
      </c>
      <c r="P692">
        <v>111</v>
      </c>
      <c r="Q692" t="b">
        <v>0</v>
      </c>
      <c r="S692" t="s">
        <v>25</v>
      </c>
    </row>
    <row r="693" spans="1:19">
      <c r="A693" t="s">
        <v>1448</v>
      </c>
      <c r="B693" t="s">
        <v>1449</v>
      </c>
      <c r="C693" s="23" t="s">
        <v>4129</v>
      </c>
      <c r="D693" s="23">
        <v>45153</v>
      </c>
      <c r="E693" s="22">
        <v>8</v>
      </c>
      <c r="F693" s="22">
        <v>15</v>
      </c>
      <c r="G693" s="22">
        <v>2023</v>
      </c>
      <c r="H693" s="23">
        <f t="shared" si="30"/>
        <v>45153</v>
      </c>
      <c r="I693" s="25">
        <v>45183</v>
      </c>
      <c r="J693" s="22">
        <f t="shared" si="31"/>
        <v>30</v>
      </c>
      <c r="K693" t="s">
        <v>33</v>
      </c>
      <c r="L693">
        <v>45482</v>
      </c>
      <c r="M693">
        <v>1452</v>
      </c>
      <c r="N693" s="26">
        <v>968.06</v>
      </c>
      <c r="O693" s="26">
        <f t="shared" si="32"/>
        <v>968.06</v>
      </c>
      <c r="P693">
        <v>129</v>
      </c>
      <c r="Q693" t="b">
        <v>1</v>
      </c>
      <c r="S693" t="s">
        <v>34</v>
      </c>
    </row>
    <row r="694" spans="1:19">
      <c r="A694" t="s">
        <v>1450</v>
      </c>
      <c r="B694" t="s">
        <v>1451</v>
      </c>
      <c r="C694" s="23" t="s">
        <v>4129</v>
      </c>
      <c r="D694" s="23">
        <v>45036</v>
      </c>
      <c r="E694" s="22">
        <v>4</v>
      </c>
      <c r="F694" s="22">
        <v>20</v>
      </c>
      <c r="G694" s="22">
        <v>2023</v>
      </c>
      <c r="H694" s="23">
        <f t="shared" si="30"/>
        <v>45036</v>
      </c>
      <c r="I694" s="25">
        <v>45064</v>
      </c>
      <c r="J694" s="22">
        <f t="shared" si="31"/>
        <v>28</v>
      </c>
      <c r="K694" t="s">
        <v>138</v>
      </c>
      <c r="L694">
        <v>87188</v>
      </c>
      <c r="M694">
        <v>1318</v>
      </c>
      <c r="N694" s="26">
        <v>1940.3</v>
      </c>
      <c r="O694" s="26">
        <f t="shared" si="32"/>
        <v>1940.3</v>
      </c>
      <c r="P694">
        <v>124</v>
      </c>
      <c r="Q694" t="b">
        <v>1</v>
      </c>
      <c r="S694" t="s">
        <v>139</v>
      </c>
    </row>
    <row r="695" spans="1:19">
      <c r="A695" t="s">
        <v>1452</v>
      </c>
      <c r="B695" t="s">
        <v>1453</v>
      </c>
      <c r="C695" s="23" t="s">
        <v>4127</v>
      </c>
      <c r="D695" s="23">
        <v>45214</v>
      </c>
      <c r="E695" s="22">
        <v>10</v>
      </c>
      <c r="F695" s="22">
        <v>15</v>
      </c>
      <c r="G695" s="22">
        <v>2023</v>
      </c>
      <c r="H695" s="23">
        <f t="shared" si="30"/>
        <v>45214</v>
      </c>
      <c r="I695" s="25">
        <v>45209</v>
      </c>
      <c r="J695" s="22">
        <f t="shared" si="31"/>
        <v>-5</v>
      </c>
      <c r="K695" t="s">
        <v>41</v>
      </c>
      <c r="L695">
        <v>5748</v>
      </c>
      <c r="M695">
        <v>260</v>
      </c>
      <c r="N695" s="26">
        <v>471.3</v>
      </c>
      <c r="O695" s="26">
        <f t="shared" si="32"/>
        <v>471.3</v>
      </c>
      <c r="P695">
        <v>13</v>
      </c>
      <c r="Q695" t="b">
        <v>0</v>
      </c>
      <c r="S695" t="s">
        <v>42</v>
      </c>
    </row>
    <row r="696" spans="1:19">
      <c r="A696" t="s">
        <v>1454</v>
      </c>
      <c r="B696" t="s">
        <v>1455</v>
      </c>
      <c r="C696" s="23" t="s">
        <v>4127</v>
      </c>
      <c r="D696" s="23">
        <v>45242</v>
      </c>
      <c r="E696" s="22">
        <v>11</v>
      </c>
      <c r="F696" s="22">
        <v>12</v>
      </c>
      <c r="G696" s="22">
        <v>2023</v>
      </c>
      <c r="H696" s="23">
        <f t="shared" si="30"/>
        <v>45242</v>
      </c>
      <c r="I696" s="25">
        <v>45247</v>
      </c>
      <c r="J696" s="22">
        <f t="shared" si="31"/>
        <v>5</v>
      </c>
      <c r="K696" t="s">
        <v>33</v>
      </c>
      <c r="L696">
        <v>87769</v>
      </c>
      <c r="M696">
        <v>2258</v>
      </c>
      <c r="N696" s="26">
        <v>3806.49</v>
      </c>
      <c r="O696" s="26">
        <f t="shared" si="32"/>
        <v>3632.575</v>
      </c>
      <c r="P696">
        <v>439</v>
      </c>
      <c r="Q696" t="b">
        <v>1</v>
      </c>
      <c r="S696" t="s">
        <v>34</v>
      </c>
    </row>
    <row r="697" spans="1:19">
      <c r="A697" t="s">
        <v>1456</v>
      </c>
      <c r="B697" t="s">
        <v>1457</v>
      </c>
      <c r="C697" s="23" t="s">
        <v>4129</v>
      </c>
      <c r="D697" s="23">
        <v>44952</v>
      </c>
      <c r="E697" s="22">
        <v>1</v>
      </c>
      <c r="F697" s="22">
        <v>26</v>
      </c>
      <c r="G697" s="22">
        <v>2023</v>
      </c>
      <c r="H697" s="23">
        <f t="shared" si="30"/>
        <v>44952</v>
      </c>
      <c r="I697" s="25">
        <v>44972</v>
      </c>
      <c r="J697" s="22">
        <f t="shared" si="31"/>
        <v>20</v>
      </c>
      <c r="K697" t="s">
        <v>138</v>
      </c>
      <c r="L697">
        <v>10435</v>
      </c>
      <c r="M697">
        <v>449</v>
      </c>
      <c r="N697" s="26">
        <v>319.54</v>
      </c>
      <c r="O697" s="26">
        <f t="shared" si="32"/>
        <v>319.54</v>
      </c>
      <c r="P697">
        <v>84</v>
      </c>
      <c r="Q697" t="b">
        <v>1</v>
      </c>
      <c r="S697" t="s">
        <v>139</v>
      </c>
    </row>
    <row r="698" spans="1:19">
      <c r="A698" t="s">
        <v>1458</v>
      </c>
      <c r="B698" t="s">
        <v>1459</v>
      </c>
      <c r="C698" s="23" t="s">
        <v>4131</v>
      </c>
      <c r="D698" s="23">
        <v>45253</v>
      </c>
      <c r="E698" s="22">
        <v>11</v>
      </c>
      <c r="F698" s="22">
        <v>23</v>
      </c>
      <c r="G698" s="22">
        <v>2023</v>
      </c>
      <c r="H698" s="23">
        <f t="shared" si="30"/>
        <v>45253</v>
      </c>
      <c r="I698" s="25">
        <v>45264</v>
      </c>
      <c r="J698" s="22">
        <f t="shared" si="31"/>
        <v>11</v>
      </c>
      <c r="K698" t="s">
        <v>41</v>
      </c>
      <c r="L698">
        <v>4709</v>
      </c>
      <c r="M698">
        <v>195</v>
      </c>
      <c r="N698" s="26">
        <v>257.08</v>
      </c>
      <c r="O698" s="26">
        <f t="shared" si="32"/>
        <v>257.08</v>
      </c>
      <c r="P698">
        <v>32</v>
      </c>
      <c r="Q698" t="b">
        <v>1</v>
      </c>
      <c r="S698" t="s">
        <v>68</v>
      </c>
    </row>
    <row r="699" spans="1:19">
      <c r="A699" t="s">
        <v>1460</v>
      </c>
      <c r="B699" t="s">
        <v>1461</v>
      </c>
      <c r="C699" s="23" t="s">
        <v>4129</v>
      </c>
      <c r="D699" s="23">
        <v>45096</v>
      </c>
      <c r="E699" s="22">
        <v>6</v>
      </c>
      <c r="F699" s="22">
        <v>19</v>
      </c>
      <c r="G699" s="22">
        <v>2023</v>
      </c>
      <c r="H699" s="23">
        <f t="shared" si="30"/>
        <v>45096</v>
      </c>
      <c r="I699" s="25">
        <v>45114</v>
      </c>
      <c r="J699" s="22">
        <f t="shared" si="31"/>
        <v>18</v>
      </c>
      <c r="K699" t="s">
        <v>14</v>
      </c>
      <c r="L699">
        <v>31355</v>
      </c>
      <c r="M699">
        <v>1096</v>
      </c>
      <c r="N699" s="26">
        <v>721.59</v>
      </c>
      <c r="O699" s="26">
        <f t="shared" si="32"/>
        <v>721.59</v>
      </c>
      <c r="P699">
        <v>67</v>
      </c>
      <c r="Q699" t="b">
        <v>0</v>
      </c>
      <c r="S699" t="s">
        <v>16</v>
      </c>
    </row>
    <row r="700" spans="1:19">
      <c r="A700" t="s">
        <v>1462</v>
      </c>
      <c r="B700" t="s">
        <v>1463</v>
      </c>
      <c r="C700" s="23" t="s">
        <v>4131</v>
      </c>
      <c r="D700" s="23">
        <v>45263</v>
      </c>
      <c r="E700" s="22">
        <v>12</v>
      </c>
      <c r="F700" s="22">
        <v>3</v>
      </c>
      <c r="G700" s="22">
        <v>2023</v>
      </c>
      <c r="H700" s="23">
        <f t="shared" si="30"/>
        <v>45263</v>
      </c>
      <c r="I700" s="25">
        <v>45018</v>
      </c>
      <c r="J700" s="22">
        <f t="shared" si="31"/>
        <v>-245</v>
      </c>
      <c r="K700" t="s">
        <v>14</v>
      </c>
      <c r="L700">
        <v>56771</v>
      </c>
      <c r="M700">
        <v>1690</v>
      </c>
      <c r="N700" s="26">
        <v>959.82</v>
      </c>
      <c r="O700" s="26">
        <f t="shared" si="32"/>
        <v>959.82</v>
      </c>
      <c r="P700">
        <v>197</v>
      </c>
      <c r="Q700" t="b">
        <v>1</v>
      </c>
      <c r="S700" t="s">
        <v>16</v>
      </c>
    </row>
    <row r="701" spans="1:19">
      <c r="A701" t="s">
        <v>1464</v>
      </c>
      <c r="B701" t="s">
        <v>1465</v>
      </c>
      <c r="C701" s="23" t="s">
        <v>4127</v>
      </c>
      <c r="D701" s="23">
        <v>45208</v>
      </c>
      <c r="E701" s="22">
        <v>10</v>
      </c>
      <c r="F701" s="22">
        <v>9</v>
      </c>
      <c r="G701" s="22">
        <v>2023</v>
      </c>
      <c r="H701" s="23">
        <f t="shared" si="30"/>
        <v>45208</v>
      </c>
      <c r="I701" s="25">
        <v>45235</v>
      </c>
      <c r="J701" s="22">
        <f t="shared" si="31"/>
        <v>27</v>
      </c>
      <c r="K701" t="s">
        <v>23</v>
      </c>
      <c r="L701">
        <v>58799</v>
      </c>
      <c r="M701">
        <v>2891</v>
      </c>
      <c r="N701" s="26">
        <v>4291.92</v>
      </c>
      <c r="O701" s="26">
        <f t="shared" si="32"/>
        <v>3632.575</v>
      </c>
      <c r="P701">
        <v>188</v>
      </c>
      <c r="Q701" t="b">
        <v>1</v>
      </c>
      <c r="S701" t="s">
        <v>25</v>
      </c>
    </row>
    <row r="702" spans="1:19">
      <c r="A702" t="s">
        <v>1466</v>
      </c>
      <c r="B702" t="s">
        <v>1467</v>
      </c>
      <c r="C702" s="23" t="s">
        <v>4127</v>
      </c>
      <c r="D702" s="23">
        <v>45261</v>
      </c>
      <c r="E702" s="22">
        <v>12</v>
      </c>
      <c r="F702" s="22">
        <v>1</v>
      </c>
      <c r="G702" s="22">
        <v>2023</v>
      </c>
      <c r="H702" s="23">
        <f t="shared" si="30"/>
        <v>45261</v>
      </c>
      <c r="I702" s="25">
        <v>45285</v>
      </c>
      <c r="J702" s="22">
        <f t="shared" si="31"/>
        <v>24</v>
      </c>
      <c r="K702" t="s">
        <v>19</v>
      </c>
      <c r="L702">
        <v>14116</v>
      </c>
      <c r="M702">
        <v>223</v>
      </c>
      <c r="N702" s="26">
        <v>290.51</v>
      </c>
      <c r="O702" s="26">
        <f t="shared" si="32"/>
        <v>290.51</v>
      </c>
      <c r="P702">
        <v>11</v>
      </c>
      <c r="Q702" t="b">
        <v>1</v>
      </c>
      <c r="S702" t="s">
        <v>20</v>
      </c>
    </row>
    <row r="703" spans="1:19">
      <c r="A703" t="s">
        <v>1468</v>
      </c>
      <c r="B703" t="s">
        <v>1469</v>
      </c>
      <c r="C703" s="23" t="s">
        <v>4131</v>
      </c>
      <c r="D703" s="23">
        <v>45171</v>
      </c>
      <c r="E703" s="22">
        <v>9</v>
      </c>
      <c r="F703" s="22">
        <v>2</v>
      </c>
      <c r="G703" s="22">
        <v>2023</v>
      </c>
      <c r="H703" s="23">
        <f t="shared" si="30"/>
        <v>45171</v>
      </c>
      <c r="I703" s="25">
        <v>45177</v>
      </c>
      <c r="J703" s="22">
        <f t="shared" si="31"/>
        <v>6</v>
      </c>
      <c r="K703" t="s">
        <v>23</v>
      </c>
      <c r="L703">
        <v>26470</v>
      </c>
      <c r="M703">
        <v>1032</v>
      </c>
      <c r="N703" s="26">
        <v>642.97</v>
      </c>
      <c r="O703" s="26">
        <f t="shared" si="32"/>
        <v>642.97</v>
      </c>
      <c r="P703">
        <v>146</v>
      </c>
      <c r="Q703" t="b">
        <v>0</v>
      </c>
      <c r="S703" t="s">
        <v>25</v>
      </c>
    </row>
    <row r="704" spans="1:19">
      <c r="A704" t="s">
        <v>1470</v>
      </c>
      <c r="B704" t="s">
        <v>1471</v>
      </c>
      <c r="C704" s="23" t="s">
        <v>4127</v>
      </c>
      <c r="D704" s="23">
        <v>45074</v>
      </c>
      <c r="E704" s="22">
        <v>5</v>
      </c>
      <c r="F704" s="22">
        <v>28</v>
      </c>
      <c r="G704" s="22">
        <v>2023</v>
      </c>
      <c r="H704" s="23">
        <f t="shared" si="30"/>
        <v>45074</v>
      </c>
      <c r="I704" s="25">
        <v>45102</v>
      </c>
      <c r="J704" s="22">
        <f t="shared" si="31"/>
        <v>28</v>
      </c>
      <c r="K704" t="s">
        <v>19</v>
      </c>
      <c r="L704">
        <v>43344</v>
      </c>
      <c r="M704">
        <v>764</v>
      </c>
      <c r="N704" s="26">
        <v>422.04</v>
      </c>
      <c r="O704" s="26">
        <f t="shared" si="32"/>
        <v>422.04</v>
      </c>
      <c r="P704">
        <v>148</v>
      </c>
      <c r="Q704" t="b">
        <v>0</v>
      </c>
      <c r="S704" t="s">
        <v>20</v>
      </c>
    </row>
    <row r="705" spans="1:19">
      <c r="A705" t="s">
        <v>1472</v>
      </c>
      <c r="B705" t="s">
        <v>1473</v>
      </c>
      <c r="C705" s="23" t="s">
        <v>4127</v>
      </c>
      <c r="D705" s="23">
        <v>44972</v>
      </c>
      <c r="E705" s="22">
        <v>2</v>
      </c>
      <c r="F705" s="22">
        <v>15</v>
      </c>
      <c r="G705" s="22">
        <v>2023</v>
      </c>
      <c r="H705" s="23">
        <f t="shared" si="30"/>
        <v>44972</v>
      </c>
      <c r="I705" s="25">
        <v>44998</v>
      </c>
      <c r="J705" s="22">
        <f t="shared" si="31"/>
        <v>26</v>
      </c>
      <c r="K705" t="s">
        <v>33</v>
      </c>
      <c r="L705">
        <v>43918</v>
      </c>
      <c r="M705">
        <v>1033</v>
      </c>
      <c r="N705" s="26">
        <v>2050.13</v>
      </c>
      <c r="O705" s="26">
        <f t="shared" si="32"/>
        <v>2050.13</v>
      </c>
      <c r="P705">
        <v>0</v>
      </c>
      <c r="Q705" t="b">
        <v>0</v>
      </c>
      <c r="S705" t="s">
        <v>68</v>
      </c>
    </row>
    <row r="706" spans="1:19">
      <c r="A706" t="s">
        <v>1474</v>
      </c>
      <c r="B706" t="s">
        <v>1475</v>
      </c>
      <c r="C706" s="23" t="s">
        <v>4129</v>
      </c>
      <c r="D706" s="23">
        <v>44946</v>
      </c>
      <c r="E706" s="22">
        <v>1</v>
      </c>
      <c r="F706" s="22">
        <v>20</v>
      </c>
      <c r="G706" s="22">
        <v>2023</v>
      </c>
      <c r="H706" s="23">
        <f t="shared" si="30"/>
        <v>44946</v>
      </c>
      <c r="I706" s="25">
        <v>44965</v>
      </c>
      <c r="J706" s="22">
        <f t="shared" si="31"/>
        <v>19</v>
      </c>
      <c r="K706" t="s">
        <v>415</v>
      </c>
      <c r="L706">
        <v>53224</v>
      </c>
      <c r="M706">
        <v>1189</v>
      </c>
      <c r="N706" s="26">
        <v>648.04</v>
      </c>
      <c r="O706" s="26">
        <f t="shared" si="32"/>
        <v>648.04</v>
      </c>
      <c r="P706">
        <v>183</v>
      </c>
      <c r="Q706" t="b">
        <v>0</v>
      </c>
      <c r="S706" t="s">
        <v>34</v>
      </c>
    </row>
    <row r="707" spans="1:19">
      <c r="A707" t="s">
        <v>1476</v>
      </c>
      <c r="B707" t="s">
        <v>1477</v>
      </c>
      <c r="C707" s="23" t="s">
        <v>4131</v>
      </c>
      <c r="D707" s="23">
        <v>45017</v>
      </c>
      <c r="E707" s="22">
        <v>4</v>
      </c>
      <c r="F707" s="22">
        <v>1</v>
      </c>
      <c r="G707" s="22">
        <v>2023</v>
      </c>
      <c r="H707" s="23">
        <f t="shared" ref="H707:H770" si="33">IF(E707&gt;12,DATE(G707,F707,E707),D707)</f>
        <v>45017</v>
      </c>
      <c r="I707" s="25">
        <v>44935</v>
      </c>
      <c r="J707" s="22">
        <f t="shared" ref="J707:J770" si="34">DATEDIF(H707,I707,"D")</f>
        <v>-82</v>
      </c>
      <c r="K707" t="s">
        <v>23</v>
      </c>
      <c r="L707">
        <v>40298</v>
      </c>
      <c r="M707">
        <v>1929</v>
      </c>
      <c r="N707" s="26">
        <v>2250.74</v>
      </c>
      <c r="O707" s="26">
        <f t="shared" ref="O707:O770" si="35">IF(N707&lt;$W$8,$W$8,IF(N707&gt;$W$9,$W$9,N707))</f>
        <v>2250.74</v>
      </c>
      <c r="P707">
        <v>124</v>
      </c>
      <c r="Q707" t="b">
        <v>1</v>
      </c>
      <c r="S707" t="s">
        <v>25</v>
      </c>
    </row>
    <row r="708" spans="1:19">
      <c r="A708" t="s">
        <v>1478</v>
      </c>
      <c r="B708" t="s">
        <v>1479</v>
      </c>
      <c r="C708" s="23" t="s">
        <v>4128</v>
      </c>
      <c r="D708" s="23">
        <v>45130</v>
      </c>
      <c r="E708" s="22">
        <v>7</v>
      </c>
      <c r="F708" s="22">
        <v>23</v>
      </c>
      <c r="G708" s="22">
        <v>2023</v>
      </c>
      <c r="H708" s="23">
        <f t="shared" si="33"/>
        <v>45130</v>
      </c>
      <c r="I708" s="25">
        <v>45157</v>
      </c>
      <c r="J708" s="22">
        <f t="shared" si="34"/>
        <v>27</v>
      </c>
      <c r="K708" t="s">
        <v>41</v>
      </c>
      <c r="L708">
        <v>81219</v>
      </c>
      <c r="M708">
        <v>3954</v>
      </c>
      <c r="N708" s="26">
        <v>4969.9</v>
      </c>
      <c r="O708" s="26">
        <f t="shared" si="35"/>
        <v>3632.575</v>
      </c>
      <c r="P708">
        <v>360</v>
      </c>
      <c r="Q708" t="b">
        <v>1</v>
      </c>
      <c r="S708" t="s">
        <v>42</v>
      </c>
    </row>
    <row r="709" spans="1:19">
      <c r="A709" t="s">
        <v>1480</v>
      </c>
      <c r="B709" t="s">
        <v>1481</v>
      </c>
      <c r="C709" s="23" t="s">
        <v>4128</v>
      </c>
      <c r="D709" s="23">
        <v>45075</v>
      </c>
      <c r="E709" s="22">
        <v>5</v>
      </c>
      <c r="F709" s="22">
        <v>29</v>
      </c>
      <c r="G709" s="22">
        <v>2023</v>
      </c>
      <c r="H709" s="23">
        <f t="shared" si="33"/>
        <v>45075</v>
      </c>
      <c r="I709" s="25">
        <v>45101</v>
      </c>
      <c r="J709" s="22">
        <f t="shared" si="34"/>
        <v>26</v>
      </c>
      <c r="K709" t="s">
        <v>41</v>
      </c>
      <c r="L709">
        <v>62629</v>
      </c>
      <c r="M709">
        <v>1084</v>
      </c>
      <c r="N709" s="26">
        <v>732.7</v>
      </c>
      <c r="O709" s="26">
        <f t="shared" si="35"/>
        <v>732.7</v>
      </c>
      <c r="P709">
        <v>106</v>
      </c>
      <c r="Q709" t="b">
        <v>0</v>
      </c>
      <c r="S709" t="s">
        <v>42</v>
      </c>
    </row>
    <row r="710" spans="1:19">
      <c r="A710" t="s">
        <v>1482</v>
      </c>
      <c r="B710" t="s">
        <v>1483</v>
      </c>
      <c r="C710" s="23" t="s">
        <v>4129</v>
      </c>
      <c r="D710" s="23">
        <v>45217</v>
      </c>
      <c r="E710" s="22">
        <v>10</v>
      </c>
      <c r="F710" s="22">
        <v>18</v>
      </c>
      <c r="G710" s="22">
        <v>2023</v>
      </c>
      <c r="H710" s="23">
        <f t="shared" si="33"/>
        <v>45217</v>
      </c>
      <c r="I710" s="25">
        <v>45224</v>
      </c>
      <c r="J710" s="22">
        <f t="shared" si="34"/>
        <v>7</v>
      </c>
      <c r="K710" t="s">
        <v>23</v>
      </c>
      <c r="L710">
        <v>67040</v>
      </c>
      <c r="M710">
        <v>729</v>
      </c>
      <c r="N710" s="26">
        <v>549.37</v>
      </c>
      <c r="O710" s="26">
        <f t="shared" si="35"/>
        <v>549.37</v>
      </c>
      <c r="P710">
        <v>119</v>
      </c>
      <c r="Q710" t="b">
        <v>1</v>
      </c>
      <c r="S710" t="s">
        <v>25</v>
      </c>
    </row>
    <row r="711" spans="1:19">
      <c r="A711" t="s">
        <v>1484</v>
      </c>
      <c r="B711" t="s">
        <v>1485</v>
      </c>
      <c r="C711" s="23" t="s">
        <v>4131</v>
      </c>
      <c r="D711" s="23">
        <v>45098</v>
      </c>
      <c r="E711" s="22">
        <v>6</v>
      </c>
      <c r="F711" s="22">
        <v>21</v>
      </c>
      <c r="G711" s="22">
        <v>2023</v>
      </c>
      <c r="H711" s="23">
        <f t="shared" si="33"/>
        <v>45098</v>
      </c>
      <c r="I711" s="25">
        <v>45125</v>
      </c>
      <c r="J711" s="22">
        <f t="shared" si="34"/>
        <v>27</v>
      </c>
      <c r="K711" t="s">
        <v>23</v>
      </c>
      <c r="L711">
        <v>29016</v>
      </c>
      <c r="M711">
        <v>1125</v>
      </c>
      <c r="N711" s="26">
        <v>1156.17</v>
      </c>
      <c r="O711" s="26">
        <f t="shared" si="35"/>
        <v>1156.17</v>
      </c>
      <c r="P711">
        <v>191</v>
      </c>
      <c r="Q711" t="b">
        <v>1</v>
      </c>
      <c r="S711" t="s">
        <v>25</v>
      </c>
    </row>
    <row r="712" spans="1:19">
      <c r="A712" t="s">
        <v>1486</v>
      </c>
      <c r="B712" t="s">
        <v>1487</v>
      </c>
      <c r="C712" s="23" t="s">
        <v>4131</v>
      </c>
      <c r="D712" s="23">
        <v>45205</v>
      </c>
      <c r="E712" s="22">
        <v>10</v>
      </c>
      <c r="F712" s="22">
        <v>6</v>
      </c>
      <c r="G712" s="22">
        <v>2023</v>
      </c>
      <c r="H712" s="23">
        <f t="shared" si="33"/>
        <v>45205</v>
      </c>
      <c r="I712" s="25">
        <v>45228</v>
      </c>
      <c r="J712" s="22">
        <f t="shared" si="34"/>
        <v>23</v>
      </c>
      <c r="K712" t="s">
        <v>14</v>
      </c>
      <c r="L712">
        <v>24960</v>
      </c>
      <c r="M712">
        <v>666</v>
      </c>
      <c r="N712" s="26">
        <v>1093.91</v>
      </c>
      <c r="O712" s="26">
        <f t="shared" si="35"/>
        <v>1093.91</v>
      </c>
      <c r="P712">
        <v>71</v>
      </c>
      <c r="Q712" t="b">
        <v>1</v>
      </c>
      <c r="S712" t="s">
        <v>16</v>
      </c>
    </row>
    <row r="713" spans="1:19">
      <c r="A713" t="s">
        <v>1488</v>
      </c>
      <c r="B713" t="s">
        <v>1489</v>
      </c>
      <c r="C713" s="23" t="s">
        <v>4131</v>
      </c>
      <c r="D713" s="23">
        <v>44995</v>
      </c>
      <c r="E713" s="22">
        <v>3</v>
      </c>
      <c r="F713" s="22">
        <v>10</v>
      </c>
      <c r="G713" s="22">
        <v>2023</v>
      </c>
      <c r="H713" s="23">
        <f t="shared" si="33"/>
        <v>44995</v>
      </c>
      <c r="I713" s="25">
        <v>45008</v>
      </c>
      <c r="J713" s="22">
        <f t="shared" si="34"/>
        <v>13</v>
      </c>
      <c r="K713" t="s">
        <v>14</v>
      </c>
      <c r="L713">
        <v>34591</v>
      </c>
      <c r="M713">
        <v>468</v>
      </c>
      <c r="N713" s="26">
        <v>589.97</v>
      </c>
      <c r="O713" s="26">
        <f t="shared" si="35"/>
        <v>589.97</v>
      </c>
      <c r="P713">
        <v>52</v>
      </c>
      <c r="Q713" t="b">
        <v>0</v>
      </c>
      <c r="S713" t="s">
        <v>16</v>
      </c>
    </row>
    <row r="714" spans="1:19">
      <c r="A714" t="s">
        <v>1490</v>
      </c>
      <c r="B714" t="s">
        <v>1491</v>
      </c>
      <c r="C714" s="23" t="s">
        <v>4131</v>
      </c>
      <c r="D714" s="23">
        <v>45025</v>
      </c>
      <c r="E714" s="22">
        <v>4</v>
      </c>
      <c r="F714" s="22">
        <v>9</v>
      </c>
      <c r="G714" s="22">
        <v>2023</v>
      </c>
      <c r="H714" s="23">
        <f t="shared" si="33"/>
        <v>45025</v>
      </c>
      <c r="I714" s="25">
        <v>45028</v>
      </c>
      <c r="J714" s="22">
        <f t="shared" si="34"/>
        <v>3</v>
      </c>
      <c r="K714" t="s">
        <v>33</v>
      </c>
      <c r="L714">
        <v>83848</v>
      </c>
      <c r="M714">
        <v>3131</v>
      </c>
      <c r="N714" s="26">
        <v>4561.41</v>
      </c>
      <c r="O714" s="26">
        <f t="shared" si="35"/>
        <v>3632.575</v>
      </c>
      <c r="P714">
        <v>177</v>
      </c>
      <c r="Q714" t="b">
        <v>1</v>
      </c>
      <c r="S714" t="s">
        <v>34</v>
      </c>
    </row>
    <row r="715" spans="1:19">
      <c r="A715" t="s">
        <v>1492</v>
      </c>
      <c r="B715" t="s">
        <v>1493</v>
      </c>
      <c r="C715" s="23" t="s">
        <v>4129</v>
      </c>
      <c r="D715" s="23">
        <v>45161</v>
      </c>
      <c r="E715" s="22">
        <v>8</v>
      </c>
      <c r="F715" s="22">
        <v>23</v>
      </c>
      <c r="G715" s="22">
        <v>2023</v>
      </c>
      <c r="H715" s="23">
        <f t="shared" si="33"/>
        <v>45161</v>
      </c>
      <c r="I715" s="25">
        <v>45188</v>
      </c>
      <c r="J715" s="22">
        <f t="shared" si="34"/>
        <v>27</v>
      </c>
      <c r="K715" t="s">
        <v>138</v>
      </c>
      <c r="L715">
        <v>68641</v>
      </c>
      <c r="M715">
        <v>2183</v>
      </c>
      <c r="N715" s="26">
        <v>4317.45</v>
      </c>
      <c r="O715" s="26">
        <f t="shared" si="35"/>
        <v>3632.575</v>
      </c>
      <c r="P715">
        <v>203</v>
      </c>
      <c r="Q715" t="b">
        <v>1</v>
      </c>
      <c r="S715" t="s">
        <v>68</v>
      </c>
    </row>
    <row r="716" spans="1:19">
      <c r="A716" t="s">
        <v>1494</v>
      </c>
      <c r="B716" t="s">
        <v>1495</v>
      </c>
      <c r="C716" s="23" t="s">
        <v>4127</v>
      </c>
      <c r="D716" s="23">
        <v>44934</v>
      </c>
      <c r="E716" s="22">
        <v>1</v>
      </c>
      <c r="F716" s="22">
        <v>8</v>
      </c>
      <c r="G716" s="22">
        <v>2023</v>
      </c>
      <c r="H716" s="23">
        <f t="shared" si="33"/>
        <v>44934</v>
      </c>
      <c r="I716" s="25">
        <v>44948</v>
      </c>
      <c r="J716" s="22">
        <f t="shared" si="34"/>
        <v>14</v>
      </c>
      <c r="K716" t="s">
        <v>14</v>
      </c>
      <c r="L716">
        <v>37395</v>
      </c>
      <c r="M716">
        <v>1840</v>
      </c>
      <c r="N716" s="26">
        <v>3039.7</v>
      </c>
      <c r="O716" s="26">
        <f t="shared" si="35"/>
        <v>3039.7</v>
      </c>
      <c r="P716">
        <v>216</v>
      </c>
      <c r="Q716" t="b">
        <v>0</v>
      </c>
      <c r="R716">
        <v>37479</v>
      </c>
      <c r="S716" t="s">
        <v>16</v>
      </c>
    </row>
    <row r="717" spans="1:19">
      <c r="A717" t="s">
        <v>1496</v>
      </c>
      <c r="B717" t="s">
        <v>1497</v>
      </c>
      <c r="C717" s="23" t="s">
        <v>4129</v>
      </c>
      <c r="D717" s="23">
        <v>45217</v>
      </c>
      <c r="E717" s="22">
        <v>10</v>
      </c>
      <c r="F717" s="22">
        <v>18</v>
      </c>
      <c r="G717" s="22">
        <v>2023</v>
      </c>
      <c r="H717" s="23">
        <f t="shared" si="33"/>
        <v>45217</v>
      </c>
      <c r="I717" s="25">
        <v>45246</v>
      </c>
      <c r="J717" s="22">
        <f t="shared" si="34"/>
        <v>29</v>
      </c>
      <c r="K717" t="s">
        <v>14</v>
      </c>
      <c r="L717">
        <v>23700</v>
      </c>
      <c r="M717">
        <v>452</v>
      </c>
      <c r="N717" s="26">
        <v>520.5</v>
      </c>
      <c r="O717" s="26">
        <f t="shared" si="35"/>
        <v>520.5</v>
      </c>
      <c r="P717">
        <v>30</v>
      </c>
      <c r="Q717" t="b">
        <v>0</v>
      </c>
      <c r="S717" t="s">
        <v>16</v>
      </c>
    </row>
    <row r="718" spans="1:19">
      <c r="A718" t="s">
        <v>1498</v>
      </c>
      <c r="B718" t="s">
        <v>1499</v>
      </c>
      <c r="C718" s="23" t="s">
        <v>4127</v>
      </c>
      <c r="D718" s="23">
        <v>45239</v>
      </c>
      <c r="E718" s="22">
        <v>11</v>
      </c>
      <c r="F718" s="22">
        <v>9</v>
      </c>
      <c r="G718" s="22">
        <v>2023</v>
      </c>
      <c r="H718" s="23">
        <f t="shared" si="33"/>
        <v>45239</v>
      </c>
      <c r="I718" s="25">
        <v>45243</v>
      </c>
      <c r="J718" s="22">
        <f t="shared" si="34"/>
        <v>4</v>
      </c>
      <c r="K718" t="s">
        <v>23</v>
      </c>
      <c r="L718">
        <v>35620</v>
      </c>
      <c r="M718">
        <v>931</v>
      </c>
      <c r="N718" s="26">
        <v>1088.96</v>
      </c>
      <c r="O718" s="26">
        <f t="shared" si="35"/>
        <v>1088.96</v>
      </c>
      <c r="P718">
        <v>109</v>
      </c>
      <c r="Q718" t="b">
        <v>1</v>
      </c>
      <c r="S718" t="s">
        <v>68</v>
      </c>
    </row>
    <row r="719" spans="1:19">
      <c r="A719" t="s">
        <v>1500</v>
      </c>
      <c r="B719" t="s">
        <v>1501</v>
      </c>
      <c r="C719" s="23" t="s">
        <v>4131</v>
      </c>
      <c r="D719" s="23">
        <v>45145</v>
      </c>
      <c r="E719" s="22">
        <v>8</v>
      </c>
      <c r="F719" s="22">
        <v>7</v>
      </c>
      <c r="G719" s="22">
        <v>2023</v>
      </c>
      <c r="H719" s="23">
        <f t="shared" si="33"/>
        <v>45145</v>
      </c>
      <c r="I719" s="25">
        <v>45132</v>
      </c>
      <c r="J719" s="22">
        <f t="shared" si="34"/>
        <v>-13</v>
      </c>
      <c r="K719" t="s">
        <v>41</v>
      </c>
      <c r="L719">
        <v>21559</v>
      </c>
      <c r="M719">
        <v>683</v>
      </c>
      <c r="N719" s="26">
        <v>975.43</v>
      </c>
      <c r="O719" s="26">
        <f t="shared" si="35"/>
        <v>975.43</v>
      </c>
      <c r="P719">
        <v>121</v>
      </c>
      <c r="Q719" t="b">
        <v>0</v>
      </c>
      <c r="S719" t="s">
        <v>42</v>
      </c>
    </row>
    <row r="720" spans="1:19">
      <c r="A720" t="s">
        <v>1502</v>
      </c>
      <c r="B720" t="s">
        <v>1503</v>
      </c>
      <c r="C720" s="23" t="s">
        <v>4129</v>
      </c>
      <c r="D720" s="23">
        <v>45181</v>
      </c>
      <c r="E720" s="22">
        <v>9</v>
      </c>
      <c r="F720" s="22">
        <v>12</v>
      </c>
      <c r="G720" s="22">
        <v>2023</v>
      </c>
      <c r="H720" s="23">
        <f t="shared" si="33"/>
        <v>45181</v>
      </c>
      <c r="I720" s="25">
        <v>45287</v>
      </c>
      <c r="J720" s="22">
        <f t="shared" si="34"/>
        <v>106</v>
      </c>
      <c r="K720" t="s">
        <v>33</v>
      </c>
      <c r="L720">
        <v>94045</v>
      </c>
      <c r="M720">
        <v>3918</v>
      </c>
      <c r="N720" s="26">
        <v>5869.35</v>
      </c>
      <c r="O720" s="26">
        <f t="shared" si="35"/>
        <v>3632.575</v>
      </c>
      <c r="P720">
        <v>537</v>
      </c>
      <c r="Q720" t="b">
        <v>1</v>
      </c>
      <c r="S720" t="s">
        <v>34</v>
      </c>
    </row>
    <row r="721" spans="1:19">
      <c r="A721" t="s">
        <v>1504</v>
      </c>
      <c r="B721" t="s">
        <v>1505</v>
      </c>
      <c r="C721" s="23" t="s">
        <v>4127</v>
      </c>
      <c r="D721" s="23">
        <v>44998</v>
      </c>
      <c r="E721" s="22">
        <v>3</v>
      </c>
      <c r="F721" s="22">
        <v>13</v>
      </c>
      <c r="G721" s="22">
        <v>2023</v>
      </c>
      <c r="H721" s="23">
        <f t="shared" si="33"/>
        <v>44998</v>
      </c>
      <c r="I721" s="25">
        <v>45000</v>
      </c>
      <c r="J721" s="22">
        <f t="shared" si="34"/>
        <v>2</v>
      </c>
      <c r="K721" t="s">
        <v>14</v>
      </c>
      <c r="L721">
        <v>94396</v>
      </c>
      <c r="M721">
        <v>3016</v>
      </c>
      <c r="N721" s="26">
        <v>3773.22</v>
      </c>
      <c r="O721" s="26">
        <f t="shared" si="35"/>
        <v>3632.575</v>
      </c>
      <c r="P721">
        <v>0</v>
      </c>
      <c r="Q721" t="b">
        <v>0</v>
      </c>
      <c r="S721" t="s">
        <v>16</v>
      </c>
    </row>
    <row r="722" spans="1:19">
      <c r="A722" t="s">
        <v>1506</v>
      </c>
      <c r="B722" t="s">
        <v>1507</v>
      </c>
      <c r="C722" s="23" t="s">
        <v>4128</v>
      </c>
      <c r="D722" s="23">
        <v>44930</v>
      </c>
      <c r="E722" s="22">
        <v>1</v>
      </c>
      <c r="F722" s="22">
        <v>4</v>
      </c>
      <c r="G722" s="22">
        <v>2023</v>
      </c>
      <c r="H722" s="23">
        <f t="shared" si="33"/>
        <v>44930</v>
      </c>
      <c r="I722" s="25">
        <v>44947</v>
      </c>
      <c r="J722" s="22">
        <f t="shared" si="34"/>
        <v>17</v>
      </c>
      <c r="K722" t="s">
        <v>138</v>
      </c>
      <c r="L722">
        <v>62642</v>
      </c>
      <c r="M722">
        <v>2162</v>
      </c>
      <c r="N722" s="26">
        <v>3172.28</v>
      </c>
      <c r="O722" s="26">
        <f t="shared" si="35"/>
        <v>3172.28</v>
      </c>
      <c r="P722">
        <v>170</v>
      </c>
      <c r="Q722" t="b">
        <v>1</v>
      </c>
      <c r="S722" t="s">
        <v>139</v>
      </c>
    </row>
    <row r="723" spans="1:19">
      <c r="A723" t="s">
        <v>1508</v>
      </c>
      <c r="B723" t="s">
        <v>1509</v>
      </c>
      <c r="C723" s="23" t="s">
        <v>4127</v>
      </c>
      <c r="D723" s="23">
        <v>45063</v>
      </c>
      <c r="E723" s="22">
        <v>5</v>
      </c>
      <c r="F723" s="22">
        <v>17</v>
      </c>
      <c r="G723" s="22">
        <v>2023</v>
      </c>
      <c r="H723" s="23">
        <f t="shared" si="33"/>
        <v>45063</v>
      </c>
      <c r="I723" s="25">
        <v>45067</v>
      </c>
      <c r="J723" s="22">
        <f t="shared" si="34"/>
        <v>4</v>
      </c>
      <c r="K723" t="s">
        <v>41</v>
      </c>
      <c r="L723">
        <v>77539</v>
      </c>
      <c r="M723">
        <v>1476</v>
      </c>
      <c r="N723" s="26">
        <v>790.1</v>
      </c>
      <c r="O723" s="26">
        <f t="shared" si="35"/>
        <v>790.1</v>
      </c>
      <c r="P723">
        <v>178</v>
      </c>
      <c r="Q723" t="b">
        <v>1</v>
      </c>
      <c r="S723" t="s">
        <v>42</v>
      </c>
    </row>
    <row r="724" spans="1:19">
      <c r="A724" t="s">
        <v>1510</v>
      </c>
      <c r="B724" t="s">
        <v>1511</v>
      </c>
      <c r="C724" s="23" t="s">
        <v>4128</v>
      </c>
      <c r="D724" s="23" t="s">
        <v>1512</v>
      </c>
      <c r="E724" s="22">
        <v>21</v>
      </c>
      <c r="F724" s="22">
        <v>10</v>
      </c>
      <c r="G724" s="22">
        <v>2023</v>
      </c>
      <c r="H724" s="23">
        <f t="shared" si="33"/>
        <v>45220</v>
      </c>
      <c r="I724" s="25">
        <v>45239</v>
      </c>
      <c r="J724" s="22">
        <f t="shared" si="34"/>
        <v>19</v>
      </c>
      <c r="K724" t="s">
        <v>14</v>
      </c>
      <c r="L724">
        <v>22732</v>
      </c>
      <c r="M724">
        <v>997</v>
      </c>
      <c r="N724" s="26">
        <v>1141</v>
      </c>
      <c r="O724" s="26">
        <f t="shared" si="35"/>
        <v>1141</v>
      </c>
      <c r="P724">
        <v>103</v>
      </c>
      <c r="Q724" t="b">
        <v>1</v>
      </c>
      <c r="S724" t="s">
        <v>16</v>
      </c>
    </row>
    <row r="725" spans="1:19">
      <c r="A725" t="s">
        <v>1513</v>
      </c>
      <c r="B725" t="s">
        <v>1514</v>
      </c>
      <c r="C725" s="23" t="s">
        <v>4127</v>
      </c>
      <c r="D725" s="23">
        <v>45261</v>
      </c>
      <c r="E725" s="22">
        <v>12</v>
      </c>
      <c r="F725" s="22">
        <v>1</v>
      </c>
      <c r="G725" s="22">
        <v>2023</v>
      </c>
      <c r="H725" s="23">
        <f t="shared" si="33"/>
        <v>45261</v>
      </c>
      <c r="I725" s="25">
        <v>45262</v>
      </c>
      <c r="J725" s="22">
        <f t="shared" si="34"/>
        <v>1</v>
      </c>
      <c r="K725" t="s">
        <v>41</v>
      </c>
      <c r="L725">
        <v>92362</v>
      </c>
      <c r="M725">
        <v>2507</v>
      </c>
      <c r="N725" s="26">
        <v>2302.45</v>
      </c>
      <c r="O725" s="26">
        <f t="shared" si="35"/>
        <v>2302.45</v>
      </c>
      <c r="P725">
        <v>260</v>
      </c>
      <c r="Q725" t="b">
        <v>1</v>
      </c>
      <c r="S725" t="s">
        <v>42</v>
      </c>
    </row>
    <row r="726" spans="1:19">
      <c r="A726" t="s">
        <v>1515</v>
      </c>
      <c r="B726" t="s">
        <v>1516</v>
      </c>
      <c r="C726" s="23" t="s">
        <v>4128</v>
      </c>
      <c r="D726" s="23">
        <v>45268</v>
      </c>
      <c r="E726" s="22">
        <v>12</v>
      </c>
      <c r="F726" s="22">
        <v>8</v>
      </c>
      <c r="G726" s="22">
        <v>2023</v>
      </c>
      <c r="H726" s="23">
        <f t="shared" si="33"/>
        <v>45268</v>
      </c>
      <c r="I726" s="25">
        <v>45277</v>
      </c>
      <c r="J726" s="22">
        <f t="shared" si="34"/>
        <v>9</v>
      </c>
      <c r="K726" t="s">
        <v>14</v>
      </c>
      <c r="L726">
        <v>31354</v>
      </c>
      <c r="M726">
        <v>490</v>
      </c>
      <c r="N726" s="26">
        <v>339.94</v>
      </c>
      <c r="O726" s="26">
        <f t="shared" si="35"/>
        <v>339.94</v>
      </c>
      <c r="P726">
        <v>63</v>
      </c>
      <c r="Q726" t="b">
        <v>0</v>
      </c>
      <c r="S726" t="s">
        <v>16</v>
      </c>
    </row>
    <row r="727" spans="1:19">
      <c r="A727" t="s">
        <v>1517</v>
      </c>
      <c r="B727" t="s">
        <v>1518</v>
      </c>
      <c r="C727" s="23" t="s">
        <v>4131</v>
      </c>
      <c r="D727" s="23">
        <v>45134</v>
      </c>
      <c r="E727" s="22">
        <v>7</v>
      </c>
      <c r="F727" s="22">
        <v>27</v>
      </c>
      <c r="G727" s="22">
        <v>2023</v>
      </c>
      <c r="H727" s="23">
        <f t="shared" si="33"/>
        <v>45134</v>
      </c>
      <c r="I727" s="25">
        <v>45164</v>
      </c>
      <c r="J727" s="22">
        <f t="shared" si="34"/>
        <v>30</v>
      </c>
      <c r="K727" t="s">
        <v>14</v>
      </c>
      <c r="L727">
        <v>14843</v>
      </c>
      <c r="M727">
        <v>542</v>
      </c>
      <c r="N727" s="26">
        <v>351.93</v>
      </c>
      <c r="O727" s="26">
        <f t="shared" si="35"/>
        <v>351.93</v>
      </c>
      <c r="P727">
        <v>74</v>
      </c>
      <c r="Q727" t="b">
        <v>0</v>
      </c>
      <c r="S727" t="s">
        <v>16</v>
      </c>
    </row>
    <row r="728" spans="1:19">
      <c r="A728" t="s">
        <v>1519</v>
      </c>
      <c r="B728" t="s">
        <v>1520</v>
      </c>
      <c r="C728" s="23" t="s">
        <v>4131</v>
      </c>
      <c r="D728" s="23">
        <v>45287</v>
      </c>
      <c r="E728" s="22">
        <v>12</v>
      </c>
      <c r="F728" s="22">
        <v>27</v>
      </c>
      <c r="G728" s="22">
        <v>2023</v>
      </c>
      <c r="H728" s="23">
        <f t="shared" si="33"/>
        <v>45287</v>
      </c>
      <c r="I728" s="25">
        <v>45305</v>
      </c>
      <c r="J728" s="22">
        <f t="shared" si="34"/>
        <v>18</v>
      </c>
      <c r="K728" t="s">
        <v>41</v>
      </c>
      <c r="L728">
        <v>72726</v>
      </c>
      <c r="M728">
        <v>1355</v>
      </c>
      <c r="N728" s="26">
        <v>1903.49</v>
      </c>
      <c r="O728" s="26">
        <f t="shared" si="35"/>
        <v>1903.49</v>
      </c>
      <c r="P728">
        <v>229</v>
      </c>
      <c r="Q728" t="b">
        <v>1</v>
      </c>
      <c r="S728" t="s">
        <v>42</v>
      </c>
    </row>
    <row r="729" spans="1:19">
      <c r="A729" t="s">
        <v>1521</v>
      </c>
      <c r="B729" t="s">
        <v>1522</v>
      </c>
      <c r="C729" s="23" t="s">
        <v>4131</v>
      </c>
      <c r="D729" s="23">
        <v>45254</v>
      </c>
      <c r="E729" s="22">
        <v>11</v>
      </c>
      <c r="F729" s="22">
        <v>24</v>
      </c>
      <c r="G729" s="22">
        <v>2023</v>
      </c>
      <c r="H729" s="23">
        <f t="shared" si="33"/>
        <v>45254</v>
      </c>
      <c r="I729" s="25">
        <v>45276</v>
      </c>
      <c r="J729" s="22">
        <f t="shared" si="34"/>
        <v>22</v>
      </c>
      <c r="K729" t="s">
        <v>14</v>
      </c>
      <c r="L729">
        <v>18640</v>
      </c>
      <c r="M729">
        <v>259</v>
      </c>
      <c r="N729" s="26">
        <v>332.92</v>
      </c>
      <c r="O729" s="26">
        <f t="shared" si="35"/>
        <v>332.92</v>
      </c>
      <c r="P729">
        <v>26</v>
      </c>
      <c r="Q729" t="b">
        <v>1</v>
      </c>
      <c r="S729" t="s">
        <v>16</v>
      </c>
    </row>
    <row r="730" spans="1:19">
      <c r="A730" t="s">
        <v>1523</v>
      </c>
      <c r="B730" t="s">
        <v>1524</v>
      </c>
      <c r="C730" s="23" t="s">
        <v>4131</v>
      </c>
      <c r="D730" s="23">
        <v>45241</v>
      </c>
      <c r="E730" s="22">
        <v>11</v>
      </c>
      <c r="F730" s="22">
        <v>11</v>
      </c>
      <c r="G730" s="22">
        <v>2023</v>
      </c>
      <c r="H730" s="23">
        <f t="shared" si="33"/>
        <v>45241</v>
      </c>
      <c r="I730" s="25">
        <v>45247</v>
      </c>
      <c r="J730" s="22">
        <f t="shared" si="34"/>
        <v>6</v>
      </c>
      <c r="K730" t="s">
        <v>14</v>
      </c>
      <c r="L730">
        <v>53528</v>
      </c>
      <c r="M730">
        <v>2380</v>
      </c>
      <c r="N730" s="26">
        <v>2095.3</v>
      </c>
      <c r="O730" s="26">
        <f t="shared" si="35"/>
        <v>2095.3</v>
      </c>
      <c r="P730">
        <v>406</v>
      </c>
      <c r="Q730" t="b">
        <v>1</v>
      </c>
      <c r="S730" t="s">
        <v>16</v>
      </c>
    </row>
    <row r="731" spans="1:19">
      <c r="A731" t="s">
        <v>1525</v>
      </c>
      <c r="B731" t="s">
        <v>1526</v>
      </c>
      <c r="C731" s="23" t="s">
        <v>4128</v>
      </c>
      <c r="D731" s="23">
        <v>45171</v>
      </c>
      <c r="E731" s="22">
        <v>9</v>
      </c>
      <c r="F731" s="22">
        <v>2</v>
      </c>
      <c r="G731" s="22">
        <v>2023</v>
      </c>
      <c r="H731" s="23">
        <f t="shared" si="33"/>
        <v>45171</v>
      </c>
      <c r="I731" s="25">
        <v>45195</v>
      </c>
      <c r="J731" s="22">
        <f t="shared" si="34"/>
        <v>24</v>
      </c>
      <c r="K731" t="s">
        <v>23</v>
      </c>
      <c r="L731">
        <v>39413</v>
      </c>
      <c r="M731">
        <v>1119</v>
      </c>
      <c r="N731" s="26">
        <v>1349.99</v>
      </c>
      <c r="O731" s="26">
        <f t="shared" si="35"/>
        <v>1349.99</v>
      </c>
      <c r="P731">
        <v>112</v>
      </c>
      <c r="Q731" t="b">
        <v>1</v>
      </c>
      <c r="S731" t="s">
        <v>68</v>
      </c>
    </row>
    <row r="732" spans="1:19">
      <c r="A732" t="s">
        <v>1527</v>
      </c>
      <c r="B732" t="s">
        <v>1528</v>
      </c>
      <c r="C732" s="23" t="s">
        <v>4127</v>
      </c>
      <c r="D732" s="23">
        <v>45237</v>
      </c>
      <c r="E732" s="22">
        <v>11</v>
      </c>
      <c r="F732" s="22">
        <v>7</v>
      </c>
      <c r="G732" s="22">
        <v>2023</v>
      </c>
      <c r="H732" s="23">
        <f t="shared" si="33"/>
        <v>45237</v>
      </c>
      <c r="I732" s="25">
        <v>45245</v>
      </c>
      <c r="J732" s="22">
        <f t="shared" si="34"/>
        <v>8</v>
      </c>
      <c r="K732" t="s">
        <v>19</v>
      </c>
      <c r="L732">
        <v>53638</v>
      </c>
      <c r="M732">
        <v>2143</v>
      </c>
      <c r="N732" s="26">
        <v>2653.78</v>
      </c>
      <c r="O732" s="26">
        <f t="shared" si="35"/>
        <v>2653.78</v>
      </c>
      <c r="P732">
        <v>124</v>
      </c>
      <c r="Q732" t="b">
        <v>1</v>
      </c>
      <c r="S732" t="s">
        <v>20</v>
      </c>
    </row>
    <row r="733" spans="1:19">
      <c r="A733" t="s">
        <v>1529</v>
      </c>
      <c r="B733" t="s">
        <v>1530</v>
      </c>
      <c r="C733" s="23" t="s">
        <v>4128</v>
      </c>
      <c r="D733" s="23">
        <v>45168</v>
      </c>
      <c r="E733" s="22">
        <v>8</v>
      </c>
      <c r="F733" s="22">
        <v>30</v>
      </c>
      <c r="G733" s="22">
        <v>2023</v>
      </c>
      <c r="H733" s="23">
        <f t="shared" si="33"/>
        <v>45168</v>
      </c>
      <c r="I733" s="25">
        <v>45190</v>
      </c>
      <c r="J733" s="22">
        <f t="shared" si="34"/>
        <v>22</v>
      </c>
      <c r="K733" t="s">
        <v>19</v>
      </c>
      <c r="L733">
        <v>53736</v>
      </c>
      <c r="M733">
        <v>1161</v>
      </c>
      <c r="N733" s="26">
        <v>920.11</v>
      </c>
      <c r="O733" s="26">
        <f t="shared" si="35"/>
        <v>920.11</v>
      </c>
      <c r="P733">
        <v>154</v>
      </c>
      <c r="Q733" t="b">
        <v>1</v>
      </c>
      <c r="S733" t="s">
        <v>20</v>
      </c>
    </row>
    <row r="734" spans="1:19">
      <c r="A734" t="s">
        <v>1531</v>
      </c>
      <c r="B734" t="s">
        <v>1532</v>
      </c>
      <c r="C734" s="23" t="s">
        <v>4131</v>
      </c>
      <c r="D734" s="23">
        <v>45038</v>
      </c>
      <c r="E734" s="22">
        <v>4</v>
      </c>
      <c r="F734" s="22">
        <v>22</v>
      </c>
      <c r="G734" s="22">
        <v>2023</v>
      </c>
      <c r="H734" s="23">
        <f t="shared" si="33"/>
        <v>45038</v>
      </c>
      <c r="I734" s="25">
        <v>45061</v>
      </c>
      <c r="J734" s="22">
        <f t="shared" si="34"/>
        <v>23</v>
      </c>
      <c r="K734" t="s">
        <v>33</v>
      </c>
      <c r="L734">
        <v>69866</v>
      </c>
      <c r="M734">
        <v>2897</v>
      </c>
      <c r="N734" s="26">
        <v>4282.17</v>
      </c>
      <c r="O734" s="26">
        <f t="shared" si="35"/>
        <v>3632.575</v>
      </c>
      <c r="P734">
        <v>400</v>
      </c>
      <c r="Q734" t="b">
        <v>1</v>
      </c>
      <c r="S734" t="s">
        <v>34</v>
      </c>
    </row>
    <row r="735" spans="1:19">
      <c r="A735" t="s">
        <v>1533</v>
      </c>
      <c r="B735" t="s">
        <v>1534</v>
      </c>
      <c r="C735" s="23" t="s">
        <v>4131</v>
      </c>
      <c r="D735" s="23">
        <v>45232</v>
      </c>
      <c r="E735" s="22">
        <v>11</v>
      </c>
      <c r="F735" s="22">
        <v>2</v>
      </c>
      <c r="G735" s="22">
        <v>2023</v>
      </c>
      <c r="H735" s="23">
        <f t="shared" si="33"/>
        <v>45232</v>
      </c>
      <c r="I735" s="25">
        <v>44994</v>
      </c>
      <c r="J735" s="22">
        <f t="shared" si="34"/>
        <v>-238</v>
      </c>
      <c r="K735" t="s">
        <v>41</v>
      </c>
      <c r="L735">
        <v>20087</v>
      </c>
      <c r="M735">
        <v>290</v>
      </c>
      <c r="N735" s="26">
        <v>484.7</v>
      </c>
      <c r="O735" s="26">
        <f t="shared" si="35"/>
        <v>484.7</v>
      </c>
      <c r="P735">
        <v>55</v>
      </c>
      <c r="Q735" t="b">
        <v>0</v>
      </c>
      <c r="S735" t="s">
        <v>42</v>
      </c>
    </row>
    <row r="736" spans="1:19">
      <c r="A736" t="s">
        <v>1535</v>
      </c>
      <c r="B736" t="s">
        <v>1536</v>
      </c>
      <c r="C736" s="23" t="s">
        <v>4131</v>
      </c>
      <c r="D736" s="23">
        <v>45155</v>
      </c>
      <c r="E736" s="22">
        <v>8</v>
      </c>
      <c r="F736" s="22">
        <v>17</v>
      </c>
      <c r="G736" s="22">
        <v>2023</v>
      </c>
      <c r="H736" s="23">
        <f t="shared" si="33"/>
        <v>45155</v>
      </c>
      <c r="I736" s="25">
        <v>45166</v>
      </c>
      <c r="J736" s="22">
        <f t="shared" si="34"/>
        <v>11</v>
      </c>
      <c r="K736" t="s">
        <v>23</v>
      </c>
      <c r="L736">
        <v>42430</v>
      </c>
      <c r="M736">
        <v>1028</v>
      </c>
      <c r="N736" s="26">
        <v>1734.44</v>
      </c>
      <c r="O736" s="26">
        <f t="shared" si="35"/>
        <v>1734.44</v>
      </c>
      <c r="P736">
        <v>163</v>
      </c>
      <c r="Q736" t="b">
        <v>1</v>
      </c>
      <c r="S736" t="s">
        <v>25</v>
      </c>
    </row>
    <row r="737" spans="1:19">
      <c r="A737" t="s">
        <v>1537</v>
      </c>
      <c r="B737" t="s">
        <v>1538</v>
      </c>
      <c r="C737" s="23" t="s">
        <v>4129</v>
      </c>
      <c r="D737" s="23">
        <v>45215</v>
      </c>
      <c r="E737" s="22">
        <v>10</v>
      </c>
      <c r="F737" s="22">
        <v>16</v>
      </c>
      <c r="G737" s="22">
        <v>2023</v>
      </c>
      <c r="H737" s="23">
        <f t="shared" si="33"/>
        <v>45215</v>
      </c>
      <c r="I737" s="25">
        <v>45231</v>
      </c>
      <c r="J737" s="22">
        <f t="shared" si="34"/>
        <v>16</v>
      </c>
      <c r="K737" t="s">
        <v>266</v>
      </c>
      <c r="L737">
        <v>25504</v>
      </c>
      <c r="M737">
        <v>1252</v>
      </c>
      <c r="N737" s="26">
        <v>1757.44</v>
      </c>
      <c r="O737" s="26">
        <f t="shared" si="35"/>
        <v>1757.44</v>
      </c>
      <c r="P737">
        <v>234</v>
      </c>
      <c r="Q737" t="b">
        <v>0</v>
      </c>
      <c r="S737" t="s">
        <v>20</v>
      </c>
    </row>
    <row r="738" spans="1:19">
      <c r="A738" t="s">
        <v>1539</v>
      </c>
      <c r="B738" t="s">
        <v>1540</v>
      </c>
      <c r="C738" s="23" t="s">
        <v>4128</v>
      </c>
      <c r="D738" s="23">
        <v>45185</v>
      </c>
      <c r="E738" s="22">
        <v>9</v>
      </c>
      <c r="F738" s="22">
        <v>16</v>
      </c>
      <c r="G738" s="22">
        <v>2023</v>
      </c>
      <c r="H738" s="23">
        <f t="shared" si="33"/>
        <v>45185</v>
      </c>
      <c r="I738" s="25">
        <v>45189</v>
      </c>
      <c r="J738" s="22">
        <f t="shared" si="34"/>
        <v>4</v>
      </c>
      <c r="K738" t="s">
        <v>23</v>
      </c>
      <c r="L738">
        <v>8114</v>
      </c>
      <c r="M738">
        <v>338</v>
      </c>
      <c r="N738" s="26">
        <v>428.4</v>
      </c>
      <c r="O738" s="26">
        <f t="shared" si="35"/>
        <v>428.4</v>
      </c>
      <c r="P738">
        <v>62</v>
      </c>
      <c r="Q738" t="b">
        <v>1</v>
      </c>
      <c r="S738" t="s">
        <v>68</v>
      </c>
    </row>
    <row r="739" spans="1:19">
      <c r="A739" t="s">
        <v>1541</v>
      </c>
      <c r="B739" t="s">
        <v>1542</v>
      </c>
      <c r="C739" s="23" t="s">
        <v>4129</v>
      </c>
      <c r="D739" s="23">
        <v>45011</v>
      </c>
      <c r="E739" s="22">
        <v>3</v>
      </c>
      <c r="F739" s="22">
        <v>26</v>
      </c>
      <c r="G739" s="22">
        <v>2023</v>
      </c>
      <c r="H739" s="23">
        <f t="shared" si="33"/>
        <v>45011</v>
      </c>
      <c r="I739" s="25">
        <v>45022</v>
      </c>
      <c r="J739" s="22">
        <f t="shared" si="34"/>
        <v>11</v>
      </c>
      <c r="K739" t="s">
        <v>41</v>
      </c>
      <c r="L739">
        <v>79859</v>
      </c>
      <c r="M739">
        <v>2387</v>
      </c>
      <c r="N739" s="26">
        <v>1411.94</v>
      </c>
      <c r="O739" s="26">
        <f t="shared" si="35"/>
        <v>1411.94</v>
      </c>
      <c r="P739">
        <v>335</v>
      </c>
      <c r="Q739" t="b">
        <v>0</v>
      </c>
      <c r="S739" t="s">
        <v>42</v>
      </c>
    </row>
    <row r="740" spans="1:19">
      <c r="A740" t="s">
        <v>1543</v>
      </c>
      <c r="B740" t="s">
        <v>1544</v>
      </c>
      <c r="C740" s="23" t="s">
        <v>4128</v>
      </c>
      <c r="D740" s="23">
        <v>44986</v>
      </c>
      <c r="E740" s="22">
        <v>3</v>
      </c>
      <c r="F740" s="22">
        <v>1</v>
      </c>
      <c r="G740" s="22">
        <v>2023</v>
      </c>
      <c r="H740" s="23">
        <f t="shared" si="33"/>
        <v>44986</v>
      </c>
      <c r="I740" s="25">
        <v>45010</v>
      </c>
      <c r="J740" s="22">
        <f t="shared" si="34"/>
        <v>24</v>
      </c>
      <c r="K740" t="s">
        <v>41</v>
      </c>
      <c r="L740">
        <v>11975</v>
      </c>
      <c r="M740">
        <v>282</v>
      </c>
      <c r="N740" s="26">
        <v>262.75</v>
      </c>
      <c r="O740" s="26">
        <f t="shared" si="35"/>
        <v>262.75</v>
      </c>
      <c r="P740">
        <v>36</v>
      </c>
      <c r="Q740" t="b">
        <v>1</v>
      </c>
      <c r="S740" t="s">
        <v>42</v>
      </c>
    </row>
    <row r="741" spans="1:19">
      <c r="A741" t="s">
        <v>1545</v>
      </c>
      <c r="B741" t="s">
        <v>1546</v>
      </c>
      <c r="C741" s="23" t="s">
        <v>4131</v>
      </c>
      <c r="D741" s="23">
        <v>45147</v>
      </c>
      <c r="E741" s="22">
        <v>8</v>
      </c>
      <c r="F741" s="22">
        <v>9</v>
      </c>
      <c r="G741" s="22">
        <v>2023</v>
      </c>
      <c r="H741" s="23">
        <f t="shared" si="33"/>
        <v>45147</v>
      </c>
      <c r="I741" s="25">
        <v>45204</v>
      </c>
      <c r="J741" s="22">
        <f t="shared" si="34"/>
        <v>57</v>
      </c>
      <c r="K741" t="s">
        <v>58</v>
      </c>
      <c r="L741">
        <v>12023</v>
      </c>
      <c r="M741">
        <v>539</v>
      </c>
      <c r="N741" s="26">
        <v>344.91</v>
      </c>
      <c r="O741" s="26">
        <f t="shared" si="35"/>
        <v>344.91</v>
      </c>
      <c r="P741">
        <v>72</v>
      </c>
      <c r="Q741" t="b">
        <v>0</v>
      </c>
      <c r="S741" t="s">
        <v>59</v>
      </c>
    </row>
    <row r="742" spans="1:19">
      <c r="A742" t="s">
        <v>1547</v>
      </c>
      <c r="B742" t="s">
        <v>1548</v>
      </c>
      <c r="C742" s="23" t="s">
        <v>4131</v>
      </c>
      <c r="D742" s="23">
        <v>45188</v>
      </c>
      <c r="E742" s="22">
        <v>9</v>
      </c>
      <c r="F742" s="22">
        <v>19</v>
      </c>
      <c r="G742" s="22">
        <v>2023</v>
      </c>
      <c r="H742" s="23">
        <f t="shared" si="33"/>
        <v>45188</v>
      </c>
      <c r="I742" s="25">
        <v>45214</v>
      </c>
      <c r="J742" s="22">
        <f t="shared" si="34"/>
        <v>26</v>
      </c>
      <c r="K742" t="s">
        <v>33</v>
      </c>
      <c r="L742">
        <v>22447</v>
      </c>
      <c r="M742">
        <v>713</v>
      </c>
      <c r="N742" s="26">
        <v>1387.31</v>
      </c>
      <c r="O742" s="26">
        <f t="shared" si="35"/>
        <v>1387.31</v>
      </c>
      <c r="P742">
        <v>140</v>
      </c>
      <c r="Q742" t="b">
        <v>0</v>
      </c>
      <c r="S742" t="s">
        <v>34</v>
      </c>
    </row>
    <row r="743" spans="1:19">
      <c r="A743" t="s">
        <v>1549</v>
      </c>
      <c r="B743" t="s">
        <v>1550</v>
      </c>
      <c r="C743" s="23" t="s">
        <v>4127</v>
      </c>
      <c r="D743" s="23">
        <v>44994</v>
      </c>
      <c r="E743" s="22">
        <v>3</v>
      </c>
      <c r="F743" s="22">
        <v>9</v>
      </c>
      <c r="G743" s="22">
        <v>2023</v>
      </c>
      <c r="H743" s="23">
        <f t="shared" si="33"/>
        <v>44994</v>
      </c>
      <c r="I743" s="25">
        <v>45006</v>
      </c>
      <c r="J743" s="22">
        <f t="shared" si="34"/>
        <v>12</v>
      </c>
      <c r="K743" t="s">
        <v>23</v>
      </c>
      <c r="L743">
        <v>91469</v>
      </c>
      <c r="M743">
        <v>3689</v>
      </c>
      <c r="N743" s="26">
        <v>2591.97</v>
      </c>
      <c r="O743" s="26">
        <f t="shared" si="35"/>
        <v>2591.97</v>
      </c>
      <c r="P743">
        <v>612</v>
      </c>
      <c r="Q743" t="b">
        <v>1</v>
      </c>
      <c r="S743" t="s">
        <v>25</v>
      </c>
    </row>
    <row r="744" spans="1:19">
      <c r="A744" t="s">
        <v>1551</v>
      </c>
      <c r="B744" t="s">
        <v>1552</v>
      </c>
      <c r="C744" s="23" t="s">
        <v>4128</v>
      </c>
      <c r="D744" s="23">
        <v>44956</v>
      </c>
      <c r="E744" s="22">
        <v>1</v>
      </c>
      <c r="F744" s="22">
        <v>30</v>
      </c>
      <c r="G744" s="22">
        <v>2023</v>
      </c>
      <c r="H744" s="23">
        <f t="shared" si="33"/>
        <v>44956</v>
      </c>
      <c r="I744" s="25">
        <v>44974</v>
      </c>
      <c r="J744" s="22">
        <f t="shared" si="34"/>
        <v>18</v>
      </c>
      <c r="K744" t="s">
        <v>41</v>
      </c>
      <c r="L744">
        <v>24959</v>
      </c>
      <c r="M744">
        <v>1002</v>
      </c>
      <c r="N744" s="26">
        <v>729.12</v>
      </c>
      <c r="O744" s="26">
        <f t="shared" si="35"/>
        <v>729.12</v>
      </c>
      <c r="P744">
        <v>66</v>
      </c>
      <c r="Q744" t="b">
        <v>1</v>
      </c>
      <c r="S744" t="s">
        <v>42</v>
      </c>
    </row>
    <row r="745" spans="1:19">
      <c r="A745" t="s">
        <v>1553</v>
      </c>
      <c r="B745" t="s">
        <v>1554</v>
      </c>
      <c r="C745" s="23" t="s">
        <v>4129</v>
      </c>
      <c r="D745" s="23">
        <v>45084</v>
      </c>
      <c r="E745" s="22">
        <v>6</v>
      </c>
      <c r="F745" s="22">
        <v>7</v>
      </c>
      <c r="G745" s="22">
        <v>2023</v>
      </c>
      <c r="H745" s="23">
        <f t="shared" si="33"/>
        <v>45084</v>
      </c>
      <c r="I745" s="25">
        <v>45114</v>
      </c>
      <c r="J745" s="22">
        <f t="shared" si="34"/>
        <v>30</v>
      </c>
      <c r="K745" t="s">
        <v>33</v>
      </c>
      <c r="L745">
        <v>67203</v>
      </c>
      <c r="M745">
        <v>720</v>
      </c>
      <c r="N745" s="26">
        <v>1320.74</v>
      </c>
      <c r="O745" s="26">
        <f t="shared" si="35"/>
        <v>1320.74</v>
      </c>
      <c r="P745">
        <v>120</v>
      </c>
      <c r="Q745" t="b">
        <v>0</v>
      </c>
      <c r="S745" t="s">
        <v>34</v>
      </c>
    </row>
    <row r="746" spans="1:19">
      <c r="A746" t="s">
        <v>1555</v>
      </c>
      <c r="B746" t="s">
        <v>1556</v>
      </c>
      <c r="C746" s="23" t="s">
        <v>4129</v>
      </c>
      <c r="D746" s="23">
        <v>44928</v>
      </c>
      <c r="E746" s="22">
        <v>1</v>
      </c>
      <c r="F746" s="22">
        <v>2</v>
      </c>
      <c r="G746" s="22">
        <v>2023</v>
      </c>
      <c r="H746" s="23">
        <f t="shared" si="33"/>
        <v>44928</v>
      </c>
      <c r="I746" s="25">
        <v>44941</v>
      </c>
      <c r="J746" s="22">
        <f t="shared" si="34"/>
        <v>13</v>
      </c>
      <c r="K746" t="s">
        <v>23</v>
      </c>
      <c r="L746">
        <v>30703</v>
      </c>
      <c r="M746">
        <v>462</v>
      </c>
      <c r="N746" s="26">
        <v>885.14</v>
      </c>
      <c r="O746" s="26">
        <f t="shared" si="35"/>
        <v>885.14</v>
      </c>
      <c r="P746">
        <v>34</v>
      </c>
      <c r="Q746" t="b">
        <v>0</v>
      </c>
      <c r="S746" t="s">
        <v>25</v>
      </c>
    </row>
    <row r="747" spans="1:19">
      <c r="A747" t="s">
        <v>1557</v>
      </c>
      <c r="B747" t="s">
        <v>1558</v>
      </c>
      <c r="C747" s="23" t="s">
        <v>4128</v>
      </c>
      <c r="D747" s="23">
        <v>44950</v>
      </c>
      <c r="E747" s="22">
        <v>1</v>
      </c>
      <c r="F747" s="22">
        <v>24</v>
      </c>
      <c r="G747" s="22">
        <v>2023</v>
      </c>
      <c r="H747" s="23">
        <f t="shared" si="33"/>
        <v>44950</v>
      </c>
      <c r="I747" s="25">
        <v>44967</v>
      </c>
      <c r="J747" s="22">
        <f t="shared" si="34"/>
        <v>17</v>
      </c>
      <c r="K747" t="s">
        <v>41</v>
      </c>
      <c r="L747">
        <v>10337</v>
      </c>
      <c r="M747">
        <v>376</v>
      </c>
      <c r="N747" s="26">
        <v>619.93</v>
      </c>
      <c r="O747" s="26">
        <f t="shared" si="35"/>
        <v>619.93</v>
      </c>
      <c r="P747">
        <v>44</v>
      </c>
      <c r="Q747" t="b">
        <v>0</v>
      </c>
      <c r="S747" t="s">
        <v>42</v>
      </c>
    </row>
    <row r="748" spans="1:19">
      <c r="A748" t="s">
        <v>1559</v>
      </c>
      <c r="B748" t="s">
        <v>1560</v>
      </c>
      <c r="C748" s="23" t="s">
        <v>4129</v>
      </c>
      <c r="D748" s="23">
        <v>45204</v>
      </c>
      <c r="E748" s="22">
        <v>10</v>
      </c>
      <c r="F748" s="22">
        <v>5</v>
      </c>
      <c r="G748" s="22">
        <v>2023</v>
      </c>
      <c r="H748" s="23">
        <f t="shared" si="33"/>
        <v>45204</v>
      </c>
      <c r="I748" s="25">
        <v>45226</v>
      </c>
      <c r="J748" s="22">
        <f t="shared" si="34"/>
        <v>22</v>
      </c>
      <c r="K748" t="s">
        <v>19</v>
      </c>
      <c r="L748">
        <v>47427</v>
      </c>
      <c r="M748">
        <v>780</v>
      </c>
      <c r="N748" s="26">
        <v>396.32</v>
      </c>
      <c r="O748" s="26">
        <f t="shared" si="35"/>
        <v>396.32</v>
      </c>
      <c r="P748">
        <v>63</v>
      </c>
      <c r="Q748" t="b">
        <v>1</v>
      </c>
      <c r="S748" t="s">
        <v>20</v>
      </c>
    </row>
    <row r="749" spans="1:19">
      <c r="A749" t="s">
        <v>1561</v>
      </c>
      <c r="B749" t="s">
        <v>1562</v>
      </c>
      <c r="C749" s="23" t="s">
        <v>4128</v>
      </c>
      <c r="D749" s="23">
        <v>44962</v>
      </c>
      <c r="E749" s="22">
        <v>2</v>
      </c>
      <c r="F749" s="22">
        <v>5</v>
      </c>
      <c r="G749" s="22">
        <v>2023</v>
      </c>
      <c r="H749" s="23">
        <f t="shared" si="33"/>
        <v>44962</v>
      </c>
      <c r="I749" s="25">
        <v>44989</v>
      </c>
      <c r="J749" s="22">
        <f t="shared" si="34"/>
        <v>27</v>
      </c>
      <c r="K749" t="s">
        <v>14</v>
      </c>
      <c r="L749">
        <v>62529</v>
      </c>
      <c r="M749">
        <v>1264</v>
      </c>
      <c r="N749" s="26">
        <v>634.55</v>
      </c>
      <c r="O749" s="26">
        <f t="shared" si="35"/>
        <v>634.55</v>
      </c>
      <c r="P749">
        <v>193</v>
      </c>
      <c r="Q749" t="b">
        <v>0</v>
      </c>
      <c r="S749" t="s">
        <v>16</v>
      </c>
    </row>
    <row r="750" spans="1:19">
      <c r="A750" t="s">
        <v>1563</v>
      </c>
      <c r="B750" t="s">
        <v>1564</v>
      </c>
      <c r="C750" s="23" t="s">
        <v>4128</v>
      </c>
      <c r="D750" s="23">
        <v>45073</v>
      </c>
      <c r="E750" s="22">
        <v>5</v>
      </c>
      <c r="F750" s="22">
        <v>27</v>
      </c>
      <c r="G750" s="22">
        <v>2023</v>
      </c>
      <c r="H750" s="23">
        <f t="shared" si="33"/>
        <v>45073</v>
      </c>
      <c r="I750" s="25">
        <v>45086</v>
      </c>
      <c r="J750" s="22">
        <f t="shared" si="34"/>
        <v>13</v>
      </c>
      <c r="K750" t="s">
        <v>41</v>
      </c>
      <c r="L750">
        <v>85665</v>
      </c>
      <c r="M750">
        <v>4100</v>
      </c>
      <c r="N750" s="26">
        <v>4375.32</v>
      </c>
      <c r="O750" s="26">
        <f t="shared" si="35"/>
        <v>3632.575</v>
      </c>
      <c r="P750">
        <v>744</v>
      </c>
      <c r="Q750" t="b">
        <v>1</v>
      </c>
      <c r="S750" t="s">
        <v>42</v>
      </c>
    </row>
    <row r="751" spans="1:19">
      <c r="A751" t="s">
        <v>1565</v>
      </c>
      <c r="B751" t="s">
        <v>1566</v>
      </c>
      <c r="C751" s="23" t="s">
        <v>4129</v>
      </c>
      <c r="D751" s="23">
        <v>45255</v>
      </c>
      <c r="E751" s="22">
        <v>11</v>
      </c>
      <c r="F751" s="22">
        <v>25</v>
      </c>
      <c r="G751" s="22">
        <v>2023</v>
      </c>
      <c r="H751" s="23">
        <f t="shared" si="33"/>
        <v>45255</v>
      </c>
      <c r="I751" s="25">
        <v>45263</v>
      </c>
      <c r="J751" s="22">
        <f t="shared" si="34"/>
        <v>8</v>
      </c>
      <c r="K751" t="s">
        <v>14</v>
      </c>
      <c r="L751">
        <v>32921</v>
      </c>
      <c r="M751">
        <v>1066</v>
      </c>
      <c r="N751" s="26">
        <v>762.29</v>
      </c>
      <c r="O751" s="26">
        <f t="shared" si="35"/>
        <v>762.29</v>
      </c>
      <c r="P751">
        <v>99</v>
      </c>
      <c r="Q751" t="b">
        <v>0</v>
      </c>
      <c r="S751" t="s">
        <v>16</v>
      </c>
    </row>
    <row r="752" spans="1:19">
      <c r="A752" t="s">
        <v>1567</v>
      </c>
      <c r="B752" t="s">
        <v>1568</v>
      </c>
      <c r="C752" s="23" t="s">
        <v>4128</v>
      </c>
      <c r="D752" s="23">
        <v>45142</v>
      </c>
      <c r="E752" s="22">
        <v>8</v>
      </c>
      <c r="F752" s="22">
        <v>4</v>
      </c>
      <c r="G752" s="22">
        <v>2023</v>
      </c>
      <c r="H752" s="23">
        <f t="shared" si="33"/>
        <v>45142</v>
      </c>
      <c r="I752" s="25">
        <v>45161</v>
      </c>
      <c r="J752" s="22">
        <f t="shared" si="34"/>
        <v>19</v>
      </c>
      <c r="K752" t="s">
        <v>41</v>
      </c>
      <c r="L752">
        <v>34307</v>
      </c>
      <c r="M752">
        <v>1373</v>
      </c>
      <c r="N752" s="26">
        <v>724.37</v>
      </c>
      <c r="O752" s="26">
        <f t="shared" si="35"/>
        <v>724.37</v>
      </c>
      <c r="P752">
        <v>85</v>
      </c>
      <c r="Q752" t="b">
        <v>1</v>
      </c>
      <c r="S752" t="s">
        <v>42</v>
      </c>
    </row>
    <row r="753" spans="1:19">
      <c r="A753" t="s">
        <v>1569</v>
      </c>
      <c r="B753" t="s">
        <v>1570</v>
      </c>
      <c r="C753" s="23" t="s">
        <v>4129</v>
      </c>
      <c r="D753" s="23">
        <v>45156</v>
      </c>
      <c r="E753" s="22">
        <v>8</v>
      </c>
      <c r="F753" s="22">
        <v>18</v>
      </c>
      <c r="G753" s="22">
        <v>2023</v>
      </c>
      <c r="H753" s="23">
        <f t="shared" si="33"/>
        <v>45156</v>
      </c>
      <c r="I753" s="25">
        <v>45168</v>
      </c>
      <c r="J753" s="22">
        <f t="shared" si="34"/>
        <v>12</v>
      </c>
      <c r="K753" t="s">
        <v>41</v>
      </c>
      <c r="L753">
        <v>28355</v>
      </c>
      <c r="M753">
        <v>916</v>
      </c>
      <c r="N753" s="26">
        <v>1095.63</v>
      </c>
      <c r="O753" s="26">
        <f t="shared" si="35"/>
        <v>1095.63</v>
      </c>
      <c r="P753">
        <v>86</v>
      </c>
      <c r="Q753" t="b">
        <v>1</v>
      </c>
      <c r="S753" t="s">
        <v>42</v>
      </c>
    </row>
    <row r="754" spans="1:19">
      <c r="A754" t="s">
        <v>1571</v>
      </c>
      <c r="B754" t="s">
        <v>1572</v>
      </c>
      <c r="C754" s="23" t="s">
        <v>4129</v>
      </c>
      <c r="D754" s="23">
        <v>45267</v>
      </c>
      <c r="E754" s="22">
        <v>12</v>
      </c>
      <c r="F754" s="22">
        <v>7</v>
      </c>
      <c r="G754" s="22">
        <v>2023</v>
      </c>
      <c r="H754" s="23">
        <f t="shared" si="33"/>
        <v>45267</v>
      </c>
      <c r="I754" s="25">
        <v>45143</v>
      </c>
      <c r="J754" s="22">
        <f t="shared" si="34"/>
        <v>-124</v>
      </c>
      <c r="K754" t="s">
        <v>14</v>
      </c>
      <c r="L754">
        <v>5835</v>
      </c>
      <c r="M754">
        <v>187</v>
      </c>
      <c r="N754" s="26">
        <v>358.03</v>
      </c>
      <c r="O754" s="26">
        <f t="shared" si="35"/>
        <v>358.03</v>
      </c>
      <c r="P754">
        <v>28</v>
      </c>
      <c r="Q754" t="b">
        <v>1</v>
      </c>
      <c r="S754" t="s">
        <v>16</v>
      </c>
    </row>
    <row r="755" spans="1:19">
      <c r="A755" t="s">
        <v>1573</v>
      </c>
      <c r="B755" t="s">
        <v>1574</v>
      </c>
      <c r="C755" s="23" t="s">
        <v>4128</v>
      </c>
      <c r="D755" s="23">
        <v>45265</v>
      </c>
      <c r="E755" s="22">
        <v>12</v>
      </c>
      <c r="F755" s="22">
        <v>5</v>
      </c>
      <c r="G755" s="22">
        <v>2023</v>
      </c>
      <c r="H755" s="23">
        <f t="shared" si="33"/>
        <v>45265</v>
      </c>
      <c r="I755" s="25">
        <v>45279</v>
      </c>
      <c r="J755" s="22">
        <f t="shared" si="34"/>
        <v>14</v>
      </c>
      <c r="K755" t="s">
        <v>41</v>
      </c>
      <c r="L755">
        <v>21159</v>
      </c>
      <c r="M755">
        <v>291</v>
      </c>
      <c r="N755" s="26">
        <v>286.85</v>
      </c>
      <c r="O755" s="26">
        <f t="shared" si="35"/>
        <v>286.85</v>
      </c>
      <c r="P755">
        <v>28</v>
      </c>
      <c r="Q755" t="b">
        <v>1</v>
      </c>
      <c r="S755" t="s">
        <v>68</v>
      </c>
    </row>
    <row r="756" spans="1:19">
      <c r="A756" t="s">
        <v>1575</v>
      </c>
      <c r="B756" t="s">
        <v>1576</v>
      </c>
      <c r="C756" s="23" t="s">
        <v>4129</v>
      </c>
      <c r="D756" s="23">
        <v>45105</v>
      </c>
      <c r="E756" s="22">
        <v>6</v>
      </c>
      <c r="F756" s="22">
        <v>28</v>
      </c>
      <c r="G756" s="22">
        <v>2023</v>
      </c>
      <c r="H756" s="23">
        <f t="shared" si="33"/>
        <v>45105</v>
      </c>
      <c r="I756" s="25">
        <v>45128</v>
      </c>
      <c r="J756" s="22">
        <f t="shared" si="34"/>
        <v>23</v>
      </c>
      <c r="K756" t="s">
        <v>14</v>
      </c>
      <c r="L756">
        <v>48605</v>
      </c>
      <c r="M756">
        <v>1154</v>
      </c>
      <c r="N756" s="26">
        <v>1721.43</v>
      </c>
      <c r="O756" s="26">
        <f t="shared" si="35"/>
        <v>1721.43</v>
      </c>
      <c r="P756">
        <v>105</v>
      </c>
      <c r="Q756" t="b">
        <v>0</v>
      </c>
      <c r="S756" t="s">
        <v>16</v>
      </c>
    </row>
    <row r="757" spans="1:19">
      <c r="A757" t="s">
        <v>1577</v>
      </c>
      <c r="B757" t="s">
        <v>1578</v>
      </c>
      <c r="C757" s="23" t="s">
        <v>4129</v>
      </c>
      <c r="D757" s="23">
        <v>45128</v>
      </c>
      <c r="E757" s="22">
        <v>7</v>
      </c>
      <c r="F757" s="22">
        <v>21</v>
      </c>
      <c r="G757" s="22">
        <v>2023</v>
      </c>
      <c r="H757" s="23">
        <f t="shared" si="33"/>
        <v>45128</v>
      </c>
      <c r="I757" s="25">
        <v>45153</v>
      </c>
      <c r="J757" s="22">
        <f t="shared" si="34"/>
        <v>25</v>
      </c>
      <c r="K757" t="s">
        <v>33</v>
      </c>
      <c r="L757">
        <v>39088</v>
      </c>
      <c r="M757">
        <v>832</v>
      </c>
      <c r="N757" s="26">
        <v>1229.99</v>
      </c>
      <c r="O757" s="26">
        <f t="shared" si="35"/>
        <v>1229.99</v>
      </c>
      <c r="P757">
        <v>64</v>
      </c>
      <c r="Q757" t="b">
        <v>1</v>
      </c>
      <c r="S757" t="s">
        <v>34</v>
      </c>
    </row>
    <row r="758" spans="1:19">
      <c r="A758" t="s">
        <v>1579</v>
      </c>
      <c r="B758" t="s">
        <v>1580</v>
      </c>
      <c r="C758" s="23" t="s">
        <v>4127</v>
      </c>
      <c r="D758" s="23">
        <v>45041</v>
      </c>
      <c r="E758" s="22">
        <v>4</v>
      </c>
      <c r="F758" s="22">
        <v>25</v>
      </c>
      <c r="G758" s="22">
        <v>2023</v>
      </c>
      <c r="H758" s="23">
        <f t="shared" si="33"/>
        <v>45041</v>
      </c>
      <c r="I758" s="25">
        <v>45045</v>
      </c>
      <c r="J758" s="22">
        <f t="shared" si="34"/>
        <v>4</v>
      </c>
      <c r="K758" t="s">
        <v>14</v>
      </c>
      <c r="L758">
        <v>79752</v>
      </c>
      <c r="M758">
        <v>2043</v>
      </c>
      <c r="N758" s="26">
        <v>1790.93</v>
      </c>
      <c r="O758" s="26">
        <f t="shared" si="35"/>
        <v>1790.93</v>
      </c>
      <c r="P758">
        <v>254</v>
      </c>
      <c r="Q758" t="b">
        <v>0</v>
      </c>
      <c r="S758" t="s">
        <v>16</v>
      </c>
    </row>
    <row r="759" spans="1:19">
      <c r="A759" t="s">
        <v>1581</v>
      </c>
      <c r="B759" t="s">
        <v>1582</v>
      </c>
      <c r="C759" s="23" t="s">
        <v>4131</v>
      </c>
      <c r="D759" s="23">
        <v>45079</v>
      </c>
      <c r="E759" s="22">
        <v>6</v>
      </c>
      <c r="F759" s="22">
        <v>2</v>
      </c>
      <c r="G759" s="22">
        <v>2023</v>
      </c>
      <c r="H759" s="23">
        <f t="shared" si="33"/>
        <v>45079</v>
      </c>
      <c r="I759" s="25">
        <v>45087</v>
      </c>
      <c r="J759" s="22">
        <f t="shared" si="34"/>
        <v>8</v>
      </c>
      <c r="K759" t="s">
        <v>33</v>
      </c>
      <c r="L759">
        <v>56284</v>
      </c>
      <c r="M759">
        <v>2360</v>
      </c>
      <c r="N759" s="26">
        <v>3482.51</v>
      </c>
      <c r="O759" s="26">
        <f t="shared" si="35"/>
        <v>3482.51</v>
      </c>
      <c r="P759">
        <v>215</v>
      </c>
      <c r="Q759" t="b">
        <v>0</v>
      </c>
      <c r="S759" t="s">
        <v>34</v>
      </c>
    </row>
    <row r="760" spans="1:19">
      <c r="A760" t="s">
        <v>1583</v>
      </c>
      <c r="B760" t="s">
        <v>1584</v>
      </c>
      <c r="C760" s="23" t="s">
        <v>4127</v>
      </c>
      <c r="D760" s="23">
        <v>45144</v>
      </c>
      <c r="E760" s="22">
        <v>8</v>
      </c>
      <c r="F760" s="22">
        <v>6</v>
      </c>
      <c r="G760" s="22">
        <v>2023</v>
      </c>
      <c r="H760" s="23">
        <f t="shared" si="33"/>
        <v>45144</v>
      </c>
      <c r="I760" s="25">
        <v>45165</v>
      </c>
      <c r="J760" s="22">
        <f t="shared" si="34"/>
        <v>21</v>
      </c>
      <c r="K760" t="s">
        <v>415</v>
      </c>
      <c r="L760">
        <v>58043</v>
      </c>
      <c r="M760">
        <v>1443</v>
      </c>
      <c r="N760" s="26">
        <v>1181.1</v>
      </c>
      <c r="O760" s="26">
        <f t="shared" si="35"/>
        <v>1181.1</v>
      </c>
      <c r="P760">
        <v>230</v>
      </c>
      <c r="Q760" t="b">
        <v>0</v>
      </c>
      <c r="S760" t="s">
        <v>34</v>
      </c>
    </row>
    <row r="761" spans="1:19">
      <c r="A761" t="s">
        <v>1585</v>
      </c>
      <c r="B761" t="s">
        <v>1586</v>
      </c>
      <c r="C761" s="23" t="s">
        <v>4131</v>
      </c>
      <c r="D761" s="23">
        <v>45053</v>
      </c>
      <c r="E761" s="22">
        <v>5</v>
      </c>
      <c r="F761" s="22">
        <v>7</v>
      </c>
      <c r="G761" s="22">
        <v>2023</v>
      </c>
      <c r="H761" s="23">
        <f t="shared" si="33"/>
        <v>45053</v>
      </c>
      <c r="I761" s="25">
        <v>45074</v>
      </c>
      <c r="J761" s="22">
        <f t="shared" si="34"/>
        <v>21</v>
      </c>
      <c r="K761" t="s">
        <v>138</v>
      </c>
      <c r="L761">
        <v>36547</v>
      </c>
      <c r="M761">
        <v>1025</v>
      </c>
      <c r="N761" s="26">
        <v>700.09</v>
      </c>
      <c r="O761" s="26">
        <f t="shared" si="35"/>
        <v>700.09</v>
      </c>
      <c r="P761">
        <v>0</v>
      </c>
      <c r="Q761" t="b">
        <v>1</v>
      </c>
      <c r="S761" t="s">
        <v>139</v>
      </c>
    </row>
    <row r="762" spans="1:19">
      <c r="A762" t="s">
        <v>1587</v>
      </c>
      <c r="B762" t="s">
        <v>1588</v>
      </c>
      <c r="C762" s="23" t="s">
        <v>4128</v>
      </c>
      <c r="D762" s="23">
        <v>45023</v>
      </c>
      <c r="E762" s="22">
        <v>4</v>
      </c>
      <c r="F762" s="22">
        <v>7</v>
      </c>
      <c r="G762" s="22">
        <v>2023</v>
      </c>
      <c r="H762" s="23">
        <f t="shared" si="33"/>
        <v>45023</v>
      </c>
      <c r="I762" s="25">
        <v>45038</v>
      </c>
      <c r="J762" s="22">
        <f t="shared" si="34"/>
        <v>15</v>
      </c>
      <c r="K762" t="s">
        <v>14</v>
      </c>
      <c r="L762">
        <v>98007</v>
      </c>
      <c r="M762">
        <v>2537</v>
      </c>
      <c r="N762" s="26">
        <v>3937.61</v>
      </c>
      <c r="O762" s="26">
        <f t="shared" si="35"/>
        <v>3632.575</v>
      </c>
      <c r="P762">
        <v>379</v>
      </c>
      <c r="Q762" t="b">
        <v>1</v>
      </c>
      <c r="S762" t="s">
        <v>68</v>
      </c>
    </row>
    <row r="763" spans="1:19">
      <c r="A763" t="s">
        <v>1589</v>
      </c>
      <c r="B763" t="s">
        <v>1590</v>
      </c>
      <c r="C763" s="23" t="s">
        <v>4128</v>
      </c>
      <c r="D763" s="23" t="s">
        <v>1591</v>
      </c>
      <c r="E763" s="22">
        <v>27</v>
      </c>
      <c r="F763" s="22">
        <v>2</v>
      </c>
      <c r="G763" s="22">
        <v>2023</v>
      </c>
      <c r="H763" s="23">
        <f t="shared" si="33"/>
        <v>44984</v>
      </c>
      <c r="I763" s="25">
        <v>44989</v>
      </c>
      <c r="J763" s="22">
        <f t="shared" si="34"/>
        <v>5</v>
      </c>
      <c r="K763" t="s">
        <v>234</v>
      </c>
      <c r="L763">
        <v>83844</v>
      </c>
      <c r="M763">
        <v>1151</v>
      </c>
      <c r="N763" s="26">
        <v>771.36</v>
      </c>
      <c r="O763" s="26">
        <f t="shared" si="35"/>
        <v>771.36</v>
      </c>
      <c r="P763">
        <v>98</v>
      </c>
      <c r="Q763" t="b">
        <v>1</v>
      </c>
      <c r="S763" t="s">
        <v>16</v>
      </c>
    </row>
    <row r="764" spans="1:19">
      <c r="A764" t="s">
        <v>1592</v>
      </c>
      <c r="B764" t="s">
        <v>1593</v>
      </c>
      <c r="C764" s="23" t="s">
        <v>4128</v>
      </c>
      <c r="D764" s="23">
        <v>45265</v>
      </c>
      <c r="E764" s="22">
        <v>12</v>
      </c>
      <c r="F764" s="22">
        <v>5</v>
      </c>
      <c r="G764" s="22">
        <v>2023</v>
      </c>
      <c r="H764" s="23">
        <f t="shared" si="33"/>
        <v>45265</v>
      </c>
      <c r="I764" s="25">
        <v>45292</v>
      </c>
      <c r="J764" s="22">
        <f t="shared" si="34"/>
        <v>27</v>
      </c>
      <c r="K764" t="s">
        <v>41</v>
      </c>
      <c r="L764">
        <v>28532</v>
      </c>
      <c r="M764">
        <v>788</v>
      </c>
      <c r="N764" s="26">
        <v>1572.35</v>
      </c>
      <c r="O764" s="26">
        <f t="shared" si="35"/>
        <v>1572.35</v>
      </c>
      <c r="P764">
        <v>97</v>
      </c>
      <c r="Q764" t="b">
        <v>0</v>
      </c>
      <c r="S764" t="s">
        <v>42</v>
      </c>
    </row>
    <row r="765" spans="1:19">
      <c r="A765" t="s">
        <v>1594</v>
      </c>
      <c r="B765" t="s">
        <v>1595</v>
      </c>
      <c r="C765" s="23" t="s">
        <v>4129</v>
      </c>
      <c r="D765" s="23">
        <v>44935</v>
      </c>
      <c r="E765" s="22">
        <v>1</v>
      </c>
      <c r="F765" s="22">
        <v>9</v>
      </c>
      <c r="G765" s="22">
        <v>2023</v>
      </c>
      <c r="H765" s="23">
        <f t="shared" si="33"/>
        <v>44935</v>
      </c>
      <c r="I765" s="25">
        <v>45193</v>
      </c>
      <c r="J765" s="22">
        <f t="shared" si="34"/>
        <v>258</v>
      </c>
      <c r="K765" t="s">
        <v>23</v>
      </c>
      <c r="L765">
        <v>35349</v>
      </c>
      <c r="M765">
        <v>630</v>
      </c>
      <c r="N765" s="26">
        <v>488.36</v>
      </c>
      <c r="O765" s="26">
        <f t="shared" si="35"/>
        <v>488.36</v>
      </c>
      <c r="P765">
        <v>58</v>
      </c>
      <c r="Q765" t="b">
        <v>0</v>
      </c>
      <c r="S765" t="s">
        <v>68</v>
      </c>
    </row>
    <row r="766" spans="1:19">
      <c r="A766" t="s">
        <v>1596</v>
      </c>
      <c r="B766" t="s">
        <v>1597</v>
      </c>
      <c r="C766" s="23" t="s">
        <v>4129</v>
      </c>
      <c r="D766" s="23">
        <v>44937</v>
      </c>
      <c r="E766" s="22">
        <v>1</v>
      </c>
      <c r="F766" s="22">
        <v>11</v>
      </c>
      <c r="G766" s="22">
        <v>2023</v>
      </c>
      <c r="H766" s="23">
        <f t="shared" si="33"/>
        <v>44937</v>
      </c>
      <c r="I766" s="25">
        <v>45260</v>
      </c>
      <c r="J766" s="22">
        <f t="shared" si="34"/>
        <v>323</v>
      </c>
      <c r="K766" t="s">
        <v>14</v>
      </c>
      <c r="L766">
        <v>46445</v>
      </c>
      <c r="M766">
        <v>811</v>
      </c>
      <c r="N766" s="26">
        <v>1128.27</v>
      </c>
      <c r="O766" s="26">
        <f t="shared" si="35"/>
        <v>1128.27</v>
      </c>
      <c r="P766">
        <v>128</v>
      </c>
      <c r="Q766" t="b">
        <v>0</v>
      </c>
      <c r="S766" t="s">
        <v>16</v>
      </c>
    </row>
    <row r="767" spans="1:19">
      <c r="A767" t="s">
        <v>1598</v>
      </c>
      <c r="B767" t="s">
        <v>1599</v>
      </c>
      <c r="C767" s="23" t="s">
        <v>4131</v>
      </c>
      <c r="D767" s="23">
        <v>45233</v>
      </c>
      <c r="E767" s="22">
        <v>11</v>
      </c>
      <c r="F767" s="22">
        <v>3</v>
      </c>
      <c r="G767" s="22">
        <v>2023</v>
      </c>
      <c r="H767" s="23">
        <f t="shared" si="33"/>
        <v>45233</v>
      </c>
      <c r="I767" s="25">
        <v>45258</v>
      </c>
      <c r="J767" s="22">
        <f t="shared" si="34"/>
        <v>25</v>
      </c>
      <c r="K767" t="s">
        <v>33</v>
      </c>
      <c r="L767">
        <v>6713</v>
      </c>
      <c r="M767">
        <v>92</v>
      </c>
      <c r="N767" s="26">
        <v>102.77</v>
      </c>
      <c r="O767" s="26">
        <f t="shared" si="35"/>
        <v>102.77</v>
      </c>
      <c r="P767">
        <v>17</v>
      </c>
      <c r="Q767" t="b">
        <v>0</v>
      </c>
      <c r="S767" t="s">
        <v>34</v>
      </c>
    </row>
    <row r="768" spans="1:19">
      <c r="A768" t="s">
        <v>1600</v>
      </c>
      <c r="B768" t="s">
        <v>1601</v>
      </c>
      <c r="C768" s="23" t="s">
        <v>4128</v>
      </c>
      <c r="D768" s="23">
        <v>45052</v>
      </c>
      <c r="E768" s="22">
        <v>5</v>
      </c>
      <c r="F768" s="22">
        <v>6</v>
      </c>
      <c r="G768" s="22">
        <v>2023</v>
      </c>
      <c r="H768" s="23">
        <f t="shared" si="33"/>
        <v>45052</v>
      </c>
      <c r="I768" s="25">
        <v>45059</v>
      </c>
      <c r="J768" s="22">
        <f t="shared" si="34"/>
        <v>7</v>
      </c>
      <c r="K768" t="s">
        <v>19</v>
      </c>
      <c r="L768">
        <v>57178</v>
      </c>
      <c r="M768">
        <v>1387</v>
      </c>
      <c r="N768" s="26">
        <v>956.45</v>
      </c>
      <c r="O768" s="26">
        <f t="shared" si="35"/>
        <v>956.45</v>
      </c>
      <c r="P768">
        <v>0</v>
      </c>
      <c r="Q768" t="b">
        <v>1</v>
      </c>
      <c r="S768" t="s">
        <v>20</v>
      </c>
    </row>
    <row r="769" spans="1:19">
      <c r="A769" t="s">
        <v>1602</v>
      </c>
      <c r="B769" t="s">
        <v>1603</v>
      </c>
      <c r="C769" s="23" t="s">
        <v>4128</v>
      </c>
      <c r="D769" s="23">
        <v>45046</v>
      </c>
      <c r="E769" s="22">
        <v>4</v>
      </c>
      <c r="F769" s="22">
        <v>30</v>
      </c>
      <c r="G769" s="22">
        <v>2023</v>
      </c>
      <c r="H769" s="23">
        <f t="shared" si="33"/>
        <v>45046</v>
      </c>
      <c r="I769" s="25">
        <v>45069</v>
      </c>
      <c r="J769" s="22">
        <f t="shared" si="34"/>
        <v>23</v>
      </c>
      <c r="K769" t="s">
        <v>41</v>
      </c>
      <c r="L769">
        <v>50407</v>
      </c>
      <c r="M769">
        <v>2031</v>
      </c>
      <c r="N769" s="26">
        <v>1100.33</v>
      </c>
      <c r="O769" s="26">
        <f t="shared" si="35"/>
        <v>1100.33</v>
      </c>
      <c r="P769">
        <v>279</v>
      </c>
      <c r="Q769" t="b">
        <v>0</v>
      </c>
      <c r="S769" t="s">
        <v>42</v>
      </c>
    </row>
    <row r="770" spans="1:19">
      <c r="A770" t="s">
        <v>1604</v>
      </c>
      <c r="B770" t="s">
        <v>1605</v>
      </c>
      <c r="C770" s="23" t="s">
        <v>4131</v>
      </c>
      <c r="D770" s="23">
        <v>44955</v>
      </c>
      <c r="E770" s="22">
        <v>1</v>
      </c>
      <c r="F770" s="22">
        <v>29</v>
      </c>
      <c r="G770" s="22">
        <v>2023</v>
      </c>
      <c r="H770" s="23">
        <f t="shared" si="33"/>
        <v>44955</v>
      </c>
      <c r="I770" s="25">
        <v>44956</v>
      </c>
      <c r="J770" s="22">
        <f t="shared" si="34"/>
        <v>1</v>
      </c>
      <c r="K770" t="s">
        <v>33</v>
      </c>
      <c r="L770">
        <v>71340</v>
      </c>
      <c r="M770">
        <v>1502</v>
      </c>
      <c r="N770" s="26">
        <v>2154.02</v>
      </c>
      <c r="O770" s="26">
        <f t="shared" si="35"/>
        <v>2154.02</v>
      </c>
      <c r="P770">
        <v>0</v>
      </c>
      <c r="Q770" t="b">
        <v>1</v>
      </c>
      <c r="S770" t="s">
        <v>34</v>
      </c>
    </row>
    <row r="771" spans="1:19">
      <c r="A771" t="s">
        <v>1606</v>
      </c>
      <c r="B771" t="s">
        <v>1607</v>
      </c>
      <c r="C771" s="23" t="s">
        <v>4129</v>
      </c>
      <c r="D771" s="23">
        <v>45046</v>
      </c>
      <c r="E771" s="22">
        <v>4</v>
      </c>
      <c r="F771" s="22">
        <v>30</v>
      </c>
      <c r="G771" s="22">
        <v>2023</v>
      </c>
      <c r="H771" s="23">
        <f t="shared" ref="H771:H834" si="36">IF(E771&gt;12,DATE(G771,F771,E771),D771)</f>
        <v>45046</v>
      </c>
      <c r="I771" s="25">
        <v>45075</v>
      </c>
      <c r="J771" s="22">
        <f t="shared" ref="J771:J834" si="37">DATEDIF(H771,I771,"D")</f>
        <v>29</v>
      </c>
      <c r="K771" t="s">
        <v>41</v>
      </c>
      <c r="L771">
        <v>51990</v>
      </c>
      <c r="M771">
        <v>1169</v>
      </c>
      <c r="N771" s="26">
        <v>1999.15</v>
      </c>
      <c r="O771" s="26">
        <f t="shared" ref="O771:O834" si="38">IF(N771&lt;$W$8,$W$8,IF(N771&gt;$W$9,$W$9,N771))</f>
        <v>1999.15</v>
      </c>
      <c r="P771">
        <v>201</v>
      </c>
      <c r="Q771" t="b">
        <v>1</v>
      </c>
      <c r="S771" t="s">
        <v>68</v>
      </c>
    </row>
    <row r="772" spans="1:19">
      <c r="A772" t="s">
        <v>1608</v>
      </c>
      <c r="B772" t="s">
        <v>1609</v>
      </c>
      <c r="C772" s="23" t="s">
        <v>4128</v>
      </c>
      <c r="D772" s="23">
        <v>45090</v>
      </c>
      <c r="E772" s="22">
        <v>6</v>
      </c>
      <c r="F772" s="22">
        <v>13</v>
      </c>
      <c r="G772" s="22">
        <v>2023</v>
      </c>
      <c r="H772" s="23">
        <f t="shared" si="36"/>
        <v>45090</v>
      </c>
      <c r="I772" s="25">
        <v>45116</v>
      </c>
      <c r="J772" s="22">
        <f t="shared" si="37"/>
        <v>26</v>
      </c>
      <c r="K772" t="s">
        <v>23</v>
      </c>
      <c r="L772">
        <v>76672</v>
      </c>
      <c r="M772">
        <v>2737</v>
      </c>
      <c r="N772" s="26">
        <v>4825.4</v>
      </c>
      <c r="O772" s="26">
        <f t="shared" si="38"/>
        <v>3632.575</v>
      </c>
      <c r="P772">
        <v>417</v>
      </c>
      <c r="Q772" t="b">
        <v>1</v>
      </c>
      <c r="S772" t="s">
        <v>25</v>
      </c>
    </row>
    <row r="773" spans="1:19">
      <c r="A773" t="s">
        <v>1610</v>
      </c>
      <c r="B773" t="s">
        <v>1611</v>
      </c>
      <c r="C773" s="23" t="s">
        <v>4127</v>
      </c>
      <c r="D773" s="23">
        <v>45091</v>
      </c>
      <c r="E773" s="22">
        <v>6</v>
      </c>
      <c r="F773" s="22">
        <v>14</v>
      </c>
      <c r="G773" s="22">
        <v>2023</v>
      </c>
      <c r="H773" s="23">
        <f t="shared" si="36"/>
        <v>45091</v>
      </c>
      <c r="I773" s="25">
        <v>45108</v>
      </c>
      <c r="J773" s="22">
        <f t="shared" si="37"/>
        <v>17</v>
      </c>
      <c r="K773" t="s">
        <v>19</v>
      </c>
      <c r="L773">
        <v>66545</v>
      </c>
      <c r="M773">
        <v>1186</v>
      </c>
      <c r="N773" s="26">
        <v>1451.75</v>
      </c>
      <c r="O773" s="26">
        <f t="shared" si="38"/>
        <v>1451.75</v>
      </c>
      <c r="P773">
        <v>91</v>
      </c>
      <c r="Q773" t="b">
        <v>0</v>
      </c>
      <c r="S773" t="s">
        <v>20</v>
      </c>
    </row>
    <row r="774" spans="1:19">
      <c r="A774" t="s">
        <v>1612</v>
      </c>
      <c r="B774" t="s">
        <v>1613</v>
      </c>
      <c r="C774" s="23" t="s">
        <v>4131</v>
      </c>
      <c r="D774" s="23">
        <v>45265</v>
      </c>
      <c r="E774" s="22">
        <v>12</v>
      </c>
      <c r="F774" s="22">
        <v>5</v>
      </c>
      <c r="G774" s="22">
        <v>2023</v>
      </c>
      <c r="H774" s="23">
        <f t="shared" si="36"/>
        <v>45265</v>
      </c>
      <c r="I774" s="25">
        <v>45291</v>
      </c>
      <c r="J774" s="22">
        <f t="shared" si="37"/>
        <v>26</v>
      </c>
      <c r="K774" t="s">
        <v>23</v>
      </c>
      <c r="L774">
        <v>85791</v>
      </c>
      <c r="M774">
        <v>3935</v>
      </c>
      <c r="N774" s="26">
        <v>6556.43</v>
      </c>
      <c r="O774" s="26">
        <f t="shared" si="38"/>
        <v>3632.575</v>
      </c>
      <c r="P774">
        <v>681</v>
      </c>
      <c r="Q774" t="b">
        <v>1</v>
      </c>
      <c r="S774" t="s">
        <v>25</v>
      </c>
    </row>
    <row r="775" spans="1:19">
      <c r="A775" t="s">
        <v>1614</v>
      </c>
      <c r="B775" t="s">
        <v>1615</v>
      </c>
      <c r="C775" s="23" t="s">
        <v>4128</v>
      </c>
      <c r="D775" s="23" t="s">
        <v>1616</v>
      </c>
      <c r="E775" s="22">
        <v>21</v>
      </c>
      <c r="F775" s="22">
        <v>5</v>
      </c>
      <c r="G775" s="22">
        <v>2023</v>
      </c>
      <c r="H775" s="23">
        <f t="shared" si="36"/>
        <v>45067</v>
      </c>
      <c r="I775" s="25">
        <v>45071</v>
      </c>
      <c r="J775" s="22">
        <f t="shared" si="37"/>
        <v>4</v>
      </c>
      <c r="K775" t="s">
        <v>19</v>
      </c>
      <c r="L775">
        <v>59141</v>
      </c>
      <c r="M775">
        <v>1821</v>
      </c>
      <c r="N775" s="26">
        <v>2748.38</v>
      </c>
      <c r="O775" s="26">
        <f t="shared" si="38"/>
        <v>2748.38</v>
      </c>
      <c r="P775">
        <v>208</v>
      </c>
      <c r="Q775" t="b">
        <v>0</v>
      </c>
      <c r="S775" t="s">
        <v>20</v>
      </c>
    </row>
    <row r="776" spans="1:19">
      <c r="A776" t="s">
        <v>1617</v>
      </c>
      <c r="B776" t="s">
        <v>1618</v>
      </c>
      <c r="C776" s="23" t="s">
        <v>4129</v>
      </c>
      <c r="D776" s="23">
        <v>45229</v>
      </c>
      <c r="E776" s="22">
        <v>10</v>
      </c>
      <c r="F776" s="22">
        <v>30</v>
      </c>
      <c r="G776" s="22">
        <v>2023</v>
      </c>
      <c r="H776" s="23">
        <f t="shared" si="36"/>
        <v>45229</v>
      </c>
      <c r="I776" s="25">
        <v>45245</v>
      </c>
      <c r="J776" s="22">
        <f t="shared" si="37"/>
        <v>16</v>
      </c>
      <c r="K776" t="s">
        <v>14</v>
      </c>
      <c r="L776">
        <v>24793</v>
      </c>
      <c r="M776">
        <v>691</v>
      </c>
      <c r="N776" s="26">
        <v>1096.19</v>
      </c>
      <c r="O776" s="26">
        <f t="shared" si="38"/>
        <v>1096.19</v>
      </c>
      <c r="P776">
        <v>54</v>
      </c>
      <c r="Q776" t="b">
        <v>0</v>
      </c>
      <c r="S776" t="s">
        <v>16</v>
      </c>
    </row>
    <row r="777" spans="1:19">
      <c r="A777" t="s">
        <v>1619</v>
      </c>
      <c r="B777" t="s">
        <v>1620</v>
      </c>
      <c r="C777" s="23" t="s">
        <v>4127</v>
      </c>
      <c r="D777" s="23">
        <v>45247</v>
      </c>
      <c r="E777" s="22">
        <v>11</v>
      </c>
      <c r="F777" s="22">
        <v>17</v>
      </c>
      <c r="G777" s="22">
        <v>2023</v>
      </c>
      <c r="H777" s="23">
        <f t="shared" si="36"/>
        <v>45247</v>
      </c>
      <c r="I777" s="25">
        <v>45252</v>
      </c>
      <c r="J777" s="22">
        <f t="shared" si="37"/>
        <v>5</v>
      </c>
      <c r="K777" t="s">
        <v>191</v>
      </c>
      <c r="L777">
        <v>57570</v>
      </c>
      <c r="M777">
        <v>1860</v>
      </c>
      <c r="N777" s="26">
        <v>2304.35</v>
      </c>
      <c r="O777" s="26">
        <f t="shared" si="38"/>
        <v>2304.35</v>
      </c>
      <c r="P777">
        <v>171</v>
      </c>
      <c r="Q777" t="b">
        <v>1</v>
      </c>
      <c r="S777" t="s">
        <v>42</v>
      </c>
    </row>
    <row r="778" spans="1:19">
      <c r="A778" t="s">
        <v>1621</v>
      </c>
      <c r="B778" t="s">
        <v>1622</v>
      </c>
      <c r="C778" s="23" t="s">
        <v>4128</v>
      </c>
      <c r="D778" s="23">
        <v>44951</v>
      </c>
      <c r="E778" s="22">
        <v>1</v>
      </c>
      <c r="F778" s="22">
        <v>25</v>
      </c>
      <c r="G778" s="22">
        <v>2023</v>
      </c>
      <c r="H778" s="23">
        <f t="shared" si="36"/>
        <v>44951</v>
      </c>
      <c r="I778" s="25">
        <v>44981</v>
      </c>
      <c r="J778" s="22">
        <f t="shared" si="37"/>
        <v>30</v>
      </c>
      <c r="K778" t="s">
        <v>19</v>
      </c>
      <c r="L778">
        <v>96084</v>
      </c>
      <c r="M778">
        <v>1598</v>
      </c>
      <c r="N778" s="26">
        <v>2317.29</v>
      </c>
      <c r="O778" s="26">
        <f t="shared" si="38"/>
        <v>2317.29</v>
      </c>
      <c r="P778">
        <v>144</v>
      </c>
      <c r="Q778" t="b">
        <v>1</v>
      </c>
      <c r="S778" t="s">
        <v>20</v>
      </c>
    </row>
    <row r="779" spans="1:19">
      <c r="A779" t="s">
        <v>1623</v>
      </c>
      <c r="B779" t="s">
        <v>1624</v>
      </c>
      <c r="C779" s="23" t="s">
        <v>4131</v>
      </c>
      <c r="D779" s="23">
        <v>45270</v>
      </c>
      <c r="E779" s="22">
        <v>12</v>
      </c>
      <c r="F779" s="22">
        <v>10</v>
      </c>
      <c r="G779" s="22">
        <v>2023</v>
      </c>
      <c r="H779" s="23">
        <f t="shared" si="36"/>
        <v>45270</v>
      </c>
      <c r="I779" s="25">
        <v>45273</v>
      </c>
      <c r="J779" s="22">
        <f t="shared" si="37"/>
        <v>3</v>
      </c>
      <c r="K779" t="s">
        <v>23</v>
      </c>
      <c r="L779">
        <v>38892</v>
      </c>
      <c r="M779">
        <v>1343</v>
      </c>
      <c r="N779" s="26">
        <v>2294.23</v>
      </c>
      <c r="O779" s="26">
        <f t="shared" si="38"/>
        <v>2294.23</v>
      </c>
      <c r="P779">
        <v>0</v>
      </c>
      <c r="Q779" t="b">
        <v>0</v>
      </c>
      <c r="S779" t="s">
        <v>25</v>
      </c>
    </row>
    <row r="780" spans="1:19">
      <c r="A780" t="s">
        <v>1625</v>
      </c>
      <c r="B780" t="s">
        <v>1626</v>
      </c>
      <c r="C780" s="23" t="s">
        <v>4131</v>
      </c>
      <c r="D780" s="23">
        <v>45283</v>
      </c>
      <c r="E780" s="22">
        <v>12</v>
      </c>
      <c r="F780" s="22">
        <v>23</v>
      </c>
      <c r="G780" s="22">
        <v>2023</v>
      </c>
      <c r="H780" s="23">
        <f t="shared" si="36"/>
        <v>45283</v>
      </c>
      <c r="I780" s="25">
        <v>45306</v>
      </c>
      <c r="J780" s="22">
        <f t="shared" si="37"/>
        <v>23</v>
      </c>
      <c r="K780" t="s">
        <v>19</v>
      </c>
      <c r="L780">
        <v>2015</v>
      </c>
      <c r="M780">
        <v>49</v>
      </c>
      <c r="N780" s="26">
        <v>53.74</v>
      </c>
      <c r="O780" s="26">
        <f t="shared" si="38"/>
        <v>53.74</v>
      </c>
      <c r="P780">
        <v>4</v>
      </c>
      <c r="Q780" t="b">
        <v>0</v>
      </c>
      <c r="S780" t="s">
        <v>20</v>
      </c>
    </row>
    <row r="781" spans="1:19">
      <c r="A781" t="s">
        <v>1627</v>
      </c>
      <c r="B781" t="s">
        <v>1628</v>
      </c>
      <c r="C781" s="23" t="s">
        <v>4129</v>
      </c>
      <c r="D781" s="23">
        <v>45119</v>
      </c>
      <c r="E781" s="22">
        <v>7</v>
      </c>
      <c r="F781" s="22">
        <v>12</v>
      </c>
      <c r="G781" s="22">
        <v>2023</v>
      </c>
      <c r="H781" s="23">
        <f t="shared" si="36"/>
        <v>45119</v>
      </c>
      <c r="I781" s="25">
        <v>45129</v>
      </c>
      <c r="J781" s="22">
        <f t="shared" si="37"/>
        <v>10</v>
      </c>
      <c r="K781" t="s">
        <v>415</v>
      </c>
      <c r="L781">
        <v>62813</v>
      </c>
      <c r="M781">
        <v>2882</v>
      </c>
      <c r="N781" s="26">
        <v>4925.25</v>
      </c>
      <c r="O781" s="26">
        <f t="shared" si="38"/>
        <v>3632.575</v>
      </c>
      <c r="P781">
        <v>197</v>
      </c>
      <c r="Q781" t="b">
        <v>1</v>
      </c>
      <c r="S781" t="s">
        <v>34</v>
      </c>
    </row>
    <row r="782" spans="1:19">
      <c r="A782" t="s">
        <v>1629</v>
      </c>
      <c r="B782" t="s">
        <v>1630</v>
      </c>
      <c r="C782" s="23" t="s">
        <v>4131</v>
      </c>
      <c r="D782" s="23">
        <v>45050</v>
      </c>
      <c r="E782" s="22">
        <v>5</v>
      </c>
      <c r="F782" s="22">
        <v>4</v>
      </c>
      <c r="G782" s="22">
        <v>2023</v>
      </c>
      <c r="H782" s="23">
        <f t="shared" si="36"/>
        <v>45050</v>
      </c>
      <c r="I782" s="25">
        <v>45058</v>
      </c>
      <c r="J782" s="22">
        <f t="shared" si="37"/>
        <v>8</v>
      </c>
      <c r="K782" t="s">
        <v>138</v>
      </c>
      <c r="L782">
        <v>28712</v>
      </c>
      <c r="M782">
        <v>481</v>
      </c>
      <c r="N782" s="26">
        <v>667.64</v>
      </c>
      <c r="O782" s="26">
        <f t="shared" si="38"/>
        <v>667.64</v>
      </c>
      <c r="P782">
        <v>32</v>
      </c>
      <c r="Q782" t="b">
        <v>1</v>
      </c>
      <c r="S782" t="s">
        <v>139</v>
      </c>
    </row>
    <row r="783" spans="1:19">
      <c r="A783" t="s">
        <v>1631</v>
      </c>
      <c r="B783" t="s">
        <v>1632</v>
      </c>
      <c r="C783" s="23" t="s">
        <v>4128</v>
      </c>
      <c r="D783" s="23">
        <v>45289</v>
      </c>
      <c r="E783" s="22">
        <v>12</v>
      </c>
      <c r="F783" s="22">
        <v>29</v>
      </c>
      <c r="G783" s="22">
        <v>2023</v>
      </c>
      <c r="H783" s="23">
        <f t="shared" si="36"/>
        <v>45289</v>
      </c>
      <c r="I783" s="25">
        <v>45314</v>
      </c>
      <c r="J783" s="22">
        <f t="shared" si="37"/>
        <v>25</v>
      </c>
      <c r="K783" t="s">
        <v>14</v>
      </c>
      <c r="L783">
        <v>9415</v>
      </c>
      <c r="M783">
        <v>285</v>
      </c>
      <c r="N783" s="26">
        <v>213.42</v>
      </c>
      <c r="O783" s="26">
        <f t="shared" si="38"/>
        <v>213.42</v>
      </c>
      <c r="P783">
        <v>39</v>
      </c>
      <c r="Q783" t="b">
        <v>1</v>
      </c>
      <c r="S783" t="s">
        <v>16</v>
      </c>
    </row>
    <row r="784" spans="1:19">
      <c r="A784" t="s">
        <v>1633</v>
      </c>
      <c r="B784" t="s">
        <v>1634</v>
      </c>
      <c r="C784" s="23" t="s">
        <v>4129</v>
      </c>
      <c r="D784" s="23">
        <v>44956</v>
      </c>
      <c r="E784" s="22">
        <v>1</v>
      </c>
      <c r="F784" s="22">
        <v>30</v>
      </c>
      <c r="G784" s="22">
        <v>2023</v>
      </c>
      <c r="H784" s="23">
        <f t="shared" si="36"/>
        <v>44956</v>
      </c>
      <c r="I784" s="25">
        <v>44969</v>
      </c>
      <c r="J784" s="22">
        <f t="shared" si="37"/>
        <v>13</v>
      </c>
      <c r="K784" t="s">
        <v>41</v>
      </c>
      <c r="L784">
        <v>63292</v>
      </c>
      <c r="M784">
        <v>2147</v>
      </c>
      <c r="N784" s="26">
        <v>1153</v>
      </c>
      <c r="O784" s="26">
        <f t="shared" si="38"/>
        <v>1153</v>
      </c>
      <c r="P784">
        <v>343</v>
      </c>
      <c r="Q784" t="b">
        <v>0</v>
      </c>
      <c r="S784" t="s">
        <v>42</v>
      </c>
    </row>
    <row r="785" spans="1:19">
      <c r="A785" t="s">
        <v>1635</v>
      </c>
      <c r="B785" t="s">
        <v>1636</v>
      </c>
      <c r="C785" s="23" t="s">
        <v>4131</v>
      </c>
      <c r="D785" s="23">
        <v>45212</v>
      </c>
      <c r="E785" s="22">
        <v>10</v>
      </c>
      <c r="F785" s="22">
        <v>13</v>
      </c>
      <c r="G785" s="22">
        <v>2023</v>
      </c>
      <c r="H785" s="23">
        <f t="shared" si="36"/>
        <v>45212</v>
      </c>
      <c r="I785" s="25">
        <v>45222</v>
      </c>
      <c r="J785" s="22">
        <f t="shared" si="37"/>
        <v>10</v>
      </c>
      <c r="K785" t="s">
        <v>19</v>
      </c>
      <c r="L785">
        <v>24833</v>
      </c>
      <c r="M785">
        <v>281</v>
      </c>
      <c r="N785" s="26">
        <v>293.4</v>
      </c>
      <c r="O785" s="26">
        <f t="shared" si="38"/>
        <v>293.4</v>
      </c>
      <c r="P785">
        <v>27</v>
      </c>
      <c r="Q785" t="b">
        <v>0</v>
      </c>
      <c r="S785" t="s">
        <v>20</v>
      </c>
    </row>
    <row r="786" spans="1:19">
      <c r="A786" t="s">
        <v>1637</v>
      </c>
      <c r="B786" t="s">
        <v>1638</v>
      </c>
      <c r="C786" s="23" t="s">
        <v>4127</v>
      </c>
      <c r="D786" s="23">
        <v>45057</v>
      </c>
      <c r="E786" s="22">
        <v>5</v>
      </c>
      <c r="F786" s="22">
        <v>11</v>
      </c>
      <c r="G786" s="22">
        <v>2023</v>
      </c>
      <c r="H786" s="23">
        <f t="shared" si="36"/>
        <v>45057</v>
      </c>
      <c r="I786" s="25">
        <v>45084</v>
      </c>
      <c r="J786" s="22">
        <f t="shared" si="37"/>
        <v>27</v>
      </c>
      <c r="K786" t="s">
        <v>19</v>
      </c>
      <c r="L786">
        <v>5158</v>
      </c>
      <c r="M786">
        <v>126</v>
      </c>
      <c r="N786" s="26">
        <v>166.33</v>
      </c>
      <c r="O786" s="26">
        <f t="shared" si="38"/>
        <v>166.33</v>
      </c>
      <c r="P786">
        <v>6</v>
      </c>
      <c r="Q786" t="b">
        <v>0</v>
      </c>
      <c r="S786" t="s">
        <v>20</v>
      </c>
    </row>
    <row r="787" spans="1:19">
      <c r="A787" t="s">
        <v>1639</v>
      </c>
      <c r="B787" t="s">
        <v>1640</v>
      </c>
      <c r="C787" s="23" t="s">
        <v>4131</v>
      </c>
      <c r="D787" s="23">
        <v>45157</v>
      </c>
      <c r="E787" s="22">
        <v>8</v>
      </c>
      <c r="F787" s="22">
        <v>19</v>
      </c>
      <c r="G787" s="22">
        <v>2023</v>
      </c>
      <c r="H787" s="23">
        <f t="shared" si="36"/>
        <v>45157</v>
      </c>
      <c r="I787" s="25">
        <v>45164</v>
      </c>
      <c r="J787" s="22">
        <f t="shared" si="37"/>
        <v>7</v>
      </c>
      <c r="K787" t="s">
        <v>14</v>
      </c>
      <c r="L787">
        <v>63680</v>
      </c>
      <c r="M787">
        <v>2502</v>
      </c>
      <c r="N787" s="26">
        <v>4402.85</v>
      </c>
      <c r="O787" s="26">
        <f t="shared" si="38"/>
        <v>3632.575</v>
      </c>
      <c r="P787">
        <v>172</v>
      </c>
      <c r="Q787" t="b">
        <v>1</v>
      </c>
      <c r="S787" t="s">
        <v>16</v>
      </c>
    </row>
    <row r="788" spans="1:19">
      <c r="A788" t="s">
        <v>1641</v>
      </c>
      <c r="B788" t="s">
        <v>1642</v>
      </c>
      <c r="C788" s="23" t="s">
        <v>4127</v>
      </c>
      <c r="D788" s="23">
        <v>45142</v>
      </c>
      <c r="E788" s="22">
        <v>8</v>
      </c>
      <c r="F788" s="22">
        <v>4</v>
      </c>
      <c r="G788" s="22">
        <v>2023</v>
      </c>
      <c r="H788" s="23">
        <f t="shared" si="36"/>
        <v>45142</v>
      </c>
      <c r="I788" s="25">
        <v>45042</v>
      </c>
      <c r="J788" s="22">
        <f t="shared" si="37"/>
        <v>-100</v>
      </c>
      <c r="K788" t="s">
        <v>23</v>
      </c>
      <c r="L788">
        <v>21309</v>
      </c>
      <c r="M788">
        <v>912</v>
      </c>
      <c r="N788" s="26">
        <v>630.4</v>
      </c>
      <c r="O788" s="26">
        <f t="shared" si="38"/>
        <v>630.4</v>
      </c>
      <c r="P788">
        <v>170</v>
      </c>
      <c r="Q788" t="b">
        <v>1</v>
      </c>
      <c r="S788" t="s">
        <v>25</v>
      </c>
    </row>
    <row r="789" spans="1:19">
      <c r="A789" t="s">
        <v>1643</v>
      </c>
      <c r="B789" t="s">
        <v>1644</v>
      </c>
      <c r="C789" s="23" t="s">
        <v>4129</v>
      </c>
      <c r="D789" s="23">
        <v>45120</v>
      </c>
      <c r="E789" s="22">
        <v>7</v>
      </c>
      <c r="F789" s="22">
        <v>13</v>
      </c>
      <c r="G789" s="22">
        <v>2023</v>
      </c>
      <c r="H789" s="23">
        <f t="shared" si="36"/>
        <v>45120</v>
      </c>
      <c r="I789" s="25">
        <v>45141</v>
      </c>
      <c r="J789" s="22">
        <f t="shared" si="37"/>
        <v>21</v>
      </c>
      <c r="K789" t="s">
        <v>19</v>
      </c>
      <c r="L789">
        <v>7970</v>
      </c>
      <c r="M789">
        <v>179</v>
      </c>
      <c r="N789" s="26">
        <v>304.36</v>
      </c>
      <c r="O789" s="26">
        <f t="shared" si="38"/>
        <v>304.36</v>
      </c>
      <c r="P789">
        <v>22</v>
      </c>
      <c r="Q789" t="b">
        <v>1</v>
      </c>
      <c r="S789" t="s">
        <v>20</v>
      </c>
    </row>
    <row r="790" spans="1:19">
      <c r="A790" t="s">
        <v>1645</v>
      </c>
      <c r="B790" t="s">
        <v>1646</v>
      </c>
      <c r="C790" s="23" t="s">
        <v>4127</v>
      </c>
      <c r="D790" s="23">
        <v>44964</v>
      </c>
      <c r="E790" s="22">
        <v>2</v>
      </c>
      <c r="F790" s="22">
        <v>7</v>
      </c>
      <c r="G790" s="22">
        <v>2023</v>
      </c>
      <c r="H790" s="23">
        <f t="shared" si="36"/>
        <v>44964</v>
      </c>
      <c r="I790" s="25">
        <v>44968</v>
      </c>
      <c r="J790" s="22">
        <f t="shared" si="37"/>
        <v>4</v>
      </c>
      <c r="K790" t="s">
        <v>41</v>
      </c>
      <c r="L790">
        <v>73474</v>
      </c>
      <c r="M790">
        <v>3081</v>
      </c>
      <c r="N790" s="26">
        <v>5528.9</v>
      </c>
      <c r="O790" s="26">
        <f t="shared" si="38"/>
        <v>3632.575</v>
      </c>
      <c r="P790">
        <v>363</v>
      </c>
      <c r="Q790" t="b">
        <v>1</v>
      </c>
      <c r="S790" t="s">
        <v>42</v>
      </c>
    </row>
    <row r="791" spans="1:19">
      <c r="A791" t="s">
        <v>1647</v>
      </c>
      <c r="B791" t="s">
        <v>1648</v>
      </c>
      <c r="C791" s="23" t="s">
        <v>4127</v>
      </c>
      <c r="D791" s="23">
        <v>45270</v>
      </c>
      <c r="E791" s="22">
        <v>12</v>
      </c>
      <c r="F791" s="22">
        <v>10</v>
      </c>
      <c r="G791" s="22">
        <v>2023</v>
      </c>
      <c r="H791" s="23">
        <f t="shared" si="36"/>
        <v>45270</v>
      </c>
      <c r="I791" s="25">
        <v>45297</v>
      </c>
      <c r="J791" s="22">
        <f t="shared" si="37"/>
        <v>27</v>
      </c>
      <c r="K791" t="s">
        <v>19</v>
      </c>
      <c r="L791">
        <v>87704</v>
      </c>
      <c r="M791">
        <v>4272</v>
      </c>
      <c r="N791" s="26">
        <v>500000</v>
      </c>
      <c r="O791" s="26">
        <f t="shared" si="38"/>
        <v>3632.575</v>
      </c>
      <c r="P791">
        <v>237</v>
      </c>
      <c r="Q791" t="b">
        <v>0</v>
      </c>
      <c r="S791" t="s">
        <v>20</v>
      </c>
    </row>
    <row r="792" spans="1:19">
      <c r="A792" t="s">
        <v>1649</v>
      </c>
      <c r="B792" t="s">
        <v>1650</v>
      </c>
      <c r="C792" s="23" t="s">
        <v>4127</v>
      </c>
      <c r="D792" s="23">
        <v>45097</v>
      </c>
      <c r="E792" s="22">
        <v>6</v>
      </c>
      <c r="F792" s="22">
        <v>20</v>
      </c>
      <c r="G792" s="22">
        <v>2023</v>
      </c>
      <c r="H792" s="23">
        <f t="shared" si="36"/>
        <v>45097</v>
      </c>
      <c r="I792" s="25">
        <v>45104</v>
      </c>
      <c r="J792" s="22">
        <f t="shared" si="37"/>
        <v>7</v>
      </c>
      <c r="K792" t="s">
        <v>23</v>
      </c>
      <c r="L792">
        <v>47540</v>
      </c>
      <c r="M792">
        <v>2104</v>
      </c>
      <c r="N792" s="26">
        <v>3739.63</v>
      </c>
      <c r="O792" s="26">
        <f t="shared" si="38"/>
        <v>3632.575</v>
      </c>
      <c r="P792">
        <v>335</v>
      </c>
      <c r="Q792" t="b">
        <v>0</v>
      </c>
      <c r="S792" t="s">
        <v>25</v>
      </c>
    </row>
    <row r="793" spans="1:19">
      <c r="A793" t="s">
        <v>1651</v>
      </c>
      <c r="B793" t="s">
        <v>1652</v>
      </c>
      <c r="C793" s="23" t="s">
        <v>4129</v>
      </c>
      <c r="D793" s="23">
        <v>45035</v>
      </c>
      <c r="E793" s="22">
        <v>4</v>
      </c>
      <c r="F793" s="22">
        <v>19</v>
      </c>
      <c r="G793" s="22">
        <v>2023</v>
      </c>
      <c r="H793" s="23">
        <f t="shared" si="36"/>
        <v>45035</v>
      </c>
      <c r="I793" s="25">
        <v>45036</v>
      </c>
      <c r="J793" s="22">
        <f t="shared" si="37"/>
        <v>1</v>
      </c>
      <c r="K793" t="s">
        <v>14</v>
      </c>
      <c r="L793">
        <v>21384</v>
      </c>
      <c r="M793">
        <v>314</v>
      </c>
      <c r="N793" s="26">
        <v>623.97</v>
      </c>
      <c r="O793" s="26">
        <f t="shared" si="38"/>
        <v>623.97</v>
      </c>
      <c r="P793">
        <v>40</v>
      </c>
      <c r="Q793" t="b">
        <v>0</v>
      </c>
      <c r="S793" t="s">
        <v>16</v>
      </c>
    </row>
    <row r="794" spans="1:19">
      <c r="A794" t="s">
        <v>1653</v>
      </c>
      <c r="B794" t="s">
        <v>1654</v>
      </c>
      <c r="C794" s="23" t="s">
        <v>4128</v>
      </c>
      <c r="D794" s="23">
        <v>44987</v>
      </c>
      <c r="E794" s="22">
        <v>3</v>
      </c>
      <c r="F794" s="22">
        <v>2</v>
      </c>
      <c r="G794" s="22">
        <v>2023</v>
      </c>
      <c r="H794" s="23">
        <f t="shared" si="36"/>
        <v>44987</v>
      </c>
      <c r="I794" s="25">
        <v>44988</v>
      </c>
      <c r="J794" s="22">
        <f t="shared" si="37"/>
        <v>1</v>
      </c>
      <c r="K794" t="s">
        <v>41</v>
      </c>
      <c r="L794">
        <v>19017</v>
      </c>
      <c r="M794">
        <v>752</v>
      </c>
      <c r="N794" s="26">
        <v>1195.87</v>
      </c>
      <c r="O794" s="26">
        <f t="shared" si="38"/>
        <v>1195.87</v>
      </c>
      <c r="P794">
        <v>60</v>
      </c>
      <c r="Q794" t="b">
        <v>0</v>
      </c>
      <c r="S794" t="s">
        <v>42</v>
      </c>
    </row>
    <row r="795" spans="1:19">
      <c r="A795" t="s">
        <v>1655</v>
      </c>
      <c r="B795" t="s">
        <v>1656</v>
      </c>
      <c r="C795" s="23" t="s">
        <v>4129</v>
      </c>
      <c r="D795" s="23">
        <v>45051</v>
      </c>
      <c r="E795" s="22">
        <v>5</v>
      </c>
      <c r="F795" s="22">
        <v>5</v>
      </c>
      <c r="G795" s="22">
        <v>2023</v>
      </c>
      <c r="H795" s="23">
        <f t="shared" si="36"/>
        <v>45051</v>
      </c>
      <c r="I795" s="25">
        <v>45052</v>
      </c>
      <c r="J795" s="22">
        <f t="shared" si="37"/>
        <v>1</v>
      </c>
      <c r="K795" t="s">
        <v>14</v>
      </c>
      <c r="L795">
        <v>76880</v>
      </c>
      <c r="M795">
        <v>1751</v>
      </c>
      <c r="N795" s="26">
        <v>2936.7</v>
      </c>
      <c r="O795" s="26">
        <f t="shared" si="38"/>
        <v>2936.7</v>
      </c>
      <c r="P795">
        <v>116</v>
      </c>
      <c r="Q795" t="b">
        <v>1</v>
      </c>
      <c r="S795" t="s">
        <v>16</v>
      </c>
    </row>
    <row r="796" spans="1:19">
      <c r="A796" t="s">
        <v>1657</v>
      </c>
      <c r="B796" t="s">
        <v>1658</v>
      </c>
      <c r="C796" s="23" t="s">
        <v>4131</v>
      </c>
      <c r="D796" s="23">
        <v>45130</v>
      </c>
      <c r="E796" s="22">
        <v>7</v>
      </c>
      <c r="F796" s="22">
        <v>23</v>
      </c>
      <c r="G796" s="22">
        <v>2023</v>
      </c>
      <c r="H796" s="23">
        <f t="shared" si="36"/>
        <v>45130</v>
      </c>
      <c r="I796" s="25">
        <v>45140</v>
      </c>
      <c r="J796" s="22">
        <f t="shared" si="37"/>
        <v>10</v>
      </c>
      <c r="K796" t="s">
        <v>33</v>
      </c>
      <c r="L796">
        <v>9702</v>
      </c>
      <c r="M796">
        <v>480</v>
      </c>
      <c r="N796" s="26">
        <v>955.98</v>
      </c>
      <c r="O796" s="26">
        <f t="shared" si="38"/>
        <v>955.98</v>
      </c>
      <c r="P796">
        <v>51</v>
      </c>
      <c r="Q796" t="b">
        <v>0</v>
      </c>
      <c r="S796" t="s">
        <v>34</v>
      </c>
    </row>
    <row r="797" spans="1:19">
      <c r="A797" t="s">
        <v>1659</v>
      </c>
      <c r="B797" t="s">
        <v>1660</v>
      </c>
      <c r="C797" s="23" t="s">
        <v>4127</v>
      </c>
      <c r="D797" s="23">
        <v>45071</v>
      </c>
      <c r="E797" s="22">
        <v>5</v>
      </c>
      <c r="F797" s="22">
        <v>25</v>
      </c>
      <c r="G797" s="22">
        <v>2023</v>
      </c>
      <c r="H797" s="23">
        <f t="shared" si="36"/>
        <v>45071</v>
      </c>
      <c r="I797" s="25">
        <v>45075</v>
      </c>
      <c r="J797" s="22">
        <f t="shared" si="37"/>
        <v>4</v>
      </c>
      <c r="K797" t="s">
        <v>14</v>
      </c>
      <c r="L797">
        <v>1384</v>
      </c>
      <c r="M797">
        <v>40</v>
      </c>
      <c r="N797" s="26">
        <v>56.33</v>
      </c>
      <c r="O797" s="26">
        <f t="shared" si="38"/>
        <v>56.33</v>
      </c>
      <c r="P797">
        <v>7</v>
      </c>
      <c r="Q797" t="b">
        <v>0</v>
      </c>
      <c r="S797" t="s">
        <v>16</v>
      </c>
    </row>
    <row r="798" spans="1:19">
      <c r="A798" t="s">
        <v>1661</v>
      </c>
      <c r="B798" t="s">
        <v>1662</v>
      </c>
      <c r="C798" s="23" t="s">
        <v>4128</v>
      </c>
      <c r="D798" s="23">
        <v>45110</v>
      </c>
      <c r="E798" s="22">
        <v>7</v>
      </c>
      <c r="F798" s="22">
        <v>3</v>
      </c>
      <c r="G798" s="22">
        <v>2023</v>
      </c>
      <c r="H798" s="23">
        <f t="shared" si="36"/>
        <v>45110</v>
      </c>
      <c r="I798" s="25">
        <v>45117</v>
      </c>
      <c r="J798" s="22">
        <f t="shared" si="37"/>
        <v>7</v>
      </c>
      <c r="K798" t="s">
        <v>33</v>
      </c>
      <c r="L798">
        <v>1404</v>
      </c>
      <c r="M798">
        <v>20</v>
      </c>
      <c r="N798" s="26">
        <v>19.24</v>
      </c>
      <c r="O798" s="26">
        <f t="shared" si="38"/>
        <v>19.24</v>
      </c>
      <c r="P798">
        <v>3</v>
      </c>
      <c r="Q798" t="b">
        <v>1</v>
      </c>
      <c r="S798" t="s">
        <v>34</v>
      </c>
    </row>
    <row r="799" spans="1:19">
      <c r="A799" t="s">
        <v>1663</v>
      </c>
      <c r="B799" t="s">
        <v>1664</v>
      </c>
      <c r="C799" s="23" t="s">
        <v>4131</v>
      </c>
      <c r="D799" s="23">
        <v>45181</v>
      </c>
      <c r="E799" s="22">
        <v>9</v>
      </c>
      <c r="F799" s="22">
        <v>12</v>
      </c>
      <c r="G799" s="22">
        <v>2023</v>
      </c>
      <c r="H799" s="23">
        <f t="shared" si="36"/>
        <v>45181</v>
      </c>
      <c r="I799" s="25">
        <v>45187</v>
      </c>
      <c r="J799" s="22">
        <f t="shared" si="37"/>
        <v>6</v>
      </c>
      <c r="K799" t="s">
        <v>14</v>
      </c>
      <c r="L799">
        <v>41943</v>
      </c>
      <c r="M799">
        <v>1636</v>
      </c>
      <c r="N799" s="26">
        <v>2873.3</v>
      </c>
      <c r="O799" s="26">
        <f t="shared" si="38"/>
        <v>2873.3</v>
      </c>
      <c r="P799">
        <v>229</v>
      </c>
      <c r="Q799" t="b">
        <v>1</v>
      </c>
      <c r="S799" t="s">
        <v>16</v>
      </c>
    </row>
    <row r="800" spans="1:19">
      <c r="A800" t="s">
        <v>1665</v>
      </c>
      <c r="B800" t="s">
        <v>1666</v>
      </c>
      <c r="C800" s="23" t="s">
        <v>4129</v>
      </c>
      <c r="D800" s="23">
        <v>45167</v>
      </c>
      <c r="E800" s="22">
        <v>8</v>
      </c>
      <c r="F800" s="22">
        <v>29</v>
      </c>
      <c r="G800" s="22">
        <v>2023</v>
      </c>
      <c r="H800" s="23">
        <f t="shared" si="36"/>
        <v>45167</v>
      </c>
      <c r="I800" s="25">
        <v>45194</v>
      </c>
      <c r="J800" s="22">
        <f t="shared" si="37"/>
        <v>27</v>
      </c>
      <c r="K800" t="s">
        <v>41</v>
      </c>
      <c r="L800">
        <v>48926</v>
      </c>
      <c r="M800">
        <v>1121</v>
      </c>
      <c r="N800" s="26">
        <v>1593.76</v>
      </c>
      <c r="O800" s="26">
        <f t="shared" si="38"/>
        <v>1593.76</v>
      </c>
      <c r="P800">
        <v>178</v>
      </c>
      <c r="Q800" t="b">
        <v>1</v>
      </c>
      <c r="S800" t="s">
        <v>42</v>
      </c>
    </row>
    <row r="801" spans="1:19">
      <c r="A801" t="s">
        <v>1667</v>
      </c>
      <c r="B801" t="s">
        <v>1668</v>
      </c>
      <c r="C801" s="23" t="s">
        <v>4127</v>
      </c>
      <c r="D801" s="23">
        <v>45031</v>
      </c>
      <c r="E801" s="22">
        <v>4</v>
      </c>
      <c r="F801" s="22">
        <v>15</v>
      </c>
      <c r="G801" s="22">
        <v>2023</v>
      </c>
      <c r="H801" s="23">
        <f t="shared" si="36"/>
        <v>45031</v>
      </c>
      <c r="I801" s="25">
        <v>45056</v>
      </c>
      <c r="J801" s="22">
        <f t="shared" si="37"/>
        <v>25</v>
      </c>
      <c r="K801" t="s">
        <v>23</v>
      </c>
      <c r="L801">
        <v>30189</v>
      </c>
      <c r="M801">
        <v>1505</v>
      </c>
      <c r="N801" s="26">
        <v>2064.55</v>
      </c>
      <c r="O801" s="26">
        <f t="shared" si="38"/>
        <v>2064.55</v>
      </c>
      <c r="P801">
        <v>101</v>
      </c>
      <c r="Q801" t="b">
        <v>1</v>
      </c>
      <c r="S801" t="s">
        <v>25</v>
      </c>
    </row>
    <row r="802" spans="1:19">
      <c r="A802" t="s">
        <v>1669</v>
      </c>
      <c r="B802" t="s">
        <v>1670</v>
      </c>
      <c r="C802" s="23" t="s">
        <v>4127</v>
      </c>
      <c r="D802" s="23">
        <v>45215</v>
      </c>
      <c r="E802" s="22">
        <v>10</v>
      </c>
      <c r="F802" s="22">
        <v>16</v>
      </c>
      <c r="G802" s="22">
        <v>2023</v>
      </c>
      <c r="H802" s="23">
        <f t="shared" si="36"/>
        <v>45215</v>
      </c>
      <c r="I802" s="25">
        <v>45237</v>
      </c>
      <c r="J802" s="22">
        <f t="shared" si="37"/>
        <v>22</v>
      </c>
      <c r="K802" t="s">
        <v>19</v>
      </c>
      <c r="L802">
        <v>13763</v>
      </c>
      <c r="M802">
        <v>677</v>
      </c>
      <c r="N802" s="26">
        <v>596.07</v>
      </c>
      <c r="O802" s="26">
        <f t="shared" si="38"/>
        <v>596.07</v>
      </c>
      <c r="P802">
        <v>93</v>
      </c>
      <c r="Q802" t="b">
        <v>1</v>
      </c>
      <c r="S802" t="s">
        <v>20</v>
      </c>
    </row>
    <row r="803" spans="1:19">
      <c r="A803" t="s">
        <v>1671</v>
      </c>
      <c r="B803" t="s">
        <v>1672</v>
      </c>
      <c r="C803" s="23" t="s">
        <v>4127</v>
      </c>
      <c r="D803" s="23">
        <v>44935</v>
      </c>
      <c r="E803" s="22">
        <v>1</v>
      </c>
      <c r="F803" s="22">
        <v>9</v>
      </c>
      <c r="G803" s="22">
        <v>2023</v>
      </c>
      <c r="H803" s="23">
        <f t="shared" si="36"/>
        <v>44935</v>
      </c>
      <c r="I803" s="25">
        <v>44938</v>
      </c>
      <c r="J803" s="22">
        <f t="shared" si="37"/>
        <v>3</v>
      </c>
      <c r="K803" t="s">
        <v>23</v>
      </c>
      <c r="L803">
        <v>19384</v>
      </c>
      <c r="M803">
        <v>702</v>
      </c>
      <c r="N803" s="26">
        <v>1147.42</v>
      </c>
      <c r="O803" s="26">
        <f t="shared" si="38"/>
        <v>1147.42</v>
      </c>
      <c r="P803">
        <v>105</v>
      </c>
      <c r="Q803" t="b">
        <v>1</v>
      </c>
      <c r="S803" t="s">
        <v>25</v>
      </c>
    </row>
    <row r="804" spans="1:19">
      <c r="A804" t="s">
        <v>1673</v>
      </c>
      <c r="B804" t="s">
        <v>1674</v>
      </c>
      <c r="C804" s="23" t="s">
        <v>4129</v>
      </c>
      <c r="D804" s="23">
        <v>45223</v>
      </c>
      <c r="E804" s="22">
        <v>10</v>
      </c>
      <c r="F804" s="22">
        <v>24</v>
      </c>
      <c r="G804" s="22">
        <v>2023</v>
      </c>
      <c r="H804" s="23">
        <f t="shared" si="36"/>
        <v>45223</v>
      </c>
      <c r="I804" s="25">
        <v>45218</v>
      </c>
      <c r="J804" s="22">
        <f t="shared" si="37"/>
        <v>-5</v>
      </c>
      <c r="K804" t="s">
        <v>14</v>
      </c>
      <c r="L804">
        <v>61100</v>
      </c>
      <c r="M804">
        <v>928</v>
      </c>
      <c r="N804" s="26">
        <v>577.68</v>
      </c>
      <c r="O804" s="26">
        <f t="shared" si="38"/>
        <v>577.68</v>
      </c>
      <c r="P804">
        <v>74</v>
      </c>
      <c r="Q804" t="b">
        <v>1</v>
      </c>
      <c r="S804" t="s">
        <v>16</v>
      </c>
    </row>
    <row r="805" spans="1:19">
      <c r="A805" t="s">
        <v>1675</v>
      </c>
      <c r="B805" t="s">
        <v>1676</v>
      </c>
      <c r="C805" s="23" t="s">
        <v>4131</v>
      </c>
      <c r="D805" s="23">
        <v>45027</v>
      </c>
      <c r="E805" s="22">
        <v>4</v>
      </c>
      <c r="F805" s="22">
        <v>11</v>
      </c>
      <c r="G805" s="22">
        <v>2023</v>
      </c>
      <c r="H805" s="23">
        <f t="shared" si="36"/>
        <v>45027</v>
      </c>
      <c r="I805" s="25">
        <v>45022</v>
      </c>
      <c r="J805" s="22">
        <f t="shared" si="37"/>
        <v>-5</v>
      </c>
      <c r="K805" t="s">
        <v>14</v>
      </c>
      <c r="L805">
        <v>99142</v>
      </c>
      <c r="M805">
        <v>3715</v>
      </c>
      <c r="N805" s="26">
        <v>7008.09</v>
      </c>
      <c r="O805" s="26">
        <f t="shared" si="38"/>
        <v>3632.575</v>
      </c>
      <c r="P805">
        <v>676</v>
      </c>
      <c r="Q805" t="b">
        <v>1</v>
      </c>
      <c r="S805" t="s">
        <v>68</v>
      </c>
    </row>
    <row r="806" spans="1:19">
      <c r="A806" t="s">
        <v>1677</v>
      </c>
      <c r="B806" t="s">
        <v>1678</v>
      </c>
      <c r="C806" s="23" t="s">
        <v>4127</v>
      </c>
      <c r="D806" s="23">
        <v>45052</v>
      </c>
      <c r="E806" s="22">
        <v>5</v>
      </c>
      <c r="F806" s="22">
        <v>6</v>
      </c>
      <c r="G806" s="22">
        <v>2023</v>
      </c>
      <c r="H806" s="23">
        <f t="shared" si="36"/>
        <v>45052</v>
      </c>
      <c r="I806" s="25">
        <v>45047</v>
      </c>
      <c r="J806" s="22">
        <f t="shared" si="37"/>
        <v>-5</v>
      </c>
      <c r="K806" t="s">
        <v>138</v>
      </c>
      <c r="L806">
        <v>10860</v>
      </c>
      <c r="M806">
        <v>149</v>
      </c>
      <c r="N806" s="26">
        <v>147.32</v>
      </c>
      <c r="O806" s="26">
        <f t="shared" si="38"/>
        <v>147.32</v>
      </c>
      <c r="P806">
        <v>11</v>
      </c>
      <c r="Q806" t="b">
        <v>1</v>
      </c>
      <c r="S806" t="s">
        <v>139</v>
      </c>
    </row>
    <row r="807" spans="1:19">
      <c r="A807" t="s">
        <v>1679</v>
      </c>
      <c r="B807" t="s">
        <v>1680</v>
      </c>
      <c r="C807" s="23" t="s">
        <v>4127</v>
      </c>
      <c r="D807" s="23">
        <v>45277</v>
      </c>
      <c r="E807" s="22">
        <v>12</v>
      </c>
      <c r="F807" s="22">
        <v>17</v>
      </c>
      <c r="G807" s="22">
        <v>2023</v>
      </c>
      <c r="H807" s="23">
        <f t="shared" si="36"/>
        <v>45277</v>
      </c>
      <c r="I807" s="25">
        <v>45281</v>
      </c>
      <c r="J807" s="22">
        <f t="shared" si="37"/>
        <v>4</v>
      </c>
      <c r="K807" t="s">
        <v>14</v>
      </c>
      <c r="L807">
        <v>81642</v>
      </c>
      <c r="M807">
        <v>912</v>
      </c>
      <c r="N807" s="26">
        <v>630.8</v>
      </c>
      <c r="O807" s="26">
        <f t="shared" si="38"/>
        <v>630.8</v>
      </c>
      <c r="P807">
        <v>88</v>
      </c>
      <c r="Q807" t="b">
        <v>1</v>
      </c>
      <c r="S807" t="s">
        <v>68</v>
      </c>
    </row>
    <row r="808" spans="1:19">
      <c r="A808" t="s">
        <v>1681</v>
      </c>
      <c r="B808" t="s">
        <v>1682</v>
      </c>
      <c r="C808" s="23" t="s">
        <v>4127</v>
      </c>
      <c r="D808" s="23">
        <v>45177</v>
      </c>
      <c r="E808" s="22">
        <v>9</v>
      </c>
      <c r="F808" s="22">
        <v>8</v>
      </c>
      <c r="G808" s="22">
        <v>2023</v>
      </c>
      <c r="H808" s="23">
        <f t="shared" si="36"/>
        <v>45177</v>
      </c>
      <c r="I808" s="25">
        <v>45191</v>
      </c>
      <c r="J808" s="22">
        <f t="shared" si="37"/>
        <v>14</v>
      </c>
      <c r="K808" t="s">
        <v>23</v>
      </c>
      <c r="L808">
        <v>51612</v>
      </c>
      <c r="M808">
        <v>2215</v>
      </c>
      <c r="N808" s="26">
        <v>2577.26</v>
      </c>
      <c r="O808" s="26">
        <f t="shared" si="38"/>
        <v>2577.26</v>
      </c>
      <c r="P808">
        <v>316</v>
      </c>
      <c r="Q808" t="b">
        <v>0</v>
      </c>
      <c r="R808">
        <v>51694</v>
      </c>
      <c r="S808" t="s">
        <v>68</v>
      </c>
    </row>
    <row r="809" spans="1:19">
      <c r="A809" t="s">
        <v>1683</v>
      </c>
      <c r="B809" t="s">
        <v>1684</v>
      </c>
      <c r="C809" s="23" t="s">
        <v>4129</v>
      </c>
      <c r="D809" s="23">
        <v>45178</v>
      </c>
      <c r="E809" s="22">
        <v>9</v>
      </c>
      <c r="F809" s="22">
        <v>9</v>
      </c>
      <c r="G809" s="22">
        <v>2023</v>
      </c>
      <c r="H809" s="23">
        <f t="shared" si="36"/>
        <v>45178</v>
      </c>
      <c r="I809" s="25">
        <v>45190</v>
      </c>
      <c r="J809" s="22">
        <f t="shared" si="37"/>
        <v>12</v>
      </c>
      <c r="K809" t="s">
        <v>14</v>
      </c>
      <c r="L809">
        <v>24574</v>
      </c>
      <c r="M809">
        <v>451</v>
      </c>
      <c r="N809" s="26">
        <v>254.23</v>
      </c>
      <c r="O809" s="26">
        <f t="shared" si="38"/>
        <v>254.23</v>
      </c>
      <c r="P809">
        <v>65</v>
      </c>
      <c r="Q809" t="b">
        <v>1</v>
      </c>
      <c r="S809" t="s">
        <v>16</v>
      </c>
    </row>
    <row r="810" spans="1:19">
      <c r="A810" t="s">
        <v>1685</v>
      </c>
      <c r="B810" t="s">
        <v>1686</v>
      </c>
      <c r="C810" s="23" t="s">
        <v>4127</v>
      </c>
      <c r="D810" s="23">
        <v>45107</v>
      </c>
      <c r="E810" s="22">
        <v>6</v>
      </c>
      <c r="F810" s="22">
        <v>30</v>
      </c>
      <c r="G810" s="22">
        <v>2023</v>
      </c>
      <c r="H810" s="23">
        <f t="shared" si="36"/>
        <v>45107</v>
      </c>
      <c r="I810" s="25">
        <v>45129</v>
      </c>
      <c r="J810" s="22">
        <f t="shared" si="37"/>
        <v>22</v>
      </c>
      <c r="K810" t="s">
        <v>23</v>
      </c>
      <c r="L810">
        <v>24524</v>
      </c>
      <c r="M810">
        <v>617</v>
      </c>
      <c r="N810" s="26">
        <v>942.12</v>
      </c>
      <c r="O810" s="26">
        <f t="shared" si="38"/>
        <v>942.12</v>
      </c>
      <c r="P810">
        <v>95</v>
      </c>
      <c r="Q810" t="b">
        <v>1</v>
      </c>
      <c r="S810" t="s">
        <v>25</v>
      </c>
    </row>
    <row r="811" spans="1:19">
      <c r="A811" t="s">
        <v>1687</v>
      </c>
      <c r="B811" t="s">
        <v>1688</v>
      </c>
      <c r="C811" s="23" t="s">
        <v>4129</v>
      </c>
      <c r="D811" s="23">
        <v>45177</v>
      </c>
      <c r="E811" s="22">
        <v>9</v>
      </c>
      <c r="F811" s="22">
        <v>8</v>
      </c>
      <c r="G811" s="22">
        <v>2023</v>
      </c>
      <c r="H811" s="23">
        <f t="shared" si="36"/>
        <v>45177</v>
      </c>
      <c r="I811" s="25">
        <v>45190</v>
      </c>
      <c r="J811" s="22">
        <f t="shared" si="37"/>
        <v>13</v>
      </c>
      <c r="K811" t="s">
        <v>138</v>
      </c>
      <c r="L811">
        <v>70172</v>
      </c>
      <c r="M811">
        <v>3434</v>
      </c>
      <c r="N811" s="26">
        <v>6366.84</v>
      </c>
      <c r="O811" s="26">
        <f t="shared" si="38"/>
        <v>3632.575</v>
      </c>
      <c r="P811">
        <v>229</v>
      </c>
      <c r="Q811" t="b">
        <v>1</v>
      </c>
      <c r="S811" t="s">
        <v>139</v>
      </c>
    </row>
    <row r="812" spans="1:19">
      <c r="A812" t="s">
        <v>1689</v>
      </c>
      <c r="B812" t="s">
        <v>1690</v>
      </c>
      <c r="C812" s="23" t="s">
        <v>4129</v>
      </c>
      <c r="D812" s="23">
        <v>45255</v>
      </c>
      <c r="E812" s="22">
        <v>11</v>
      </c>
      <c r="F812" s="22">
        <v>25</v>
      </c>
      <c r="G812" s="22">
        <v>2023</v>
      </c>
      <c r="H812" s="23">
        <f t="shared" si="36"/>
        <v>45255</v>
      </c>
      <c r="I812" s="25">
        <v>45256</v>
      </c>
      <c r="J812" s="22">
        <f t="shared" si="37"/>
        <v>1</v>
      </c>
      <c r="K812" t="s">
        <v>33</v>
      </c>
      <c r="L812">
        <v>11916</v>
      </c>
      <c r="M812">
        <v>279</v>
      </c>
      <c r="N812" s="26">
        <v>489.89</v>
      </c>
      <c r="O812" s="26">
        <f t="shared" si="38"/>
        <v>489.89</v>
      </c>
      <c r="P812">
        <v>0</v>
      </c>
      <c r="Q812" t="b">
        <v>1</v>
      </c>
      <c r="S812" t="s">
        <v>68</v>
      </c>
    </row>
    <row r="813" spans="1:19">
      <c r="A813" t="s">
        <v>1691</v>
      </c>
      <c r="B813" t="s">
        <v>1692</v>
      </c>
      <c r="C813" s="23" t="s">
        <v>4131</v>
      </c>
      <c r="D813" s="23">
        <v>44965</v>
      </c>
      <c r="E813" s="22">
        <v>2</v>
      </c>
      <c r="F813" s="22">
        <v>8</v>
      </c>
      <c r="G813" s="22">
        <v>2023</v>
      </c>
      <c r="H813" s="23">
        <f t="shared" si="36"/>
        <v>44965</v>
      </c>
      <c r="I813" s="25">
        <v>44988</v>
      </c>
      <c r="J813" s="22">
        <f t="shared" si="37"/>
        <v>23</v>
      </c>
      <c r="K813" t="s">
        <v>23</v>
      </c>
      <c r="L813">
        <v>5809</v>
      </c>
      <c r="M813">
        <v>126</v>
      </c>
      <c r="N813" s="26">
        <v>87.07</v>
      </c>
      <c r="O813" s="26">
        <f t="shared" si="38"/>
        <v>87.07</v>
      </c>
      <c r="P813">
        <v>16</v>
      </c>
      <c r="Q813" t="b">
        <v>1</v>
      </c>
      <c r="S813" t="s">
        <v>25</v>
      </c>
    </row>
    <row r="814" spans="1:19">
      <c r="A814" t="s">
        <v>1693</v>
      </c>
      <c r="B814" t="s">
        <v>1694</v>
      </c>
      <c r="C814" s="23" t="s">
        <v>4129</v>
      </c>
      <c r="D814" s="23">
        <v>44930</v>
      </c>
      <c r="E814" s="22">
        <v>1</v>
      </c>
      <c r="F814" s="22">
        <v>4</v>
      </c>
      <c r="G814" s="22">
        <v>2023</v>
      </c>
      <c r="H814" s="23">
        <f t="shared" si="36"/>
        <v>44930</v>
      </c>
      <c r="I814" s="25">
        <v>44950</v>
      </c>
      <c r="J814" s="22">
        <f t="shared" si="37"/>
        <v>20</v>
      </c>
      <c r="K814" t="s">
        <v>23</v>
      </c>
      <c r="L814">
        <v>33201</v>
      </c>
      <c r="M814">
        <v>1551</v>
      </c>
      <c r="N814" s="26">
        <v>1069.27</v>
      </c>
      <c r="O814" s="26">
        <f t="shared" si="38"/>
        <v>1069.27</v>
      </c>
      <c r="P814">
        <v>187</v>
      </c>
      <c r="Q814" t="b">
        <v>1</v>
      </c>
      <c r="S814" t="s">
        <v>25</v>
      </c>
    </row>
    <row r="815" spans="1:19">
      <c r="A815" t="s">
        <v>1695</v>
      </c>
      <c r="B815" t="s">
        <v>1696</v>
      </c>
      <c r="C815" s="23" t="s">
        <v>4129</v>
      </c>
      <c r="D815" s="23" t="s">
        <v>1697</v>
      </c>
      <c r="E815" s="22">
        <v>29</v>
      </c>
      <c r="F815" s="22">
        <v>4</v>
      </c>
      <c r="G815" s="22">
        <v>2023</v>
      </c>
      <c r="H815" s="23">
        <f t="shared" si="36"/>
        <v>45045</v>
      </c>
      <c r="I815" s="25">
        <v>45055</v>
      </c>
      <c r="J815" s="22">
        <f t="shared" si="37"/>
        <v>10</v>
      </c>
      <c r="K815" t="s">
        <v>14</v>
      </c>
      <c r="L815">
        <v>54330</v>
      </c>
      <c r="M815">
        <v>783</v>
      </c>
      <c r="N815" s="26">
        <v>1346.88</v>
      </c>
      <c r="O815" s="26">
        <f t="shared" si="38"/>
        <v>1346.88</v>
      </c>
      <c r="P815">
        <v>154</v>
      </c>
      <c r="Q815" t="b">
        <v>0</v>
      </c>
      <c r="S815" t="s">
        <v>16</v>
      </c>
    </row>
    <row r="816" spans="1:19">
      <c r="A816" t="s">
        <v>1698</v>
      </c>
      <c r="B816" t="s">
        <v>1699</v>
      </c>
      <c r="C816" s="23" t="s">
        <v>4131</v>
      </c>
      <c r="D816" s="23" t="s">
        <v>1700</v>
      </c>
      <c r="E816" s="22">
        <v>19</v>
      </c>
      <c r="F816" s="22">
        <v>3</v>
      </c>
      <c r="G816" s="22">
        <v>2023</v>
      </c>
      <c r="H816" s="23">
        <f t="shared" si="36"/>
        <v>45004</v>
      </c>
      <c r="I816" s="25">
        <v>45015</v>
      </c>
      <c r="J816" s="22">
        <f t="shared" si="37"/>
        <v>11</v>
      </c>
      <c r="K816" t="s">
        <v>14</v>
      </c>
      <c r="L816">
        <v>14456</v>
      </c>
      <c r="M816">
        <v>583</v>
      </c>
      <c r="N816" s="26">
        <v>1099.76</v>
      </c>
      <c r="O816" s="26">
        <f t="shared" si="38"/>
        <v>1099.76</v>
      </c>
      <c r="P816">
        <v>93</v>
      </c>
      <c r="Q816" t="b">
        <v>0</v>
      </c>
      <c r="S816" t="s">
        <v>16</v>
      </c>
    </row>
    <row r="817" spans="1:19">
      <c r="A817" t="s">
        <v>1701</v>
      </c>
      <c r="B817" t="s">
        <v>1702</v>
      </c>
      <c r="C817" s="23" t="s">
        <v>4129</v>
      </c>
      <c r="D817" s="23">
        <v>45185</v>
      </c>
      <c r="E817" s="22">
        <v>9</v>
      </c>
      <c r="F817" s="22">
        <v>16</v>
      </c>
      <c r="G817" s="22">
        <v>2023</v>
      </c>
      <c r="H817" s="23">
        <f t="shared" si="36"/>
        <v>45185</v>
      </c>
      <c r="I817" s="25">
        <v>45198</v>
      </c>
      <c r="J817" s="22">
        <f t="shared" si="37"/>
        <v>13</v>
      </c>
      <c r="K817" t="s">
        <v>33</v>
      </c>
      <c r="L817">
        <v>57397</v>
      </c>
      <c r="M817">
        <v>2842</v>
      </c>
      <c r="N817" s="26">
        <v>3384.84</v>
      </c>
      <c r="O817" s="26">
        <f t="shared" si="38"/>
        <v>3384.84</v>
      </c>
      <c r="P817">
        <v>192</v>
      </c>
      <c r="Q817" t="b">
        <v>0</v>
      </c>
      <c r="S817" t="s">
        <v>34</v>
      </c>
    </row>
    <row r="818" spans="1:19">
      <c r="A818" t="s">
        <v>1703</v>
      </c>
      <c r="B818" t="s">
        <v>1704</v>
      </c>
      <c r="C818" s="23" t="s">
        <v>4129</v>
      </c>
      <c r="D818" s="23">
        <v>45253</v>
      </c>
      <c r="E818" s="22">
        <v>11</v>
      </c>
      <c r="F818" s="22">
        <v>23</v>
      </c>
      <c r="G818" s="22">
        <v>2023</v>
      </c>
      <c r="H818" s="23">
        <f t="shared" si="36"/>
        <v>45253</v>
      </c>
      <c r="I818" s="25">
        <v>45265</v>
      </c>
      <c r="J818" s="22">
        <f t="shared" si="37"/>
        <v>12</v>
      </c>
      <c r="K818" t="s">
        <v>41</v>
      </c>
      <c r="L818">
        <v>39765</v>
      </c>
      <c r="M818">
        <v>1831</v>
      </c>
      <c r="N818" s="26">
        <v>2285.92</v>
      </c>
      <c r="O818" s="26">
        <f t="shared" si="38"/>
        <v>2285.92</v>
      </c>
      <c r="P818">
        <v>299</v>
      </c>
      <c r="Q818" t="b">
        <v>1</v>
      </c>
      <c r="S818" t="s">
        <v>42</v>
      </c>
    </row>
    <row r="819" spans="1:19">
      <c r="A819" t="s">
        <v>1705</v>
      </c>
      <c r="B819" t="s">
        <v>1706</v>
      </c>
      <c r="C819" s="23" t="s">
        <v>4128</v>
      </c>
      <c r="D819" s="23">
        <v>45174</v>
      </c>
      <c r="E819" s="22">
        <v>9</v>
      </c>
      <c r="F819" s="22">
        <v>5</v>
      </c>
      <c r="G819" s="22">
        <v>2023</v>
      </c>
      <c r="H819" s="23">
        <f t="shared" si="36"/>
        <v>45174</v>
      </c>
      <c r="I819" s="25">
        <v>45062</v>
      </c>
      <c r="J819" s="22">
        <f t="shared" si="37"/>
        <v>-112</v>
      </c>
      <c r="K819" t="s">
        <v>23</v>
      </c>
      <c r="L819">
        <v>35816</v>
      </c>
      <c r="M819">
        <v>1291</v>
      </c>
      <c r="N819" s="26">
        <v>-1261.81</v>
      </c>
      <c r="O819" s="26">
        <f t="shared" si="38"/>
        <v>-344.195</v>
      </c>
      <c r="P819">
        <v>82</v>
      </c>
      <c r="Q819" t="b">
        <v>1</v>
      </c>
      <c r="R819">
        <v>35860</v>
      </c>
      <c r="S819" t="s">
        <v>25</v>
      </c>
    </row>
    <row r="820" spans="1:19">
      <c r="A820" t="s">
        <v>1707</v>
      </c>
      <c r="B820" t="s">
        <v>1708</v>
      </c>
      <c r="C820" s="23" t="s">
        <v>4128</v>
      </c>
      <c r="D820" s="23">
        <v>45199</v>
      </c>
      <c r="E820" s="22">
        <v>9</v>
      </c>
      <c r="F820" s="22">
        <v>30</v>
      </c>
      <c r="G820" s="22">
        <v>2023</v>
      </c>
      <c r="H820" s="23">
        <f t="shared" si="36"/>
        <v>45199</v>
      </c>
      <c r="I820" s="25">
        <v>45209</v>
      </c>
      <c r="J820" s="22">
        <f t="shared" si="37"/>
        <v>10</v>
      </c>
      <c r="K820" t="s">
        <v>58</v>
      </c>
      <c r="L820">
        <v>46106</v>
      </c>
      <c r="M820">
        <v>1040</v>
      </c>
      <c r="N820" s="26">
        <v>1915.05</v>
      </c>
      <c r="O820" s="26">
        <f t="shared" si="38"/>
        <v>1915.05</v>
      </c>
      <c r="P820">
        <v>56</v>
      </c>
      <c r="Q820" t="b">
        <v>0</v>
      </c>
      <c r="S820" t="s">
        <v>59</v>
      </c>
    </row>
    <row r="821" spans="1:19">
      <c r="A821" t="s">
        <v>1709</v>
      </c>
      <c r="B821" t="s">
        <v>1710</v>
      </c>
      <c r="C821" s="23" t="s">
        <v>4129</v>
      </c>
      <c r="D821" s="23">
        <v>45198</v>
      </c>
      <c r="E821" s="22">
        <v>9</v>
      </c>
      <c r="F821" s="22">
        <v>29</v>
      </c>
      <c r="G821" s="22">
        <v>2023</v>
      </c>
      <c r="H821" s="23">
        <f t="shared" si="36"/>
        <v>45198</v>
      </c>
      <c r="I821" s="25">
        <v>45212</v>
      </c>
      <c r="J821" s="22">
        <f t="shared" si="37"/>
        <v>14</v>
      </c>
      <c r="K821" t="s">
        <v>19</v>
      </c>
      <c r="L821">
        <v>54932</v>
      </c>
      <c r="M821">
        <v>1108</v>
      </c>
      <c r="N821" s="26">
        <v>1625.83</v>
      </c>
      <c r="O821" s="26">
        <f t="shared" si="38"/>
        <v>1625.83</v>
      </c>
      <c r="P821">
        <v>122</v>
      </c>
      <c r="Q821" t="b">
        <v>0</v>
      </c>
      <c r="S821" t="s">
        <v>20</v>
      </c>
    </row>
    <row r="822" spans="1:19">
      <c r="A822" t="s">
        <v>1711</v>
      </c>
      <c r="B822" t="s">
        <v>1712</v>
      </c>
      <c r="C822" s="23" t="s">
        <v>4128</v>
      </c>
      <c r="D822" s="23" t="s">
        <v>1713</v>
      </c>
      <c r="E822" s="22">
        <v>27</v>
      </c>
      <c r="F822" s="22">
        <v>5</v>
      </c>
      <c r="G822" s="22">
        <v>2023</v>
      </c>
      <c r="H822" s="23">
        <f t="shared" si="36"/>
        <v>45073</v>
      </c>
      <c r="I822" s="25">
        <v>45093</v>
      </c>
      <c r="J822" s="22">
        <f t="shared" si="37"/>
        <v>20</v>
      </c>
      <c r="K822" t="s">
        <v>23</v>
      </c>
      <c r="L822">
        <v>18100</v>
      </c>
      <c r="M822">
        <v>774</v>
      </c>
      <c r="N822" s="26">
        <v>721.66</v>
      </c>
      <c r="O822" s="26">
        <f t="shared" si="38"/>
        <v>721.66</v>
      </c>
      <c r="P822">
        <v>154</v>
      </c>
      <c r="Q822" t="b">
        <v>1</v>
      </c>
      <c r="S822" t="s">
        <v>25</v>
      </c>
    </row>
    <row r="823" spans="1:19">
      <c r="A823" t="s">
        <v>1714</v>
      </c>
      <c r="B823" t="s">
        <v>1715</v>
      </c>
      <c r="C823" s="23" t="s">
        <v>4128</v>
      </c>
      <c r="D823" s="23">
        <v>45284</v>
      </c>
      <c r="E823" s="22">
        <v>12</v>
      </c>
      <c r="F823" s="22">
        <v>24</v>
      </c>
      <c r="G823" s="22">
        <v>2023</v>
      </c>
      <c r="H823" s="23">
        <f t="shared" si="36"/>
        <v>45284</v>
      </c>
      <c r="I823" s="25">
        <v>45303</v>
      </c>
      <c r="J823" s="22">
        <f t="shared" si="37"/>
        <v>19</v>
      </c>
      <c r="K823" t="s">
        <v>14</v>
      </c>
      <c r="L823">
        <v>58091</v>
      </c>
      <c r="M823">
        <v>2625</v>
      </c>
      <c r="N823" s="26">
        <v>2488.96</v>
      </c>
      <c r="O823" s="26">
        <f t="shared" si="38"/>
        <v>2488.96</v>
      </c>
      <c r="P823">
        <v>200</v>
      </c>
      <c r="Q823" t="b">
        <v>0</v>
      </c>
      <c r="S823" t="s">
        <v>16</v>
      </c>
    </row>
    <row r="824" spans="1:19">
      <c r="A824" t="s">
        <v>1716</v>
      </c>
      <c r="B824" t="s">
        <v>1717</v>
      </c>
      <c r="C824" s="23" t="s">
        <v>4131</v>
      </c>
      <c r="D824" s="23">
        <v>45018</v>
      </c>
      <c r="E824" s="22">
        <v>4</v>
      </c>
      <c r="F824" s="22">
        <v>2</v>
      </c>
      <c r="G824" s="22">
        <v>2023</v>
      </c>
      <c r="H824" s="23">
        <f t="shared" si="36"/>
        <v>45018</v>
      </c>
      <c r="I824" s="25">
        <v>44991</v>
      </c>
      <c r="J824" s="22">
        <f t="shared" si="37"/>
        <v>-27</v>
      </c>
      <c r="K824" t="s">
        <v>14</v>
      </c>
      <c r="L824">
        <v>22949</v>
      </c>
      <c r="M824">
        <v>711</v>
      </c>
      <c r="N824" s="26">
        <v>1305.96</v>
      </c>
      <c r="O824" s="26">
        <f t="shared" si="38"/>
        <v>1305.96</v>
      </c>
      <c r="P824">
        <v>107</v>
      </c>
      <c r="Q824" t="b">
        <v>1</v>
      </c>
      <c r="S824" t="s">
        <v>16</v>
      </c>
    </row>
    <row r="825" spans="1:19">
      <c r="A825" t="s">
        <v>1718</v>
      </c>
      <c r="B825" t="s">
        <v>1719</v>
      </c>
      <c r="C825" s="23" t="s">
        <v>4129</v>
      </c>
      <c r="D825" s="23">
        <v>45003</v>
      </c>
      <c r="E825" s="22">
        <v>3</v>
      </c>
      <c r="F825" s="22">
        <v>18</v>
      </c>
      <c r="G825" s="22">
        <v>2023</v>
      </c>
      <c r="H825" s="23">
        <f t="shared" si="36"/>
        <v>45003</v>
      </c>
      <c r="I825" s="25">
        <v>45019</v>
      </c>
      <c r="J825" s="22">
        <f t="shared" si="37"/>
        <v>16</v>
      </c>
      <c r="K825" t="s">
        <v>23</v>
      </c>
      <c r="L825">
        <v>71080</v>
      </c>
      <c r="M825">
        <v>1405</v>
      </c>
      <c r="N825" s="26">
        <v>731.23</v>
      </c>
      <c r="O825" s="26">
        <f t="shared" si="38"/>
        <v>731.23</v>
      </c>
      <c r="P825">
        <v>106</v>
      </c>
      <c r="Q825" t="b">
        <v>1</v>
      </c>
      <c r="S825" t="s">
        <v>25</v>
      </c>
    </row>
    <row r="826" spans="1:19">
      <c r="A826" t="s">
        <v>1720</v>
      </c>
      <c r="B826" t="s">
        <v>1721</v>
      </c>
      <c r="C826" s="23" t="s">
        <v>4129</v>
      </c>
      <c r="D826" s="23">
        <v>45056</v>
      </c>
      <c r="E826" s="22">
        <v>5</v>
      </c>
      <c r="F826" s="22">
        <v>10</v>
      </c>
      <c r="G826" s="22">
        <v>2023</v>
      </c>
      <c r="H826" s="23">
        <f t="shared" si="36"/>
        <v>45056</v>
      </c>
      <c r="I826" s="25">
        <v>45077</v>
      </c>
      <c r="J826" s="22">
        <f t="shared" si="37"/>
        <v>21</v>
      </c>
      <c r="K826" t="s">
        <v>41</v>
      </c>
      <c r="L826">
        <v>38744</v>
      </c>
      <c r="M826">
        <v>562</v>
      </c>
      <c r="N826" s="26">
        <v>553.06</v>
      </c>
      <c r="O826" s="26">
        <f t="shared" si="38"/>
        <v>553.06</v>
      </c>
      <c r="P826">
        <v>89</v>
      </c>
      <c r="Q826" t="b">
        <v>0</v>
      </c>
      <c r="S826" t="s">
        <v>42</v>
      </c>
    </row>
    <row r="827" spans="1:19">
      <c r="A827" t="s">
        <v>1722</v>
      </c>
      <c r="B827" t="s">
        <v>1723</v>
      </c>
      <c r="C827" s="23" t="s">
        <v>4128</v>
      </c>
      <c r="D827" s="23" t="s">
        <v>1724</v>
      </c>
      <c r="E827" s="22">
        <v>23</v>
      </c>
      <c r="F827" s="22">
        <v>7</v>
      </c>
      <c r="G827" s="22">
        <v>2023</v>
      </c>
      <c r="H827" s="23">
        <f t="shared" si="36"/>
        <v>45130</v>
      </c>
      <c r="I827" s="25">
        <v>45150</v>
      </c>
      <c r="J827" s="22">
        <f t="shared" si="37"/>
        <v>20</v>
      </c>
      <c r="K827" t="s">
        <v>19</v>
      </c>
      <c r="L827">
        <v>46543</v>
      </c>
      <c r="M827">
        <v>627</v>
      </c>
      <c r="N827" s="26">
        <v>834.87</v>
      </c>
      <c r="O827" s="26">
        <f t="shared" si="38"/>
        <v>834.87</v>
      </c>
      <c r="P827">
        <v>78</v>
      </c>
      <c r="Q827" t="b">
        <v>1</v>
      </c>
      <c r="S827" t="s">
        <v>20</v>
      </c>
    </row>
    <row r="828" spans="1:19">
      <c r="A828" t="s">
        <v>1725</v>
      </c>
      <c r="B828" t="s">
        <v>1726</v>
      </c>
      <c r="C828" s="23" t="s">
        <v>4128</v>
      </c>
      <c r="D828" s="23">
        <v>45134</v>
      </c>
      <c r="E828" s="22">
        <v>7</v>
      </c>
      <c r="F828" s="22">
        <v>27</v>
      </c>
      <c r="G828" s="22">
        <v>2023</v>
      </c>
      <c r="H828" s="23">
        <f t="shared" si="36"/>
        <v>45134</v>
      </c>
      <c r="I828" s="25">
        <v>45153</v>
      </c>
      <c r="J828" s="22">
        <f t="shared" si="37"/>
        <v>19</v>
      </c>
      <c r="K828" t="s">
        <v>19</v>
      </c>
      <c r="L828">
        <v>93193</v>
      </c>
      <c r="M828">
        <v>3612</v>
      </c>
      <c r="N828" s="26">
        <v>2609.04</v>
      </c>
      <c r="O828" s="26">
        <f t="shared" si="38"/>
        <v>2609.04</v>
      </c>
      <c r="P828">
        <v>549</v>
      </c>
      <c r="Q828" t="b">
        <v>0</v>
      </c>
      <c r="S828" t="s">
        <v>20</v>
      </c>
    </row>
    <row r="829" spans="1:19">
      <c r="A829" t="s">
        <v>1727</v>
      </c>
      <c r="B829" t="s">
        <v>1728</v>
      </c>
      <c r="C829" s="23" t="s">
        <v>4128</v>
      </c>
      <c r="D829" s="23">
        <v>45283</v>
      </c>
      <c r="E829" s="22">
        <v>12</v>
      </c>
      <c r="F829" s="22">
        <v>23</v>
      </c>
      <c r="G829" s="22">
        <v>2023</v>
      </c>
      <c r="H829" s="23">
        <f t="shared" si="36"/>
        <v>45283</v>
      </c>
      <c r="I829" s="25">
        <v>45285</v>
      </c>
      <c r="J829" s="22">
        <f t="shared" si="37"/>
        <v>2</v>
      </c>
      <c r="K829" t="s">
        <v>14</v>
      </c>
      <c r="L829">
        <v>37187</v>
      </c>
      <c r="M829">
        <v>996</v>
      </c>
      <c r="N829" s="26">
        <v>635.6</v>
      </c>
      <c r="O829" s="26">
        <f t="shared" si="38"/>
        <v>635.6</v>
      </c>
      <c r="P829">
        <v>80</v>
      </c>
      <c r="Q829" t="b">
        <v>1</v>
      </c>
      <c r="S829" t="s">
        <v>16</v>
      </c>
    </row>
    <row r="830" spans="1:19">
      <c r="A830" t="s">
        <v>1729</v>
      </c>
      <c r="B830" t="s">
        <v>1730</v>
      </c>
      <c r="C830" s="23" t="s">
        <v>4127</v>
      </c>
      <c r="D830" s="23">
        <v>44968</v>
      </c>
      <c r="E830" s="22">
        <v>2</v>
      </c>
      <c r="F830" s="22">
        <v>11</v>
      </c>
      <c r="G830" s="22">
        <v>2023</v>
      </c>
      <c r="H830" s="23">
        <f t="shared" si="36"/>
        <v>44968</v>
      </c>
      <c r="I830" s="25">
        <v>44990</v>
      </c>
      <c r="J830" s="22">
        <f t="shared" si="37"/>
        <v>22</v>
      </c>
      <c r="K830" t="s">
        <v>33</v>
      </c>
      <c r="L830">
        <v>8239</v>
      </c>
      <c r="M830">
        <v>380</v>
      </c>
      <c r="N830" s="26">
        <v>654.71</v>
      </c>
      <c r="O830" s="26">
        <f t="shared" si="38"/>
        <v>654.71</v>
      </c>
      <c r="P830">
        <v>61</v>
      </c>
      <c r="Q830" t="b">
        <v>1</v>
      </c>
      <c r="S830" t="s">
        <v>68</v>
      </c>
    </row>
    <row r="831" spans="1:19">
      <c r="A831" t="s">
        <v>1731</v>
      </c>
      <c r="B831" t="s">
        <v>1732</v>
      </c>
      <c r="C831" s="23" t="s">
        <v>4127</v>
      </c>
      <c r="D831" s="23" t="s">
        <v>1733</v>
      </c>
      <c r="E831" s="22">
        <v>17</v>
      </c>
      <c r="F831" s="22">
        <v>1</v>
      </c>
      <c r="G831" s="22">
        <v>2023</v>
      </c>
      <c r="H831" s="23">
        <f t="shared" si="36"/>
        <v>44943</v>
      </c>
      <c r="I831" s="25">
        <v>44959</v>
      </c>
      <c r="J831" s="22">
        <f t="shared" si="37"/>
        <v>16</v>
      </c>
      <c r="K831" t="s">
        <v>19</v>
      </c>
      <c r="L831">
        <v>15489</v>
      </c>
      <c r="M831">
        <v>613</v>
      </c>
      <c r="N831" s="26">
        <v>1128.9</v>
      </c>
      <c r="O831" s="26">
        <f t="shared" si="38"/>
        <v>1128.9</v>
      </c>
      <c r="P831">
        <v>0</v>
      </c>
      <c r="Q831" t="b">
        <v>1</v>
      </c>
      <c r="S831" t="s">
        <v>20</v>
      </c>
    </row>
    <row r="832" spans="1:19">
      <c r="A832" t="s">
        <v>1734</v>
      </c>
      <c r="B832" t="s">
        <v>1735</v>
      </c>
      <c r="C832" s="23" t="s">
        <v>4128</v>
      </c>
      <c r="D832" s="23">
        <v>45121</v>
      </c>
      <c r="E832" s="22">
        <v>7</v>
      </c>
      <c r="F832" s="22">
        <v>14</v>
      </c>
      <c r="G832" s="22">
        <v>2023</v>
      </c>
      <c r="H832" s="23">
        <f t="shared" si="36"/>
        <v>45121</v>
      </c>
      <c r="I832" s="25">
        <v>45123</v>
      </c>
      <c r="J832" s="22">
        <f t="shared" si="37"/>
        <v>2</v>
      </c>
      <c r="K832" t="s">
        <v>41</v>
      </c>
      <c r="L832">
        <v>59017</v>
      </c>
      <c r="M832">
        <v>1041</v>
      </c>
      <c r="N832" s="26">
        <v>1806.56</v>
      </c>
      <c r="O832" s="26">
        <f t="shared" si="38"/>
        <v>1806.56</v>
      </c>
      <c r="P832">
        <v>155</v>
      </c>
      <c r="Q832" t="b">
        <v>0</v>
      </c>
      <c r="S832" t="s">
        <v>42</v>
      </c>
    </row>
    <row r="833" spans="1:19">
      <c r="A833" t="s">
        <v>1736</v>
      </c>
      <c r="B833" t="s">
        <v>1737</v>
      </c>
      <c r="C833" s="23" t="s">
        <v>4131</v>
      </c>
      <c r="D833" s="23" t="s">
        <v>1738</v>
      </c>
      <c r="E833" s="22">
        <v>23</v>
      </c>
      <c r="F833" s="22">
        <v>11</v>
      </c>
      <c r="G833" s="22">
        <v>2023</v>
      </c>
      <c r="H833" s="23">
        <f t="shared" si="36"/>
        <v>45253</v>
      </c>
      <c r="I833" s="25">
        <v>45269</v>
      </c>
      <c r="J833" s="22">
        <f t="shared" si="37"/>
        <v>16</v>
      </c>
      <c r="K833" t="s">
        <v>14</v>
      </c>
      <c r="L833">
        <v>62877</v>
      </c>
      <c r="M833">
        <v>2172</v>
      </c>
      <c r="N833" s="26">
        <v>4014.25</v>
      </c>
      <c r="O833" s="26">
        <f t="shared" si="38"/>
        <v>3632.575</v>
      </c>
      <c r="P833">
        <v>269</v>
      </c>
      <c r="Q833" t="b">
        <v>1</v>
      </c>
      <c r="S833" t="s">
        <v>16</v>
      </c>
    </row>
    <row r="834" spans="1:19">
      <c r="A834" t="s">
        <v>1739</v>
      </c>
      <c r="B834" t="s">
        <v>1740</v>
      </c>
      <c r="C834" s="23" t="s">
        <v>4128</v>
      </c>
      <c r="D834" s="23" t="s">
        <v>1741</v>
      </c>
      <c r="E834" s="22">
        <v>29</v>
      </c>
      <c r="F834" s="22">
        <v>3</v>
      </c>
      <c r="G834" s="22">
        <v>2023</v>
      </c>
      <c r="H834" s="23">
        <f t="shared" si="36"/>
        <v>45014</v>
      </c>
      <c r="I834" s="25">
        <v>45025</v>
      </c>
      <c r="J834" s="22">
        <f t="shared" si="37"/>
        <v>11</v>
      </c>
      <c r="K834" t="s">
        <v>14</v>
      </c>
      <c r="L834">
        <v>44125</v>
      </c>
      <c r="M834">
        <v>1209</v>
      </c>
      <c r="N834" s="26">
        <v>1607.57</v>
      </c>
      <c r="O834" s="26">
        <f t="shared" si="38"/>
        <v>1607.57</v>
      </c>
      <c r="P834">
        <v>227</v>
      </c>
      <c r="Q834" t="b">
        <v>1</v>
      </c>
      <c r="S834" t="s">
        <v>16</v>
      </c>
    </row>
    <row r="835" spans="1:19">
      <c r="A835" t="s">
        <v>1742</v>
      </c>
      <c r="B835" t="s">
        <v>1743</v>
      </c>
      <c r="C835" s="23" t="s">
        <v>4129</v>
      </c>
      <c r="D835" s="23">
        <v>45149</v>
      </c>
      <c r="E835" s="22">
        <v>8</v>
      </c>
      <c r="F835" s="22">
        <v>11</v>
      </c>
      <c r="G835" s="22">
        <v>2023</v>
      </c>
      <c r="H835" s="23">
        <f t="shared" ref="H835:H898" si="39">IF(E835&gt;12,DATE(G835,F835,E835),D835)</f>
        <v>45149</v>
      </c>
      <c r="I835" s="25">
        <v>45161</v>
      </c>
      <c r="J835" s="22">
        <f t="shared" ref="J835:J898" si="40">DATEDIF(H835,I835,"D")</f>
        <v>12</v>
      </c>
      <c r="K835" t="s">
        <v>41</v>
      </c>
      <c r="L835">
        <v>50922</v>
      </c>
      <c r="M835">
        <v>1685</v>
      </c>
      <c r="N835" s="26">
        <v>2895.48</v>
      </c>
      <c r="O835" s="26">
        <f t="shared" ref="O835:O898" si="41">IF(N835&lt;$W$8,$W$8,IF(N835&gt;$W$9,$W$9,N835))</f>
        <v>2895.48</v>
      </c>
      <c r="P835">
        <v>88</v>
      </c>
      <c r="Q835" t="b">
        <v>0</v>
      </c>
      <c r="S835" t="s">
        <v>42</v>
      </c>
    </row>
    <row r="836" spans="1:19">
      <c r="A836" t="s">
        <v>1744</v>
      </c>
      <c r="B836" t="s">
        <v>1745</v>
      </c>
      <c r="C836" s="23" t="s">
        <v>4131</v>
      </c>
      <c r="D836" s="23">
        <v>44975</v>
      </c>
      <c r="E836" s="22">
        <v>2</v>
      </c>
      <c r="F836" s="22">
        <v>18</v>
      </c>
      <c r="G836" s="22">
        <v>2023</v>
      </c>
      <c r="H836" s="23">
        <f t="shared" si="39"/>
        <v>44975</v>
      </c>
      <c r="I836" s="25">
        <v>44976</v>
      </c>
      <c r="J836" s="22">
        <f t="shared" si="40"/>
        <v>1</v>
      </c>
      <c r="K836" t="s">
        <v>33</v>
      </c>
      <c r="L836">
        <v>95074</v>
      </c>
      <c r="M836">
        <v>3757</v>
      </c>
      <c r="N836" s="26">
        <v>4042.77</v>
      </c>
      <c r="O836" s="26">
        <f t="shared" si="41"/>
        <v>3632.575</v>
      </c>
      <c r="P836">
        <v>599</v>
      </c>
      <c r="Q836" t="b">
        <v>0</v>
      </c>
      <c r="S836" t="s">
        <v>34</v>
      </c>
    </row>
    <row r="837" spans="1:19">
      <c r="A837" t="s">
        <v>1746</v>
      </c>
      <c r="B837" t="s">
        <v>1747</v>
      </c>
      <c r="C837" s="23" t="s">
        <v>4131</v>
      </c>
      <c r="D837" s="23">
        <v>45044</v>
      </c>
      <c r="E837" s="22">
        <v>4</v>
      </c>
      <c r="F837" s="22">
        <v>28</v>
      </c>
      <c r="G837" s="22">
        <v>2023</v>
      </c>
      <c r="H837" s="23">
        <f t="shared" si="39"/>
        <v>45044</v>
      </c>
      <c r="I837" s="25">
        <v>45053</v>
      </c>
      <c r="J837" s="22">
        <f t="shared" si="40"/>
        <v>9</v>
      </c>
      <c r="K837" t="s">
        <v>19</v>
      </c>
      <c r="L837">
        <v>33049</v>
      </c>
      <c r="M837">
        <v>1396</v>
      </c>
      <c r="N837" s="26">
        <v>2093.16</v>
      </c>
      <c r="O837" s="26">
        <f t="shared" si="41"/>
        <v>2093.16</v>
      </c>
      <c r="P837">
        <v>255</v>
      </c>
      <c r="Q837" t="b">
        <v>1</v>
      </c>
      <c r="S837" t="s">
        <v>20</v>
      </c>
    </row>
    <row r="838" spans="1:19">
      <c r="A838" t="s">
        <v>1748</v>
      </c>
      <c r="B838" t="s">
        <v>1749</v>
      </c>
      <c r="C838" s="23" t="s">
        <v>4129</v>
      </c>
      <c r="D838" s="23">
        <v>45217</v>
      </c>
      <c r="E838" s="22">
        <v>10</v>
      </c>
      <c r="F838" s="22">
        <v>18</v>
      </c>
      <c r="G838" s="22">
        <v>2023</v>
      </c>
      <c r="H838" s="23">
        <f t="shared" si="39"/>
        <v>45217</v>
      </c>
      <c r="I838" s="25">
        <v>45240</v>
      </c>
      <c r="J838" s="22">
        <f t="shared" si="40"/>
        <v>23</v>
      </c>
      <c r="K838" t="s">
        <v>23</v>
      </c>
      <c r="L838">
        <v>38131</v>
      </c>
      <c r="M838">
        <v>1668</v>
      </c>
      <c r="N838" s="26">
        <v>3308.07</v>
      </c>
      <c r="O838" s="26">
        <f t="shared" si="41"/>
        <v>3308.07</v>
      </c>
      <c r="P838">
        <v>0</v>
      </c>
      <c r="Q838" t="b">
        <v>1</v>
      </c>
      <c r="S838" t="s">
        <v>25</v>
      </c>
    </row>
    <row r="839" spans="1:19">
      <c r="A839" t="s">
        <v>1750</v>
      </c>
      <c r="B839" t="s">
        <v>1751</v>
      </c>
      <c r="C839" s="23" t="s">
        <v>4128</v>
      </c>
      <c r="D839" s="23">
        <v>44965</v>
      </c>
      <c r="E839" s="22">
        <v>2</v>
      </c>
      <c r="F839" s="22">
        <v>8</v>
      </c>
      <c r="G839" s="22">
        <v>2023</v>
      </c>
      <c r="H839" s="23">
        <f t="shared" si="39"/>
        <v>44965</v>
      </c>
      <c r="I839" s="25">
        <v>44981</v>
      </c>
      <c r="J839" s="22">
        <f t="shared" si="40"/>
        <v>16</v>
      </c>
      <c r="K839" t="s">
        <v>19</v>
      </c>
      <c r="L839">
        <v>43944</v>
      </c>
      <c r="M839">
        <v>885</v>
      </c>
      <c r="N839" s="26">
        <v>742.15</v>
      </c>
      <c r="O839" s="26">
        <f t="shared" si="41"/>
        <v>742.15</v>
      </c>
      <c r="P839">
        <v>103</v>
      </c>
      <c r="Q839" t="b">
        <v>1</v>
      </c>
      <c r="S839" t="s">
        <v>20</v>
      </c>
    </row>
    <row r="840" spans="1:19">
      <c r="A840" t="s">
        <v>1752</v>
      </c>
      <c r="B840" t="s">
        <v>1753</v>
      </c>
      <c r="C840" s="23" t="s">
        <v>4129</v>
      </c>
      <c r="D840" s="23">
        <v>45205</v>
      </c>
      <c r="E840" s="22">
        <v>10</v>
      </c>
      <c r="F840" s="22">
        <v>6</v>
      </c>
      <c r="G840" s="22">
        <v>2023</v>
      </c>
      <c r="H840" s="23">
        <f t="shared" si="39"/>
        <v>45205</v>
      </c>
      <c r="I840" s="25">
        <v>45115</v>
      </c>
      <c r="J840" s="22">
        <f t="shared" si="40"/>
        <v>-90</v>
      </c>
      <c r="K840" t="s">
        <v>266</v>
      </c>
      <c r="L840">
        <v>74963</v>
      </c>
      <c r="M840">
        <v>842</v>
      </c>
      <c r="N840" s="26">
        <v>913.44</v>
      </c>
      <c r="O840" s="26">
        <f t="shared" si="41"/>
        <v>913.44</v>
      </c>
      <c r="P840">
        <v>67</v>
      </c>
      <c r="Q840" t="b">
        <v>0</v>
      </c>
      <c r="S840" t="s">
        <v>20</v>
      </c>
    </row>
    <row r="841" spans="1:19">
      <c r="A841" t="s">
        <v>1754</v>
      </c>
      <c r="B841" t="s">
        <v>1755</v>
      </c>
      <c r="C841" s="23" t="s">
        <v>4131</v>
      </c>
      <c r="D841" s="23">
        <v>45236</v>
      </c>
      <c r="E841" s="22">
        <v>11</v>
      </c>
      <c r="F841" s="22">
        <v>6</v>
      </c>
      <c r="G841" s="22">
        <v>2023</v>
      </c>
      <c r="H841" s="23">
        <f t="shared" si="39"/>
        <v>45236</v>
      </c>
      <c r="I841" s="25">
        <v>45114</v>
      </c>
      <c r="J841" s="22">
        <f t="shared" si="40"/>
        <v>-122</v>
      </c>
      <c r="K841" t="s">
        <v>266</v>
      </c>
      <c r="L841">
        <v>25285</v>
      </c>
      <c r="M841">
        <v>1000</v>
      </c>
      <c r="N841" s="26">
        <v>1220.07</v>
      </c>
      <c r="O841" s="26">
        <f t="shared" si="41"/>
        <v>1220.07</v>
      </c>
      <c r="P841">
        <v>0</v>
      </c>
      <c r="Q841" t="b">
        <v>1</v>
      </c>
      <c r="S841" t="s">
        <v>20</v>
      </c>
    </row>
    <row r="842" spans="1:19">
      <c r="A842" t="s">
        <v>1756</v>
      </c>
      <c r="B842" t="s">
        <v>1757</v>
      </c>
      <c r="C842" s="23" t="s">
        <v>4129</v>
      </c>
      <c r="D842" s="23">
        <v>45033</v>
      </c>
      <c r="E842" s="22">
        <v>4</v>
      </c>
      <c r="F842" s="22">
        <v>17</v>
      </c>
      <c r="G842" s="22">
        <v>2023</v>
      </c>
      <c r="H842" s="23">
        <f t="shared" si="39"/>
        <v>45033</v>
      </c>
      <c r="I842" s="25">
        <v>45046</v>
      </c>
      <c r="J842" s="22">
        <f t="shared" si="40"/>
        <v>13</v>
      </c>
      <c r="K842" t="s">
        <v>14</v>
      </c>
      <c r="L842">
        <v>38626</v>
      </c>
      <c r="M842">
        <v>550</v>
      </c>
      <c r="N842" s="26">
        <v>388.86</v>
      </c>
      <c r="O842" s="26">
        <f t="shared" si="41"/>
        <v>388.86</v>
      </c>
      <c r="P842">
        <v>81</v>
      </c>
      <c r="Q842" t="b">
        <v>0</v>
      </c>
      <c r="S842" t="s">
        <v>16</v>
      </c>
    </row>
    <row r="843" spans="1:19">
      <c r="A843" t="s">
        <v>1758</v>
      </c>
      <c r="B843" t="s">
        <v>1759</v>
      </c>
      <c r="C843" s="23" t="s">
        <v>4127</v>
      </c>
      <c r="D843" s="23">
        <v>45291</v>
      </c>
      <c r="E843" s="22">
        <v>12</v>
      </c>
      <c r="F843" s="22">
        <v>31</v>
      </c>
      <c r="G843" s="22">
        <v>2023</v>
      </c>
      <c r="H843" s="23">
        <f t="shared" si="39"/>
        <v>45291</v>
      </c>
      <c r="I843" s="25">
        <v>45316</v>
      </c>
      <c r="J843" s="22">
        <f t="shared" si="40"/>
        <v>25</v>
      </c>
      <c r="K843" t="s">
        <v>14</v>
      </c>
      <c r="L843">
        <v>43808</v>
      </c>
      <c r="M843">
        <v>989</v>
      </c>
      <c r="N843" s="26">
        <v>614.72</v>
      </c>
      <c r="O843" s="26">
        <f t="shared" si="41"/>
        <v>614.72</v>
      </c>
      <c r="P843">
        <v>94</v>
      </c>
      <c r="Q843" t="b">
        <v>1</v>
      </c>
      <c r="S843" t="s">
        <v>16</v>
      </c>
    </row>
    <row r="844" spans="1:19">
      <c r="A844" t="s">
        <v>1760</v>
      </c>
      <c r="B844" t="s">
        <v>1761</v>
      </c>
      <c r="C844" s="23" t="s">
        <v>4131</v>
      </c>
      <c r="D844" s="23">
        <v>45080</v>
      </c>
      <c r="E844" s="22">
        <v>6</v>
      </c>
      <c r="F844" s="22">
        <v>3</v>
      </c>
      <c r="G844" s="22">
        <v>2023</v>
      </c>
      <c r="H844" s="23">
        <f t="shared" si="39"/>
        <v>45080</v>
      </c>
      <c r="I844" s="25">
        <v>45098</v>
      </c>
      <c r="J844" s="22">
        <f t="shared" si="40"/>
        <v>18</v>
      </c>
      <c r="K844" t="s">
        <v>23</v>
      </c>
      <c r="L844">
        <v>89464</v>
      </c>
      <c r="M844">
        <v>908</v>
      </c>
      <c r="N844" s="26">
        <v>1584.08</v>
      </c>
      <c r="O844" s="26">
        <f t="shared" si="41"/>
        <v>1584.08</v>
      </c>
      <c r="P844">
        <v>108</v>
      </c>
      <c r="Q844" t="b">
        <v>1</v>
      </c>
      <c r="S844" t="s">
        <v>25</v>
      </c>
    </row>
    <row r="845" spans="1:19">
      <c r="A845" t="s">
        <v>1762</v>
      </c>
      <c r="B845" t="s">
        <v>1763</v>
      </c>
      <c r="C845" s="23" t="s">
        <v>4128</v>
      </c>
      <c r="D845" s="23">
        <v>45126</v>
      </c>
      <c r="E845" s="22">
        <v>7</v>
      </c>
      <c r="F845" s="22">
        <v>19</v>
      </c>
      <c r="G845" s="22">
        <v>2023</v>
      </c>
      <c r="H845" s="23">
        <f t="shared" si="39"/>
        <v>45126</v>
      </c>
      <c r="I845" s="25">
        <v>45151</v>
      </c>
      <c r="J845" s="22">
        <f t="shared" si="40"/>
        <v>25</v>
      </c>
      <c r="K845" t="s">
        <v>41</v>
      </c>
      <c r="L845">
        <v>54871</v>
      </c>
      <c r="M845">
        <v>2044</v>
      </c>
      <c r="N845" s="26">
        <v>4016.85</v>
      </c>
      <c r="O845" s="26">
        <f t="shared" si="41"/>
        <v>3632.575</v>
      </c>
      <c r="P845">
        <v>0</v>
      </c>
      <c r="Q845" t="b">
        <v>1</v>
      </c>
      <c r="S845" t="s">
        <v>42</v>
      </c>
    </row>
    <row r="846" spans="1:19">
      <c r="A846" t="s">
        <v>1764</v>
      </c>
      <c r="B846" t="s">
        <v>1765</v>
      </c>
      <c r="C846" s="23" t="s">
        <v>4128</v>
      </c>
      <c r="D846" s="23">
        <v>45123</v>
      </c>
      <c r="E846" s="22">
        <v>7</v>
      </c>
      <c r="F846" s="22">
        <v>16</v>
      </c>
      <c r="G846" s="22">
        <v>2023</v>
      </c>
      <c r="H846" s="23">
        <f t="shared" si="39"/>
        <v>45123</v>
      </c>
      <c r="I846" s="25">
        <v>45127</v>
      </c>
      <c r="J846" s="22">
        <f t="shared" si="40"/>
        <v>4</v>
      </c>
      <c r="K846" t="s">
        <v>23</v>
      </c>
      <c r="L846">
        <v>20198</v>
      </c>
      <c r="M846">
        <v>337</v>
      </c>
      <c r="N846" s="26">
        <v>373.09</v>
      </c>
      <c r="O846" s="26">
        <f t="shared" si="41"/>
        <v>373.09</v>
      </c>
      <c r="P846">
        <v>35</v>
      </c>
      <c r="Q846" t="b">
        <v>0</v>
      </c>
      <c r="S846" t="s">
        <v>25</v>
      </c>
    </row>
    <row r="847" spans="1:19">
      <c r="A847" t="s">
        <v>1766</v>
      </c>
      <c r="B847" t="s">
        <v>1767</v>
      </c>
      <c r="C847" s="23" t="s">
        <v>4128</v>
      </c>
      <c r="D847" s="23">
        <v>45279</v>
      </c>
      <c r="E847" s="22">
        <v>12</v>
      </c>
      <c r="F847" s="22">
        <v>19</v>
      </c>
      <c r="G847" s="22">
        <v>2023</v>
      </c>
      <c r="H847" s="23">
        <f t="shared" si="39"/>
        <v>45279</v>
      </c>
      <c r="I847" s="25">
        <v>45293</v>
      </c>
      <c r="J847" s="22">
        <f t="shared" si="40"/>
        <v>14</v>
      </c>
      <c r="K847" t="s">
        <v>14</v>
      </c>
      <c r="L847">
        <v>20758</v>
      </c>
      <c r="M847">
        <v>751</v>
      </c>
      <c r="N847" s="26">
        <v>474.24</v>
      </c>
      <c r="O847" s="26">
        <f t="shared" si="41"/>
        <v>474.24</v>
      </c>
      <c r="P847">
        <v>55</v>
      </c>
      <c r="Q847" t="b">
        <v>1</v>
      </c>
      <c r="S847" t="s">
        <v>16</v>
      </c>
    </row>
    <row r="848" spans="1:19">
      <c r="A848" t="s">
        <v>1768</v>
      </c>
      <c r="B848" t="s">
        <v>1769</v>
      </c>
      <c r="C848" s="23" t="s">
        <v>4127</v>
      </c>
      <c r="D848" s="23" t="s">
        <v>1770</v>
      </c>
      <c r="E848" s="22">
        <v>27</v>
      </c>
      <c r="F848" s="22">
        <v>6</v>
      </c>
      <c r="G848" s="22">
        <v>2023</v>
      </c>
      <c r="H848" s="23">
        <f t="shared" si="39"/>
        <v>45104</v>
      </c>
      <c r="I848" s="25">
        <v>45127</v>
      </c>
      <c r="J848" s="22">
        <f t="shared" si="40"/>
        <v>23</v>
      </c>
      <c r="K848" t="s">
        <v>19</v>
      </c>
      <c r="L848">
        <v>16254</v>
      </c>
      <c r="M848">
        <v>807</v>
      </c>
      <c r="N848" s="26">
        <v>483.17</v>
      </c>
      <c r="O848" s="26">
        <f t="shared" si="41"/>
        <v>483.17</v>
      </c>
      <c r="P848">
        <v>147</v>
      </c>
      <c r="Q848" t="b">
        <v>1</v>
      </c>
      <c r="S848" t="s">
        <v>20</v>
      </c>
    </row>
    <row r="849" spans="1:19">
      <c r="A849" t="s">
        <v>1771</v>
      </c>
      <c r="B849" t="s">
        <v>1772</v>
      </c>
      <c r="C849" s="23" t="s">
        <v>4128</v>
      </c>
      <c r="D849" s="23">
        <v>45150</v>
      </c>
      <c r="E849" s="22">
        <v>8</v>
      </c>
      <c r="F849" s="22">
        <v>12</v>
      </c>
      <c r="G849" s="22">
        <v>2023</v>
      </c>
      <c r="H849" s="23">
        <f t="shared" si="39"/>
        <v>45150</v>
      </c>
      <c r="I849" s="25">
        <v>45287</v>
      </c>
      <c r="J849" s="22">
        <f t="shared" si="40"/>
        <v>137</v>
      </c>
      <c r="K849" t="s">
        <v>19</v>
      </c>
      <c r="L849">
        <v>45238</v>
      </c>
      <c r="M849">
        <v>583</v>
      </c>
      <c r="N849" s="26">
        <v>1070.96</v>
      </c>
      <c r="O849" s="26">
        <f t="shared" si="41"/>
        <v>1070.96</v>
      </c>
      <c r="P849">
        <v>30</v>
      </c>
      <c r="Q849" t="b">
        <v>0</v>
      </c>
      <c r="S849" t="s">
        <v>20</v>
      </c>
    </row>
    <row r="850" spans="1:19">
      <c r="A850" t="s">
        <v>1773</v>
      </c>
      <c r="B850" t="s">
        <v>1774</v>
      </c>
      <c r="C850" s="23" t="s">
        <v>4131</v>
      </c>
      <c r="D850" s="23">
        <v>45236</v>
      </c>
      <c r="E850" s="22">
        <v>11</v>
      </c>
      <c r="F850" s="22">
        <v>6</v>
      </c>
      <c r="G850" s="22">
        <v>2023</v>
      </c>
      <c r="H850" s="23">
        <f t="shared" si="39"/>
        <v>45236</v>
      </c>
      <c r="I850" s="25">
        <v>45256</v>
      </c>
      <c r="J850" s="22">
        <f t="shared" si="40"/>
        <v>20</v>
      </c>
      <c r="K850" t="s">
        <v>19</v>
      </c>
      <c r="L850">
        <v>2252</v>
      </c>
      <c r="M850">
        <v>29</v>
      </c>
      <c r="N850" s="26">
        <v>34.68</v>
      </c>
      <c r="O850" s="26">
        <f t="shared" si="41"/>
        <v>34.68</v>
      </c>
      <c r="P850">
        <v>5</v>
      </c>
      <c r="Q850" t="b">
        <v>1</v>
      </c>
      <c r="S850" t="s">
        <v>20</v>
      </c>
    </row>
    <row r="851" spans="1:19">
      <c r="A851" t="s">
        <v>1775</v>
      </c>
      <c r="B851" t="s">
        <v>1776</v>
      </c>
      <c r="C851" s="23" t="s">
        <v>4131</v>
      </c>
      <c r="D851" s="23">
        <v>45130</v>
      </c>
      <c r="E851" s="22">
        <v>7</v>
      </c>
      <c r="F851" s="22">
        <v>23</v>
      </c>
      <c r="G851" s="22">
        <v>2023</v>
      </c>
      <c r="H851" s="23">
        <f t="shared" si="39"/>
        <v>45130</v>
      </c>
      <c r="I851" s="25">
        <v>45159</v>
      </c>
      <c r="J851" s="22">
        <f t="shared" si="40"/>
        <v>29</v>
      </c>
      <c r="K851" t="s">
        <v>33</v>
      </c>
      <c r="L851">
        <v>40764</v>
      </c>
      <c r="M851">
        <v>962</v>
      </c>
      <c r="N851" s="26">
        <v>942.8</v>
      </c>
      <c r="O851" s="26">
        <f t="shared" si="41"/>
        <v>942.8</v>
      </c>
      <c r="P851">
        <v>130</v>
      </c>
      <c r="Q851" t="b">
        <v>1</v>
      </c>
      <c r="S851" t="s">
        <v>68</v>
      </c>
    </row>
    <row r="852" spans="1:19">
      <c r="A852" t="s">
        <v>1777</v>
      </c>
      <c r="B852" t="s">
        <v>1778</v>
      </c>
      <c r="C852" s="23" t="s">
        <v>4128</v>
      </c>
      <c r="D852" s="23">
        <v>45251</v>
      </c>
      <c r="E852" s="22">
        <v>11</v>
      </c>
      <c r="F852" s="22">
        <v>21</v>
      </c>
      <c r="G852" s="22">
        <v>2023</v>
      </c>
      <c r="H852" s="23">
        <f t="shared" si="39"/>
        <v>45251</v>
      </c>
      <c r="I852" s="25">
        <v>45263</v>
      </c>
      <c r="J852" s="22">
        <f t="shared" si="40"/>
        <v>12</v>
      </c>
      <c r="K852" t="s">
        <v>33</v>
      </c>
      <c r="L852">
        <v>78709</v>
      </c>
      <c r="M852">
        <v>3514</v>
      </c>
      <c r="N852" s="26">
        <v>4268.43</v>
      </c>
      <c r="O852" s="26">
        <f t="shared" si="41"/>
        <v>3632.575</v>
      </c>
      <c r="P852">
        <v>0</v>
      </c>
      <c r="Q852" t="b">
        <v>1</v>
      </c>
      <c r="S852" t="s">
        <v>34</v>
      </c>
    </row>
    <row r="853" spans="1:19">
      <c r="A853" t="s">
        <v>1779</v>
      </c>
      <c r="B853" t="s">
        <v>1780</v>
      </c>
      <c r="C853" s="23" t="s">
        <v>4129</v>
      </c>
      <c r="D853" s="23">
        <v>45178</v>
      </c>
      <c r="E853" s="22">
        <v>9</v>
      </c>
      <c r="F853" s="22">
        <v>9</v>
      </c>
      <c r="G853" s="22">
        <v>2023</v>
      </c>
      <c r="H853" s="23">
        <f t="shared" si="39"/>
        <v>45178</v>
      </c>
      <c r="I853" s="25">
        <v>45200</v>
      </c>
      <c r="J853" s="22">
        <f t="shared" si="40"/>
        <v>22</v>
      </c>
      <c r="K853" t="s">
        <v>33</v>
      </c>
      <c r="L853">
        <v>38441</v>
      </c>
      <c r="M853">
        <v>715</v>
      </c>
      <c r="N853" s="26">
        <v>698.88</v>
      </c>
      <c r="O853" s="26">
        <f t="shared" si="41"/>
        <v>698.88</v>
      </c>
      <c r="P853">
        <v>113</v>
      </c>
      <c r="Q853" t="b">
        <v>0</v>
      </c>
      <c r="S853" t="s">
        <v>34</v>
      </c>
    </row>
    <row r="854" spans="1:19">
      <c r="A854" t="s">
        <v>1781</v>
      </c>
      <c r="B854" t="s">
        <v>1782</v>
      </c>
      <c r="C854" s="23" t="s">
        <v>4127</v>
      </c>
      <c r="D854" s="23">
        <v>45119</v>
      </c>
      <c r="E854" s="22">
        <v>7</v>
      </c>
      <c r="F854" s="22">
        <v>12</v>
      </c>
      <c r="G854" s="22">
        <v>2023</v>
      </c>
      <c r="H854" s="23">
        <f t="shared" si="39"/>
        <v>45119</v>
      </c>
      <c r="I854" s="25">
        <v>45135</v>
      </c>
      <c r="J854" s="22">
        <f t="shared" si="40"/>
        <v>16</v>
      </c>
      <c r="K854" t="s">
        <v>14</v>
      </c>
      <c r="L854">
        <v>93234</v>
      </c>
      <c r="M854">
        <v>2276</v>
      </c>
      <c r="N854" s="26">
        <v>2807.57</v>
      </c>
      <c r="O854" s="26">
        <f t="shared" si="41"/>
        <v>2807.57</v>
      </c>
      <c r="P854">
        <v>287</v>
      </c>
      <c r="Q854" t="b">
        <v>1</v>
      </c>
      <c r="S854" t="s">
        <v>16</v>
      </c>
    </row>
    <row r="855" spans="1:19">
      <c r="A855" t="s">
        <v>1783</v>
      </c>
      <c r="B855" t="s">
        <v>1784</v>
      </c>
      <c r="C855" s="23" t="s">
        <v>4129</v>
      </c>
      <c r="D855" s="23">
        <v>45265</v>
      </c>
      <c r="E855" s="22">
        <v>12</v>
      </c>
      <c r="F855" s="22">
        <v>5</v>
      </c>
      <c r="G855" s="22">
        <v>2023</v>
      </c>
      <c r="H855" s="23">
        <f t="shared" si="39"/>
        <v>45265</v>
      </c>
      <c r="I855" s="25">
        <v>45266</v>
      </c>
      <c r="J855" s="22">
        <f t="shared" si="40"/>
        <v>1</v>
      </c>
      <c r="K855" t="s">
        <v>23</v>
      </c>
      <c r="L855">
        <v>54682</v>
      </c>
      <c r="M855">
        <v>696</v>
      </c>
      <c r="N855" s="26">
        <v>1245.38</v>
      </c>
      <c r="O855" s="26">
        <f t="shared" si="41"/>
        <v>1245.38</v>
      </c>
      <c r="P855">
        <v>86</v>
      </c>
      <c r="Q855" t="b">
        <v>0</v>
      </c>
      <c r="S855" t="s">
        <v>25</v>
      </c>
    </row>
    <row r="856" spans="1:19">
      <c r="A856" t="s">
        <v>1785</v>
      </c>
      <c r="B856" t="s">
        <v>1786</v>
      </c>
      <c r="C856" s="23" t="s">
        <v>4127</v>
      </c>
      <c r="D856" s="23">
        <v>45078</v>
      </c>
      <c r="E856" s="22">
        <v>6</v>
      </c>
      <c r="F856" s="22">
        <v>1</v>
      </c>
      <c r="G856" s="22">
        <v>2023</v>
      </c>
      <c r="H856" s="23">
        <f t="shared" si="39"/>
        <v>45078</v>
      </c>
      <c r="I856" s="25">
        <v>45091</v>
      </c>
      <c r="J856" s="22">
        <f t="shared" si="40"/>
        <v>13</v>
      </c>
      <c r="K856" t="s">
        <v>41</v>
      </c>
      <c r="L856">
        <v>60494</v>
      </c>
      <c r="M856">
        <v>2451</v>
      </c>
      <c r="N856" s="26">
        <v>3403.1</v>
      </c>
      <c r="O856" s="26">
        <f t="shared" si="41"/>
        <v>3403.1</v>
      </c>
      <c r="P856">
        <v>163</v>
      </c>
      <c r="Q856" t="b">
        <v>1</v>
      </c>
      <c r="S856" t="s">
        <v>42</v>
      </c>
    </row>
    <row r="857" spans="1:19">
      <c r="A857" t="s">
        <v>1787</v>
      </c>
      <c r="B857" t="s">
        <v>1788</v>
      </c>
      <c r="C857" s="23" t="s">
        <v>4127</v>
      </c>
      <c r="D857" s="23">
        <v>44969</v>
      </c>
      <c r="E857" s="22">
        <v>2</v>
      </c>
      <c r="F857" s="22">
        <v>12</v>
      </c>
      <c r="G857" s="22">
        <v>2023</v>
      </c>
      <c r="H857" s="23">
        <f t="shared" si="39"/>
        <v>44969</v>
      </c>
      <c r="I857" s="25">
        <v>44971</v>
      </c>
      <c r="J857" s="22">
        <f t="shared" si="40"/>
        <v>2</v>
      </c>
      <c r="K857" t="s">
        <v>33</v>
      </c>
      <c r="L857">
        <v>82317</v>
      </c>
      <c r="M857">
        <v>2167</v>
      </c>
      <c r="N857" s="26">
        <v>3341.47</v>
      </c>
      <c r="O857" s="26">
        <f t="shared" si="41"/>
        <v>3341.47</v>
      </c>
      <c r="P857">
        <v>234</v>
      </c>
      <c r="Q857" t="b">
        <v>1</v>
      </c>
      <c r="S857" t="s">
        <v>34</v>
      </c>
    </row>
    <row r="858" spans="1:19">
      <c r="A858" t="s">
        <v>1789</v>
      </c>
      <c r="B858" t="s">
        <v>1790</v>
      </c>
      <c r="C858" s="23" t="s">
        <v>4131</v>
      </c>
      <c r="D858" s="23">
        <v>45251</v>
      </c>
      <c r="E858" s="22">
        <v>11</v>
      </c>
      <c r="F858" s="22">
        <v>21</v>
      </c>
      <c r="G858" s="22">
        <v>2023</v>
      </c>
      <c r="H858" s="23">
        <f t="shared" si="39"/>
        <v>45251</v>
      </c>
      <c r="I858" s="25">
        <v>45267</v>
      </c>
      <c r="J858" s="22">
        <f t="shared" si="40"/>
        <v>16</v>
      </c>
      <c r="K858" t="s">
        <v>19</v>
      </c>
      <c r="L858">
        <v>66215</v>
      </c>
      <c r="M858">
        <v>2673</v>
      </c>
      <c r="N858" s="26">
        <v>2798.65</v>
      </c>
      <c r="O858" s="26">
        <f t="shared" si="41"/>
        <v>2798.65</v>
      </c>
      <c r="P858">
        <v>230</v>
      </c>
      <c r="Q858" t="b">
        <v>1</v>
      </c>
      <c r="S858" t="s">
        <v>20</v>
      </c>
    </row>
    <row r="859" spans="1:19">
      <c r="A859" t="s">
        <v>1791</v>
      </c>
      <c r="B859" t="s">
        <v>1792</v>
      </c>
      <c r="C859" s="23" t="s">
        <v>4127</v>
      </c>
      <c r="D859" s="23">
        <v>45111</v>
      </c>
      <c r="E859" s="22">
        <v>7</v>
      </c>
      <c r="F859" s="22">
        <v>4</v>
      </c>
      <c r="G859" s="22">
        <v>2023</v>
      </c>
      <c r="H859" s="23">
        <f t="shared" si="39"/>
        <v>45111</v>
      </c>
      <c r="I859" s="25">
        <v>45048</v>
      </c>
      <c r="J859" s="22">
        <f t="shared" si="40"/>
        <v>-63</v>
      </c>
      <c r="K859" t="s">
        <v>33</v>
      </c>
      <c r="L859">
        <v>79587</v>
      </c>
      <c r="M859">
        <v>3672</v>
      </c>
      <c r="N859" s="26">
        <v>5903.69</v>
      </c>
      <c r="O859" s="26">
        <f t="shared" si="41"/>
        <v>3632.575</v>
      </c>
      <c r="P859">
        <v>192</v>
      </c>
      <c r="Q859" t="b">
        <v>0</v>
      </c>
      <c r="S859" t="s">
        <v>34</v>
      </c>
    </row>
    <row r="860" spans="1:19">
      <c r="A860" t="s">
        <v>1793</v>
      </c>
      <c r="B860" t="s">
        <v>1794</v>
      </c>
      <c r="C860" s="23" t="s">
        <v>4131</v>
      </c>
      <c r="D860" s="23">
        <v>45084</v>
      </c>
      <c r="E860" s="22">
        <v>6</v>
      </c>
      <c r="F860" s="22">
        <v>7</v>
      </c>
      <c r="G860" s="22">
        <v>2023</v>
      </c>
      <c r="H860" s="23">
        <f t="shared" si="39"/>
        <v>45084</v>
      </c>
      <c r="I860" s="25">
        <v>45113</v>
      </c>
      <c r="J860" s="22">
        <f t="shared" si="40"/>
        <v>29</v>
      </c>
      <c r="K860" t="s">
        <v>14</v>
      </c>
      <c r="L860">
        <v>7949</v>
      </c>
      <c r="M860">
        <v>153</v>
      </c>
      <c r="N860" s="26">
        <v>229.49</v>
      </c>
      <c r="O860" s="26">
        <f t="shared" si="41"/>
        <v>229.49</v>
      </c>
      <c r="P860">
        <v>15</v>
      </c>
      <c r="Q860" t="b">
        <v>0</v>
      </c>
      <c r="S860" t="s">
        <v>16</v>
      </c>
    </row>
    <row r="861" spans="1:19">
      <c r="A861" t="s">
        <v>1795</v>
      </c>
      <c r="B861" t="s">
        <v>1796</v>
      </c>
      <c r="C861" s="23" t="s">
        <v>4129</v>
      </c>
      <c r="D861" s="23">
        <v>44979</v>
      </c>
      <c r="E861" s="22">
        <v>2</v>
      </c>
      <c r="F861" s="22">
        <v>22</v>
      </c>
      <c r="G861" s="22">
        <v>2023</v>
      </c>
      <c r="H861" s="23">
        <f t="shared" si="39"/>
        <v>44979</v>
      </c>
      <c r="I861" s="25">
        <v>44982</v>
      </c>
      <c r="J861" s="22">
        <f t="shared" si="40"/>
        <v>3</v>
      </c>
      <c r="K861" t="s">
        <v>234</v>
      </c>
      <c r="L861">
        <v>56393</v>
      </c>
      <c r="M861">
        <v>2385</v>
      </c>
      <c r="N861" s="26">
        <v>1620.23</v>
      </c>
      <c r="O861" s="26">
        <f t="shared" si="41"/>
        <v>1620.23</v>
      </c>
      <c r="P861">
        <v>151</v>
      </c>
      <c r="Q861" t="b">
        <v>1</v>
      </c>
      <c r="S861" t="s">
        <v>16</v>
      </c>
    </row>
    <row r="862" spans="1:19">
      <c r="A862" t="s">
        <v>1797</v>
      </c>
      <c r="B862" t="s">
        <v>1798</v>
      </c>
      <c r="C862" s="23" t="s">
        <v>4129</v>
      </c>
      <c r="D862" s="23">
        <v>45156</v>
      </c>
      <c r="E862" s="22">
        <v>8</v>
      </c>
      <c r="F862" s="22">
        <v>18</v>
      </c>
      <c r="G862" s="22">
        <v>2023</v>
      </c>
      <c r="H862" s="23">
        <f t="shared" si="39"/>
        <v>45156</v>
      </c>
      <c r="I862" s="25">
        <v>45172</v>
      </c>
      <c r="J862" s="22">
        <f t="shared" si="40"/>
        <v>16</v>
      </c>
      <c r="K862" t="s">
        <v>14</v>
      </c>
      <c r="L862">
        <v>74553</v>
      </c>
      <c r="M862">
        <v>921</v>
      </c>
      <c r="N862" s="26">
        <v>1251.61</v>
      </c>
      <c r="O862" s="26">
        <f t="shared" si="41"/>
        <v>1251.61</v>
      </c>
      <c r="P862">
        <v>81</v>
      </c>
      <c r="Q862" t="b">
        <v>0</v>
      </c>
      <c r="S862" t="s">
        <v>16</v>
      </c>
    </row>
    <row r="863" spans="1:19">
      <c r="A863" t="s">
        <v>1799</v>
      </c>
      <c r="B863" t="s">
        <v>1800</v>
      </c>
      <c r="C863" s="23" t="s">
        <v>4129</v>
      </c>
      <c r="D863" s="23" t="s">
        <v>47</v>
      </c>
      <c r="E863" s="22">
        <v>22</v>
      </c>
      <c r="F863" s="22">
        <v>2</v>
      </c>
      <c r="G863" s="22">
        <v>2023</v>
      </c>
      <c r="H863" s="23">
        <f t="shared" si="39"/>
        <v>44979</v>
      </c>
      <c r="I863" s="25">
        <v>44974</v>
      </c>
      <c r="J863" s="22">
        <f t="shared" si="40"/>
        <v>-5</v>
      </c>
      <c r="K863" t="s">
        <v>33</v>
      </c>
      <c r="L863">
        <v>7941</v>
      </c>
      <c r="M863">
        <v>364</v>
      </c>
      <c r="N863" s="26">
        <v>322.18</v>
      </c>
      <c r="O863" s="26">
        <f t="shared" si="41"/>
        <v>322.18</v>
      </c>
      <c r="P863">
        <v>23</v>
      </c>
      <c r="Q863" t="b">
        <v>0</v>
      </c>
      <c r="S863" t="s">
        <v>34</v>
      </c>
    </row>
    <row r="864" spans="1:19">
      <c r="A864" t="s">
        <v>1801</v>
      </c>
      <c r="B864" t="s">
        <v>1802</v>
      </c>
      <c r="C864" s="23" t="s">
        <v>4131</v>
      </c>
      <c r="D864" s="23">
        <v>45108</v>
      </c>
      <c r="E864" s="22">
        <v>7</v>
      </c>
      <c r="F864" s="22">
        <v>1</v>
      </c>
      <c r="G864" s="22">
        <v>2023</v>
      </c>
      <c r="H864" s="23">
        <f t="shared" si="39"/>
        <v>45108</v>
      </c>
      <c r="I864" s="25">
        <v>45126</v>
      </c>
      <c r="J864" s="22">
        <f t="shared" si="40"/>
        <v>18</v>
      </c>
      <c r="K864" t="s">
        <v>14</v>
      </c>
      <c r="L864">
        <v>26934</v>
      </c>
      <c r="M864">
        <v>970</v>
      </c>
      <c r="N864" s="26">
        <v>1654.96</v>
      </c>
      <c r="O864" s="26">
        <f t="shared" si="41"/>
        <v>1654.96</v>
      </c>
      <c r="P864">
        <v>63</v>
      </c>
      <c r="Q864" t="b">
        <v>0</v>
      </c>
      <c r="S864" t="s">
        <v>16</v>
      </c>
    </row>
    <row r="865" spans="1:19">
      <c r="A865" t="s">
        <v>1803</v>
      </c>
      <c r="B865" t="s">
        <v>1804</v>
      </c>
      <c r="C865" s="23" t="s">
        <v>4129</v>
      </c>
      <c r="D865" s="23">
        <v>45093</v>
      </c>
      <c r="E865" s="22">
        <v>6</v>
      </c>
      <c r="F865" s="22">
        <v>16</v>
      </c>
      <c r="G865" s="22">
        <v>2023</v>
      </c>
      <c r="H865" s="23">
        <f t="shared" si="39"/>
        <v>45093</v>
      </c>
      <c r="I865" s="25">
        <v>45096</v>
      </c>
      <c r="J865" s="22">
        <f t="shared" si="40"/>
        <v>3</v>
      </c>
      <c r="K865" t="s">
        <v>19</v>
      </c>
      <c r="L865">
        <v>24386</v>
      </c>
      <c r="M865">
        <v>1096</v>
      </c>
      <c r="N865" s="26">
        <v>1248.24</v>
      </c>
      <c r="O865" s="26">
        <f t="shared" si="41"/>
        <v>1248.24</v>
      </c>
      <c r="P865">
        <v>87</v>
      </c>
      <c r="Q865" t="b">
        <v>0</v>
      </c>
      <c r="S865" t="s">
        <v>20</v>
      </c>
    </row>
    <row r="866" spans="1:19">
      <c r="A866" t="s">
        <v>1805</v>
      </c>
      <c r="B866" t="s">
        <v>1806</v>
      </c>
      <c r="C866" s="23" t="s">
        <v>4127</v>
      </c>
      <c r="D866" s="23">
        <v>45138</v>
      </c>
      <c r="E866" s="22">
        <v>7</v>
      </c>
      <c r="F866" s="22">
        <v>31</v>
      </c>
      <c r="G866" s="22">
        <v>2023</v>
      </c>
      <c r="H866" s="23">
        <f t="shared" si="39"/>
        <v>45138</v>
      </c>
      <c r="I866" s="25">
        <v>45141</v>
      </c>
      <c r="J866" s="22">
        <f t="shared" si="40"/>
        <v>3</v>
      </c>
      <c r="K866" t="s">
        <v>14</v>
      </c>
      <c r="L866">
        <v>62886</v>
      </c>
      <c r="M866">
        <v>629</v>
      </c>
      <c r="N866" s="26">
        <v>1252.98</v>
      </c>
      <c r="O866" s="26">
        <f t="shared" si="41"/>
        <v>1252.98</v>
      </c>
      <c r="P866">
        <v>125</v>
      </c>
      <c r="Q866" t="b">
        <v>0</v>
      </c>
      <c r="S866" t="s">
        <v>16</v>
      </c>
    </row>
    <row r="867" spans="1:19">
      <c r="A867" t="s">
        <v>1807</v>
      </c>
      <c r="B867" t="s">
        <v>1808</v>
      </c>
      <c r="C867" s="23" t="s">
        <v>4127</v>
      </c>
      <c r="D867" s="23">
        <v>45213</v>
      </c>
      <c r="E867" s="22">
        <v>10</v>
      </c>
      <c r="F867" s="22">
        <v>14</v>
      </c>
      <c r="G867" s="22">
        <v>2023</v>
      </c>
      <c r="H867" s="23">
        <f t="shared" si="39"/>
        <v>45213</v>
      </c>
      <c r="I867" s="25">
        <v>45208</v>
      </c>
      <c r="J867" s="22">
        <f t="shared" si="40"/>
        <v>-5</v>
      </c>
      <c r="K867" t="s">
        <v>14</v>
      </c>
      <c r="L867">
        <v>76745</v>
      </c>
      <c r="M867">
        <v>1286</v>
      </c>
      <c r="N867" s="26">
        <v>821.43</v>
      </c>
      <c r="O867" s="26">
        <f t="shared" si="41"/>
        <v>821.43</v>
      </c>
      <c r="P867">
        <v>64</v>
      </c>
      <c r="Q867" t="b">
        <v>1</v>
      </c>
      <c r="S867" t="s">
        <v>16</v>
      </c>
    </row>
    <row r="868" spans="1:19">
      <c r="A868" t="s">
        <v>1809</v>
      </c>
      <c r="B868" t="s">
        <v>1810</v>
      </c>
      <c r="C868" s="23" t="s">
        <v>4128</v>
      </c>
      <c r="D868" s="23">
        <v>45219</v>
      </c>
      <c r="E868" s="22">
        <v>10</v>
      </c>
      <c r="F868" s="22">
        <v>20</v>
      </c>
      <c r="G868" s="22">
        <v>2023</v>
      </c>
      <c r="H868" s="23">
        <f t="shared" si="39"/>
        <v>45219</v>
      </c>
      <c r="I868" s="25">
        <v>45243</v>
      </c>
      <c r="J868" s="22">
        <f t="shared" si="40"/>
        <v>24</v>
      </c>
      <c r="K868" t="s">
        <v>23</v>
      </c>
      <c r="L868">
        <v>84251</v>
      </c>
      <c r="M868">
        <v>2156</v>
      </c>
      <c r="N868" s="26">
        <v>3601.64</v>
      </c>
      <c r="O868" s="26">
        <f t="shared" si="41"/>
        <v>3601.64</v>
      </c>
      <c r="P868">
        <v>314</v>
      </c>
      <c r="Q868" t="b">
        <v>1</v>
      </c>
      <c r="S868" t="s">
        <v>25</v>
      </c>
    </row>
    <row r="869" spans="1:19">
      <c r="A869" t="s">
        <v>1811</v>
      </c>
      <c r="B869" t="s">
        <v>1812</v>
      </c>
      <c r="C869" s="23" t="s">
        <v>4127</v>
      </c>
      <c r="D869" s="23">
        <v>45013</v>
      </c>
      <c r="E869" s="22">
        <v>3</v>
      </c>
      <c r="F869" s="22">
        <v>28</v>
      </c>
      <c r="G869" s="22">
        <v>2023</v>
      </c>
      <c r="H869" s="23">
        <f t="shared" si="39"/>
        <v>45013</v>
      </c>
      <c r="I869" s="25">
        <v>45040</v>
      </c>
      <c r="J869" s="22">
        <f t="shared" si="40"/>
        <v>27</v>
      </c>
      <c r="K869" t="s">
        <v>191</v>
      </c>
      <c r="L869">
        <v>95456</v>
      </c>
      <c r="M869">
        <v>2403</v>
      </c>
      <c r="N869" s="26">
        <v>3629.86</v>
      </c>
      <c r="O869" s="26">
        <f t="shared" si="41"/>
        <v>3629.86</v>
      </c>
      <c r="P869">
        <v>171</v>
      </c>
      <c r="Q869" t="b">
        <v>0</v>
      </c>
      <c r="S869" t="s">
        <v>42</v>
      </c>
    </row>
    <row r="870" spans="1:19">
      <c r="A870" t="s">
        <v>1813</v>
      </c>
      <c r="B870" t="s">
        <v>1814</v>
      </c>
      <c r="C870" s="23" t="s">
        <v>4131</v>
      </c>
      <c r="D870" s="23">
        <v>45179</v>
      </c>
      <c r="E870" s="22">
        <v>9</v>
      </c>
      <c r="F870" s="22">
        <v>10</v>
      </c>
      <c r="G870" s="22">
        <v>2023</v>
      </c>
      <c r="H870" s="23">
        <f t="shared" si="39"/>
        <v>45179</v>
      </c>
      <c r="I870" s="25">
        <v>45202</v>
      </c>
      <c r="J870" s="22">
        <f t="shared" si="40"/>
        <v>23</v>
      </c>
      <c r="K870" t="s">
        <v>14</v>
      </c>
      <c r="L870">
        <v>54413</v>
      </c>
      <c r="M870">
        <v>1037</v>
      </c>
      <c r="N870" s="26">
        <v>1712.34</v>
      </c>
      <c r="O870" s="26">
        <f t="shared" si="41"/>
        <v>1712.34</v>
      </c>
      <c r="P870">
        <v>195</v>
      </c>
      <c r="Q870" t="b">
        <v>1</v>
      </c>
      <c r="S870" t="s">
        <v>16</v>
      </c>
    </row>
    <row r="871" spans="1:19">
      <c r="A871" t="s">
        <v>1815</v>
      </c>
      <c r="B871" t="s">
        <v>1816</v>
      </c>
      <c r="C871" s="23" t="s">
        <v>4127</v>
      </c>
      <c r="D871" s="23">
        <v>45068</v>
      </c>
      <c r="E871" s="22">
        <v>5</v>
      </c>
      <c r="F871" s="22">
        <v>22</v>
      </c>
      <c r="G871" s="22">
        <v>2023</v>
      </c>
      <c r="H871" s="23">
        <f t="shared" si="39"/>
        <v>45068</v>
      </c>
      <c r="I871" s="25">
        <v>45089</v>
      </c>
      <c r="J871" s="22">
        <f t="shared" si="40"/>
        <v>21</v>
      </c>
      <c r="K871" t="s">
        <v>23</v>
      </c>
      <c r="L871">
        <v>57800</v>
      </c>
      <c r="M871">
        <v>1460</v>
      </c>
      <c r="N871" s="26">
        <v>1403.49</v>
      </c>
      <c r="O871" s="26">
        <f t="shared" si="41"/>
        <v>1403.49</v>
      </c>
      <c r="P871">
        <v>93</v>
      </c>
      <c r="Q871" t="b">
        <v>1</v>
      </c>
      <c r="S871" t="s">
        <v>25</v>
      </c>
    </row>
    <row r="872" spans="1:19">
      <c r="A872" t="s">
        <v>1817</v>
      </c>
      <c r="B872" t="s">
        <v>1818</v>
      </c>
      <c r="C872" s="23" t="s">
        <v>4129</v>
      </c>
      <c r="D872" s="23">
        <v>44966</v>
      </c>
      <c r="E872" s="22">
        <v>2</v>
      </c>
      <c r="F872" s="22">
        <v>9</v>
      </c>
      <c r="G872" s="22">
        <v>2023</v>
      </c>
      <c r="H872" s="23">
        <f t="shared" si="39"/>
        <v>44966</v>
      </c>
      <c r="I872" s="25">
        <v>44996</v>
      </c>
      <c r="J872" s="22">
        <f t="shared" si="40"/>
        <v>30</v>
      </c>
      <c r="K872" t="s">
        <v>14</v>
      </c>
      <c r="L872">
        <v>98239</v>
      </c>
      <c r="M872">
        <v>1488</v>
      </c>
      <c r="N872" s="26">
        <v>1842.27</v>
      </c>
      <c r="O872" s="26">
        <f t="shared" si="41"/>
        <v>1842.27</v>
      </c>
      <c r="P872">
        <v>287</v>
      </c>
      <c r="Q872" t="b">
        <v>1</v>
      </c>
      <c r="S872" t="s">
        <v>16</v>
      </c>
    </row>
    <row r="873" spans="1:19">
      <c r="A873" t="s">
        <v>1819</v>
      </c>
      <c r="B873" t="s">
        <v>1820</v>
      </c>
      <c r="C873" s="23" t="s">
        <v>4131</v>
      </c>
      <c r="D873" s="23">
        <v>45247</v>
      </c>
      <c r="E873" s="22">
        <v>11</v>
      </c>
      <c r="F873" s="22">
        <v>17</v>
      </c>
      <c r="G873" s="22">
        <v>2023</v>
      </c>
      <c r="H873" s="23">
        <f t="shared" si="39"/>
        <v>45247</v>
      </c>
      <c r="I873" s="25">
        <v>45251</v>
      </c>
      <c r="J873" s="22">
        <f t="shared" si="40"/>
        <v>4</v>
      </c>
      <c r="K873" t="s">
        <v>19</v>
      </c>
      <c r="L873">
        <v>43318</v>
      </c>
      <c r="M873">
        <v>1148</v>
      </c>
      <c r="N873" s="26">
        <v>1945.59</v>
      </c>
      <c r="O873" s="26">
        <f t="shared" si="41"/>
        <v>1945.59</v>
      </c>
      <c r="P873">
        <v>162</v>
      </c>
      <c r="Q873" t="b">
        <v>1</v>
      </c>
      <c r="S873" t="s">
        <v>20</v>
      </c>
    </row>
    <row r="874" spans="1:19">
      <c r="A874" t="s">
        <v>1821</v>
      </c>
      <c r="B874" t="s">
        <v>1822</v>
      </c>
      <c r="C874" s="23" t="s">
        <v>4128</v>
      </c>
      <c r="D874" s="23">
        <v>45161</v>
      </c>
      <c r="E874" s="22">
        <v>8</v>
      </c>
      <c r="F874" s="22">
        <v>23</v>
      </c>
      <c r="G874" s="22">
        <v>2023</v>
      </c>
      <c r="H874" s="23">
        <f t="shared" si="39"/>
        <v>45161</v>
      </c>
      <c r="I874" s="25">
        <v>45176</v>
      </c>
      <c r="J874" s="22">
        <f t="shared" si="40"/>
        <v>15</v>
      </c>
      <c r="K874" t="s">
        <v>14</v>
      </c>
      <c r="L874">
        <v>71173</v>
      </c>
      <c r="M874">
        <v>2995</v>
      </c>
      <c r="N874" s="26">
        <v>2542.19</v>
      </c>
      <c r="O874" s="26">
        <f t="shared" si="41"/>
        <v>2542.19</v>
      </c>
      <c r="P874">
        <v>150</v>
      </c>
      <c r="Q874" t="b">
        <v>1</v>
      </c>
      <c r="S874" t="s">
        <v>16</v>
      </c>
    </row>
    <row r="875" spans="1:19">
      <c r="A875" t="s">
        <v>1823</v>
      </c>
      <c r="B875" t="s">
        <v>1824</v>
      </c>
      <c r="C875" s="23" t="s">
        <v>4129</v>
      </c>
      <c r="D875" s="23">
        <v>45129</v>
      </c>
      <c r="E875" s="22">
        <v>7</v>
      </c>
      <c r="F875" s="22">
        <v>22</v>
      </c>
      <c r="G875" s="22">
        <v>2023</v>
      </c>
      <c r="H875" s="23">
        <f t="shared" si="39"/>
        <v>45129</v>
      </c>
      <c r="I875" s="25">
        <v>45142</v>
      </c>
      <c r="J875" s="22">
        <f t="shared" si="40"/>
        <v>13</v>
      </c>
      <c r="K875" t="s">
        <v>23</v>
      </c>
      <c r="L875">
        <v>71390</v>
      </c>
      <c r="M875">
        <v>2081</v>
      </c>
      <c r="N875" s="26">
        <v>1746.06</v>
      </c>
      <c r="O875" s="26">
        <f t="shared" si="41"/>
        <v>1746.06</v>
      </c>
      <c r="P875">
        <v>383</v>
      </c>
      <c r="Q875" t="b">
        <v>1</v>
      </c>
      <c r="S875" t="s">
        <v>25</v>
      </c>
    </row>
    <row r="876" spans="1:19">
      <c r="A876" t="s">
        <v>1825</v>
      </c>
      <c r="B876" t="s">
        <v>1826</v>
      </c>
      <c r="C876" s="23" t="s">
        <v>4127</v>
      </c>
      <c r="D876" s="23">
        <v>45095</v>
      </c>
      <c r="E876" s="22">
        <v>6</v>
      </c>
      <c r="F876" s="22">
        <v>18</v>
      </c>
      <c r="G876" s="22">
        <v>2023</v>
      </c>
      <c r="H876" s="23">
        <f t="shared" si="39"/>
        <v>45095</v>
      </c>
      <c r="I876" s="25">
        <v>45119</v>
      </c>
      <c r="J876" s="22">
        <f t="shared" si="40"/>
        <v>24</v>
      </c>
      <c r="K876" t="s">
        <v>14</v>
      </c>
      <c r="L876">
        <v>53329</v>
      </c>
      <c r="M876">
        <v>571</v>
      </c>
      <c r="N876" s="26">
        <v>757.48</v>
      </c>
      <c r="O876" s="26">
        <f t="shared" si="41"/>
        <v>757.48</v>
      </c>
      <c r="P876">
        <v>73</v>
      </c>
      <c r="Q876" t="b">
        <v>1</v>
      </c>
      <c r="S876" t="s">
        <v>16</v>
      </c>
    </row>
    <row r="877" spans="1:19">
      <c r="A877" t="s">
        <v>1827</v>
      </c>
      <c r="B877" t="s">
        <v>1828</v>
      </c>
      <c r="C877" s="23" t="s">
        <v>4127</v>
      </c>
      <c r="D877" s="23">
        <v>45260</v>
      </c>
      <c r="E877" s="22">
        <v>11</v>
      </c>
      <c r="F877" s="22">
        <v>30</v>
      </c>
      <c r="G877" s="22">
        <v>2023</v>
      </c>
      <c r="H877" s="23">
        <f t="shared" si="39"/>
        <v>45260</v>
      </c>
      <c r="I877" s="25">
        <v>45271</v>
      </c>
      <c r="J877" s="22">
        <f t="shared" si="40"/>
        <v>11</v>
      </c>
      <c r="K877" t="s">
        <v>19</v>
      </c>
      <c r="L877">
        <v>44088</v>
      </c>
      <c r="M877">
        <v>1184</v>
      </c>
      <c r="N877" s="26">
        <v>1521.85</v>
      </c>
      <c r="O877" s="26">
        <f t="shared" si="41"/>
        <v>1521.85</v>
      </c>
      <c r="P877">
        <v>105</v>
      </c>
      <c r="Q877" t="b">
        <v>1</v>
      </c>
      <c r="S877" t="s">
        <v>20</v>
      </c>
    </row>
    <row r="878" spans="1:19">
      <c r="A878" t="s">
        <v>1829</v>
      </c>
      <c r="B878" t="s">
        <v>1830</v>
      </c>
      <c r="C878" s="23" t="s">
        <v>4127</v>
      </c>
      <c r="D878" s="23">
        <v>45091</v>
      </c>
      <c r="E878" s="22">
        <v>6</v>
      </c>
      <c r="F878" s="22">
        <v>14</v>
      </c>
      <c r="G878" s="22">
        <v>2023</v>
      </c>
      <c r="H878" s="23">
        <f t="shared" si="39"/>
        <v>45091</v>
      </c>
      <c r="I878" s="25">
        <v>45099</v>
      </c>
      <c r="J878" s="22">
        <f t="shared" si="40"/>
        <v>8</v>
      </c>
      <c r="K878" t="s">
        <v>41</v>
      </c>
      <c r="L878">
        <v>40811</v>
      </c>
      <c r="M878">
        <v>452</v>
      </c>
      <c r="N878" s="26">
        <v>417.37</v>
      </c>
      <c r="O878" s="26">
        <f t="shared" si="41"/>
        <v>417.37</v>
      </c>
      <c r="P878">
        <v>74</v>
      </c>
      <c r="Q878" t="b">
        <v>1</v>
      </c>
      <c r="S878" t="s">
        <v>42</v>
      </c>
    </row>
    <row r="879" spans="1:19">
      <c r="A879" t="s">
        <v>1831</v>
      </c>
      <c r="B879" t="s">
        <v>1832</v>
      </c>
      <c r="C879" s="23" t="s">
        <v>4129</v>
      </c>
      <c r="D879" s="23">
        <v>45172</v>
      </c>
      <c r="E879" s="22">
        <v>9</v>
      </c>
      <c r="F879" s="22">
        <v>3</v>
      </c>
      <c r="G879" s="22">
        <v>2023</v>
      </c>
      <c r="H879" s="23">
        <f t="shared" si="39"/>
        <v>45172</v>
      </c>
      <c r="I879" s="25">
        <v>45192</v>
      </c>
      <c r="J879" s="22">
        <f t="shared" si="40"/>
        <v>20</v>
      </c>
      <c r="K879" t="s">
        <v>234</v>
      </c>
      <c r="L879">
        <v>56479</v>
      </c>
      <c r="M879">
        <v>2747</v>
      </c>
      <c r="N879" s="26">
        <v>2601.72</v>
      </c>
      <c r="O879" s="26">
        <f t="shared" si="41"/>
        <v>2601.72</v>
      </c>
      <c r="P879">
        <v>519</v>
      </c>
      <c r="Q879" t="b">
        <v>0</v>
      </c>
      <c r="S879" t="s">
        <v>16</v>
      </c>
    </row>
    <row r="880" spans="1:19">
      <c r="A880" t="s">
        <v>1833</v>
      </c>
      <c r="B880" t="s">
        <v>1834</v>
      </c>
      <c r="C880" s="23" t="s">
        <v>4128</v>
      </c>
      <c r="D880" s="23">
        <v>45090</v>
      </c>
      <c r="E880" s="22">
        <v>6</v>
      </c>
      <c r="F880" s="22">
        <v>13</v>
      </c>
      <c r="G880" s="22">
        <v>2023</v>
      </c>
      <c r="H880" s="23">
        <f t="shared" si="39"/>
        <v>45090</v>
      </c>
      <c r="I880" s="25">
        <v>45106</v>
      </c>
      <c r="J880" s="22">
        <f t="shared" si="40"/>
        <v>16</v>
      </c>
      <c r="K880" t="s">
        <v>41</v>
      </c>
      <c r="L880">
        <v>86392</v>
      </c>
      <c r="M880">
        <v>1304</v>
      </c>
      <c r="N880" s="26">
        <v>1195.47</v>
      </c>
      <c r="O880" s="26">
        <f t="shared" si="41"/>
        <v>1195.47</v>
      </c>
      <c r="P880">
        <v>159</v>
      </c>
      <c r="Q880" t="b">
        <v>0</v>
      </c>
      <c r="S880" t="s">
        <v>42</v>
      </c>
    </row>
    <row r="881" spans="1:19">
      <c r="A881" t="s">
        <v>1835</v>
      </c>
      <c r="B881" t="s">
        <v>1836</v>
      </c>
      <c r="C881" s="23" t="s">
        <v>4131</v>
      </c>
      <c r="D881" s="23">
        <v>45178</v>
      </c>
      <c r="E881" s="22">
        <v>9</v>
      </c>
      <c r="F881" s="22">
        <v>9</v>
      </c>
      <c r="G881" s="22">
        <v>2023</v>
      </c>
      <c r="H881" s="23">
        <f t="shared" si="39"/>
        <v>45178</v>
      </c>
      <c r="I881" s="25">
        <v>45180</v>
      </c>
      <c r="J881" s="22">
        <f t="shared" si="40"/>
        <v>2</v>
      </c>
      <c r="K881" t="s">
        <v>14</v>
      </c>
      <c r="L881">
        <v>88369</v>
      </c>
      <c r="M881">
        <v>3385</v>
      </c>
      <c r="N881" s="26">
        <v>5609.85</v>
      </c>
      <c r="O881" s="26">
        <f t="shared" si="41"/>
        <v>3632.575</v>
      </c>
      <c r="P881">
        <v>329</v>
      </c>
      <c r="Q881" t="b">
        <v>1</v>
      </c>
      <c r="S881" t="s">
        <v>16</v>
      </c>
    </row>
    <row r="882" spans="1:19">
      <c r="A882" t="s">
        <v>1837</v>
      </c>
      <c r="B882" t="s">
        <v>1838</v>
      </c>
      <c r="C882" s="23" t="s">
        <v>4128</v>
      </c>
      <c r="D882" s="23">
        <v>45093</v>
      </c>
      <c r="E882" s="22">
        <v>6</v>
      </c>
      <c r="F882" s="22">
        <v>16</v>
      </c>
      <c r="G882" s="22">
        <v>2023</v>
      </c>
      <c r="H882" s="23">
        <f t="shared" si="39"/>
        <v>45093</v>
      </c>
      <c r="I882" s="25">
        <v>45104</v>
      </c>
      <c r="J882" s="22">
        <f t="shared" si="40"/>
        <v>11</v>
      </c>
      <c r="K882" t="s">
        <v>33</v>
      </c>
      <c r="L882">
        <v>20963</v>
      </c>
      <c r="M882">
        <v>1025</v>
      </c>
      <c r="N882" s="26">
        <v>1514.8</v>
      </c>
      <c r="O882" s="26">
        <f t="shared" si="41"/>
        <v>1514.8</v>
      </c>
      <c r="P882">
        <v>172</v>
      </c>
      <c r="Q882" t="b">
        <v>0</v>
      </c>
      <c r="S882" t="s">
        <v>34</v>
      </c>
    </row>
    <row r="883" spans="1:19">
      <c r="A883" t="s">
        <v>1839</v>
      </c>
      <c r="B883" t="s">
        <v>1840</v>
      </c>
      <c r="C883" s="23" t="s">
        <v>4131</v>
      </c>
      <c r="D883" s="23">
        <v>45128</v>
      </c>
      <c r="E883" s="22">
        <v>7</v>
      </c>
      <c r="F883" s="22">
        <v>21</v>
      </c>
      <c r="G883" s="22">
        <v>2023</v>
      </c>
      <c r="H883" s="23">
        <f t="shared" si="39"/>
        <v>45128</v>
      </c>
      <c r="I883" s="25">
        <v>45138</v>
      </c>
      <c r="J883" s="22">
        <f t="shared" si="40"/>
        <v>10</v>
      </c>
      <c r="K883" t="s">
        <v>23</v>
      </c>
      <c r="L883">
        <v>56123</v>
      </c>
      <c r="M883">
        <v>2415</v>
      </c>
      <c r="N883" s="26">
        <v>4222.93</v>
      </c>
      <c r="O883" s="26">
        <f t="shared" si="41"/>
        <v>3632.575</v>
      </c>
      <c r="P883">
        <v>367</v>
      </c>
      <c r="Q883" t="b">
        <v>0</v>
      </c>
      <c r="S883" t="s">
        <v>25</v>
      </c>
    </row>
    <row r="884" spans="1:19">
      <c r="A884" t="s">
        <v>1841</v>
      </c>
      <c r="B884" t="s">
        <v>1842</v>
      </c>
      <c r="C884" s="23" t="s">
        <v>4128</v>
      </c>
      <c r="D884" s="23">
        <v>45029</v>
      </c>
      <c r="E884" s="22">
        <v>4</v>
      </c>
      <c r="F884" s="22">
        <v>13</v>
      </c>
      <c r="G884" s="22">
        <v>2023</v>
      </c>
      <c r="H884" s="23">
        <f t="shared" si="39"/>
        <v>45029</v>
      </c>
      <c r="I884" s="25">
        <v>45047</v>
      </c>
      <c r="J884" s="22">
        <f t="shared" si="40"/>
        <v>18</v>
      </c>
      <c r="K884" t="s">
        <v>41</v>
      </c>
      <c r="L884">
        <v>93705</v>
      </c>
      <c r="M884">
        <v>3558</v>
      </c>
      <c r="N884" s="26">
        <v>6985.1</v>
      </c>
      <c r="O884" s="26">
        <f t="shared" si="41"/>
        <v>3632.575</v>
      </c>
      <c r="P884">
        <v>652</v>
      </c>
      <c r="Q884" t="b">
        <v>1</v>
      </c>
      <c r="S884" t="s">
        <v>42</v>
      </c>
    </row>
    <row r="885" spans="1:19">
      <c r="A885" t="s">
        <v>1843</v>
      </c>
      <c r="B885" t="s">
        <v>1844</v>
      </c>
      <c r="C885" s="23" t="s">
        <v>4127</v>
      </c>
      <c r="D885" s="23">
        <v>45276</v>
      </c>
      <c r="E885" s="22">
        <v>12</v>
      </c>
      <c r="F885" s="22">
        <v>16</v>
      </c>
      <c r="G885" s="22">
        <v>2023</v>
      </c>
      <c r="H885" s="23">
        <f t="shared" si="39"/>
        <v>45276</v>
      </c>
      <c r="I885" s="25">
        <v>45301</v>
      </c>
      <c r="J885" s="22">
        <f t="shared" si="40"/>
        <v>25</v>
      </c>
      <c r="K885" t="s">
        <v>14</v>
      </c>
      <c r="L885">
        <v>74477</v>
      </c>
      <c r="M885">
        <v>3245</v>
      </c>
      <c r="N885" s="26">
        <v>3930.49</v>
      </c>
      <c r="O885" s="26">
        <f t="shared" si="41"/>
        <v>3632.575</v>
      </c>
      <c r="P885">
        <v>499</v>
      </c>
      <c r="Q885" t="b">
        <v>0</v>
      </c>
      <c r="S885" t="s">
        <v>16</v>
      </c>
    </row>
    <row r="886" spans="1:19">
      <c r="A886" t="s">
        <v>1845</v>
      </c>
      <c r="B886" t="s">
        <v>1846</v>
      </c>
      <c r="C886" s="23" t="s">
        <v>4128</v>
      </c>
      <c r="D886" s="23">
        <v>45163</v>
      </c>
      <c r="E886" s="22">
        <v>8</v>
      </c>
      <c r="F886" s="22">
        <v>25</v>
      </c>
      <c r="G886" s="22">
        <v>2023</v>
      </c>
      <c r="H886" s="23">
        <f t="shared" si="39"/>
        <v>45163</v>
      </c>
      <c r="I886" s="25">
        <v>45186</v>
      </c>
      <c r="J886" s="22">
        <f t="shared" si="40"/>
        <v>23</v>
      </c>
      <c r="K886" t="s">
        <v>41</v>
      </c>
      <c r="L886">
        <v>15388</v>
      </c>
      <c r="M886">
        <v>758</v>
      </c>
      <c r="N886" s="26">
        <v>454.83</v>
      </c>
      <c r="O886" s="26">
        <f t="shared" si="41"/>
        <v>454.83</v>
      </c>
      <c r="P886">
        <v>65</v>
      </c>
      <c r="Q886" t="b">
        <v>0</v>
      </c>
      <c r="S886" t="s">
        <v>68</v>
      </c>
    </row>
    <row r="887" spans="1:19">
      <c r="A887" t="s">
        <v>1847</v>
      </c>
      <c r="B887" t="s">
        <v>1848</v>
      </c>
      <c r="C887" s="23" t="s">
        <v>4131</v>
      </c>
      <c r="D887" s="23">
        <v>45076</v>
      </c>
      <c r="E887" s="22">
        <v>5</v>
      </c>
      <c r="F887" s="22">
        <v>30</v>
      </c>
      <c r="G887" s="22">
        <v>2023</v>
      </c>
      <c r="H887" s="23">
        <f t="shared" si="39"/>
        <v>45076</v>
      </c>
      <c r="I887" s="25">
        <v>45104</v>
      </c>
      <c r="J887" s="22">
        <f t="shared" si="40"/>
        <v>28</v>
      </c>
      <c r="K887" t="s">
        <v>14</v>
      </c>
      <c r="L887">
        <v>6569</v>
      </c>
      <c r="M887">
        <v>228</v>
      </c>
      <c r="N887" s="26">
        <v>130.45</v>
      </c>
      <c r="O887" s="26">
        <f t="shared" si="41"/>
        <v>130.45</v>
      </c>
      <c r="P887">
        <v>43</v>
      </c>
      <c r="Q887" t="b">
        <v>1</v>
      </c>
      <c r="S887" t="s">
        <v>16</v>
      </c>
    </row>
    <row r="888" spans="1:19">
      <c r="A888" t="s">
        <v>1849</v>
      </c>
      <c r="B888" t="s">
        <v>1850</v>
      </c>
      <c r="C888" s="23" t="s">
        <v>4127</v>
      </c>
      <c r="D888" s="23">
        <v>45136</v>
      </c>
      <c r="E888" s="22">
        <v>7</v>
      </c>
      <c r="F888" s="22">
        <v>29</v>
      </c>
      <c r="G888" s="22">
        <v>2023</v>
      </c>
      <c r="H888" s="23">
        <f t="shared" si="39"/>
        <v>45136</v>
      </c>
      <c r="I888" s="25">
        <v>45151</v>
      </c>
      <c r="J888" s="22">
        <f t="shared" si="40"/>
        <v>15</v>
      </c>
      <c r="K888" t="s">
        <v>41</v>
      </c>
      <c r="L888">
        <v>70836</v>
      </c>
      <c r="M888">
        <v>2292</v>
      </c>
      <c r="N888" s="26">
        <v>-2162.5</v>
      </c>
      <c r="O888" s="26">
        <f t="shared" si="41"/>
        <v>-344.195</v>
      </c>
      <c r="P888">
        <v>150</v>
      </c>
      <c r="Q888" t="b">
        <v>1</v>
      </c>
      <c r="S888" t="s">
        <v>42</v>
      </c>
    </row>
    <row r="889" spans="1:19">
      <c r="A889" t="s">
        <v>1851</v>
      </c>
      <c r="B889" t="s">
        <v>1852</v>
      </c>
      <c r="C889" s="23" t="s">
        <v>4128</v>
      </c>
      <c r="D889" s="23">
        <v>45082</v>
      </c>
      <c r="E889" s="22">
        <v>6</v>
      </c>
      <c r="F889" s="22">
        <v>5</v>
      </c>
      <c r="G889" s="22">
        <v>2023</v>
      </c>
      <c r="H889" s="23">
        <f t="shared" si="39"/>
        <v>45082</v>
      </c>
      <c r="I889" s="25">
        <v>45089</v>
      </c>
      <c r="J889" s="22">
        <f t="shared" si="40"/>
        <v>7</v>
      </c>
      <c r="K889" t="s">
        <v>33</v>
      </c>
      <c r="L889">
        <v>37586</v>
      </c>
      <c r="M889">
        <v>1320</v>
      </c>
      <c r="N889" s="26">
        <v>2506.44</v>
      </c>
      <c r="O889" s="26">
        <f t="shared" si="41"/>
        <v>2506.44</v>
      </c>
      <c r="P889">
        <v>119</v>
      </c>
      <c r="Q889" t="b">
        <v>1</v>
      </c>
      <c r="S889" t="s">
        <v>34</v>
      </c>
    </row>
    <row r="890" spans="1:19">
      <c r="A890" t="s">
        <v>1853</v>
      </c>
      <c r="B890" t="s">
        <v>1854</v>
      </c>
      <c r="C890" s="23" t="s">
        <v>4128</v>
      </c>
      <c r="D890" s="23">
        <v>45143</v>
      </c>
      <c r="E890" s="22">
        <v>8</v>
      </c>
      <c r="F890" s="22">
        <v>5</v>
      </c>
      <c r="G890" s="22">
        <v>2023</v>
      </c>
      <c r="H890" s="23">
        <f t="shared" si="39"/>
        <v>45143</v>
      </c>
      <c r="I890" s="25">
        <v>45074</v>
      </c>
      <c r="J890" s="22">
        <f t="shared" si="40"/>
        <v>-69</v>
      </c>
      <c r="K890" t="s">
        <v>41</v>
      </c>
      <c r="L890">
        <v>13015</v>
      </c>
      <c r="M890">
        <v>407</v>
      </c>
      <c r="N890" s="26">
        <v>522.92</v>
      </c>
      <c r="O890" s="26">
        <f t="shared" si="41"/>
        <v>522.92</v>
      </c>
      <c r="P890">
        <v>52</v>
      </c>
      <c r="Q890" t="b">
        <v>0</v>
      </c>
      <c r="R890">
        <v>13074</v>
      </c>
      <c r="S890" t="s">
        <v>42</v>
      </c>
    </row>
    <row r="891" spans="1:19">
      <c r="A891" t="s">
        <v>1855</v>
      </c>
      <c r="B891" t="s">
        <v>1856</v>
      </c>
      <c r="C891" s="23" t="s">
        <v>4129</v>
      </c>
      <c r="D891" s="23">
        <v>45233</v>
      </c>
      <c r="E891" s="22">
        <v>11</v>
      </c>
      <c r="F891" s="22">
        <v>3</v>
      </c>
      <c r="G891" s="22">
        <v>2023</v>
      </c>
      <c r="H891" s="23">
        <f t="shared" si="39"/>
        <v>45233</v>
      </c>
      <c r="I891" s="25">
        <v>45247</v>
      </c>
      <c r="J891" s="22">
        <f t="shared" si="40"/>
        <v>14</v>
      </c>
      <c r="K891" t="s">
        <v>19</v>
      </c>
      <c r="L891">
        <v>46002</v>
      </c>
      <c r="M891">
        <v>1628</v>
      </c>
      <c r="N891" s="26">
        <v>1477.7</v>
      </c>
      <c r="O891" s="26">
        <f t="shared" si="41"/>
        <v>1477.7</v>
      </c>
      <c r="P891">
        <v>219</v>
      </c>
      <c r="Q891" t="b">
        <v>0</v>
      </c>
      <c r="S891" t="s">
        <v>20</v>
      </c>
    </row>
    <row r="892" spans="1:19">
      <c r="A892" t="s">
        <v>1857</v>
      </c>
      <c r="B892" t="s">
        <v>1858</v>
      </c>
      <c r="C892" s="23" t="s">
        <v>4127</v>
      </c>
      <c r="D892" s="23">
        <v>45186</v>
      </c>
      <c r="E892" s="22">
        <v>9</v>
      </c>
      <c r="F892" s="22">
        <v>17</v>
      </c>
      <c r="G892" s="22">
        <v>2023</v>
      </c>
      <c r="H892" s="23">
        <f t="shared" si="39"/>
        <v>45186</v>
      </c>
      <c r="I892" s="25">
        <v>45190</v>
      </c>
      <c r="J892" s="22">
        <f t="shared" si="40"/>
        <v>4</v>
      </c>
      <c r="K892" t="s">
        <v>33</v>
      </c>
      <c r="L892">
        <v>7254</v>
      </c>
      <c r="M892">
        <v>203</v>
      </c>
      <c r="N892" s="26">
        <v>223.05</v>
      </c>
      <c r="O892" s="26">
        <f t="shared" si="41"/>
        <v>223.05</v>
      </c>
      <c r="P892">
        <v>10</v>
      </c>
      <c r="Q892" t="b">
        <v>1</v>
      </c>
      <c r="S892" t="s">
        <v>34</v>
      </c>
    </row>
    <row r="893" spans="1:19">
      <c r="A893" t="s">
        <v>1859</v>
      </c>
      <c r="B893" t="s">
        <v>1860</v>
      </c>
      <c r="C893" s="23" t="s">
        <v>4128</v>
      </c>
      <c r="D893" s="23">
        <v>45141</v>
      </c>
      <c r="E893" s="22">
        <v>8</v>
      </c>
      <c r="F893" s="22">
        <v>3</v>
      </c>
      <c r="G893" s="22">
        <v>2023</v>
      </c>
      <c r="H893" s="23">
        <f t="shared" si="39"/>
        <v>45141</v>
      </c>
      <c r="I893" s="25">
        <v>45142</v>
      </c>
      <c r="J893" s="22">
        <f t="shared" si="40"/>
        <v>1</v>
      </c>
      <c r="K893" t="s">
        <v>33</v>
      </c>
      <c r="L893">
        <v>18144</v>
      </c>
      <c r="M893">
        <v>339</v>
      </c>
      <c r="N893" s="26">
        <v>473.89</v>
      </c>
      <c r="O893" s="26">
        <f t="shared" si="41"/>
        <v>473.89</v>
      </c>
      <c r="P893">
        <v>56</v>
      </c>
      <c r="Q893" t="b">
        <v>0</v>
      </c>
      <c r="S893" t="s">
        <v>34</v>
      </c>
    </row>
    <row r="894" spans="1:19">
      <c r="A894" t="s">
        <v>1861</v>
      </c>
      <c r="B894" t="s">
        <v>1862</v>
      </c>
      <c r="C894" s="23" t="s">
        <v>4127</v>
      </c>
      <c r="D894" s="23">
        <v>45111</v>
      </c>
      <c r="E894" s="22">
        <v>7</v>
      </c>
      <c r="F894" s="22">
        <v>4</v>
      </c>
      <c r="G894" s="22">
        <v>2023</v>
      </c>
      <c r="H894" s="23">
        <f t="shared" si="39"/>
        <v>45111</v>
      </c>
      <c r="I894" s="25">
        <v>45133</v>
      </c>
      <c r="J894" s="22">
        <f t="shared" si="40"/>
        <v>22</v>
      </c>
      <c r="K894" t="s">
        <v>19</v>
      </c>
      <c r="L894">
        <v>25214</v>
      </c>
      <c r="M894">
        <v>373</v>
      </c>
      <c r="N894" s="26">
        <v>551.83</v>
      </c>
      <c r="O894" s="26">
        <f t="shared" si="41"/>
        <v>551.83</v>
      </c>
      <c r="P894">
        <v>38</v>
      </c>
      <c r="Q894" t="b">
        <v>0</v>
      </c>
      <c r="S894" t="s">
        <v>20</v>
      </c>
    </row>
    <row r="895" spans="1:19">
      <c r="A895" t="s">
        <v>1863</v>
      </c>
      <c r="B895" t="s">
        <v>1864</v>
      </c>
      <c r="C895" s="23" t="s">
        <v>4129</v>
      </c>
      <c r="D895" s="23">
        <v>45231</v>
      </c>
      <c r="E895" s="22">
        <v>11</v>
      </c>
      <c r="F895" s="22">
        <v>1</v>
      </c>
      <c r="G895" s="22">
        <v>2023</v>
      </c>
      <c r="H895" s="23">
        <f t="shared" si="39"/>
        <v>45231</v>
      </c>
      <c r="I895" s="25">
        <v>44942</v>
      </c>
      <c r="J895" s="22">
        <f t="shared" si="40"/>
        <v>-289</v>
      </c>
      <c r="K895" t="s">
        <v>14</v>
      </c>
      <c r="L895">
        <v>81719</v>
      </c>
      <c r="M895">
        <v>1040</v>
      </c>
      <c r="N895" s="26">
        <v>760.11</v>
      </c>
      <c r="O895" s="26">
        <f t="shared" si="41"/>
        <v>760.11</v>
      </c>
      <c r="P895">
        <v>115</v>
      </c>
      <c r="Q895" t="b">
        <v>1</v>
      </c>
      <c r="S895" t="s">
        <v>16</v>
      </c>
    </row>
    <row r="896" spans="1:19">
      <c r="A896" t="s">
        <v>1865</v>
      </c>
      <c r="B896" t="s">
        <v>1866</v>
      </c>
      <c r="C896" s="23" t="s">
        <v>4128</v>
      </c>
      <c r="D896" s="23">
        <v>45054</v>
      </c>
      <c r="E896" s="22">
        <v>5</v>
      </c>
      <c r="F896" s="22">
        <v>8</v>
      </c>
      <c r="G896" s="22">
        <v>2023</v>
      </c>
      <c r="H896" s="23">
        <f t="shared" si="39"/>
        <v>45054</v>
      </c>
      <c r="I896" s="25">
        <v>45073</v>
      </c>
      <c r="J896" s="22">
        <f t="shared" si="40"/>
        <v>19</v>
      </c>
      <c r="K896" t="s">
        <v>33</v>
      </c>
      <c r="L896">
        <v>72774</v>
      </c>
      <c r="M896">
        <v>1494</v>
      </c>
      <c r="N896" s="26">
        <v>2936.53</v>
      </c>
      <c r="O896" s="26">
        <f t="shared" si="41"/>
        <v>2936.53</v>
      </c>
      <c r="P896">
        <v>256</v>
      </c>
      <c r="Q896" t="b">
        <v>0</v>
      </c>
      <c r="S896" t="s">
        <v>34</v>
      </c>
    </row>
    <row r="897" spans="1:19">
      <c r="A897" t="s">
        <v>1867</v>
      </c>
      <c r="B897" t="s">
        <v>1868</v>
      </c>
      <c r="C897" s="23" t="s">
        <v>4128</v>
      </c>
      <c r="D897" s="23">
        <v>45258</v>
      </c>
      <c r="E897" s="22">
        <v>11</v>
      </c>
      <c r="F897" s="22">
        <v>28</v>
      </c>
      <c r="G897" s="22">
        <v>2023</v>
      </c>
      <c r="H897" s="23">
        <f t="shared" si="39"/>
        <v>45258</v>
      </c>
      <c r="I897" s="25">
        <v>45286</v>
      </c>
      <c r="J897" s="22">
        <f t="shared" si="40"/>
        <v>28</v>
      </c>
      <c r="K897" t="s">
        <v>19</v>
      </c>
      <c r="L897">
        <v>7090</v>
      </c>
      <c r="M897">
        <v>83</v>
      </c>
      <c r="N897" s="26">
        <v>109.32</v>
      </c>
      <c r="O897" s="26">
        <f t="shared" si="41"/>
        <v>109.32</v>
      </c>
      <c r="P897">
        <v>8</v>
      </c>
      <c r="Q897" t="b">
        <v>1</v>
      </c>
      <c r="S897" t="s">
        <v>20</v>
      </c>
    </row>
    <row r="898" spans="1:19">
      <c r="A898" t="s">
        <v>1869</v>
      </c>
      <c r="B898" t="s">
        <v>1870</v>
      </c>
      <c r="C898" s="23" t="s">
        <v>4128</v>
      </c>
      <c r="D898" s="23">
        <v>45257</v>
      </c>
      <c r="E898" s="22">
        <v>11</v>
      </c>
      <c r="F898" s="22">
        <v>27</v>
      </c>
      <c r="G898" s="22">
        <v>2023</v>
      </c>
      <c r="H898" s="23">
        <f t="shared" si="39"/>
        <v>45257</v>
      </c>
      <c r="I898" s="25">
        <v>45279</v>
      </c>
      <c r="J898" s="22">
        <f t="shared" si="40"/>
        <v>22</v>
      </c>
      <c r="K898" t="s">
        <v>41</v>
      </c>
      <c r="L898">
        <v>12637</v>
      </c>
      <c r="M898">
        <v>413</v>
      </c>
      <c r="N898" s="26">
        <v>290.56</v>
      </c>
      <c r="O898" s="26">
        <f t="shared" si="41"/>
        <v>290.56</v>
      </c>
      <c r="P898">
        <v>23</v>
      </c>
      <c r="Q898" t="b">
        <v>0</v>
      </c>
      <c r="S898" t="s">
        <v>68</v>
      </c>
    </row>
    <row r="899" spans="1:19">
      <c r="A899" t="s">
        <v>1871</v>
      </c>
      <c r="B899" t="s">
        <v>1872</v>
      </c>
      <c r="C899" s="23" t="s">
        <v>4131</v>
      </c>
      <c r="D899" s="23">
        <v>45096</v>
      </c>
      <c r="E899" s="22">
        <v>6</v>
      </c>
      <c r="F899" s="22">
        <v>19</v>
      </c>
      <c r="G899" s="22">
        <v>2023</v>
      </c>
      <c r="H899" s="23">
        <f t="shared" ref="H899:H962" si="42">IF(E899&gt;12,DATE(G899,F899,E899),D899)</f>
        <v>45096</v>
      </c>
      <c r="I899" s="25">
        <v>45121</v>
      </c>
      <c r="J899" s="22">
        <f t="shared" ref="J899:J962" si="43">DATEDIF(H899,I899,"D")</f>
        <v>25</v>
      </c>
      <c r="K899" t="s">
        <v>33</v>
      </c>
      <c r="L899">
        <v>23415</v>
      </c>
      <c r="M899">
        <v>499</v>
      </c>
      <c r="N899" s="26">
        <v>918.39</v>
      </c>
      <c r="O899" s="26">
        <f t="shared" ref="O899:O962" si="44">IF(N899&lt;$W$8,$W$8,IF(N899&gt;$W$9,$W$9,N899))</f>
        <v>918.39</v>
      </c>
      <c r="P899">
        <v>0</v>
      </c>
      <c r="Q899" t="b">
        <v>1</v>
      </c>
      <c r="S899" t="s">
        <v>34</v>
      </c>
    </row>
    <row r="900" spans="1:19">
      <c r="A900" t="s">
        <v>1873</v>
      </c>
      <c r="B900" t="s">
        <v>1874</v>
      </c>
      <c r="C900" s="23" t="s">
        <v>4129</v>
      </c>
      <c r="D900" s="23">
        <v>45078</v>
      </c>
      <c r="E900" s="22">
        <v>6</v>
      </c>
      <c r="F900" s="22">
        <v>1</v>
      </c>
      <c r="G900" s="22">
        <v>2023</v>
      </c>
      <c r="H900" s="23">
        <f t="shared" si="42"/>
        <v>45078</v>
      </c>
      <c r="I900" s="25">
        <v>44933</v>
      </c>
      <c r="J900" s="22">
        <f t="shared" si="43"/>
        <v>-145</v>
      </c>
      <c r="K900" t="s">
        <v>58</v>
      </c>
      <c r="L900">
        <v>25071</v>
      </c>
      <c r="M900">
        <v>1077</v>
      </c>
      <c r="N900" s="26">
        <v>659.08</v>
      </c>
      <c r="O900" s="26">
        <f t="shared" si="44"/>
        <v>659.08</v>
      </c>
      <c r="P900">
        <v>208</v>
      </c>
      <c r="Q900" t="b">
        <v>1</v>
      </c>
      <c r="S900" t="s">
        <v>59</v>
      </c>
    </row>
    <row r="901" spans="1:19">
      <c r="A901" t="s">
        <v>1875</v>
      </c>
      <c r="B901" t="s">
        <v>1876</v>
      </c>
      <c r="C901" s="23" t="s">
        <v>4127</v>
      </c>
      <c r="D901" s="23">
        <v>45040</v>
      </c>
      <c r="E901" s="22">
        <v>4</v>
      </c>
      <c r="F901" s="22">
        <v>24</v>
      </c>
      <c r="G901" s="22">
        <v>2023</v>
      </c>
      <c r="H901" s="23">
        <f t="shared" si="42"/>
        <v>45040</v>
      </c>
      <c r="I901" s="25">
        <v>45070</v>
      </c>
      <c r="J901" s="22">
        <f t="shared" si="43"/>
        <v>30</v>
      </c>
      <c r="K901" t="s">
        <v>19</v>
      </c>
      <c r="L901">
        <v>59243</v>
      </c>
      <c r="M901">
        <v>768</v>
      </c>
      <c r="N901" s="26">
        <v>1429.71</v>
      </c>
      <c r="O901" s="26">
        <f t="shared" si="44"/>
        <v>1429.71</v>
      </c>
      <c r="P901">
        <v>46</v>
      </c>
      <c r="Q901" t="b">
        <v>1</v>
      </c>
      <c r="S901" t="s">
        <v>20</v>
      </c>
    </row>
    <row r="902" spans="1:19">
      <c r="A902" t="s">
        <v>1877</v>
      </c>
      <c r="B902" t="s">
        <v>1878</v>
      </c>
      <c r="C902" s="23" t="s">
        <v>4129</v>
      </c>
      <c r="D902" s="23">
        <v>45224</v>
      </c>
      <c r="E902" s="22">
        <v>10</v>
      </c>
      <c r="F902" s="22">
        <v>25</v>
      </c>
      <c r="G902" s="22">
        <v>2023</v>
      </c>
      <c r="H902" s="23">
        <f t="shared" si="42"/>
        <v>45224</v>
      </c>
      <c r="I902" s="25">
        <v>45241</v>
      </c>
      <c r="J902" s="22">
        <f t="shared" si="43"/>
        <v>17</v>
      </c>
      <c r="K902" t="s">
        <v>19</v>
      </c>
      <c r="L902">
        <v>42240</v>
      </c>
      <c r="M902">
        <v>804</v>
      </c>
      <c r="N902" s="26">
        <v>1603.86</v>
      </c>
      <c r="O902" s="26">
        <f t="shared" si="44"/>
        <v>1603.86</v>
      </c>
      <c r="P902">
        <v>83</v>
      </c>
      <c r="Q902" t="b">
        <v>0</v>
      </c>
      <c r="S902" t="s">
        <v>20</v>
      </c>
    </row>
    <row r="903" spans="1:19">
      <c r="A903" t="s">
        <v>1879</v>
      </c>
      <c r="B903" t="s">
        <v>1880</v>
      </c>
      <c r="C903" s="23" t="s">
        <v>4129</v>
      </c>
      <c r="D903" s="23">
        <v>45118</v>
      </c>
      <c r="E903" s="22">
        <v>7</v>
      </c>
      <c r="F903" s="22">
        <v>11</v>
      </c>
      <c r="G903" s="22">
        <v>2023</v>
      </c>
      <c r="H903" s="23">
        <f t="shared" si="42"/>
        <v>45118</v>
      </c>
      <c r="I903" s="25">
        <v>45133</v>
      </c>
      <c r="J903" s="22">
        <f t="shared" si="43"/>
        <v>15</v>
      </c>
      <c r="K903" t="s">
        <v>19</v>
      </c>
      <c r="L903">
        <v>84807</v>
      </c>
      <c r="M903">
        <v>3325</v>
      </c>
      <c r="N903" s="26">
        <v>5155.9</v>
      </c>
      <c r="O903" s="26">
        <f t="shared" si="44"/>
        <v>3632.575</v>
      </c>
      <c r="P903">
        <v>417</v>
      </c>
      <c r="Q903" t="b">
        <v>0</v>
      </c>
      <c r="S903" t="s">
        <v>20</v>
      </c>
    </row>
    <row r="904" spans="1:19">
      <c r="A904" t="s">
        <v>1881</v>
      </c>
      <c r="B904" t="s">
        <v>1882</v>
      </c>
      <c r="C904" s="23" t="s">
        <v>4129</v>
      </c>
      <c r="D904" s="23">
        <v>45228</v>
      </c>
      <c r="E904" s="22">
        <v>10</v>
      </c>
      <c r="F904" s="22">
        <v>29</v>
      </c>
      <c r="G904" s="22">
        <v>2023</v>
      </c>
      <c r="H904" s="23">
        <f t="shared" si="42"/>
        <v>45228</v>
      </c>
      <c r="I904" s="25">
        <v>45231</v>
      </c>
      <c r="J904" s="22">
        <f t="shared" si="43"/>
        <v>3</v>
      </c>
      <c r="K904" t="s">
        <v>14</v>
      </c>
      <c r="L904">
        <v>34434</v>
      </c>
      <c r="M904">
        <v>1169</v>
      </c>
      <c r="N904" s="26">
        <v>1935.48</v>
      </c>
      <c r="O904" s="26">
        <f t="shared" si="44"/>
        <v>1935.48</v>
      </c>
      <c r="P904">
        <v>144</v>
      </c>
      <c r="Q904" t="b">
        <v>1</v>
      </c>
      <c r="S904" t="s">
        <v>16</v>
      </c>
    </row>
    <row r="905" spans="1:19">
      <c r="A905" t="s">
        <v>1883</v>
      </c>
      <c r="B905" t="s">
        <v>1884</v>
      </c>
      <c r="C905" s="23" t="s">
        <v>4128</v>
      </c>
      <c r="D905" s="23">
        <v>44939</v>
      </c>
      <c r="E905" s="22">
        <v>1</v>
      </c>
      <c r="F905" s="22">
        <v>13</v>
      </c>
      <c r="G905" s="22">
        <v>2023</v>
      </c>
      <c r="H905" s="23">
        <f t="shared" si="42"/>
        <v>44939</v>
      </c>
      <c r="I905" s="25">
        <v>44956</v>
      </c>
      <c r="J905" s="22">
        <f t="shared" si="43"/>
        <v>17</v>
      </c>
      <c r="K905" t="s">
        <v>41</v>
      </c>
      <c r="L905">
        <v>70724</v>
      </c>
      <c r="M905">
        <v>889</v>
      </c>
      <c r="N905" s="26">
        <v>894.29</v>
      </c>
      <c r="O905" s="26">
        <f t="shared" si="44"/>
        <v>894.29</v>
      </c>
      <c r="P905">
        <v>44</v>
      </c>
      <c r="Q905" t="b">
        <v>1</v>
      </c>
      <c r="S905" t="s">
        <v>42</v>
      </c>
    </row>
    <row r="906" spans="1:19">
      <c r="A906" t="s">
        <v>1885</v>
      </c>
      <c r="B906" t="s">
        <v>1886</v>
      </c>
      <c r="C906" s="23" t="s">
        <v>4127</v>
      </c>
      <c r="D906" s="23">
        <v>44970</v>
      </c>
      <c r="E906" s="22">
        <v>2</v>
      </c>
      <c r="F906" s="22">
        <v>13</v>
      </c>
      <c r="G906" s="22">
        <v>2023</v>
      </c>
      <c r="H906" s="23">
        <f t="shared" si="42"/>
        <v>44970</v>
      </c>
      <c r="I906" s="25">
        <v>44976</v>
      </c>
      <c r="J906" s="22">
        <f t="shared" si="43"/>
        <v>6</v>
      </c>
      <c r="K906" t="s">
        <v>19</v>
      </c>
      <c r="L906">
        <v>76697</v>
      </c>
      <c r="M906">
        <v>3458</v>
      </c>
      <c r="N906" s="26">
        <v>6612.96</v>
      </c>
      <c r="O906" s="26">
        <f t="shared" si="44"/>
        <v>3632.575</v>
      </c>
      <c r="P906">
        <v>432</v>
      </c>
      <c r="Q906" t="b">
        <v>0</v>
      </c>
      <c r="S906" t="s">
        <v>20</v>
      </c>
    </row>
    <row r="907" spans="1:19">
      <c r="A907" t="s">
        <v>1887</v>
      </c>
      <c r="B907" t="s">
        <v>1888</v>
      </c>
      <c r="C907" s="23" t="s">
        <v>4131</v>
      </c>
      <c r="D907" s="23">
        <v>44999</v>
      </c>
      <c r="E907" s="22">
        <v>3</v>
      </c>
      <c r="F907" s="22">
        <v>14</v>
      </c>
      <c r="G907" s="22">
        <v>2023</v>
      </c>
      <c r="H907" s="23">
        <f t="shared" si="42"/>
        <v>44999</v>
      </c>
      <c r="I907" s="25">
        <v>45014</v>
      </c>
      <c r="J907" s="22">
        <f t="shared" si="43"/>
        <v>15</v>
      </c>
      <c r="K907" t="s">
        <v>23</v>
      </c>
      <c r="L907">
        <v>29732</v>
      </c>
      <c r="M907">
        <v>1340</v>
      </c>
      <c r="N907" s="26">
        <v>1734.73</v>
      </c>
      <c r="O907" s="26">
        <f t="shared" si="44"/>
        <v>1734.73</v>
      </c>
      <c r="P907">
        <v>144</v>
      </c>
      <c r="Q907" t="b">
        <v>0</v>
      </c>
      <c r="S907" t="s">
        <v>25</v>
      </c>
    </row>
    <row r="908" spans="1:19">
      <c r="A908" t="s">
        <v>1889</v>
      </c>
      <c r="B908" t="s">
        <v>1890</v>
      </c>
      <c r="C908" s="23" t="s">
        <v>4131</v>
      </c>
      <c r="D908" s="23">
        <v>45032</v>
      </c>
      <c r="E908" s="22">
        <v>4</v>
      </c>
      <c r="F908" s="22">
        <v>16</v>
      </c>
      <c r="G908" s="22">
        <v>2023</v>
      </c>
      <c r="H908" s="23">
        <f t="shared" si="42"/>
        <v>45032</v>
      </c>
      <c r="I908" s="25">
        <v>45041</v>
      </c>
      <c r="J908" s="22">
        <f t="shared" si="43"/>
        <v>9</v>
      </c>
      <c r="K908" t="s">
        <v>138</v>
      </c>
      <c r="L908">
        <v>12314</v>
      </c>
      <c r="M908">
        <v>285</v>
      </c>
      <c r="N908" s="26">
        <v>455.6</v>
      </c>
      <c r="O908" s="26">
        <f t="shared" si="44"/>
        <v>455.6</v>
      </c>
      <c r="P908">
        <v>55</v>
      </c>
      <c r="Q908" t="b">
        <v>0</v>
      </c>
      <c r="S908" t="s">
        <v>139</v>
      </c>
    </row>
    <row r="909" spans="1:19">
      <c r="A909" t="s">
        <v>1891</v>
      </c>
      <c r="B909" t="s">
        <v>1892</v>
      </c>
      <c r="C909" s="23" t="s">
        <v>4129</v>
      </c>
      <c r="D909" s="23">
        <v>44976</v>
      </c>
      <c r="E909" s="22">
        <v>2</v>
      </c>
      <c r="F909" s="22">
        <v>19</v>
      </c>
      <c r="G909" s="22">
        <v>2023</v>
      </c>
      <c r="H909" s="23">
        <f t="shared" si="42"/>
        <v>44976</v>
      </c>
      <c r="I909" s="25">
        <v>44999</v>
      </c>
      <c r="J909" s="22">
        <f t="shared" si="43"/>
        <v>23</v>
      </c>
      <c r="K909" t="s">
        <v>23</v>
      </c>
      <c r="L909">
        <v>24954</v>
      </c>
      <c r="M909">
        <v>589</v>
      </c>
      <c r="N909" s="26">
        <v>1110.95</v>
      </c>
      <c r="O909" s="26">
        <f t="shared" si="44"/>
        <v>1110.95</v>
      </c>
      <c r="P909">
        <v>43</v>
      </c>
      <c r="Q909" t="b">
        <v>1</v>
      </c>
      <c r="S909" t="s">
        <v>25</v>
      </c>
    </row>
    <row r="910" spans="1:19">
      <c r="A910" t="s">
        <v>1893</v>
      </c>
      <c r="B910" t="s">
        <v>1894</v>
      </c>
      <c r="C910" s="23" t="s">
        <v>4131</v>
      </c>
      <c r="D910" s="23" t="s">
        <v>1895</v>
      </c>
      <c r="E910" s="22">
        <v>13</v>
      </c>
      <c r="F910" s="22">
        <v>6</v>
      </c>
      <c r="G910" s="22">
        <v>2023</v>
      </c>
      <c r="H910" s="23">
        <f t="shared" si="42"/>
        <v>45090</v>
      </c>
      <c r="I910" s="25">
        <v>45109</v>
      </c>
      <c r="J910" s="22">
        <f t="shared" si="43"/>
        <v>19</v>
      </c>
      <c r="K910" t="s">
        <v>19</v>
      </c>
      <c r="L910">
        <v>58108</v>
      </c>
      <c r="M910">
        <v>2879</v>
      </c>
      <c r="N910" s="26">
        <v>5650.81</v>
      </c>
      <c r="O910" s="26">
        <f t="shared" si="44"/>
        <v>3632.575</v>
      </c>
      <c r="P910">
        <v>296</v>
      </c>
      <c r="Q910" t="b">
        <v>1</v>
      </c>
      <c r="S910" t="s">
        <v>20</v>
      </c>
    </row>
    <row r="911" spans="1:19">
      <c r="A911" t="s">
        <v>1896</v>
      </c>
      <c r="B911" t="s">
        <v>1897</v>
      </c>
      <c r="C911" s="23" t="s">
        <v>4127</v>
      </c>
      <c r="D911" s="23">
        <v>44949</v>
      </c>
      <c r="E911" s="22">
        <v>1</v>
      </c>
      <c r="F911" s="22">
        <v>23</v>
      </c>
      <c r="G911" s="22">
        <v>2023</v>
      </c>
      <c r="H911" s="23">
        <f t="shared" si="42"/>
        <v>44949</v>
      </c>
      <c r="I911" s="25">
        <v>44962</v>
      </c>
      <c r="J911" s="22">
        <f t="shared" si="43"/>
        <v>13</v>
      </c>
      <c r="K911" t="s">
        <v>138</v>
      </c>
      <c r="L911">
        <v>88044</v>
      </c>
      <c r="M911">
        <v>3085</v>
      </c>
      <c r="N911" s="26">
        <v>5398.15</v>
      </c>
      <c r="O911" s="26">
        <f t="shared" si="44"/>
        <v>3632.575</v>
      </c>
      <c r="P911">
        <v>348</v>
      </c>
      <c r="Q911" t="b">
        <v>1</v>
      </c>
      <c r="S911" t="s">
        <v>139</v>
      </c>
    </row>
    <row r="912" spans="1:19">
      <c r="A912" t="s">
        <v>1898</v>
      </c>
      <c r="B912" t="s">
        <v>1899</v>
      </c>
      <c r="C912" s="23" t="s">
        <v>4129</v>
      </c>
      <c r="D912" s="23">
        <v>45102</v>
      </c>
      <c r="E912" s="22">
        <v>6</v>
      </c>
      <c r="F912" s="22">
        <v>25</v>
      </c>
      <c r="G912" s="22">
        <v>2023</v>
      </c>
      <c r="H912" s="23">
        <f t="shared" si="42"/>
        <v>45102</v>
      </c>
      <c r="I912" s="25">
        <v>45128</v>
      </c>
      <c r="J912" s="22">
        <f t="shared" si="43"/>
        <v>26</v>
      </c>
      <c r="K912" t="s">
        <v>19</v>
      </c>
      <c r="L912">
        <v>88505</v>
      </c>
      <c r="M912">
        <v>2766</v>
      </c>
      <c r="N912" s="26">
        <v>2640.22</v>
      </c>
      <c r="O912" s="26">
        <f t="shared" si="44"/>
        <v>2640.22</v>
      </c>
      <c r="P912">
        <v>300</v>
      </c>
      <c r="Q912" t="b">
        <v>0</v>
      </c>
      <c r="S912" t="s">
        <v>20</v>
      </c>
    </row>
    <row r="913" spans="1:19">
      <c r="A913" t="s">
        <v>1900</v>
      </c>
      <c r="B913" t="s">
        <v>1901</v>
      </c>
      <c r="C913" s="23" t="s">
        <v>4128</v>
      </c>
      <c r="D913" s="23">
        <v>45011</v>
      </c>
      <c r="E913" s="22">
        <v>3</v>
      </c>
      <c r="F913" s="22">
        <v>26</v>
      </c>
      <c r="G913" s="22">
        <v>2023</v>
      </c>
      <c r="H913" s="23">
        <f t="shared" si="42"/>
        <v>45011</v>
      </c>
      <c r="I913" s="25">
        <v>45041</v>
      </c>
      <c r="J913" s="22">
        <f t="shared" si="43"/>
        <v>30</v>
      </c>
      <c r="K913" t="s">
        <v>23</v>
      </c>
      <c r="L913">
        <v>37668</v>
      </c>
      <c r="M913">
        <v>1639</v>
      </c>
      <c r="N913" s="26">
        <v>3195.76</v>
      </c>
      <c r="O913" s="26">
        <f t="shared" si="44"/>
        <v>3195.76</v>
      </c>
      <c r="P913">
        <v>245</v>
      </c>
      <c r="Q913" t="b">
        <v>0</v>
      </c>
      <c r="S913" t="s">
        <v>25</v>
      </c>
    </row>
    <row r="914" spans="1:19">
      <c r="A914" t="s">
        <v>1902</v>
      </c>
      <c r="B914" t="s">
        <v>1903</v>
      </c>
      <c r="C914" s="23" t="s">
        <v>4129</v>
      </c>
      <c r="D914" s="23">
        <v>45191</v>
      </c>
      <c r="E914" s="22">
        <v>9</v>
      </c>
      <c r="F914" s="22">
        <v>22</v>
      </c>
      <c r="G914" s="22">
        <v>2023</v>
      </c>
      <c r="H914" s="23">
        <f t="shared" si="42"/>
        <v>45191</v>
      </c>
      <c r="I914" s="25">
        <v>45209</v>
      </c>
      <c r="J914" s="22">
        <f t="shared" si="43"/>
        <v>18</v>
      </c>
      <c r="K914" t="s">
        <v>19</v>
      </c>
      <c r="L914">
        <v>24061</v>
      </c>
      <c r="M914">
        <v>515</v>
      </c>
      <c r="N914" s="26">
        <v>742.72</v>
      </c>
      <c r="O914" s="26">
        <f t="shared" si="44"/>
        <v>742.72</v>
      </c>
      <c r="P914">
        <v>42</v>
      </c>
      <c r="Q914" t="b">
        <v>1</v>
      </c>
      <c r="S914" t="s">
        <v>20</v>
      </c>
    </row>
    <row r="915" spans="1:19">
      <c r="A915" t="s">
        <v>1904</v>
      </c>
      <c r="B915" t="s">
        <v>1905</v>
      </c>
      <c r="C915" s="23" t="s">
        <v>4128</v>
      </c>
      <c r="D915" s="23">
        <v>45213</v>
      </c>
      <c r="E915" s="22">
        <v>10</v>
      </c>
      <c r="F915" s="22">
        <v>14</v>
      </c>
      <c r="G915" s="22">
        <v>2023</v>
      </c>
      <c r="H915" s="23">
        <f t="shared" si="42"/>
        <v>45213</v>
      </c>
      <c r="I915" s="25">
        <v>45234</v>
      </c>
      <c r="J915" s="22">
        <f t="shared" si="43"/>
        <v>21</v>
      </c>
      <c r="K915" t="s">
        <v>19</v>
      </c>
      <c r="L915">
        <v>80252</v>
      </c>
      <c r="M915">
        <v>2180</v>
      </c>
      <c r="N915" s="26">
        <v>4133.2</v>
      </c>
      <c r="O915" s="26">
        <f t="shared" si="44"/>
        <v>3632.575</v>
      </c>
      <c r="P915">
        <v>181</v>
      </c>
      <c r="Q915" t="b">
        <v>0</v>
      </c>
      <c r="S915" t="s">
        <v>20</v>
      </c>
    </row>
    <row r="916" spans="1:19">
      <c r="A916" t="s">
        <v>1906</v>
      </c>
      <c r="B916" t="s">
        <v>1907</v>
      </c>
      <c r="C916" s="23" t="s">
        <v>4127</v>
      </c>
      <c r="D916" s="23">
        <v>45134</v>
      </c>
      <c r="E916" s="22">
        <v>7</v>
      </c>
      <c r="F916" s="22">
        <v>27</v>
      </c>
      <c r="G916" s="22">
        <v>2023</v>
      </c>
      <c r="H916" s="23">
        <f t="shared" si="42"/>
        <v>45134</v>
      </c>
      <c r="I916" s="25">
        <v>45158</v>
      </c>
      <c r="J916" s="22">
        <f t="shared" si="43"/>
        <v>24</v>
      </c>
      <c r="K916" t="s">
        <v>33</v>
      </c>
      <c r="L916">
        <v>40749</v>
      </c>
      <c r="M916">
        <v>843</v>
      </c>
      <c r="N916" s="26">
        <v>1276.43</v>
      </c>
      <c r="O916" s="26">
        <f t="shared" si="44"/>
        <v>1276.43</v>
      </c>
      <c r="P916">
        <v>0</v>
      </c>
      <c r="Q916" t="b">
        <v>0</v>
      </c>
      <c r="S916" t="s">
        <v>68</v>
      </c>
    </row>
    <row r="917" spans="1:19">
      <c r="A917" t="s">
        <v>1908</v>
      </c>
      <c r="B917" t="s">
        <v>1909</v>
      </c>
      <c r="C917" s="23" t="s">
        <v>4128</v>
      </c>
      <c r="D917" s="23">
        <v>45263</v>
      </c>
      <c r="E917" s="22">
        <v>12</v>
      </c>
      <c r="F917" s="22">
        <v>3</v>
      </c>
      <c r="G917" s="22">
        <v>2023</v>
      </c>
      <c r="H917" s="23">
        <f t="shared" si="42"/>
        <v>45263</v>
      </c>
      <c r="I917" s="25">
        <v>44999</v>
      </c>
      <c r="J917" s="22">
        <f t="shared" si="43"/>
        <v>-264</v>
      </c>
      <c r="K917" t="s">
        <v>33</v>
      </c>
      <c r="L917">
        <v>17907</v>
      </c>
      <c r="M917">
        <v>744</v>
      </c>
      <c r="N917" s="26">
        <v>714.88</v>
      </c>
      <c r="O917" s="26">
        <f t="shared" si="44"/>
        <v>714.88</v>
      </c>
      <c r="P917">
        <v>93</v>
      </c>
      <c r="Q917" t="b">
        <v>1</v>
      </c>
      <c r="S917" t="s">
        <v>34</v>
      </c>
    </row>
    <row r="918" spans="1:19">
      <c r="A918" t="s">
        <v>1910</v>
      </c>
      <c r="B918" t="s">
        <v>1911</v>
      </c>
      <c r="C918" s="23" t="s">
        <v>4128</v>
      </c>
      <c r="D918" s="23">
        <v>45241</v>
      </c>
      <c r="E918" s="22">
        <v>11</v>
      </c>
      <c r="F918" s="22">
        <v>11</v>
      </c>
      <c r="G918" s="22">
        <v>2023</v>
      </c>
      <c r="H918" s="23">
        <f t="shared" si="42"/>
        <v>45241</v>
      </c>
      <c r="I918" s="25">
        <v>45250</v>
      </c>
      <c r="J918" s="22">
        <f t="shared" si="43"/>
        <v>9</v>
      </c>
      <c r="K918" t="s">
        <v>33</v>
      </c>
      <c r="L918">
        <v>19777</v>
      </c>
      <c r="M918">
        <v>651</v>
      </c>
      <c r="N918" s="26">
        <v>686.83</v>
      </c>
      <c r="O918" s="26">
        <f t="shared" si="44"/>
        <v>686.83</v>
      </c>
      <c r="P918">
        <v>73</v>
      </c>
      <c r="Q918" t="b">
        <v>1</v>
      </c>
      <c r="S918" t="s">
        <v>34</v>
      </c>
    </row>
    <row r="919" spans="1:19">
      <c r="A919" t="s">
        <v>1912</v>
      </c>
      <c r="B919" t="s">
        <v>1913</v>
      </c>
      <c r="C919" s="23" t="s">
        <v>4127</v>
      </c>
      <c r="D919" s="23">
        <v>45146</v>
      </c>
      <c r="E919" s="22">
        <v>8</v>
      </c>
      <c r="F919" s="22">
        <v>8</v>
      </c>
      <c r="G919" s="22">
        <v>2023</v>
      </c>
      <c r="H919" s="23">
        <f t="shared" si="42"/>
        <v>45146</v>
      </c>
      <c r="I919" s="25">
        <v>45165</v>
      </c>
      <c r="J919" s="22">
        <f t="shared" si="43"/>
        <v>19</v>
      </c>
      <c r="K919" t="s">
        <v>14</v>
      </c>
      <c r="L919">
        <v>94229</v>
      </c>
      <c r="M919">
        <v>3425</v>
      </c>
      <c r="N919" s="26">
        <v>4540.55</v>
      </c>
      <c r="O919" s="26">
        <f t="shared" si="44"/>
        <v>3632.575</v>
      </c>
      <c r="P919">
        <v>258</v>
      </c>
      <c r="Q919" t="b">
        <v>1</v>
      </c>
      <c r="S919" t="s">
        <v>16</v>
      </c>
    </row>
    <row r="920" spans="1:19">
      <c r="A920" t="s">
        <v>1914</v>
      </c>
      <c r="B920" t="s">
        <v>1915</v>
      </c>
      <c r="C920" s="23" t="s">
        <v>4127</v>
      </c>
      <c r="D920" s="23">
        <v>45032</v>
      </c>
      <c r="E920" s="22">
        <v>4</v>
      </c>
      <c r="F920" s="22">
        <v>16</v>
      </c>
      <c r="G920" s="22">
        <v>2023</v>
      </c>
      <c r="H920" s="23">
        <f t="shared" si="42"/>
        <v>45032</v>
      </c>
      <c r="I920" s="25">
        <v>45036</v>
      </c>
      <c r="J920" s="22">
        <f t="shared" si="43"/>
        <v>4</v>
      </c>
      <c r="K920" t="s">
        <v>14</v>
      </c>
      <c r="L920">
        <v>52745</v>
      </c>
      <c r="M920">
        <v>1059</v>
      </c>
      <c r="N920" s="26">
        <v>1784.44</v>
      </c>
      <c r="O920" s="26">
        <f t="shared" si="44"/>
        <v>1784.44</v>
      </c>
      <c r="P920">
        <v>82</v>
      </c>
      <c r="Q920" t="b">
        <v>1</v>
      </c>
      <c r="S920" t="s">
        <v>16</v>
      </c>
    </row>
    <row r="921" spans="1:19">
      <c r="A921" t="s">
        <v>1916</v>
      </c>
      <c r="B921" t="s">
        <v>1917</v>
      </c>
      <c r="C921" s="23" t="s">
        <v>4129</v>
      </c>
      <c r="D921" s="23">
        <v>44959</v>
      </c>
      <c r="E921" s="22">
        <v>2</v>
      </c>
      <c r="F921" s="22">
        <v>2</v>
      </c>
      <c r="G921" s="22">
        <v>2023</v>
      </c>
      <c r="H921" s="23">
        <f t="shared" si="42"/>
        <v>44959</v>
      </c>
      <c r="I921" s="25">
        <v>44982</v>
      </c>
      <c r="J921" s="22">
        <f t="shared" si="43"/>
        <v>23</v>
      </c>
      <c r="K921" t="s">
        <v>19</v>
      </c>
      <c r="L921">
        <v>92865</v>
      </c>
      <c r="M921">
        <v>1746</v>
      </c>
      <c r="N921" s="26">
        <v>1705.8</v>
      </c>
      <c r="O921" s="26">
        <f t="shared" si="44"/>
        <v>1705.8</v>
      </c>
      <c r="P921">
        <v>0</v>
      </c>
      <c r="Q921" t="b">
        <v>0</v>
      </c>
      <c r="S921" t="s">
        <v>20</v>
      </c>
    </row>
    <row r="922" spans="1:19">
      <c r="A922" t="s">
        <v>1918</v>
      </c>
      <c r="B922" t="s">
        <v>1919</v>
      </c>
      <c r="C922" s="23" t="s">
        <v>4127</v>
      </c>
      <c r="D922" s="23">
        <v>45201</v>
      </c>
      <c r="E922" s="22">
        <v>10</v>
      </c>
      <c r="F922" s="22">
        <v>2</v>
      </c>
      <c r="G922" s="22">
        <v>2023</v>
      </c>
      <c r="H922" s="23">
        <f t="shared" si="42"/>
        <v>45201</v>
      </c>
      <c r="I922" s="25">
        <v>45218</v>
      </c>
      <c r="J922" s="22">
        <f t="shared" si="43"/>
        <v>17</v>
      </c>
      <c r="K922" t="s">
        <v>41</v>
      </c>
      <c r="L922">
        <v>82818</v>
      </c>
      <c r="M922">
        <v>2446</v>
      </c>
      <c r="N922" s="26">
        <v>3350.03</v>
      </c>
      <c r="O922" s="26">
        <f t="shared" si="44"/>
        <v>3350.03</v>
      </c>
      <c r="P922">
        <v>155</v>
      </c>
      <c r="Q922" t="b">
        <v>0</v>
      </c>
      <c r="S922" t="s">
        <v>42</v>
      </c>
    </row>
    <row r="923" spans="1:19">
      <c r="A923" t="s">
        <v>1920</v>
      </c>
      <c r="B923" t="s">
        <v>1921</v>
      </c>
      <c r="C923" s="23" t="s">
        <v>4128</v>
      </c>
      <c r="D923" s="23">
        <v>45161</v>
      </c>
      <c r="E923" s="22">
        <v>8</v>
      </c>
      <c r="F923" s="22">
        <v>23</v>
      </c>
      <c r="G923" s="22">
        <v>2023</v>
      </c>
      <c r="H923" s="23">
        <f t="shared" si="42"/>
        <v>45161</v>
      </c>
      <c r="I923" s="25">
        <v>45177</v>
      </c>
      <c r="J923" s="22">
        <f t="shared" si="43"/>
        <v>16</v>
      </c>
      <c r="K923" t="s">
        <v>33</v>
      </c>
      <c r="L923">
        <v>24624</v>
      </c>
      <c r="M923">
        <v>972</v>
      </c>
      <c r="N923" s="26">
        <v>989.92</v>
      </c>
      <c r="O923" s="26">
        <f t="shared" si="44"/>
        <v>989.92</v>
      </c>
      <c r="P923">
        <v>129</v>
      </c>
      <c r="Q923" t="b">
        <v>0</v>
      </c>
      <c r="S923" t="s">
        <v>68</v>
      </c>
    </row>
    <row r="924" spans="1:19">
      <c r="A924" t="s">
        <v>1922</v>
      </c>
      <c r="B924" t="s">
        <v>1923</v>
      </c>
      <c r="C924" s="23" t="s">
        <v>4129</v>
      </c>
      <c r="D924" s="23">
        <v>45177</v>
      </c>
      <c r="E924" s="22">
        <v>9</v>
      </c>
      <c r="F924" s="22">
        <v>8</v>
      </c>
      <c r="G924" s="22">
        <v>2023</v>
      </c>
      <c r="H924" s="23">
        <f t="shared" si="42"/>
        <v>45177</v>
      </c>
      <c r="I924" s="25">
        <v>45183</v>
      </c>
      <c r="J924" s="22">
        <f t="shared" si="43"/>
        <v>6</v>
      </c>
      <c r="K924" t="s">
        <v>33</v>
      </c>
      <c r="L924">
        <v>24321</v>
      </c>
      <c r="M924">
        <v>754</v>
      </c>
      <c r="N924" s="26">
        <v>1299.64</v>
      </c>
      <c r="O924" s="26">
        <f t="shared" si="44"/>
        <v>1299.64</v>
      </c>
      <c r="P924">
        <v>138</v>
      </c>
      <c r="Q924" t="b">
        <v>1</v>
      </c>
      <c r="S924" t="s">
        <v>34</v>
      </c>
    </row>
    <row r="925" spans="1:19">
      <c r="A925" t="s">
        <v>1924</v>
      </c>
      <c r="B925" t="s">
        <v>1925</v>
      </c>
      <c r="C925" s="23" t="s">
        <v>4129</v>
      </c>
      <c r="D925" s="23">
        <v>45232</v>
      </c>
      <c r="E925" s="22">
        <v>11</v>
      </c>
      <c r="F925" s="22">
        <v>2</v>
      </c>
      <c r="G925" s="22">
        <v>2023</v>
      </c>
      <c r="H925" s="23">
        <f t="shared" si="42"/>
        <v>45232</v>
      </c>
      <c r="I925" s="25">
        <v>45261</v>
      </c>
      <c r="J925" s="22">
        <f t="shared" si="43"/>
        <v>29</v>
      </c>
      <c r="K925" t="s">
        <v>14</v>
      </c>
      <c r="L925">
        <v>11488</v>
      </c>
      <c r="M925">
        <v>129</v>
      </c>
      <c r="N925" s="26">
        <v>154.81</v>
      </c>
      <c r="O925" s="26">
        <f t="shared" si="44"/>
        <v>154.81</v>
      </c>
      <c r="P925">
        <v>12</v>
      </c>
      <c r="Q925" t="b">
        <v>1</v>
      </c>
      <c r="S925" t="s">
        <v>68</v>
      </c>
    </row>
    <row r="926" spans="1:19">
      <c r="A926" t="s">
        <v>1926</v>
      </c>
      <c r="B926" t="s">
        <v>1927</v>
      </c>
      <c r="C926" s="23" t="s">
        <v>4128</v>
      </c>
      <c r="D926" s="23">
        <v>44985</v>
      </c>
      <c r="E926" s="22">
        <v>2</v>
      </c>
      <c r="F926" s="22">
        <v>28</v>
      </c>
      <c r="G926" s="22">
        <v>2023</v>
      </c>
      <c r="H926" s="23">
        <f t="shared" si="42"/>
        <v>44985</v>
      </c>
      <c r="I926" s="25">
        <v>45000</v>
      </c>
      <c r="J926" s="22">
        <f t="shared" si="43"/>
        <v>15</v>
      </c>
      <c r="K926" t="s">
        <v>19</v>
      </c>
      <c r="L926">
        <v>23574</v>
      </c>
      <c r="M926">
        <v>1054</v>
      </c>
      <c r="N926" s="26">
        <v>-648.3</v>
      </c>
      <c r="O926" s="26">
        <f t="shared" si="44"/>
        <v>-344.195</v>
      </c>
      <c r="P926">
        <v>104</v>
      </c>
      <c r="Q926" t="b">
        <v>1</v>
      </c>
      <c r="S926" t="s">
        <v>20</v>
      </c>
    </row>
    <row r="927" spans="1:19">
      <c r="A927" t="s">
        <v>1928</v>
      </c>
      <c r="B927" t="s">
        <v>1929</v>
      </c>
      <c r="C927" s="23" t="s">
        <v>4131</v>
      </c>
      <c r="D927" s="23">
        <v>45243</v>
      </c>
      <c r="E927" s="22">
        <v>11</v>
      </c>
      <c r="F927" s="22">
        <v>13</v>
      </c>
      <c r="G927" s="22">
        <v>2023</v>
      </c>
      <c r="H927" s="23">
        <f t="shared" si="42"/>
        <v>45243</v>
      </c>
      <c r="I927" s="25">
        <v>45253</v>
      </c>
      <c r="J927" s="22">
        <f t="shared" si="43"/>
        <v>10</v>
      </c>
      <c r="K927" t="s">
        <v>14</v>
      </c>
      <c r="L927">
        <v>6240</v>
      </c>
      <c r="M927">
        <v>78</v>
      </c>
      <c r="N927" s="26">
        <v>58.43</v>
      </c>
      <c r="O927" s="26">
        <f t="shared" si="44"/>
        <v>58.43</v>
      </c>
      <c r="P927">
        <v>0</v>
      </c>
      <c r="Q927" t="b">
        <v>1</v>
      </c>
      <c r="S927" t="s">
        <v>16</v>
      </c>
    </row>
    <row r="928" spans="1:19">
      <c r="A928" t="s">
        <v>1930</v>
      </c>
      <c r="B928" t="s">
        <v>1931</v>
      </c>
      <c r="C928" s="23" t="s">
        <v>4128</v>
      </c>
      <c r="D928" s="23">
        <v>45079</v>
      </c>
      <c r="E928" s="22">
        <v>6</v>
      </c>
      <c r="F928" s="22">
        <v>2</v>
      </c>
      <c r="G928" s="22">
        <v>2023</v>
      </c>
      <c r="H928" s="23">
        <f t="shared" si="42"/>
        <v>45079</v>
      </c>
      <c r="I928" s="25">
        <v>45107</v>
      </c>
      <c r="J928" s="22">
        <f t="shared" si="43"/>
        <v>28</v>
      </c>
      <c r="K928" t="s">
        <v>23</v>
      </c>
      <c r="L928">
        <v>44221</v>
      </c>
      <c r="M928">
        <v>2132</v>
      </c>
      <c r="N928" s="26">
        <v>1261.41</v>
      </c>
      <c r="O928" s="26">
        <f t="shared" si="44"/>
        <v>1261.41</v>
      </c>
      <c r="P928">
        <v>230</v>
      </c>
      <c r="Q928" t="b">
        <v>0</v>
      </c>
      <c r="S928" t="s">
        <v>25</v>
      </c>
    </row>
    <row r="929" spans="1:19">
      <c r="A929" t="s">
        <v>1932</v>
      </c>
      <c r="B929" t="s">
        <v>1933</v>
      </c>
      <c r="C929" s="23" t="s">
        <v>4131</v>
      </c>
      <c r="D929" s="23">
        <v>45271</v>
      </c>
      <c r="E929" s="22">
        <v>12</v>
      </c>
      <c r="F929" s="22">
        <v>11</v>
      </c>
      <c r="G929" s="22">
        <v>2023</v>
      </c>
      <c r="H929" s="23">
        <f t="shared" si="42"/>
        <v>45271</v>
      </c>
      <c r="I929" s="25">
        <v>45277</v>
      </c>
      <c r="J929" s="22">
        <f t="shared" si="43"/>
        <v>6</v>
      </c>
      <c r="K929" t="s">
        <v>41</v>
      </c>
      <c r="L929">
        <v>11478</v>
      </c>
      <c r="M929">
        <v>126</v>
      </c>
      <c r="N929" s="26">
        <v>157.37</v>
      </c>
      <c r="O929" s="26">
        <f t="shared" si="44"/>
        <v>157.37</v>
      </c>
      <c r="P929">
        <v>7</v>
      </c>
      <c r="Q929" t="b">
        <v>0</v>
      </c>
      <c r="S929" t="s">
        <v>42</v>
      </c>
    </row>
    <row r="930" spans="1:19">
      <c r="A930" t="s">
        <v>1934</v>
      </c>
      <c r="B930" t="s">
        <v>1935</v>
      </c>
      <c r="C930" s="23" t="s">
        <v>4131</v>
      </c>
      <c r="D930" s="23">
        <v>45083</v>
      </c>
      <c r="E930" s="22">
        <v>6</v>
      </c>
      <c r="F930" s="22">
        <v>6</v>
      </c>
      <c r="G930" s="22">
        <v>2023</v>
      </c>
      <c r="H930" s="23">
        <f t="shared" si="42"/>
        <v>45083</v>
      </c>
      <c r="I930" s="25">
        <v>45085</v>
      </c>
      <c r="J930" s="22">
        <f t="shared" si="43"/>
        <v>2</v>
      </c>
      <c r="K930" t="s">
        <v>14</v>
      </c>
      <c r="L930">
        <v>56645</v>
      </c>
      <c r="M930">
        <v>2139</v>
      </c>
      <c r="N930" s="26">
        <v>1410.68</v>
      </c>
      <c r="O930" s="26">
        <f t="shared" si="44"/>
        <v>1410.68</v>
      </c>
      <c r="P930">
        <v>401</v>
      </c>
      <c r="Q930" t="b">
        <v>0</v>
      </c>
      <c r="S930" t="s">
        <v>16</v>
      </c>
    </row>
    <row r="931" spans="1:19">
      <c r="A931" t="s">
        <v>1936</v>
      </c>
      <c r="B931" t="s">
        <v>1937</v>
      </c>
      <c r="C931" s="23" t="s">
        <v>4129</v>
      </c>
      <c r="D931" s="23">
        <v>44999</v>
      </c>
      <c r="E931" s="22">
        <v>3</v>
      </c>
      <c r="F931" s="22">
        <v>14</v>
      </c>
      <c r="G931" s="22">
        <v>2023</v>
      </c>
      <c r="H931" s="23">
        <f t="shared" si="42"/>
        <v>44999</v>
      </c>
      <c r="I931" s="25">
        <v>45009</v>
      </c>
      <c r="J931" s="22">
        <f t="shared" si="43"/>
        <v>10</v>
      </c>
      <c r="K931" t="s">
        <v>33</v>
      </c>
      <c r="L931">
        <v>20262</v>
      </c>
      <c r="M931">
        <v>269</v>
      </c>
      <c r="N931" s="26">
        <v>180.56</v>
      </c>
      <c r="O931" s="26">
        <f t="shared" si="44"/>
        <v>180.56</v>
      </c>
      <c r="P931">
        <v>40</v>
      </c>
      <c r="Q931" t="b">
        <v>0</v>
      </c>
      <c r="S931" t="s">
        <v>34</v>
      </c>
    </row>
    <row r="932" spans="1:19">
      <c r="A932" t="s">
        <v>1938</v>
      </c>
      <c r="B932" t="s">
        <v>1939</v>
      </c>
      <c r="C932" s="23" t="s">
        <v>4129</v>
      </c>
      <c r="D932" s="23">
        <v>44997</v>
      </c>
      <c r="E932" s="22">
        <v>3</v>
      </c>
      <c r="F932" s="22">
        <v>12</v>
      </c>
      <c r="G932" s="22">
        <v>2023</v>
      </c>
      <c r="H932" s="23">
        <f t="shared" si="42"/>
        <v>44997</v>
      </c>
      <c r="I932" s="25">
        <v>45017</v>
      </c>
      <c r="J932" s="22">
        <f t="shared" si="43"/>
        <v>20</v>
      </c>
      <c r="K932" t="s">
        <v>23</v>
      </c>
      <c r="L932">
        <v>53796</v>
      </c>
      <c r="M932">
        <v>2497</v>
      </c>
      <c r="N932" s="26">
        <v>4773.2</v>
      </c>
      <c r="O932" s="26">
        <f t="shared" si="44"/>
        <v>3632.575</v>
      </c>
      <c r="P932">
        <v>495</v>
      </c>
      <c r="Q932" t="b">
        <v>1</v>
      </c>
      <c r="S932" t="s">
        <v>25</v>
      </c>
    </row>
    <row r="933" spans="1:19">
      <c r="A933" t="s">
        <v>1940</v>
      </c>
      <c r="B933" t="s">
        <v>1941</v>
      </c>
      <c r="C933" s="23" t="s">
        <v>4131</v>
      </c>
      <c r="D933" s="23">
        <v>45176</v>
      </c>
      <c r="E933" s="22">
        <v>9</v>
      </c>
      <c r="F933" s="22">
        <v>7</v>
      </c>
      <c r="G933" s="22">
        <v>2023</v>
      </c>
      <c r="H933" s="23">
        <f t="shared" si="42"/>
        <v>45176</v>
      </c>
      <c r="I933" s="25">
        <v>45187</v>
      </c>
      <c r="J933" s="22">
        <f t="shared" si="43"/>
        <v>11</v>
      </c>
      <c r="K933" t="s">
        <v>33</v>
      </c>
      <c r="L933">
        <v>5432</v>
      </c>
      <c r="M933">
        <v>155</v>
      </c>
      <c r="N933" s="26">
        <v>280.39</v>
      </c>
      <c r="O933" s="26">
        <f t="shared" si="44"/>
        <v>280.39</v>
      </c>
      <c r="P933">
        <v>28</v>
      </c>
      <c r="Q933" t="b">
        <v>1</v>
      </c>
      <c r="S933" t="s">
        <v>34</v>
      </c>
    </row>
    <row r="934" spans="1:19">
      <c r="A934" t="s">
        <v>1942</v>
      </c>
      <c r="B934" t="s">
        <v>1943</v>
      </c>
      <c r="C934" s="23" t="s">
        <v>4128</v>
      </c>
      <c r="D934" s="23">
        <v>45257</v>
      </c>
      <c r="E934" s="22">
        <v>11</v>
      </c>
      <c r="F934" s="22">
        <v>27</v>
      </c>
      <c r="G934" s="22">
        <v>2023</v>
      </c>
      <c r="H934" s="23">
        <f t="shared" si="42"/>
        <v>45257</v>
      </c>
      <c r="I934" s="25">
        <v>45252</v>
      </c>
      <c r="J934" s="22">
        <f t="shared" si="43"/>
        <v>-5</v>
      </c>
      <c r="K934" t="s">
        <v>14</v>
      </c>
      <c r="L934">
        <v>96257</v>
      </c>
      <c r="M934">
        <v>1492</v>
      </c>
      <c r="N934" s="26">
        <v>1757.77</v>
      </c>
      <c r="O934" s="26">
        <f t="shared" si="44"/>
        <v>1757.77</v>
      </c>
      <c r="P934">
        <v>0</v>
      </c>
      <c r="Q934" t="b">
        <v>1</v>
      </c>
      <c r="S934" t="s">
        <v>16</v>
      </c>
    </row>
    <row r="935" spans="1:19">
      <c r="A935" t="s">
        <v>1944</v>
      </c>
      <c r="B935" t="s">
        <v>1945</v>
      </c>
      <c r="C935" s="23" t="s">
        <v>4131</v>
      </c>
      <c r="D935" s="23">
        <v>45012</v>
      </c>
      <c r="E935" s="22">
        <v>3</v>
      </c>
      <c r="F935" s="22">
        <v>27</v>
      </c>
      <c r="G935" s="22">
        <v>2023</v>
      </c>
      <c r="H935" s="23">
        <f t="shared" si="42"/>
        <v>45012</v>
      </c>
      <c r="I935" s="25">
        <v>45016</v>
      </c>
      <c r="J935" s="22">
        <f t="shared" si="43"/>
        <v>4</v>
      </c>
      <c r="K935" t="s">
        <v>14</v>
      </c>
      <c r="L935">
        <v>65291</v>
      </c>
      <c r="M935">
        <v>1542</v>
      </c>
      <c r="N935" s="26">
        <v>3051.17</v>
      </c>
      <c r="O935" s="26">
        <f t="shared" si="44"/>
        <v>3051.17</v>
      </c>
      <c r="P935">
        <v>197</v>
      </c>
      <c r="Q935" t="b">
        <v>0</v>
      </c>
      <c r="S935" t="s">
        <v>16</v>
      </c>
    </row>
    <row r="936" spans="1:19">
      <c r="A936" t="s">
        <v>1946</v>
      </c>
      <c r="B936" t="s">
        <v>1947</v>
      </c>
      <c r="C936" s="23" t="s">
        <v>4129</v>
      </c>
      <c r="D936" s="23">
        <v>45088</v>
      </c>
      <c r="E936" s="22">
        <v>6</v>
      </c>
      <c r="F936" s="22">
        <v>11</v>
      </c>
      <c r="G936" s="22">
        <v>2023</v>
      </c>
      <c r="H936" s="23">
        <f t="shared" si="42"/>
        <v>45088</v>
      </c>
      <c r="I936" s="25">
        <v>45110</v>
      </c>
      <c r="J936" s="22">
        <f t="shared" si="43"/>
        <v>22</v>
      </c>
      <c r="K936" t="s">
        <v>23</v>
      </c>
      <c r="L936">
        <v>80104</v>
      </c>
      <c r="M936">
        <v>1329</v>
      </c>
      <c r="N936" s="26">
        <v>664.87</v>
      </c>
      <c r="O936" s="26">
        <f t="shared" si="44"/>
        <v>664.87</v>
      </c>
      <c r="P936">
        <v>104</v>
      </c>
      <c r="Q936" t="b">
        <v>1</v>
      </c>
      <c r="S936" t="s">
        <v>25</v>
      </c>
    </row>
    <row r="937" spans="1:19">
      <c r="A937" t="s">
        <v>1948</v>
      </c>
      <c r="B937" t="s">
        <v>1949</v>
      </c>
      <c r="C937" s="23" t="s">
        <v>4127</v>
      </c>
      <c r="D937" s="23">
        <v>45110</v>
      </c>
      <c r="E937" s="22">
        <v>7</v>
      </c>
      <c r="F937" s="22">
        <v>3</v>
      </c>
      <c r="G937" s="22">
        <v>2023</v>
      </c>
      <c r="H937" s="23">
        <f t="shared" si="42"/>
        <v>45110</v>
      </c>
      <c r="I937" s="25">
        <v>45115</v>
      </c>
      <c r="J937" s="22">
        <f t="shared" si="43"/>
        <v>5</v>
      </c>
      <c r="K937" t="s">
        <v>41</v>
      </c>
      <c r="L937">
        <v>60399</v>
      </c>
      <c r="M937">
        <v>1016</v>
      </c>
      <c r="N937" s="26">
        <v>1443.7</v>
      </c>
      <c r="O937" s="26">
        <f t="shared" si="44"/>
        <v>1443.7</v>
      </c>
      <c r="P937">
        <v>121</v>
      </c>
      <c r="Q937" t="b">
        <v>1</v>
      </c>
      <c r="S937" t="s">
        <v>42</v>
      </c>
    </row>
    <row r="938" spans="1:19">
      <c r="A938" t="s">
        <v>1950</v>
      </c>
      <c r="B938" t="s">
        <v>1951</v>
      </c>
      <c r="C938" s="23" t="s">
        <v>4128</v>
      </c>
      <c r="D938" s="23">
        <v>45026</v>
      </c>
      <c r="E938" s="22">
        <v>4</v>
      </c>
      <c r="F938" s="22">
        <v>10</v>
      </c>
      <c r="G938" s="22">
        <v>2023</v>
      </c>
      <c r="H938" s="23">
        <f t="shared" si="42"/>
        <v>45026</v>
      </c>
      <c r="I938" s="25">
        <v>45053</v>
      </c>
      <c r="J938" s="22">
        <f t="shared" si="43"/>
        <v>27</v>
      </c>
      <c r="K938" t="s">
        <v>14</v>
      </c>
      <c r="L938">
        <v>80714</v>
      </c>
      <c r="M938">
        <v>3868</v>
      </c>
      <c r="N938" s="26">
        <v>5510.52</v>
      </c>
      <c r="O938" s="26">
        <f t="shared" si="44"/>
        <v>3632.575</v>
      </c>
      <c r="P938">
        <v>717</v>
      </c>
      <c r="Q938" t="b">
        <v>0</v>
      </c>
      <c r="S938" t="s">
        <v>16</v>
      </c>
    </row>
    <row r="939" spans="1:19">
      <c r="A939" t="s">
        <v>1952</v>
      </c>
      <c r="B939" t="s">
        <v>1953</v>
      </c>
      <c r="C939" s="23" t="s">
        <v>4129</v>
      </c>
      <c r="D939" s="23">
        <v>45185</v>
      </c>
      <c r="E939" s="22">
        <v>9</v>
      </c>
      <c r="F939" s="22">
        <v>16</v>
      </c>
      <c r="G939" s="22">
        <v>2023</v>
      </c>
      <c r="H939" s="23">
        <f t="shared" si="42"/>
        <v>45185</v>
      </c>
      <c r="I939" s="25">
        <v>45188</v>
      </c>
      <c r="J939" s="22">
        <f t="shared" si="43"/>
        <v>3</v>
      </c>
      <c r="K939" t="s">
        <v>19</v>
      </c>
      <c r="L939">
        <v>51428</v>
      </c>
      <c r="M939">
        <v>1430</v>
      </c>
      <c r="N939" s="26">
        <v>1696.22</v>
      </c>
      <c r="O939" s="26">
        <f t="shared" si="44"/>
        <v>1696.22</v>
      </c>
      <c r="P939">
        <v>82</v>
      </c>
      <c r="Q939" t="b">
        <v>0</v>
      </c>
      <c r="S939" t="s">
        <v>68</v>
      </c>
    </row>
    <row r="940" spans="1:19">
      <c r="A940" t="s">
        <v>1954</v>
      </c>
      <c r="B940" t="s">
        <v>1955</v>
      </c>
      <c r="C940" s="23" t="s">
        <v>4127</v>
      </c>
      <c r="D940" s="23">
        <v>45178</v>
      </c>
      <c r="E940" s="22">
        <v>9</v>
      </c>
      <c r="F940" s="22">
        <v>9</v>
      </c>
      <c r="G940" s="22">
        <v>2023</v>
      </c>
      <c r="H940" s="23">
        <f t="shared" si="42"/>
        <v>45178</v>
      </c>
      <c r="I940" s="25">
        <v>45185</v>
      </c>
      <c r="J940" s="22">
        <f t="shared" si="43"/>
        <v>7</v>
      </c>
      <c r="K940" t="s">
        <v>23</v>
      </c>
      <c r="L940">
        <v>88731</v>
      </c>
      <c r="M940">
        <v>3686</v>
      </c>
      <c r="N940" s="26">
        <v>4037.73</v>
      </c>
      <c r="O940" s="26">
        <f t="shared" si="44"/>
        <v>3632.575</v>
      </c>
      <c r="P940">
        <v>661</v>
      </c>
      <c r="Q940" t="b">
        <v>0</v>
      </c>
      <c r="S940" t="s">
        <v>25</v>
      </c>
    </row>
    <row r="941" spans="1:19">
      <c r="A941" t="s">
        <v>1956</v>
      </c>
      <c r="B941" t="s">
        <v>1957</v>
      </c>
      <c r="C941" s="23" t="s">
        <v>4131</v>
      </c>
      <c r="D941" s="23">
        <v>45177</v>
      </c>
      <c r="E941" s="22">
        <v>9</v>
      </c>
      <c r="F941" s="22">
        <v>8</v>
      </c>
      <c r="G941" s="22">
        <v>2023</v>
      </c>
      <c r="H941" s="23">
        <f t="shared" si="42"/>
        <v>45177</v>
      </c>
      <c r="I941" s="25">
        <v>45193</v>
      </c>
      <c r="J941" s="22">
        <f t="shared" si="43"/>
        <v>16</v>
      </c>
      <c r="K941" t="s">
        <v>19</v>
      </c>
      <c r="L941">
        <v>1302</v>
      </c>
      <c r="M941">
        <v>46</v>
      </c>
      <c r="N941" s="26">
        <v>54.42</v>
      </c>
      <c r="O941" s="26">
        <f t="shared" si="44"/>
        <v>54.42</v>
      </c>
      <c r="P941">
        <v>4</v>
      </c>
      <c r="Q941" t="b">
        <v>1</v>
      </c>
      <c r="S941" t="s">
        <v>20</v>
      </c>
    </row>
    <row r="942" spans="1:19">
      <c r="A942" t="s">
        <v>1958</v>
      </c>
      <c r="B942" t="s">
        <v>1959</v>
      </c>
      <c r="C942" s="23" t="s">
        <v>4129</v>
      </c>
      <c r="D942" s="23">
        <v>45039</v>
      </c>
      <c r="E942" s="22">
        <v>4</v>
      </c>
      <c r="F942" s="22">
        <v>23</v>
      </c>
      <c r="G942" s="22">
        <v>2023</v>
      </c>
      <c r="H942" s="23">
        <f t="shared" si="42"/>
        <v>45039</v>
      </c>
      <c r="I942" s="25">
        <v>45055</v>
      </c>
      <c r="J942" s="22">
        <f t="shared" si="43"/>
        <v>16</v>
      </c>
      <c r="K942" t="s">
        <v>14</v>
      </c>
      <c r="L942">
        <v>83558</v>
      </c>
      <c r="M942">
        <v>3096</v>
      </c>
      <c r="N942" s="26">
        <v>3475.08</v>
      </c>
      <c r="O942" s="26">
        <f t="shared" si="44"/>
        <v>3475.08</v>
      </c>
      <c r="P942">
        <v>572</v>
      </c>
      <c r="Q942" t="b">
        <v>0</v>
      </c>
      <c r="S942" t="s">
        <v>16</v>
      </c>
    </row>
    <row r="943" spans="1:19">
      <c r="A943" t="s">
        <v>1960</v>
      </c>
      <c r="B943" t="s">
        <v>1961</v>
      </c>
      <c r="C943" s="23" t="s">
        <v>4128</v>
      </c>
      <c r="D943" s="23">
        <v>45202</v>
      </c>
      <c r="E943" s="22">
        <v>10</v>
      </c>
      <c r="F943" s="22">
        <v>3</v>
      </c>
      <c r="G943" s="22">
        <v>2023</v>
      </c>
      <c r="H943" s="23">
        <f t="shared" si="42"/>
        <v>45202</v>
      </c>
      <c r="I943" s="25">
        <v>45210</v>
      </c>
      <c r="J943" s="22">
        <f t="shared" si="43"/>
        <v>8</v>
      </c>
      <c r="K943" t="s">
        <v>33</v>
      </c>
      <c r="L943">
        <v>1055</v>
      </c>
      <c r="M943">
        <v>16</v>
      </c>
      <c r="N943" s="26">
        <v>25.53</v>
      </c>
      <c r="O943" s="26">
        <f t="shared" si="44"/>
        <v>25.53</v>
      </c>
      <c r="P943">
        <v>3</v>
      </c>
      <c r="Q943" t="b">
        <v>1</v>
      </c>
      <c r="S943" t="s">
        <v>68</v>
      </c>
    </row>
    <row r="944" spans="1:19">
      <c r="A944" t="s">
        <v>1962</v>
      </c>
      <c r="B944" t="s">
        <v>1963</v>
      </c>
      <c r="C944" s="23" t="s">
        <v>4127</v>
      </c>
      <c r="D944" s="23">
        <v>45216</v>
      </c>
      <c r="E944" s="22">
        <v>10</v>
      </c>
      <c r="F944" s="22">
        <v>17</v>
      </c>
      <c r="G944" s="22">
        <v>2023</v>
      </c>
      <c r="H944" s="23">
        <f t="shared" si="42"/>
        <v>45216</v>
      </c>
      <c r="I944" s="25">
        <v>45217</v>
      </c>
      <c r="J944" s="22">
        <f t="shared" si="43"/>
        <v>1</v>
      </c>
      <c r="K944" t="s">
        <v>14</v>
      </c>
      <c r="L944">
        <v>9717</v>
      </c>
      <c r="M944">
        <v>188</v>
      </c>
      <c r="N944" s="26">
        <v>132.17</v>
      </c>
      <c r="O944" s="26">
        <f t="shared" si="44"/>
        <v>132.17</v>
      </c>
      <c r="P944">
        <v>28</v>
      </c>
      <c r="Q944" t="b">
        <v>0</v>
      </c>
      <c r="S944" t="s">
        <v>16</v>
      </c>
    </row>
    <row r="945" spans="1:19">
      <c r="A945" t="s">
        <v>1964</v>
      </c>
      <c r="B945" t="s">
        <v>1965</v>
      </c>
      <c r="C945" s="23" t="s">
        <v>4128</v>
      </c>
      <c r="D945" s="23">
        <v>45208</v>
      </c>
      <c r="E945" s="22">
        <v>10</v>
      </c>
      <c r="F945" s="22">
        <v>9</v>
      </c>
      <c r="G945" s="22">
        <v>2023</v>
      </c>
      <c r="H945" s="23">
        <f t="shared" si="42"/>
        <v>45208</v>
      </c>
      <c r="I945" s="25">
        <v>45221</v>
      </c>
      <c r="J945" s="22">
        <f t="shared" si="43"/>
        <v>13</v>
      </c>
      <c r="K945" t="s">
        <v>33</v>
      </c>
      <c r="L945">
        <v>29699</v>
      </c>
      <c r="M945">
        <v>1231</v>
      </c>
      <c r="N945" s="26">
        <v>980.44</v>
      </c>
      <c r="O945" s="26">
        <f t="shared" si="44"/>
        <v>980.44</v>
      </c>
      <c r="P945">
        <v>184</v>
      </c>
      <c r="Q945" t="b">
        <v>0</v>
      </c>
      <c r="S945" t="s">
        <v>34</v>
      </c>
    </row>
    <row r="946" spans="1:19">
      <c r="A946" t="s">
        <v>1966</v>
      </c>
      <c r="B946" t="s">
        <v>1967</v>
      </c>
      <c r="C946" s="23" t="s">
        <v>4127</v>
      </c>
      <c r="D946" s="23">
        <v>45064</v>
      </c>
      <c r="E946" s="22">
        <v>5</v>
      </c>
      <c r="F946" s="22">
        <v>18</v>
      </c>
      <c r="G946" s="22">
        <v>2023</v>
      </c>
      <c r="H946" s="23">
        <f t="shared" si="42"/>
        <v>45064</v>
      </c>
      <c r="I946" s="25">
        <v>45089</v>
      </c>
      <c r="J946" s="22">
        <f t="shared" si="43"/>
        <v>25</v>
      </c>
      <c r="K946" t="s">
        <v>138</v>
      </c>
      <c r="L946">
        <v>74686</v>
      </c>
      <c r="M946">
        <v>3646</v>
      </c>
      <c r="N946" s="26">
        <v>2810.25</v>
      </c>
      <c r="O946" s="26">
        <f t="shared" si="44"/>
        <v>2810.25</v>
      </c>
      <c r="P946">
        <v>429</v>
      </c>
      <c r="Q946" t="b">
        <v>1</v>
      </c>
      <c r="S946" t="s">
        <v>139</v>
      </c>
    </row>
    <row r="947" spans="1:19">
      <c r="A947" t="s">
        <v>1968</v>
      </c>
      <c r="B947" t="s">
        <v>1969</v>
      </c>
      <c r="C947" s="23" t="s">
        <v>4129</v>
      </c>
      <c r="D947" s="23">
        <v>45114</v>
      </c>
      <c r="E947" s="22">
        <v>7</v>
      </c>
      <c r="F947" s="22">
        <v>7</v>
      </c>
      <c r="G947" s="22">
        <v>2023</v>
      </c>
      <c r="H947" s="23">
        <f t="shared" si="42"/>
        <v>45114</v>
      </c>
      <c r="I947" s="25">
        <v>45138</v>
      </c>
      <c r="J947" s="22">
        <f t="shared" si="43"/>
        <v>24</v>
      </c>
      <c r="K947" t="s">
        <v>23</v>
      </c>
      <c r="L947">
        <v>68661</v>
      </c>
      <c r="M947">
        <v>1408</v>
      </c>
      <c r="N947" s="26">
        <v>1258.34</v>
      </c>
      <c r="O947" s="26">
        <f t="shared" si="44"/>
        <v>1258.34</v>
      </c>
      <c r="P947">
        <v>246</v>
      </c>
      <c r="Q947" t="b">
        <v>0</v>
      </c>
      <c r="S947" t="s">
        <v>25</v>
      </c>
    </row>
    <row r="948" spans="1:19">
      <c r="A948" t="s">
        <v>1970</v>
      </c>
      <c r="B948" t="s">
        <v>1971</v>
      </c>
      <c r="C948" s="23" t="s">
        <v>4127</v>
      </c>
      <c r="D948" s="23">
        <v>45152</v>
      </c>
      <c r="E948" s="22">
        <v>8</v>
      </c>
      <c r="F948" s="22">
        <v>14</v>
      </c>
      <c r="G948" s="22">
        <v>2023</v>
      </c>
      <c r="H948" s="23">
        <f t="shared" si="42"/>
        <v>45152</v>
      </c>
      <c r="I948" s="25">
        <v>45178</v>
      </c>
      <c r="J948" s="22">
        <f t="shared" si="43"/>
        <v>26</v>
      </c>
      <c r="K948" t="s">
        <v>14</v>
      </c>
      <c r="L948">
        <v>45247</v>
      </c>
      <c r="M948">
        <v>943</v>
      </c>
      <c r="N948" s="26">
        <v>1214.48</v>
      </c>
      <c r="O948" s="26">
        <f t="shared" si="44"/>
        <v>1214.48</v>
      </c>
      <c r="P948">
        <v>183</v>
      </c>
      <c r="Q948" t="b">
        <v>1</v>
      </c>
      <c r="S948" t="s">
        <v>16</v>
      </c>
    </row>
    <row r="949" spans="1:19">
      <c r="A949" t="s">
        <v>1972</v>
      </c>
      <c r="B949" t="s">
        <v>1973</v>
      </c>
      <c r="C949" s="23" t="s">
        <v>4131</v>
      </c>
      <c r="D949" s="23">
        <v>44979</v>
      </c>
      <c r="E949" s="22">
        <v>2</v>
      </c>
      <c r="F949" s="22">
        <v>22</v>
      </c>
      <c r="G949" s="22">
        <v>2023</v>
      </c>
      <c r="H949" s="23">
        <f t="shared" si="42"/>
        <v>44979</v>
      </c>
      <c r="I949" s="25">
        <v>45000</v>
      </c>
      <c r="J949" s="22">
        <f t="shared" si="43"/>
        <v>21</v>
      </c>
      <c r="K949" t="s">
        <v>23</v>
      </c>
      <c r="L949">
        <v>17748</v>
      </c>
      <c r="M949">
        <v>513</v>
      </c>
      <c r="N949" s="26">
        <v>342.08</v>
      </c>
      <c r="O949" s="26">
        <f t="shared" si="44"/>
        <v>342.08</v>
      </c>
      <c r="P949">
        <v>85</v>
      </c>
      <c r="Q949" t="b">
        <v>1</v>
      </c>
      <c r="S949" t="s">
        <v>25</v>
      </c>
    </row>
    <row r="950" spans="1:19">
      <c r="A950" t="s">
        <v>1974</v>
      </c>
      <c r="B950" t="s">
        <v>1975</v>
      </c>
      <c r="C950" s="23" t="s">
        <v>4128</v>
      </c>
      <c r="D950" s="23">
        <v>45053</v>
      </c>
      <c r="E950" s="22">
        <v>5</v>
      </c>
      <c r="F950" s="22">
        <v>7</v>
      </c>
      <c r="G950" s="22">
        <v>2023</v>
      </c>
      <c r="H950" s="23">
        <f t="shared" si="42"/>
        <v>45053</v>
      </c>
      <c r="I950" s="25">
        <v>45082</v>
      </c>
      <c r="J950" s="22">
        <f t="shared" si="43"/>
        <v>29</v>
      </c>
      <c r="K950" t="s">
        <v>41</v>
      </c>
      <c r="L950">
        <v>5621</v>
      </c>
      <c r="M950">
        <v>277</v>
      </c>
      <c r="N950" s="26">
        <v>499.22</v>
      </c>
      <c r="O950" s="26">
        <f t="shared" si="44"/>
        <v>499.22</v>
      </c>
      <c r="P950">
        <v>39</v>
      </c>
      <c r="Q950" t="b">
        <v>1</v>
      </c>
      <c r="S950" t="s">
        <v>42</v>
      </c>
    </row>
    <row r="951" spans="1:19">
      <c r="A951" t="s">
        <v>1976</v>
      </c>
      <c r="B951" t="s">
        <v>1977</v>
      </c>
      <c r="C951" s="23" t="s">
        <v>4131</v>
      </c>
      <c r="D951" s="23">
        <v>45157</v>
      </c>
      <c r="E951" s="22">
        <v>8</v>
      </c>
      <c r="F951" s="22">
        <v>19</v>
      </c>
      <c r="G951" s="22">
        <v>2023</v>
      </c>
      <c r="H951" s="23">
        <f t="shared" si="42"/>
        <v>45157</v>
      </c>
      <c r="I951" s="25">
        <v>45163</v>
      </c>
      <c r="J951" s="22">
        <f t="shared" si="43"/>
        <v>6</v>
      </c>
      <c r="K951" t="s">
        <v>19</v>
      </c>
      <c r="L951">
        <v>16034</v>
      </c>
      <c r="M951">
        <v>332</v>
      </c>
      <c r="N951" s="26">
        <v>314.09</v>
      </c>
      <c r="O951" s="26">
        <f t="shared" si="44"/>
        <v>314.09</v>
      </c>
      <c r="P951">
        <v>46</v>
      </c>
      <c r="Q951" t="b">
        <v>0</v>
      </c>
      <c r="S951" t="s">
        <v>20</v>
      </c>
    </row>
    <row r="952" spans="1:19">
      <c r="A952" t="s">
        <v>1978</v>
      </c>
      <c r="B952" t="s">
        <v>1979</v>
      </c>
      <c r="C952" s="23" t="s">
        <v>4131</v>
      </c>
      <c r="D952" s="23">
        <v>44971</v>
      </c>
      <c r="E952" s="22">
        <v>2</v>
      </c>
      <c r="F952" s="22">
        <v>14</v>
      </c>
      <c r="G952" s="22">
        <v>2023</v>
      </c>
      <c r="H952" s="23">
        <f t="shared" si="42"/>
        <v>44971</v>
      </c>
      <c r="I952" s="25">
        <v>44996</v>
      </c>
      <c r="J952" s="22">
        <f t="shared" si="43"/>
        <v>25</v>
      </c>
      <c r="K952" t="s">
        <v>23</v>
      </c>
      <c r="L952">
        <v>6126</v>
      </c>
      <c r="M952">
        <v>160</v>
      </c>
      <c r="N952" s="26">
        <v>119.01</v>
      </c>
      <c r="O952" s="26">
        <f t="shared" si="44"/>
        <v>119.01</v>
      </c>
      <c r="P952">
        <v>28</v>
      </c>
      <c r="Q952" t="b">
        <v>0</v>
      </c>
      <c r="S952" t="s">
        <v>25</v>
      </c>
    </row>
    <row r="953" spans="1:19">
      <c r="A953" t="s">
        <v>1980</v>
      </c>
      <c r="B953" t="s">
        <v>1981</v>
      </c>
      <c r="C953" s="23" t="s">
        <v>4127</v>
      </c>
      <c r="D953" s="23">
        <v>45048</v>
      </c>
      <c r="E953" s="22">
        <v>5</v>
      </c>
      <c r="F953" s="22">
        <v>2</v>
      </c>
      <c r="G953" s="22">
        <v>2023</v>
      </c>
      <c r="H953" s="23">
        <f t="shared" si="42"/>
        <v>45048</v>
      </c>
      <c r="I953" s="25">
        <v>45061</v>
      </c>
      <c r="J953" s="22">
        <f t="shared" si="43"/>
        <v>13</v>
      </c>
      <c r="K953" t="s">
        <v>33</v>
      </c>
      <c r="L953">
        <v>6122</v>
      </c>
      <c r="M953">
        <v>279</v>
      </c>
      <c r="N953" s="26">
        <v>422.25</v>
      </c>
      <c r="O953" s="26">
        <f t="shared" si="44"/>
        <v>422.25</v>
      </c>
      <c r="P953">
        <v>36</v>
      </c>
      <c r="Q953" t="b">
        <v>0</v>
      </c>
      <c r="S953" t="s">
        <v>34</v>
      </c>
    </row>
    <row r="954" spans="1:19">
      <c r="A954" t="s">
        <v>1982</v>
      </c>
      <c r="B954" t="s">
        <v>1983</v>
      </c>
      <c r="C954" s="23" t="s">
        <v>4127</v>
      </c>
      <c r="D954" s="23">
        <v>45279</v>
      </c>
      <c r="E954" s="22">
        <v>12</v>
      </c>
      <c r="F954" s="22">
        <v>19</v>
      </c>
      <c r="G954" s="22">
        <v>2023</v>
      </c>
      <c r="H954" s="23">
        <f t="shared" si="42"/>
        <v>45279</v>
      </c>
      <c r="I954" s="25">
        <v>45281</v>
      </c>
      <c r="J954" s="22">
        <f t="shared" si="43"/>
        <v>2</v>
      </c>
      <c r="K954" t="s">
        <v>14</v>
      </c>
      <c r="L954">
        <v>19030</v>
      </c>
      <c r="M954">
        <v>192</v>
      </c>
      <c r="N954" s="26">
        <v>106.97</v>
      </c>
      <c r="O954" s="26">
        <f t="shared" si="44"/>
        <v>106.97</v>
      </c>
      <c r="P954">
        <v>32</v>
      </c>
      <c r="Q954" t="b">
        <v>1</v>
      </c>
      <c r="S954" t="s">
        <v>16</v>
      </c>
    </row>
    <row r="955" spans="1:19">
      <c r="A955" t="s">
        <v>1984</v>
      </c>
      <c r="B955" t="s">
        <v>1985</v>
      </c>
      <c r="C955" s="23" t="s">
        <v>4131</v>
      </c>
      <c r="D955" s="23">
        <v>45250</v>
      </c>
      <c r="E955" s="22">
        <v>11</v>
      </c>
      <c r="F955" s="22">
        <v>20</v>
      </c>
      <c r="G955" s="22">
        <v>2023</v>
      </c>
      <c r="H955" s="23">
        <f t="shared" si="42"/>
        <v>45250</v>
      </c>
      <c r="I955" s="25">
        <v>45260</v>
      </c>
      <c r="J955" s="22">
        <f t="shared" si="43"/>
        <v>10</v>
      </c>
      <c r="K955" t="s">
        <v>23</v>
      </c>
      <c r="L955">
        <v>83838</v>
      </c>
      <c r="M955">
        <v>971</v>
      </c>
      <c r="N955" s="26">
        <v>1388.48</v>
      </c>
      <c r="O955" s="26">
        <f t="shared" si="44"/>
        <v>1388.48</v>
      </c>
      <c r="P955">
        <v>122</v>
      </c>
      <c r="Q955" t="b">
        <v>0</v>
      </c>
      <c r="S955" t="s">
        <v>25</v>
      </c>
    </row>
    <row r="956" spans="1:19">
      <c r="A956" t="s">
        <v>1986</v>
      </c>
      <c r="B956" t="s">
        <v>1987</v>
      </c>
      <c r="C956" s="23" t="s">
        <v>4131</v>
      </c>
      <c r="D956" s="23">
        <v>45032</v>
      </c>
      <c r="E956" s="22">
        <v>4</v>
      </c>
      <c r="F956" s="22">
        <v>16</v>
      </c>
      <c r="G956" s="22">
        <v>2023</v>
      </c>
      <c r="H956" s="23">
        <f t="shared" si="42"/>
        <v>45032</v>
      </c>
      <c r="I956" s="25">
        <v>45038</v>
      </c>
      <c r="J956" s="22">
        <f t="shared" si="43"/>
        <v>6</v>
      </c>
      <c r="K956" t="s">
        <v>23</v>
      </c>
      <c r="L956">
        <v>85717</v>
      </c>
      <c r="M956">
        <v>2928</v>
      </c>
      <c r="N956" s="26">
        <v>4530.49</v>
      </c>
      <c r="O956" s="26">
        <f t="shared" si="44"/>
        <v>3632.575</v>
      </c>
      <c r="P956">
        <v>173</v>
      </c>
      <c r="Q956" t="b">
        <v>1</v>
      </c>
      <c r="S956" t="s">
        <v>25</v>
      </c>
    </row>
    <row r="957" spans="1:19">
      <c r="A957" t="s">
        <v>1988</v>
      </c>
      <c r="B957" t="s">
        <v>1989</v>
      </c>
      <c r="C957" s="23" t="s">
        <v>4129</v>
      </c>
      <c r="D957" s="23">
        <v>45218</v>
      </c>
      <c r="E957" s="22">
        <v>10</v>
      </c>
      <c r="F957" s="22">
        <v>19</v>
      </c>
      <c r="G957" s="22">
        <v>2023</v>
      </c>
      <c r="H957" s="23">
        <f t="shared" si="42"/>
        <v>45218</v>
      </c>
      <c r="I957" s="25">
        <v>45226</v>
      </c>
      <c r="J957" s="22">
        <f t="shared" si="43"/>
        <v>8</v>
      </c>
      <c r="K957" t="s">
        <v>41</v>
      </c>
      <c r="L957">
        <v>56658</v>
      </c>
      <c r="M957">
        <v>2622</v>
      </c>
      <c r="N957" s="26">
        <v>2156.27</v>
      </c>
      <c r="O957" s="26">
        <f t="shared" si="44"/>
        <v>2156.27</v>
      </c>
      <c r="P957">
        <v>282</v>
      </c>
      <c r="Q957" t="b">
        <v>0</v>
      </c>
      <c r="S957" t="s">
        <v>42</v>
      </c>
    </row>
    <row r="958" spans="1:19">
      <c r="A958" t="s">
        <v>1990</v>
      </c>
      <c r="B958" t="s">
        <v>1991</v>
      </c>
      <c r="C958" s="23" t="s">
        <v>4131</v>
      </c>
      <c r="D958" s="23">
        <v>45202</v>
      </c>
      <c r="E958" s="22">
        <v>10</v>
      </c>
      <c r="F958" s="22">
        <v>3</v>
      </c>
      <c r="G958" s="22">
        <v>2023</v>
      </c>
      <c r="H958" s="23">
        <f t="shared" si="42"/>
        <v>45202</v>
      </c>
      <c r="I958" s="25">
        <v>45213</v>
      </c>
      <c r="J958" s="22">
        <f t="shared" si="43"/>
        <v>11</v>
      </c>
      <c r="K958" t="s">
        <v>14</v>
      </c>
      <c r="L958">
        <v>39638</v>
      </c>
      <c r="M958">
        <v>775</v>
      </c>
      <c r="N958" s="26">
        <v>436.28</v>
      </c>
      <c r="O958" s="26">
        <f t="shared" si="44"/>
        <v>436.28</v>
      </c>
      <c r="P958">
        <v>90</v>
      </c>
      <c r="Q958" t="b">
        <v>1</v>
      </c>
      <c r="S958" t="s">
        <v>16</v>
      </c>
    </row>
    <row r="959" spans="1:19">
      <c r="A959" t="s">
        <v>1992</v>
      </c>
      <c r="B959" t="s">
        <v>1993</v>
      </c>
      <c r="C959" s="23" t="s">
        <v>4128</v>
      </c>
      <c r="D959" s="23">
        <v>45076</v>
      </c>
      <c r="E959" s="22">
        <v>5</v>
      </c>
      <c r="F959" s="22">
        <v>30</v>
      </c>
      <c r="G959" s="22">
        <v>2023</v>
      </c>
      <c r="H959" s="23">
        <f t="shared" si="42"/>
        <v>45076</v>
      </c>
      <c r="I959" s="25">
        <v>45104</v>
      </c>
      <c r="J959" s="22">
        <f t="shared" si="43"/>
        <v>28</v>
      </c>
      <c r="K959" t="s">
        <v>41</v>
      </c>
      <c r="L959">
        <v>68067</v>
      </c>
      <c r="M959">
        <v>1959</v>
      </c>
      <c r="N959" s="26">
        <v>2048.07</v>
      </c>
      <c r="O959" s="26">
        <f t="shared" si="44"/>
        <v>2048.07</v>
      </c>
      <c r="P959">
        <v>139</v>
      </c>
      <c r="Q959" t="b">
        <v>1</v>
      </c>
      <c r="S959" t="s">
        <v>42</v>
      </c>
    </row>
    <row r="960" spans="1:19">
      <c r="A960" t="s">
        <v>1994</v>
      </c>
      <c r="B960" t="s">
        <v>1995</v>
      </c>
      <c r="C960" s="23" t="s">
        <v>4129</v>
      </c>
      <c r="D960" s="23">
        <v>45190</v>
      </c>
      <c r="E960" s="22">
        <v>9</v>
      </c>
      <c r="F960" s="22">
        <v>21</v>
      </c>
      <c r="G960" s="22">
        <v>2023</v>
      </c>
      <c r="H960" s="23">
        <f t="shared" si="42"/>
        <v>45190</v>
      </c>
      <c r="I960" s="25">
        <v>45212</v>
      </c>
      <c r="J960" s="22">
        <f t="shared" si="43"/>
        <v>22</v>
      </c>
      <c r="K960" t="s">
        <v>23</v>
      </c>
      <c r="L960">
        <v>89869</v>
      </c>
      <c r="M960">
        <v>2518</v>
      </c>
      <c r="N960" s="26">
        <v>1631.39</v>
      </c>
      <c r="O960" s="26">
        <f t="shared" si="44"/>
        <v>1631.39</v>
      </c>
      <c r="P960">
        <v>164</v>
      </c>
      <c r="Q960" t="b">
        <v>1</v>
      </c>
      <c r="S960" t="s">
        <v>25</v>
      </c>
    </row>
    <row r="961" spans="1:19">
      <c r="A961" t="s">
        <v>1996</v>
      </c>
      <c r="B961" t="s">
        <v>1997</v>
      </c>
      <c r="C961" s="23" t="s">
        <v>4129</v>
      </c>
      <c r="D961" s="23">
        <v>44975</v>
      </c>
      <c r="E961" s="22">
        <v>2</v>
      </c>
      <c r="F961" s="22">
        <v>18</v>
      </c>
      <c r="G961" s="22">
        <v>2023</v>
      </c>
      <c r="H961" s="23">
        <f t="shared" si="42"/>
        <v>44975</v>
      </c>
      <c r="I961" s="25">
        <v>44994</v>
      </c>
      <c r="J961" s="22">
        <f t="shared" si="43"/>
        <v>19</v>
      </c>
      <c r="K961" t="s">
        <v>33</v>
      </c>
      <c r="L961">
        <v>35674</v>
      </c>
      <c r="M961">
        <v>1031</v>
      </c>
      <c r="N961" s="26">
        <v>695.63</v>
      </c>
      <c r="O961" s="26">
        <f t="shared" si="44"/>
        <v>695.63</v>
      </c>
      <c r="P961">
        <v>134</v>
      </c>
      <c r="Q961" t="b">
        <v>0</v>
      </c>
      <c r="S961" t="s">
        <v>34</v>
      </c>
    </row>
    <row r="962" spans="1:19">
      <c r="A962" t="s">
        <v>1998</v>
      </c>
      <c r="B962" t="s">
        <v>1999</v>
      </c>
      <c r="C962" s="23" t="s">
        <v>4127</v>
      </c>
      <c r="D962" s="23">
        <v>45137</v>
      </c>
      <c r="E962" s="22">
        <v>7</v>
      </c>
      <c r="F962" s="22">
        <v>30</v>
      </c>
      <c r="G962" s="22">
        <v>2023</v>
      </c>
      <c r="H962" s="23">
        <f t="shared" si="42"/>
        <v>45137</v>
      </c>
      <c r="I962" s="25">
        <v>45132</v>
      </c>
      <c r="J962" s="22">
        <f t="shared" si="43"/>
        <v>-5</v>
      </c>
      <c r="K962" t="s">
        <v>138</v>
      </c>
      <c r="L962">
        <v>36854</v>
      </c>
      <c r="M962">
        <v>1286</v>
      </c>
      <c r="N962" s="26">
        <v>1133.47</v>
      </c>
      <c r="O962" s="26">
        <f t="shared" si="44"/>
        <v>1133.47</v>
      </c>
      <c r="P962">
        <v>80</v>
      </c>
      <c r="Q962" t="b">
        <v>0</v>
      </c>
      <c r="S962" t="s">
        <v>139</v>
      </c>
    </row>
    <row r="963" spans="1:19">
      <c r="A963" t="s">
        <v>2000</v>
      </c>
      <c r="B963" t="s">
        <v>2001</v>
      </c>
      <c r="C963" s="23" t="s">
        <v>4129</v>
      </c>
      <c r="D963" s="23">
        <v>45262</v>
      </c>
      <c r="E963" s="22">
        <v>12</v>
      </c>
      <c r="F963" s="22">
        <v>2</v>
      </c>
      <c r="G963" s="22">
        <v>2023</v>
      </c>
      <c r="H963" s="23">
        <f t="shared" ref="H963:H1026" si="45">IF(E963&gt;12,DATE(G963,F963,E963),D963)</f>
        <v>45262</v>
      </c>
      <c r="I963" s="25">
        <v>45278</v>
      </c>
      <c r="J963" s="22">
        <f t="shared" ref="J963:J1026" si="46">DATEDIF(H963,I963,"D")</f>
        <v>16</v>
      </c>
      <c r="K963" t="s">
        <v>19</v>
      </c>
      <c r="L963">
        <v>47271</v>
      </c>
      <c r="M963">
        <v>1360</v>
      </c>
      <c r="N963" s="26">
        <v>1282.75</v>
      </c>
      <c r="O963" s="26">
        <f t="shared" ref="O963:O1026" si="47">IF(N963&lt;$W$8,$W$8,IF(N963&gt;$W$9,$W$9,N963))</f>
        <v>1282.75</v>
      </c>
      <c r="P963">
        <v>129</v>
      </c>
      <c r="Q963" t="b">
        <v>0</v>
      </c>
      <c r="S963" t="s">
        <v>20</v>
      </c>
    </row>
    <row r="964" spans="1:19">
      <c r="A964" t="s">
        <v>2002</v>
      </c>
      <c r="B964" t="s">
        <v>2003</v>
      </c>
      <c r="C964" s="23" t="s">
        <v>4128</v>
      </c>
      <c r="D964" s="23">
        <v>45054</v>
      </c>
      <c r="E964" s="22">
        <v>5</v>
      </c>
      <c r="F964" s="22">
        <v>8</v>
      </c>
      <c r="G964" s="22">
        <v>2023</v>
      </c>
      <c r="H964" s="23">
        <f t="shared" si="45"/>
        <v>45054</v>
      </c>
      <c r="I964" s="25">
        <v>45062</v>
      </c>
      <c r="J964" s="22">
        <f t="shared" si="46"/>
        <v>8</v>
      </c>
      <c r="K964" t="s">
        <v>41</v>
      </c>
      <c r="L964">
        <v>74688</v>
      </c>
      <c r="M964">
        <v>2083</v>
      </c>
      <c r="N964" s="26">
        <v>2697.39</v>
      </c>
      <c r="O964" s="26">
        <f t="shared" si="47"/>
        <v>2697.39</v>
      </c>
      <c r="P964">
        <v>336</v>
      </c>
      <c r="Q964" t="b">
        <v>1</v>
      </c>
      <c r="S964" t="s">
        <v>42</v>
      </c>
    </row>
    <row r="965" spans="1:19">
      <c r="A965" t="s">
        <v>2004</v>
      </c>
      <c r="B965" t="s">
        <v>2005</v>
      </c>
      <c r="C965" s="23" t="s">
        <v>4131</v>
      </c>
      <c r="D965" s="23">
        <v>45053</v>
      </c>
      <c r="E965" s="22">
        <v>5</v>
      </c>
      <c r="F965" s="22">
        <v>7</v>
      </c>
      <c r="G965" s="22">
        <v>2023</v>
      </c>
      <c r="H965" s="23">
        <f t="shared" si="45"/>
        <v>45053</v>
      </c>
      <c r="I965" s="25">
        <v>45076</v>
      </c>
      <c r="J965" s="22">
        <f t="shared" si="46"/>
        <v>23</v>
      </c>
      <c r="K965" t="s">
        <v>415</v>
      </c>
      <c r="L965">
        <v>39518</v>
      </c>
      <c r="M965">
        <v>1144</v>
      </c>
      <c r="N965" s="26">
        <v>1736.12</v>
      </c>
      <c r="O965" s="26">
        <f t="shared" si="47"/>
        <v>1736.12</v>
      </c>
      <c r="P965">
        <v>222</v>
      </c>
      <c r="Q965" t="b">
        <v>0</v>
      </c>
      <c r="S965" t="s">
        <v>34</v>
      </c>
    </row>
    <row r="966" spans="1:19">
      <c r="A966" t="s">
        <v>2006</v>
      </c>
      <c r="B966" t="s">
        <v>2007</v>
      </c>
      <c r="C966" s="23" t="s">
        <v>4127</v>
      </c>
      <c r="D966" s="23">
        <v>45177</v>
      </c>
      <c r="E966" s="22">
        <v>9</v>
      </c>
      <c r="F966" s="22">
        <v>8</v>
      </c>
      <c r="G966" s="22">
        <v>2023</v>
      </c>
      <c r="H966" s="23">
        <f t="shared" si="45"/>
        <v>45177</v>
      </c>
      <c r="I966" s="25">
        <v>45192</v>
      </c>
      <c r="J966" s="22">
        <f t="shared" si="46"/>
        <v>15</v>
      </c>
      <c r="K966" t="s">
        <v>23</v>
      </c>
      <c r="L966">
        <v>11267</v>
      </c>
      <c r="M966">
        <v>378</v>
      </c>
      <c r="N966" s="26">
        <v>525.1</v>
      </c>
      <c r="O966" s="26">
        <f t="shared" si="47"/>
        <v>525.1</v>
      </c>
      <c r="P966">
        <v>0</v>
      </c>
      <c r="Q966" t="b">
        <v>1</v>
      </c>
      <c r="S966" t="s">
        <v>25</v>
      </c>
    </row>
    <row r="967" spans="1:19">
      <c r="A967" t="s">
        <v>2008</v>
      </c>
      <c r="B967" t="s">
        <v>2009</v>
      </c>
      <c r="C967" s="23" t="s">
        <v>4128</v>
      </c>
      <c r="D967" s="23">
        <v>45248</v>
      </c>
      <c r="E967" s="22">
        <v>11</v>
      </c>
      <c r="F967" s="22">
        <v>18</v>
      </c>
      <c r="G967" s="22">
        <v>2023</v>
      </c>
      <c r="H967" s="23">
        <f t="shared" si="45"/>
        <v>45248</v>
      </c>
      <c r="I967" s="25">
        <v>45274</v>
      </c>
      <c r="J967" s="22">
        <f t="shared" si="46"/>
        <v>26</v>
      </c>
      <c r="K967" t="s">
        <v>33</v>
      </c>
      <c r="L967">
        <v>91825</v>
      </c>
      <c r="M967">
        <v>2890</v>
      </c>
      <c r="N967" s="26">
        <v>2088.14</v>
      </c>
      <c r="O967" s="26">
        <f t="shared" si="47"/>
        <v>2088.14</v>
      </c>
      <c r="P967">
        <v>574</v>
      </c>
      <c r="Q967" t="b">
        <v>1</v>
      </c>
      <c r="S967" t="s">
        <v>34</v>
      </c>
    </row>
    <row r="968" spans="1:19">
      <c r="A968" t="s">
        <v>2010</v>
      </c>
      <c r="B968" t="s">
        <v>2011</v>
      </c>
      <c r="C968" s="23" t="s">
        <v>4128</v>
      </c>
      <c r="D968" s="23">
        <v>45251</v>
      </c>
      <c r="E968" s="22">
        <v>11</v>
      </c>
      <c r="F968" s="22">
        <v>21</v>
      </c>
      <c r="G968" s="22">
        <v>2023</v>
      </c>
      <c r="H968" s="23">
        <f t="shared" si="45"/>
        <v>45251</v>
      </c>
      <c r="I968" s="25">
        <v>45274</v>
      </c>
      <c r="J968" s="22">
        <f t="shared" si="46"/>
        <v>23</v>
      </c>
      <c r="K968" t="s">
        <v>41</v>
      </c>
      <c r="L968">
        <v>2062</v>
      </c>
      <c r="M968">
        <v>91</v>
      </c>
      <c r="N968" s="26">
        <v>68.99</v>
      </c>
      <c r="O968" s="26">
        <f t="shared" si="47"/>
        <v>68.99</v>
      </c>
      <c r="P968">
        <v>14</v>
      </c>
      <c r="Q968" t="b">
        <v>1</v>
      </c>
      <c r="S968" t="s">
        <v>42</v>
      </c>
    </row>
    <row r="969" spans="1:19">
      <c r="A969" t="s">
        <v>2012</v>
      </c>
      <c r="B969" t="s">
        <v>2013</v>
      </c>
      <c r="C969" s="23" t="s">
        <v>4131</v>
      </c>
      <c r="D969" s="23">
        <v>45133</v>
      </c>
      <c r="E969" s="22">
        <v>7</v>
      </c>
      <c r="F969" s="22">
        <v>26</v>
      </c>
      <c r="G969" s="22">
        <v>2023</v>
      </c>
      <c r="H969" s="23">
        <f t="shared" si="45"/>
        <v>45133</v>
      </c>
      <c r="I969" s="25">
        <v>45163</v>
      </c>
      <c r="J969" s="22">
        <f t="shared" si="46"/>
        <v>30</v>
      </c>
      <c r="K969" t="s">
        <v>23</v>
      </c>
      <c r="L969">
        <v>51448</v>
      </c>
      <c r="M969">
        <v>616</v>
      </c>
      <c r="N969" s="26">
        <v>1119.98</v>
      </c>
      <c r="O969" s="26">
        <f t="shared" si="47"/>
        <v>1119.98</v>
      </c>
      <c r="P969">
        <v>57</v>
      </c>
      <c r="Q969" t="b">
        <v>0</v>
      </c>
      <c r="S969" t="s">
        <v>25</v>
      </c>
    </row>
    <row r="970" spans="1:19">
      <c r="A970" t="s">
        <v>2014</v>
      </c>
      <c r="B970" t="s">
        <v>2015</v>
      </c>
      <c r="C970" s="23" t="s">
        <v>4129</v>
      </c>
      <c r="D970" s="23">
        <v>45115</v>
      </c>
      <c r="E970" s="22">
        <v>7</v>
      </c>
      <c r="F970" s="22">
        <v>8</v>
      </c>
      <c r="G970" s="22">
        <v>2023</v>
      </c>
      <c r="H970" s="23">
        <f t="shared" si="45"/>
        <v>45115</v>
      </c>
      <c r="I970" s="25">
        <v>45119</v>
      </c>
      <c r="J970" s="22">
        <f t="shared" si="46"/>
        <v>4</v>
      </c>
      <c r="K970" t="s">
        <v>19</v>
      </c>
      <c r="L970">
        <v>96462</v>
      </c>
      <c r="M970">
        <v>4179</v>
      </c>
      <c r="N970" s="26">
        <v>5589.53</v>
      </c>
      <c r="O970" s="26">
        <f t="shared" si="47"/>
        <v>3632.575</v>
      </c>
      <c r="P970">
        <v>630</v>
      </c>
      <c r="Q970" t="b">
        <v>1</v>
      </c>
      <c r="S970" t="s">
        <v>20</v>
      </c>
    </row>
    <row r="971" spans="1:19">
      <c r="A971" t="s">
        <v>2016</v>
      </c>
      <c r="B971" t="s">
        <v>2017</v>
      </c>
      <c r="C971" s="23" t="s">
        <v>4128</v>
      </c>
      <c r="D971" s="23" t="s">
        <v>2018</v>
      </c>
      <c r="E971" s="22">
        <v>25</v>
      </c>
      <c r="F971" s="22">
        <v>10</v>
      </c>
      <c r="G971" s="22">
        <v>2023</v>
      </c>
      <c r="H971" s="23">
        <f t="shared" si="45"/>
        <v>45224</v>
      </c>
      <c r="I971" s="25">
        <v>45228</v>
      </c>
      <c r="J971" s="22">
        <f t="shared" si="46"/>
        <v>4</v>
      </c>
      <c r="K971" t="s">
        <v>41</v>
      </c>
      <c r="L971">
        <v>7229</v>
      </c>
      <c r="M971">
        <v>316</v>
      </c>
      <c r="N971" s="26">
        <v>570.35</v>
      </c>
      <c r="O971" s="26">
        <f t="shared" si="47"/>
        <v>570.35</v>
      </c>
      <c r="P971">
        <v>49</v>
      </c>
      <c r="Q971" t="b">
        <v>0</v>
      </c>
      <c r="S971" t="s">
        <v>42</v>
      </c>
    </row>
    <row r="972" spans="1:19">
      <c r="A972" t="s">
        <v>2019</v>
      </c>
      <c r="B972" t="s">
        <v>2020</v>
      </c>
      <c r="C972" s="23" t="s">
        <v>4128</v>
      </c>
      <c r="D972" s="23">
        <v>44974</v>
      </c>
      <c r="E972" s="22">
        <v>2</v>
      </c>
      <c r="F972" s="22">
        <v>17</v>
      </c>
      <c r="G972" s="22">
        <v>2023</v>
      </c>
      <c r="H972" s="23">
        <f t="shared" si="45"/>
        <v>44974</v>
      </c>
      <c r="I972" s="25">
        <v>44980</v>
      </c>
      <c r="J972" s="22">
        <f t="shared" si="46"/>
        <v>6</v>
      </c>
      <c r="K972" t="s">
        <v>41</v>
      </c>
      <c r="L972">
        <v>57793</v>
      </c>
      <c r="M972">
        <v>1236</v>
      </c>
      <c r="N972" s="26">
        <v>1306.85</v>
      </c>
      <c r="O972" s="26">
        <f t="shared" si="47"/>
        <v>1306.85</v>
      </c>
      <c r="P972">
        <v>130</v>
      </c>
      <c r="Q972" t="b">
        <v>1</v>
      </c>
      <c r="R972">
        <v>57876</v>
      </c>
      <c r="S972" t="s">
        <v>42</v>
      </c>
    </row>
    <row r="973" spans="1:19">
      <c r="A973" t="s">
        <v>2021</v>
      </c>
      <c r="B973" t="s">
        <v>2022</v>
      </c>
      <c r="C973" s="23" t="s">
        <v>4131</v>
      </c>
      <c r="D973" s="23">
        <v>45267</v>
      </c>
      <c r="E973" s="22">
        <v>12</v>
      </c>
      <c r="F973" s="22">
        <v>7</v>
      </c>
      <c r="G973" s="22">
        <v>2023</v>
      </c>
      <c r="H973" s="23">
        <f t="shared" si="45"/>
        <v>45267</v>
      </c>
      <c r="I973" s="25">
        <v>45272</v>
      </c>
      <c r="J973" s="22">
        <f t="shared" si="46"/>
        <v>5</v>
      </c>
      <c r="K973" t="s">
        <v>19</v>
      </c>
      <c r="L973">
        <v>48915</v>
      </c>
      <c r="M973">
        <v>1394</v>
      </c>
      <c r="N973" s="26">
        <v>1981.71</v>
      </c>
      <c r="O973" s="26">
        <f t="shared" si="47"/>
        <v>1981.71</v>
      </c>
      <c r="P973">
        <v>73</v>
      </c>
      <c r="Q973" t="b">
        <v>0</v>
      </c>
      <c r="S973" t="s">
        <v>20</v>
      </c>
    </row>
    <row r="974" spans="1:19">
      <c r="A974" t="s">
        <v>2023</v>
      </c>
      <c r="B974" t="s">
        <v>2024</v>
      </c>
      <c r="C974" s="23" t="s">
        <v>4127</v>
      </c>
      <c r="D974" s="23">
        <v>45200</v>
      </c>
      <c r="E974" s="22">
        <v>10</v>
      </c>
      <c r="F974" s="22">
        <v>1</v>
      </c>
      <c r="G974" s="22">
        <v>2023</v>
      </c>
      <c r="H974" s="23">
        <f t="shared" si="45"/>
        <v>45200</v>
      </c>
      <c r="I974" s="25">
        <v>45205</v>
      </c>
      <c r="J974" s="22">
        <f t="shared" si="46"/>
        <v>5</v>
      </c>
      <c r="K974" t="s">
        <v>23</v>
      </c>
      <c r="L974">
        <v>5632</v>
      </c>
      <c r="M974">
        <v>155</v>
      </c>
      <c r="N974" s="26">
        <v>199.25</v>
      </c>
      <c r="O974" s="26">
        <f t="shared" si="47"/>
        <v>199.25</v>
      </c>
      <c r="P974">
        <v>0</v>
      </c>
      <c r="Q974" t="b">
        <v>1</v>
      </c>
      <c r="S974" t="s">
        <v>25</v>
      </c>
    </row>
    <row r="975" spans="1:19">
      <c r="A975" t="s">
        <v>2025</v>
      </c>
      <c r="B975" t="s">
        <v>2026</v>
      </c>
      <c r="C975" s="23" t="s">
        <v>4129</v>
      </c>
      <c r="D975" s="23">
        <v>45035</v>
      </c>
      <c r="E975" s="22">
        <v>4</v>
      </c>
      <c r="F975" s="22">
        <v>19</v>
      </c>
      <c r="G975" s="22">
        <v>2023</v>
      </c>
      <c r="H975" s="23">
        <f t="shared" si="45"/>
        <v>45035</v>
      </c>
      <c r="I975" s="25">
        <v>45059</v>
      </c>
      <c r="J975" s="22">
        <f t="shared" si="46"/>
        <v>24</v>
      </c>
      <c r="K975" t="s">
        <v>14</v>
      </c>
      <c r="L975">
        <v>4596</v>
      </c>
      <c r="M975">
        <v>86</v>
      </c>
      <c r="N975" s="26">
        <v>84.17</v>
      </c>
      <c r="O975" s="26">
        <f t="shared" si="47"/>
        <v>84.17</v>
      </c>
      <c r="P975">
        <v>4</v>
      </c>
      <c r="Q975" t="b">
        <v>0</v>
      </c>
      <c r="S975" t="s">
        <v>16</v>
      </c>
    </row>
    <row r="976" spans="1:19">
      <c r="A976" t="s">
        <v>2027</v>
      </c>
      <c r="B976" t="s">
        <v>2028</v>
      </c>
      <c r="C976" s="23" t="s">
        <v>4129</v>
      </c>
      <c r="D976" s="23">
        <v>45072</v>
      </c>
      <c r="E976" s="22">
        <v>5</v>
      </c>
      <c r="F976" s="22">
        <v>26</v>
      </c>
      <c r="G976" s="22">
        <v>2023</v>
      </c>
      <c r="H976" s="23">
        <f t="shared" si="45"/>
        <v>45072</v>
      </c>
      <c r="I976" s="25">
        <v>45092</v>
      </c>
      <c r="J976" s="22">
        <f t="shared" si="46"/>
        <v>20</v>
      </c>
      <c r="K976" t="s">
        <v>33</v>
      </c>
      <c r="L976">
        <v>7168</v>
      </c>
      <c r="M976">
        <v>185</v>
      </c>
      <c r="N976" s="26">
        <v>222.9</v>
      </c>
      <c r="O976" s="26">
        <f t="shared" si="47"/>
        <v>222.9</v>
      </c>
      <c r="P976">
        <v>26</v>
      </c>
      <c r="Q976" t="b">
        <v>0</v>
      </c>
      <c r="S976" t="s">
        <v>34</v>
      </c>
    </row>
    <row r="977" spans="1:19">
      <c r="A977" t="s">
        <v>2029</v>
      </c>
      <c r="B977" t="s">
        <v>2030</v>
      </c>
      <c r="C977" s="23" t="s">
        <v>4128</v>
      </c>
      <c r="D977" s="23">
        <v>45216</v>
      </c>
      <c r="E977" s="22">
        <v>10</v>
      </c>
      <c r="F977" s="22">
        <v>17</v>
      </c>
      <c r="G977" s="22">
        <v>2023</v>
      </c>
      <c r="H977" s="23">
        <f t="shared" si="45"/>
        <v>45216</v>
      </c>
      <c r="I977" s="25">
        <v>45211</v>
      </c>
      <c r="J977" s="22">
        <f t="shared" si="46"/>
        <v>-5</v>
      </c>
      <c r="K977" t="s">
        <v>23</v>
      </c>
      <c r="L977">
        <v>8561</v>
      </c>
      <c r="M977">
        <v>100</v>
      </c>
      <c r="N977" s="26">
        <v>125.37</v>
      </c>
      <c r="O977" s="26">
        <f t="shared" si="47"/>
        <v>125.37</v>
      </c>
      <c r="P977">
        <v>7</v>
      </c>
      <c r="Q977" t="b">
        <v>1</v>
      </c>
      <c r="S977" t="s">
        <v>25</v>
      </c>
    </row>
    <row r="978" spans="1:19">
      <c r="A978" t="s">
        <v>2031</v>
      </c>
      <c r="B978" t="s">
        <v>2032</v>
      </c>
      <c r="C978" s="23" t="s">
        <v>4131</v>
      </c>
      <c r="D978" s="23">
        <v>45276</v>
      </c>
      <c r="E978" s="22">
        <v>12</v>
      </c>
      <c r="F978" s="22">
        <v>16</v>
      </c>
      <c r="G978" s="22">
        <v>2023</v>
      </c>
      <c r="H978" s="23">
        <f t="shared" si="45"/>
        <v>45276</v>
      </c>
      <c r="I978" s="25">
        <v>45277</v>
      </c>
      <c r="J978" s="22">
        <f t="shared" si="46"/>
        <v>1</v>
      </c>
      <c r="K978" t="s">
        <v>23</v>
      </c>
      <c r="L978">
        <v>74794</v>
      </c>
      <c r="M978">
        <v>1579</v>
      </c>
      <c r="N978" s="26">
        <v>1265.03</v>
      </c>
      <c r="O978" s="26">
        <f t="shared" si="47"/>
        <v>1265.03</v>
      </c>
      <c r="P978">
        <v>212</v>
      </c>
      <c r="Q978" t="b">
        <v>0</v>
      </c>
      <c r="S978" t="s">
        <v>25</v>
      </c>
    </row>
    <row r="979" spans="1:19">
      <c r="A979" t="s">
        <v>2033</v>
      </c>
      <c r="B979" t="s">
        <v>2034</v>
      </c>
      <c r="C979" s="23" t="s">
        <v>4128</v>
      </c>
      <c r="D979" s="23">
        <v>45247</v>
      </c>
      <c r="E979" s="22">
        <v>11</v>
      </c>
      <c r="F979" s="22">
        <v>17</v>
      </c>
      <c r="G979" s="22">
        <v>2023</v>
      </c>
      <c r="H979" s="23">
        <f t="shared" si="45"/>
        <v>45247</v>
      </c>
      <c r="I979" s="25">
        <v>45262</v>
      </c>
      <c r="J979" s="22">
        <f t="shared" si="46"/>
        <v>15</v>
      </c>
      <c r="K979" t="s">
        <v>33</v>
      </c>
      <c r="L979">
        <v>83152</v>
      </c>
      <c r="M979">
        <v>3547</v>
      </c>
      <c r="N979" s="26">
        <v>3449.51</v>
      </c>
      <c r="O979" s="26">
        <f t="shared" si="47"/>
        <v>3449.51</v>
      </c>
      <c r="P979">
        <v>445</v>
      </c>
      <c r="Q979" t="b">
        <v>1</v>
      </c>
      <c r="S979" t="s">
        <v>34</v>
      </c>
    </row>
    <row r="980" spans="1:19">
      <c r="A980" t="s">
        <v>2035</v>
      </c>
      <c r="B980" t="s">
        <v>2036</v>
      </c>
      <c r="C980" s="23" t="s">
        <v>4129</v>
      </c>
      <c r="D980" s="23">
        <v>44990</v>
      </c>
      <c r="E980" s="22">
        <v>3</v>
      </c>
      <c r="F980" s="22">
        <v>5</v>
      </c>
      <c r="G980" s="22">
        <v>2023</v>
      </c>
      <c r="H980" s="23">
        <f t="shared" si="45"/>
        <v>44990</v>
      </c>
      <c r="I980" s="25">
        <v>45006</v>
      </c>
      <c r="J980" s="22">
        <f t="shared" si="46"/>
        <v>16</v>
      </c>
      <c r="K980" t="s">
        <v>41</v>
      </c>
      <c r="L980">
        <v>27734</v>
      </c>
      <c r="M980">
        <v>593</v>
      </c>
      <c r="N980" s="26">
        <v>1000.46</v>
      </c>
      <c r="O980" s="26">
        <f t="shared" si="47"/>
        <v>1000.46</v>
      </c>
      <c r="P980">
        <v>30</v>
      </c>
      <c r="Q980" t="b">
        <v>1</v>
      </c>
      <c r="S980" t="s">
        <v>42</v>
      </c>
    </row>
    <row r="981" spans="1:19">
      <c r="A981" t="s">
        <v>2037</v>
      </c>
      <c r="B981" t="s">
        <v>2038</v>
      </c>
      <c r="C981" s="23" t="s">
        <v>4131</v>
      </c>
      <c r="D981" s="23" t="s">
        <v>677</v>
      </c>
      <c r="E981" s="22">
        <v>22</v>
      </c>
      <c r="F981" s="22">
        <v>8</v>
      </c>
      <c r="G981" s="22">
        <v>2023</v>
      </c>
      <c r="H981" s="23">
        <f t="shared" si="45"/>
        <v>45160</v>
      </c>
      <c r="I981" s="25">
        <v>45172</v>
      </c>
      <c r="J981" s="22">
        <f t="shared" si="46"/>
        <v>12</v>
      </c>
      <c r="K981" t="s">
        <v>23</v>
      </c>
      <c r="L981">
        <v>7371</v>
      </c>
      <c r="M981">
        <v>314</v>
      </c>
      <c r="N981" s="26">
        <v>588.34</v>
      </c>
      <c r="O981" s="26">
        <f t="shared" si="47"/>
        <v>588.34</v>
      </c>
      <c r="P981">
        <v>32</v>
      </c>
      <c r="Q981" t="b">
        <v>1</v>
      </c>
      <c r="S981" t="s">
        <v>25</v>
      </c>
    </row>
    <row r="982" spans="1:19">
      <c r="A982" t="s">
        <v>2039</v>
      </c>
      <c r="B982" t="s">
        <v>2040</v>
      </c>
      <c r="C982" s="23" t="s">
        <v>4131</v>
      </c>
      <c r="D982" s="23">
        <v>45146</v>
      </c>
      <c r="E982" s="22">
        <v>8</v>
      </c>
      <c r="F982" s="22">
        <v>8</v>
      </c>
      <c r="G982" s="22">
        <v>2023</v>
      </c>
      <c r="H982" s="23">
        <f t="shared" si="45"/>
        <v>45146</v>
      </c>
      <c r="I982" s="25">
        <v>45172</v>
      </c>
      <c r="J982" s="22">
        <f t="shared" si="46"/>
        <v>26</v>
      </c>
      <c r="K982" t="s">
        <v>14</v>
      </c>
      <c r="L982">
        <v>27069</v>
      </c>
      <c r="M982">
        <v>846</v>
      </c>
      <c r="N982" s="26">
        <v>879.58</v>
      </c>
      <c r="O982" s="26">
        <f t="shared" si="47"/>
        <v>879.58</v>
      </c>
      <c r="P982">
        <v>118</v>
      </c>
      <c r="Q982" t="b">
        <v>0</v>
      </c>
      <c r="S982" t="s">
        <v>16</v>
      </c>
    </row>
    <row r="983" spans="1:19">
      <c r="A983" t="s">
        <v>2041</v>
      </c>
      <c r="B983" t="s">
        <v>2042</v>
      </c>
      <c r="C983" s="23" t="s">
        <v>4129</v>
      </c>
      <c r="D983" s="23">
        <v>44994</v>
      </c>
      <c r="E983" s="22">
        <v>3</v>
      </c>
      <c r="F983" s="22">
        <v>9</v>
      </c>
      <c r="G983" s="22">
        <v>2023</v>
      </c>
      <c r="H983" s="23">
        <f t="shared" si="45"/>
        <v>44994</v>
      </c>
      <c r="I983" s="25">
        <v>45017</v>
      </c>
      <c r="J983" s="22">
        <f t="shared" si="46"/>
        <v>23</v>
      </c>
      <c r="K983" t="s">
        <v>33</v>
      </c>
      <c r="L983">
        <v>80905</v>
      </c>
      <c r="M983">
        <v>3656</v>
      </c>
      <c r="N983" s="26">
        <v>3511.44</v>
      </c>
      <c r="O983" s="26">
        <f t="shared" si="47"/>
        <v>3511.44</v>
      </c>
      <c r="P983">
        <v>0</v>
      </c>
      <c r="Q983" t="b">
        <v>1</v>
      </c>
      <c r="S983" t="s">
        <v>34</v>
      </c>
    </row>
    <row r="984" spans="1:19">
      <c r="A984" t="s">
        <v>2043</v>
      </c>
      <c r="B984" t="s">
        <v>2044</v>
      </c>
      <c r="C984" s="23" t="s">
        <v>4128</v>
      </c>
      <c r="D984" s="23" t="s">
        <v>1616</v>
      </c>
      <c r="E984" s="22">
        <v>21</v>
      </c>
      <c r="F984" s="22">
        <v>5</v>
      </c>
      <c r="G984" s="22">
        <v>2023</v>
      </c>
      <c r="H984" s="23">
        <f t="shared" si="45"/>
        <v>45067</v>
      </c>
      <c r="I984" s="25">
        <v>45081</v>
      </c>
      <c r="J984" s="22">
        <f t="shared" si="46"/>
        <v>14</v>
      </c>
      <c r="K984" t="s">
        <v>23</v>
      </c>
      <c r="L984">
        <v>13910</v>
      </c>
      <c r="M984">
        <v>458</v>
      </c>
      <c r="N984" s="26">
        <v>363.1</v>
      </c>
      <c r="O984" s="26">
        <f t="shared" si="47"/>
        <v>363.1</v>
      </c>
      <c r="P984">
        <v>83</v>
      </c>
      <c r="Q984" t="b">
        <v>1</v>
      </c>
      <c r="S984" t="s">
        <v>25</v>
      </c>
    </row>
    <row r="985" spans="1:19">
      <c r="A985" t="s">
        <v>2045</v>
      </c>
      <c r="B985" t="s">
        <v>2046</v>
      </c>
      <c r="C985" s="23" t="s">
        <v>4129</v>
      </c>
      <c r="D985" s="23">
        <v>45111</v>
      </c>
      <c r="E985" s="22">
        <v>7</v>
      </c>
      <c r="F985" s="22">
        <v>4</v>
      </c>
      <c r="G985" s="22">
        <v>2023</v>
      </c>
      <c r="H985" s="23">
        <f t="shared" si="45"/>
        <v>45111</v>
      </c>
      <c r="I985" s="25">
        <v>45112</v>
      </c>
      <c r="J985" s="22">
        <f t="shared" si="46"/>
        <v>1</v>
      </c>
      <c r="K985" t="s">
        <v>41</v>
      </c>
      <c r="L985">
        <v>74479</v>
      </c>
      <c r="M985">
        <v>833</v>
      </c>
      <c r="N985" s="26">
        <v>1264.27</v>
      </c>
      <c r="O985" s="26">
        <f t="shared" si="47"/>
        <v>1264.27</v>
      </c>
      <c r="P985">
        <v>102</v>
      </c>
      <c r="Q985" t="b">
        <v>1</v>
      </c>
      <c r="S985" t="s">
        <v>42</v>
      </c>
    </row>
    <row r="986" spans="1:19">
      <c r="A986" t="s">
        <v>2047</v>
      </c>
      <c r="B986" t="s">
        <v>2048</v>
      </c>
      <c r="C986" s="23" t="s">
        <v>4129</v>
      </c>
      <c r="D986" s="23">
        <v>45259</v>
      </c>
      <c r="E986" s="22">
        <v>11</v>
      </c>
      <c r="F986" s="22">
        <v>29</v>
      </c>
      <c r="G986" s="22">
        <v>2023</v>
      </c>
      <c r="H986" s="23">
        <f t="shared" si="45"/>
        <v>45259</v>
      </c>
      <c r="I986" s="25">
        <v>45282</v>
      </c>
      <c r="J986" s="22">
        <f t="shared" si="46"/>
        <v>23</v>
      </c>
      <c r="K986" t="s">
        <v>33</v>
      </c>
      <c r="L986">
        <v>78735</v>
      </c>
      <c r="M986">
        <v>2914</v>
      </c>
      <c r="N986" s="26">
        <v>2869.27</v>
      </c>
      <c r="O986" s="26">
        <f t="shared" si="47"/>
        <v>2869.27</v>
      </c>
      <c r="P986">
        <v>464</v>
      </c>
      <c r="Q986" t="b">
        <v>0</v>
      </c>
      <c r="S986" t="s">
        <v>34</v>
      </c>
    </row>
    <row r="987" spans="1:19">
      <c r="A987" t="s">
        <v>2049</v>
      </c>
      <c r="B987" t="s">
        <v>2050</v>
      </c>
      <c r="C987" s="23" t="s">
        <v>4131</v>
      </c>
      <c r="D987" s="23">
        <v>45083</v>
      </c>
      <c r="E987" s="22">
        <v>6</v>
      </c>
      <c r="F987" s="22">
        <v>6</v>
      </c>
      <c r="G987" s="22">
        <v>2023</v>
      </c>
      <c r="H987" s="23">
        <f t="shared" si="45"/>
        <v>45083</v>
      </c>
      <c r="I987" s="25">
        <v>45078</v>
      </c>
      <c r="J987" s="22">
        <f t="shared" si="46"/>
        <v>-5</v>
      </c>
      <c r="K987" t="s">
        <v>14</v>
      </c>
      <c r="L987">
        <v>82264</v>
      </c>
      <c r="M987">
        <v>970</v>
      </c>
      <c r="N987" s="26">
        <v>1922.18</v>
      </c>
      <c r="O987" s="26">
        <f t="shared" si="47"/>
        <v>1922.18</v>
      </c>
      <c r="P987">
        <v>94</v>
      </c>
      <c r="Q987" t="b">
        <v>1</v>
      </c>
      <c r="S987" t="s">
        <v>16</v>
      </c>
    </row>
    <row r="988" spans="1:19">
      <c r="A988" t="s">
        <v>2051</v>
      </c>
      <c r="B988" t="s">
        <v>2052</v>
      </c>
      <c r="C988" s="23" t="s">
        <v>4127</v>
      </c>
      <c r="D988" s="23">
        <v>45146</v>
      </c>
      <c r="E988" s="22">
        <v>8</v>
      </c>
      <c r="F988" s="22">
        <v>8</v>
      </c>
      <c r="G988" s="22">
        <v>2023</v>
      </c>
      <c r="H988" s="23">
        <f t="shared" si="45"/>
        <v>45146</v>
      </c>
      <c r="I988" s="25">
        <v>45175</v>
      </c>
      <c r="J988" s="22">
        <f t="shared" si="46"/>
        <v>29</v>
      </c>
      <c r="K988" t="s">
        <v>19</v>
      </c>
      <c r="L988">
        <v>24275</v>
      </c>
      <c r="M988">
        <v>680</v>
      </c>
      <c r="N988" s="26">
        <v>672.2</v>
      </c>
      <c r="O988" s="26">
        <f t="shared" si="47"/>
        <v>672.2</v>
      </c>
      <c r="P988">
        <v>68</v>
      </c>
      <c r="Q988" t="b">
        <v>1</v>
      </c>
      <c r="S988" t="s">
        <v>20</v>
      </c>
    </row>
    <row r="989" spans="1:19">
      <c r="A989" t="s">
        <v>2053</v>
      </c>
      <c r="B989" t="s">
        <v>2054</v>
      </c>
      <c r="C989" s="23" t="s">
        <v>4131</v>
      </c>
      <c r="D989" s="23">
        <v>44927</v>
      </c>
      <c r="E989" s="22">
        <v>1</v>
      </c>
      <c r="F989" s="22">
        <v>1</v>
      </c>
      <c r="G989" s="22">
        <v>2023</v>
      </c>
      <c r="H989" s="23">
        <f t="shared" si="45"/>
        <v>44927</v>
      </c>
      <c r="I989" s="25">
        <v>44950</v>
      </c>
      <c r="J989" s="22">
        <f t="shared" si="46"/>
        <v>23</v>
      </c>
      <c r="K989" t="s">
        <v>33</v>
      </c>
      <c r="L989">
        <v>73274</v>
      </c>
      <c r="M989">
        <v>3456</v>
      </c>
      <c r="N989" s="26">
        <v>3771.2</v>
      </c>
      <c r="O989" s="26">
        <f t="shared" si="47"/>
        <v>3632.575</v>
      </c>
      <c r="P989">
        <v>273</v>
      </c>
      <c r="Q989" t="b">
        <v>0</v>
      </c>
      <c r="S989" t="s">
        <v>34</v>
      </c>
    </row>
    <row r="990" spans="1:19">
      <c r="A990" t="s">
        <v>2055</v>
      </c>
      <c r="B990" t="s">
        <v>2056</v>
      </c>
      <c r="C990" s="23" t="s">
        <v>4131</v>
      </c>
      <c r="D990" s="23">
        <v>45230</v>
      </c>
      <c r="E990" s="22">
        <v>10</v>
      </c>
      <c r="F990" s="22">
        <v>31</v>
      </c>
      <c r="G990" s="22">
        <v>2023</v>
      </c>
      <c r="H990" s="23">
        <f t="shared" si="45"/>
        <v>45230</v>
      </c>
      <c r="I990" s="25">
        <v>45242</v>
      </c>
      <c r="J990" s="22">
        <f t="shared" si="46"/>
        <v>12</v>
      </c>
      <c r="K990" t="s">
        <v>14</v>
      </c>
      <c r="L990">
        <v>82449</v>
      </c>
      <c r="M990">
        <v>1369</v>
      </c>
      <c r="N990" s="26">
        <v>1923.45</v>
      </c>
      <c r="O990" s="26">
        <f t="shared" si="47"/>
        <v>1923.45</v>
      </c>
      <c r="P990">
        <v>183</v>
      </c>
      <c r="Q990" t="b">
        <v>1</v>
      </c>
      <c r="S990" t="s">
        <v>16</v>
      </c>
    </row>
    <row r="991" spans="1:19">
      <c r="A991" t="s">
        <v>2057</v>
      </c>
      <c r="B991" t="s">
        <v>2058</v>
      </c>
      <c r="C991" s="23" t="s">
        <v>4127</v>
      </c>
      <c r="D991" s="23">
        <v>45047</v>
      </c>
      <c r="E991" s="22">
        <v>5</v>
      </c>
      <c r="F991" s="22">
        <v>1</v>
      </c>
      <c r="G991" s="22">
        <v>2023</v>
      </c>
      <c r="H991" s="23">
        <f t="shared" si="45"/>
        <v>45047</v>
      </c>
      <c r="I991" s="25">
        <v>44952</v>
      </c>
      <c r="J991" s="22">
        <f t="shared" si="46"/>
        <v>-95</v>
      </c>
      <c r="K991" t="s">
        <v>23</v>
      </c>
      <c r="L991">
        <v>61004</v>
      </c>
      <c r="M991">
        <v>1561</v>
      </c>
      <c r="N991" s="26">
        <v>2657.64</v>
      </c>
      <c r="O991" s="26">
        <f t="shared" si="47"/>
        <v>2657.64</v>
      </c>
      <c r="P991">
        <v>151</v>
      </c>
      <c r="Q991" t="b">
        <v>0</v>
      </c>
      <c r="S991" t="s">
        <v>25</v>
      </c>
    </row>
    <row r="992" spans="1:19">
      <c r="A992" t="s">
        <v>2059</v>
      </c>
      <c r="B992" t="s">
        <v>2060</v>
      </c>
      <c r="C992" s="23" t="s">
        <v>4127</v>
      </c>
      <c r="D992" s="23">
        <v>45102</v>
      </c>
      <c r="E992" s="22">
        <v>6</v>
      </c>
      <c r="F992" s="22">
        <v>25</v>
      </c>
      <c r="G992" s="22">
        <v>2023</v>
      </c>
      <c r="H992" s="23">
        <f t="shared" si="45"/>
        <v>45102</v>
      </c>
      <c r="I992" s="25">
        <v>45120</v>
      </c>
      <c r="J992" s="22">
        <f t="shared" si="46"/>
        <v>18</v>
      </c>
      <c r="K992" t="s">
        <v>23</v>
      </c>
      <c r="L992">
        <v>63981</v>
      </c>
      <c r="M992">
        <v>2507</v>
      </c>
      <c r="N992" s="26">
        <v>3019.12</v>
      </c>
      <c r="O992" s="26">
        <f t="shared" si="47"/>
        <v>3019.12</v>
      </c>
      <c r="P992">
        <v>157</v>
      </c>
      <c r="Q992" t="b">
        <v>1</v>
      </c>
      <c r="S992" t="s">
        <v>25</v>
      </c>
    </row>
    <row r="993" spans="1:19">
      <c r="A993" t="s">
        <v>2061</v>
      </c>
      <c r="B993" t="s">
        <v>2062</v>
      </c>
      <c r="C993" s="23" t="s">
        <v>4128</v>
      </c>
      <c r="D993" s="23">
        <v>45143</v>
      </c>
      <c r="E993" s="22">
        <v>8</v>
      </c>
      <c r="F993" s="22">
        <v>5</v>
      </c>
      <c r="G993" s="22">
        <v>2023</v>
      </c>
      <c r="H993" s="23">
        <f t="shared" si="45"/>
        <v>45143</v>
      </c>
      <c r="I993" s="25">
        <v>45147</v>
      </c>
      <c r="J993" s="22">
        <f t="shared" si="46"/>
        <v>4</v>
      </c>
      <c r="K993" t="s">
        <v>14</v>
      </c>
      <c r="L993">
        <v>85659</v>
      </c>
      <c r="M993">
        <v>3879</v>
      </c>
      <c r="N993" s="26">
        <v>4398.72</v>
      </c>
      <c r="O993" s="26">
        <f t="shared" si="47"/>
        <v>3632.575</v>
      </c>
      <c r="P993">
        <v>592</v>
      </c>
      <c r="Q993" t="b">
        <v>1</v>
      </c>
      <c r="S993" t="s">
        <v>16</v>
      </c>
    </row>
    <row r="994" spans="1:19">
      <c r="A994" t="s">
        <v>2063</v>
      </c>
      <c r="B994" t="s">
        <v>2064</v>
      </c>
      <c r="C994" s="23" t="s">
        <v>4127</v>
      </c>
      <c r="D994" s="23">
        <v>45044</v>
      </c>
      <c r="E994" s="22">
        <v>4</v>
      </c>
      <c r="F994" s="22">
        <v>28</v>
      </c>
      <c r="G994" s="22">
        <v>2023</v>
      </c>
      <c r="H994" s="23">
        <f t="shared" si="45"/>
        <v>45044</v>
      </c>
      <c r="I994" s="25">
        <v>45058</v>
      </c>
      <c r="J994" s="22">
        <f t="shared" si="46"/>
        <v>14</v>
      </c>
      <c r="K994" t="s">
        <v>23</v>
      </c>
      <c r="L994">
        <v>55553</v>
      </c>
      <c r="M994">
        <v>2046</v>
      </c>
      <c r="N994" s="26">
        <v>4078.61</v>
      </c>
      <c r="O994" s="26">
        <f t="shared" si="47"/>
        <v>3632.575</v>
      </c>
      <c r="P994">
        <v>319</v>
      </c>
      <c r="Q994" t="b">
        <v>0</v>
      </c>
      <c r="S994" t="s">
        <v>25</v>
      </c>
    </row>
    <row r="995" spans="1:19">
      <c r="A995" t="s">
        <v>2065</v>
      </c>
      <c r="B995" t="s">
        <v>2066</v>
      </c>
      <c r="C995" s="23" t="s">
        <v>4131</v>
      </c>
      <c r="D995" s="23">
        <v>44979</v>
      </c>
      <c r="E995" s="22">
        <v>2</v>
      </c>
      <c r="F995" s="22">
        <v>22</v>
      </c>
      <c r="G995" s="22">
        <v>2023</v>
      </c>
      <c r="H995" s="23">
        <f t="shared" si="45"/>
        <v>44979</v>
      </c>
      <c r="I995" s="25">
        <v>44995</v>
      </c>
      <c r="J995" s="22">
        <f t="shared" si="46"/>
        <v>16</v>
      </c>
      <c r="K995" t="s">
        <v>14</v>
      </c>
      <c r="L995">
        <v>49447</v>
      </c>
      <c r="M995">
        <v>1005</v>
      </c>
      <c r="N995" s="26">
        <v>518.32</v>
      </c>
      <c r="O995" s="26">
        <f t="shared" si="47"/>
        <v>518.32</v>
      </c>
      <c r="P995">
        <v>104</v>
      </c>
      <c r="Q995" t="b">
        <v>1</v>
      </c>
      <c r="S995" t="s">
        <v>16</v>
      </c>
    </row>
    <row r="996" spans="1:19">
      <c r="A996" t="s">
        <v>2067</v>
      </c>
      <c r="B996" t="s">
        <v>2068</v>
      </c>
      <c r="C996" s="23" t="s">
        <v>4127</v>
      </c>
      <c r="D996" s="23">
        <v>45080</v>
      </c>
      <c r="E996" s="22">
        <v>6</v>
      </c>
      <c r="F996" s="22">
        <v>3</v>
      </c>
      <c r="G996" s="22">
        <v>2023</v>
      </c>
      <c r="H996" s="23">
        <f t="shared" si="45"/>
        <v>45080</v>
      </c>
      <c r="I996" s="25">
        <v>45082</v>
      </c>
      <c r="J996" s="22">
        <f t="shared" si="46"/>
        <v>2</v>
      </c>
      <c r="K996" t="s">
        <v>14</v>
      </c>
      <c r="L996">
        <v>35529</v>
      </c>
      <c r="M996">
        <v>1314</v>
      </c>
      <c r="N996" s="26">
        <v>2421.17</v>
      </c>
      <c r="O996" s="26">
        <f t="shared" si="47"/>
        <v>2421.17</v>
      </c>
      <c r="P996">
        <v>80</v>
      </c>
      <c r="Q996" t="b">
        <v>1</v>
      </c>
      <c r="S996" t="s">
        <v>16</v>
      </c>
    </row>
    <row r="997" spans="1:19">
      <c r="A997" t="s">
        <v>2069</v>
      </c>
      <c r="B997" t="s">
        <v>2070</v>
      </c>
      <c r="C997" s="23" t="s">
        <v>4128</v>
      </c>
      <c r="D997" s="23">
        <v>44995</v>
      </c>
      <c r="E997" s="22">
        <v>3</v>
      </c>
      <c r="F997" s="22">
        <v>10</v>
      </c>
      <c r="G997" s="22">
        <v>2023</v>
      </c>
      <c r="H997" s="23">
        <f t="shared" si="45"/>
        <v>44995</v>
      </c>
      <c r="I997" s="25">
        <v>45004</v>
      </c>
      <c r="J997" s="22">
        <f t="shared" si="46"/>
        <v>9</v>
      </c>
      <c r="K997" t="s">
        <v>14</v>
      </c>
      <c r="L997">
        <v>76703</v>
      </c>
      <c r="M997">
        <v>1677</v>
      </c>
      <c r="N997" s="26">
        <v>1213.66</v>
      </c>
      <c r="O997" s="26">
        <f t="shared" si="47"/>
        <v>1213.66</v>
      </c>
      <c r="P997">
        <v>191</v>
      </c>
      <c r="Q997" t="b">
        <v>1</v>
      </c>
      <c r="S997" t="s">
        <v>16</v>
      </c>
    </row>
    <row r="998" spans="1:19">
      <c r="A998" t="s">
        <v>2071</v>
      </c>
      <c r="B998" t="s">
        <v>2072</v>
      </c>
      <c r="C998" s="23" t="s">
        <v>4129</v>
      </c>
      <c r="D998" s="23">
        <v>44962</v>
      </c>
      <c r="E998" s="22">
        <v>2</v>
      </c>
      <c r="F998" s="22">
        <v>5</v>
      </c>
      <c r="G998" s="22">
        <v>2023</v>
      </c>
      <c r="H998" s="23">
        <f t="shared" si="45"/>
        <v>44962</v>
      </c>
      <c r="I998" s="25">
        <v>45062</v>
      </c>
      <c r="J998" s="22">
        <f t="shared" si="46"/>
        <v>100</v>
      </c>
      <c r="K998" t="s">
        <v>33</v>
      </c>
      <c r="L998">
        <v>77090</v>
      </c>
      <c r="M998">
        <v>2986</v>
      </c>
      <c r="N998" s="26">
        <v>5013.16</v>
      </c>
      <c r="O998" s="26">
        <f t="shared" si="47"/>
        <v>3632.575</v>
      </c>
      <c r="P998">
        <v>347</v>
      </c>
      <c r="Q998" t="b">
        <v>0</v>
      </c>
      <c r="S998" t="s">
        <v>34</v>
      </c>
    </row>
    <row r="999" spans="1:19">
      <c r="A999" t="s">
        <v>2073</v>
      </c>
      <c r="B999" t="s">
        <v>2074</v>
      </c>
      <c r="C999" s="23" t="s">
        <v>4127</v>
      </c>
      <c r="D999" s="23">
        <v>45259</v>
      </c>
      <c r="E999" s="22">
        <v>11</v>
      </c>
      <c r="F999" s="22">
        <v>29</v>
      </c>
      <c r="G999" s="22">
        <v>2023</v>
      </c>
      <c r="H999" s="23">
        <f t="shared" si="45"/>
        <v>45259</v>
      </c>
      <c r="I999" s="25">
        <v>45277</v>
      </c>
      <c r="J999" s="22">
        <f t="shared" si="46"/>
        <v>18</v>
      </c>
      <c r="K999" t="s">
        <v>14</v>
      </c>
      <c r="L999">
        <v>18260</v>
      </c>
      <c r="M999">
        <v>879</v>
      </c>
      <c r="N999" s="26">
        <v>1254.24</v>
      </c>
      <c r="O999" s="26">
        <f t="shared" si="47"/>
        <v>1254.24</v>
      </c>
      <c r="P999">
        <v>132</v>
      </c>
      <c r="Q999" t="b">
        <v>1</v>
      </c>
      <c r="S999" t="s">
        <v>16</v>
      </c>
    </row>
    <row r="1000" spans="1:19">
      <c r="A1000" t="s">
        <v>2075</v>
      </c>
      <c r="B1000" t="s">
        <v>2076</v>
      </c>
      <c r="C1000" s="23" t="s">
        <v>4131</v>
      </c>
      <c r="D1000" s="23">
        <v>45036</v>
      </c>
      <c r="E1000" s="22">
        <v>4</v>
      </c>
      <c r="F1000" s="22">
        <v>20</v>
      </c>
      <c r="G1000" s="22">
        <v>2023</v>
      </c>
      <c r="H1000" s="23">
        <f t="shared" si="45"/>
        <v>45036</v>
      </c>
      <c r="I1000" s="25">
        <v>45059</v>
      </c>
      <c r="J1000" s="22">
        <f t="shared" si="46"/>
        <v>23</v>
      </c>
      <c r="K1000" t="s">
        <v>33</v>
      </c>
      <c r="L1000">
        <v>4812</v>
      </c>
      <c r="M1000">
        <v>186</v>
      </c>
      <c r="N1000" s="26">
        <v>188.38</v>
      </c>
      <c r="O1000" s="26">
        <f t="shared" si="47"/>
        <v>188.38</v>
      </c>
      <c r="P1000">
        <v>18</v>
      </c>
      <c r="Q1000" t="b">
        <v>1</v>
      </c>
      <c r="S1000" t="s">
        <v>34</v>
      </c>
    </row>
    <row r="1001" spans="1:19">
      <c r="A1001" t="s">
        <v>2077</v>
      </c>
      <c r="B1001" t="s">
        <v>2078</v>
      </c>
      <c r="C1001" s="23" t="s">
        <v>4129</v>
      </c>
      <c r="D1001" s="23">
        <v>45137</v>
      </c>
      <c r="E1001" s="22">
        <v>7</v>
      </c>
      <c r="F1001" s="22">
        <v>30</v>
      </c>
      <c r="G1001" s="22">
        <v>2023</v>
      </c>
      <c r="H1001" s="23">
        <f t="shared" si="45"/>
        <v>45137</v>
      </c>
      <c r="I1001" s="25">
        <v>45151</v>
      </c>
      <c r="J1001" s="22">
        <f t="shared" si="46"/>
        <v>14</v>
      </c>
      <c r="K1001" t="s">
        <v>23</v>
      </c>
      <c r="L1001">
        <v>29024</v>
      </c>
      <c r="M1001">
        <v>1292</v>
      </c>
      <c r="N1001" s="26">
        <v>2339.57</v>
      </c>
      <c r="O1001" s="26">
        <f t="shared" si="47"/>
        <v>2339.57</v>
      </c>
      <c r="P1001">
        <v>196</v>
      </c>
      <c r="Q1001" t="b">
        <v>1</v>
      </c>
      <c r="S1001" t="s">
        <v>25</v>
      </c>
    </row>
    <row r="1002" spans="1:19">
      <c r="A1002" t="s">
        <v>2079</v>
      </c>
      <c r="B1002" t="s">
        <v>2080</v>
      </c>
      <c r="C1002" s="23" t="s">
        <v>4129</v>
      </c>
      <c r="D1002" s="23" t="s">
        <v>2081</v>
      </c>
      <c r="E1002" s="22">
        <v>22</v>
      </c>
      <c r="F1002" s="22">
        <v>4</v>
      </c>
      <c r="G1002" s="22">
        <v>2023</v>
      </c>
      <c r="H1002" s="23">
        <f t="shared" si="45"/>
        <v>45038</v>
      </c>
      <c r="I1002" s="25">
        <v>45041</v>
      </c>
      <c r="J1002" s="22">
        <f t="shared" si="46"/>
        <v>3</v>
      </c>
      <c r="K1002" t="s">
        <v>19</v>
      </c>
      <c r="L1002">
        <v>59656</v>
      </c>
      <c r="M1002">
        <v>601</v>
      </c>
      <c r="N1002" s="26">
        <v>312.14</v>
      </c>
      <c r="O1002" s="26">
        <f t="shared" si="47"/>
        <v>312.14</v>
      </c>
      <c r="P1002">
        <v>108</v>
      </c>
      <c r="Q1002" t="b">
        <v>0</v>
      </c>
      <c r="S1002" t="s">
        <v>20</v>
      </c>
    </row>
    <row r="1003" spans="1:19">
      <c r="A1003" t="s">
        <v>2082</v>
      </c>
      <c r="B1003" t="s">
        <v>2083</v>
      </c>
      <c r="C1003" s="23" t="s">
        <v>4128</v>
      </c>
      <c r="D1003" s="23">
        <v>44978</v>
      </c>
      <c r="E1003" s="22">
        <v>2</v>
      </c>
      <c r="F1003" s="22">
        <v>21</v>
      </c>
      <c r="G1003" s="22">
        <v>2023</v>
      </c>
      <c r="H1003" s="23">
        <f t="shared" si="45"/>
        <v>44978</v>
      </c>
      <c r="I1003" s="25">
        <v>44981</v>
      </c>
      <c r="J1003" s="22">
        <f t="shared" si="46"/>
        <v>3</v>
      </c>
      <c r="K1003" t="s">
        <v>14</v>
      </c>
      <c r="L1003">
        <v>28285</v>
      </c>
      <c r="M1003">
        <v>1094</v>
      </c>
      <c r="N1003" s="26">
        <v>919</v>
      </c>
      <c r="O1003" s="26">
        <f t="shared" si="47"/>
        <v>919</v>
      </c>
      <c r="P1003">
        <v>93</v>
      </c>
      <c r="Q1003" t="b">
        <v>0</v>
      </c>
      <c r="R1003">
        <v>28352</v>
      </c>
      <c r="S1003" t="s">
        <v>16</v>
      </c>
    </row>
    <row r="1004" spans="1:19">
      <c r="A1004" t="s">
        <v>2084</v>
      </c>
      <c r="B1004" t="s">
        <v>2085</v>
      </c>
      <c r="C1004" s="23" t="s">
        <v>4127</v>
      </c>
      <c r="D1004" s="23">
        <v>45123</v>
      </c>
      <c r="E1004" s="22">
        <v>7</v>
      </c>
      <c r="F1004" s="22">
        <v>16</v>
      </c>
      <c r="G1004" s="22">
        <v>2023</v>
      </c>
      <c r="H1004" s="23">
        <f t="shared" si="45"/>
        <v>45123</v>
      </c>
      <c r="I1004" s="25">
        <v>45126</v>
      </c>
      <c r="J1004" s="22">
        <f t="shared" si="46"/>
        <v>3</v>
      </c>
      <c r="K1004" t="s">
        <v>33</v>
      </c>
      <c r="L1004">
        <v>93436</v>
      </c>
      <c r="M1004">
        <v>4034</v>
      </c>
      <c r="N1004" s="26">
        <v>5447.27</v>
      </c>
      <c r="O1004" s="26">
        <f t="shared" si="47"/>
        <v>3632.575</v>
      </c>
      <c r="P1004">
        <v>794</v>
      </c>
      <c r="Q1004" t="b">
        <v>1</v>
      </c>
      <c r="S1004" t="s">
        <v>34</v>
      </c>
    </row>
    <row r="1005" spans="1:19">
      <c r="A1005" t="s">
        <v>2086</v>
      </c>
      <c r="B1005" t="s">
        <v>2087</v>
      </c>
      <c r="C1005" s="23" t="s">
        <v>4127</v>
      </c>
      <c r="D1005" s="23">
        <v>44998</v>
      </c>
      <c r="E1005" s="22">
        <v>3</v>
      </c>
      <c r="F1005" s="22">
        <v>13</v>
      </c>
      <c r="G1005" s="22">
        <v>2023</v>
      </c>
      <c r="H1005" s="23">
        <f t="shared" si="45"/>
        <v>44998</v>
      </c>
      <c r="I1005" s="25">
        <v>45007</v>
      </c>
      <c r="J1005" s="22">
        <f t="shared" si="46"/>
        <v>9</v>
      </c>
      <c r="K1005" t="s">
        <v>41</v>
      </c>
      <c r="L1005">
        <v>2605</v>
      </c>
      <c r="M1005">
        <v>30</v>
      </c>
      <c r="N1005" s="26">
        <v>30.82</v>
      </c>
      <c r="O1005" s="26">
        <f t="shared" si="47"/>
        <v>30.82</v>
      </c>
      <c r="P1005">
        <v>3</v>
      </c>
      <c r="Q1005" t="b">
        <v>0</v>
      </c>
      <c r="S1005" t="s">
        <v>42</v>
      </c>
    </row>
    <row r="1006" spans="1:19">
      <c r="A1006" t="s">
        <v>2088</v>
      </c>
      <c r="B1006" t="s">
        <v>2089</v>
      </c>
      <c r="C1006" s="23" t="s">
        <v>4127</v>
      </c>
      <c r="D1006" s="23">
        <v>45054</v>
      </c>
      <c r="E1006" s="22">
        <v>5</v>
      </c>
      <c r="F1006" s="22">
        <v>8</v>
      </c>
      <c r="G1006" s="22">
        <v>2023</v>
      </c>
      <c r="H1006" s="23">
        <f t="shared" si="45"/>
        <v>45054</v>
      </c>
      <c r="I1006" s="25">
        <v>45083</v>
      </c>
      <c r="J1006" s="22">
        <f t="shared" si="46"/>
        <v>29</v>
      </c>
      <c r="K1006" t="s">
        <v>19</v>
      </c>
      <c r="L1006">
        <v>72158</v>
      </c>
      <c r="M1006">
        <v>3237</v>
      </c>
      <c r="N1006" s="26">
        <v>4582.19</v>
      </c>
      <c r="O1006" s="26">
        <f t="shared" si="47"/>
        <v>3632.575</v>
      </c>
      <c r="P1006">
        <v>291</v>
      </c>
      <c r="Q1006" t="b">
        <v>1</v>
      </c>
      <c r="S1006" t="s">
        <v>20</v>
      </c>
    </row>
    <row r="1007" spans="1:19">
      <c r="A1007" t="s">
        <v>2090</v>
      </c>
      <c r="B1007" t="s">
        <v>2091</v>
      </c>
      <c r="C1007" s="23" t="s">
        <v>4129</v>
      </c>
      <c r="D1007" s="23">
        <v>45238</v>
      </c>
      <c r="E1007" s="22">
        <v>11</v>
      </c>
      <c r="F1007" s="22">
        <v>8</v>
      </c>
      <c r="G1007" s="22">
        <v>2023</v>
      </c>
      <c r="H1007" s="23">
        <f t="shared" si="45"/>
        <v>45238</v>
      </c>
      <c r="I1007" s="25">
        <v>45260</v>
      </c>
      <c r="J1007" s="22">
        <f t="shared" si="46"/>
        <v>22</v>
      </c>
      <c r="K1007" t="s">
        <v>14</v>
      </c>
      <c r="L1007">
        <v>73303</v>
      </c>
      <c r="M1007">
        <v>1485</v>
      </c>
      <c r="N1007" s="26">
        <v>796.21</v>
      </c>
      <c r="O1007" s="26">
        <f t="shared" si="47"/>
        <v>796.21</v>
      </c>
      <c r="P1007">
        <v>168</v>
      </c>
      <c r="Q1007" t="b">
        <v>1</v>
      </c>
      <c r="S1007" t="s">
        <v>16</v>
      </c>
    </row>
    <row r="1008" spans="1:19">
      <c r="A1008" t="s">
        <v>2092</v>
      </c>
      <c r="B1008" t="s">
        <v>2093</v>
      </c>
      <c r="C1008" s="23" t="s">
        <v>4131</v>
      </c>
      <c r="D1008" s="23">
        <v>44940</v>
      </c>
      <c r="E1008" s="22">
        <v>1</v>
      </c>
      <c r="F1008" s="22">
        <v>14</v>
      </c>
      <c r="G1008" s="22">
        <v>2023</v>
      </c>
      <c r="H1008" s="23">
        <f t="shared" si="45"/>
        <v>44940</v>
      </c>
      <c r="I1008" s="25">
        <v>44952</v>
      </c>
      <c r="J1008" s="22">
        <f t="shared" si="46"/>
        <v>12</v>
      </c>
      <c r="K1008" t="s">
        <v>41</v>
      </c>
      <c r="L1008">
        <v>28139</v>
      </c>
      <c r="M1008">
        <v>1030</v>
      </c>
      <c r="N1008" s="26">
        <v>694.93</v>
      </c>
      <c r="O1008" s="26">
        <f t="shared" si="47"/>
        <v>694.93</v>
      </c>
      <c r="P1008">
        <v>66</v>
      </c>
      <c r="Q1008" t="b">
        <v>1</v>
      </c>
      <c r="R1008">
        <v>28220</v>
      </c>
      <c r="S1008" t="s">
        <v>42</v>
      </c>
    </row>
    <row r="1009" spans="1:19">
      <c r="A1009" t="s">
        <v>2094</v>
      </c>
      <c r="B1009" t="s">
        <v>2095</v>
      </c>
      <c r="C1009" s="23" t="s">
        <v>4129</v>
      </c>
      <c r="D1009" s="23">
        <v>45081</v>
      </c>
      <c r="E1009" s="22">
        <v>6</v>
      </c>
      <c r="F1009" s="22">
        <v>4</v>
      </c>
      <c r="G1009" s="22">
        <v>2023</v>
      </c>
      <c r="H1009" s="23">
        <f t="shared" si="45"/>
        <v>45081</v>
      </c>
      <c r="I1009" s="25">
        <v>45097</v>
      </c>
      <c r="J1009" s="22">
        <f t="shared" si="46"/>
        <v>16</v>
      </c>
      <c r="K1009" t="s">
        <v>19</v>
      </c>
      <c r="L1009">
        <v>78149</v>
      </c>
      <c r="M1009">
        <v>3283</v>
      </c>
      <c r="N1009" s="26">
        <v>2267.39</v>
      </c>
      <c r="O1009" s="26">
        <f t="shared" si="47"/>
        <v>2267.39</v>
      </c>
      <c r="P1009">
        <v>226</v>
      </c>
      <c r="Q1009" t="b">
        <v>1</v>
      </c>
      <c r="S1009" t="s">
        <v>20</v>
      </c>
    </row>
    <row r="1010" spans="1:19">
      <c r="A1010" t="s">
        <v>2096</v>
      </c>
      <c r="B1010" t="s">
        <v>2097</v>
      </c>
      <c r="C1010" s="23" t="s">
        <v>4127</v>
      </c>
      <c r="D1010" s="23">
        <v>45023</v>
      </c>
      <c r="E1010" s="22">
        <v>4</v>
      </c>
      <c r="F1010" s="22">
        <v>7</v>
      </c>
      <c r="G1010" s="22">
        <v>2023</v>
      </c>
      <c r="H1010" s="23">
        <f t="shared" si="45"/>
        <v>45023</v>
      </c>
      <c r="I1010" s="25">
        <v>45036</v>
      </c>
      <c r="J1010" s="22">
        <f t="shared" si="46"/>
        <v>13</v>
      </c>
      <c r="K1010" t="s">
        <v>19</v>
      </c>
      <c r="L1010">
        <v>57138</v>
      </c>
      <c r="M1010">
        <v>2085</v>
      </c>
      <c r="N1010" s="26">
        <v>1634.48</v>
      </c>
      <c r="O1010" s="26">
        <f t="shared" si="47"/>
        <v>1634.48</v>
      </c>
      <c r="P1010">
        <v>0</v>
      </c>
      <c r="Q1010" t="b">
        <v>1</v>
      </c>
      <c r="S1010" t="s">
        <v>20</v>
      </c>
    </row>
    <row r="1011" spans="1:19">
      <c r="A1011" t="s">
        <v>2098</v>
      </c>
      <c r="B1011" t="s">
        <v>2099</v>
      </c>
      <c r="C1011" s="23" t="s">
        <v>4128</v>
      </c>
      <c r="D1011" s="23">
        <v>44954</v>
      </c>
      <c r="E1011" s="22">
        <v>1</v>
      </c>
      <c r="F1011" s="22">
        <v>28</v>
      </c>
      <c r="G1011" s="22">
        <v>2023</v>
      </c>
      <c r="H1011" s="23">
        <f t="shared" si="45"/>
        <v>44954</v>
      </c>
      <c r="I1011" s="25">
        <v>44971</v>
      </c>
      <c r="J1011" s="22">
        <f t="shared" si="46"/>
        <v>17</v>
      </c>
      <c r="K1011" t="s">
        <v>41</v>
      </c>
      <c r="L1011">
        <v>77125</v>
      </c>
      <c r="M1011">
        <v>1055</v>
      </c>
      <c r="N1011" s="26">
        <v>1254.39</v>
      </c>
      <c r="O1011" s="26">
        <f t="shared" si="47"/>
        <v>1254.39</v>
      </c>
      <c r="P1011">
        <v>173</v>
      </c>
      <c r="Q1011" t="b">
        <v>0</v>
      </c>
      <c r="S1011" t="s">
        <v>42</v>
      </c>
    </row>
    <row r="1012" spans="1:19">
      <c r="A1012" t="s">
        <v>2100</v>
      </c>
      <c r="B1012" t="s">
        <v>2101</v>
      </c>
      <c r="C1012" s="23" t="s">
        <v>4127</v>
      </c>
      <c r="D1012" s="23">
        <v>45049</v>
      </c>
      <c r="E1012" s="22">
        <v>5</v>
      </c>
      <c r="F1012" s="22">
        <v>3</v>
      </c>
      <c r="G1012" s="22">
        <v>2023</v>
      </c>
      <c r="H1012" s="23">
        <f t="shared" si="45"/>
        <v>45049</v>
      </c>
      <c r="I1012" s="25">
        <v>45079</v>
      </c>
      <c r="J1012" s="22">
        <f t="shared" si="46"/>
        <v>30</v>
      </c>
      <c r="K1012" t="s">
        <v>234</v>
      </c>
      <c r="L1012">
        <v>14918</v>
      </c>
      <c r="M1012">
        <v>505</v>
      </c>
      <c r="N1012" s="26">
        <v>822.24</v>
      </c>
      <c r="O1012" s="26">
        <f t="shared" si="47"/>
        <v>822.24</v>
      </c>
      <c r="P1012">
        <v>93</v>
      </c>
      <c r="Q1012" t="b">
        <v>0</v>
      </c>
      <c r="S1012" t="s">
        <v>16</v>
      </c>
    </row>
    <row r="1013" spans="1:19">
      <c r="A1013" t="s">
        <v>2102</v>
      </c>
      <c r="B1013" t="s">
        <v>2103</v>
      </c>
      <c r="C1013" s="23" t="s">
        <v>4129</v>
      </c>
      <c r="D1013" s="23">
        <v>45182</v>
      </c>
      <c r="E1013" s="22">
        <v>9</v>
      </c>
      <c r="F1013" s="22">
        <v>13</v>
      </c>
      <c r="G1013" s="22">
        <v>2023</v>
      </c>
      <c r="H1013" s="23">
        <f t="shared" si="45"/>
        <v>45182</v>
      </c>
      <c r="I1013" s="25">
        <v>45190</v>
      </c>
      <c r="J1013" s="22">
        <f t="shared" si="46"/>
        <v>8</v>
      </c>
      <c r="K1013" t="s">
        <v>33</v>
      </c>
      <c r="L1013">
        <v>86655</v>
      </c>
      <c r="M1013">
        <v>2771</v>
      </c>
      <c r="N1013" s="26">
        <v>5149.37</v>
      </c>
      <c r="O1013" s="26">
        <f t="shared" si="47"/>
        <v>3632.575</v>
      </c>
      <c r="P1013">
        <v>414</v>
      </c>
      <c r="Q1013" t="b">
        <v>1</v>
      </c>
      <c r="S1013" t="s">
        <v>34</v>
      </c>
    </row>
    <row r="1014" spans="1:19">
      <c r="A1014" t="s">
        <v>2104</v>
      </c>
      <c r="B1014" t="s">
        <v>2105</v>
      </c>
      <c r="C1014" s="23" t="s">
        <v>4127</v>
      </c>
      <c r="D1014" s="23">
        <v>44933</v>
      </c>
      <c r="E1014" s="22">
        <v>1</v>
      </c>
      <c r="F1014" s="22">
        <v>7</v>
      </c>
      <c r="G1014" s="22">
        <v>2023</v>
      </c>
      <c r="H1014" s="23">
        <f t="shared" si="45"/>
        <v>44933</v>
      </c>
      <c r="I1014" s="25">
        <v>44963</v>
      </c>
      <c r="J1014" s="22">
        <f t="shared" si="46"/>
        <v>30</v>
      </c>
      <c r="K1014" t="s">
        <v>23</v>
      </c>
      <c r="L1014">
        <v>28446</v>
      </c>
      <c r="M1014">
        <v>1308</v>
      </c>
      <c r="N1014" s="26">
        <v>2293</v>
      </c>
      <c r="O1014" s="26">
        <f t="shared" si="47"/>
        <v>2293</v>
      </c>
      <c r="P1014">
        <v>86</v>
      </c>
      <c r="Q1014" t="b">
        <v>0</v>
      </c>
      <c r="S1014" t="s">
        <v>25</v>
      </c>
    </row>
    <row r="1015" spans="1:19">
      <c r="A1015" t="s">
        <v>2106</v>
      </c>
      <c r="B1015" t="s">
        <v>2107</v>
      </c>
      <c r="C1015" s="23" t="s">
        <v>4128</v>
      </c>
      <c r="D1015" s="23">
        <v>44994</v>
      </c>
      <c r="E1015" s="22">
        <v>3</v>
      </c>
      <c r="F1015" s="22">
        <v>9</v>
      </c>
      <c r="G1015" s="22">
        <v>2023</v>
      </c>
      <c r="H1015" s="23">
        <f t="shared" si="45"/>
        <v>44994</v>
      </c>
      <c r="I1015" s="25">
        <v>45024</v>
      </c>
      <c r="J1015" s="22">
        <f t="shared" si="46"/>
        <v>30</v>
      </c>
      <c r="K1015" t="s">
        <v>41</v>
      </c>
      <c r="L1015">
        <v>14046</v>
      </c>
      <c r="M1015">
        <v>367</v>
      </c>
      <c r="N1015" s="26">
        <v>291.89</v>
      </c>
      <c r="O1015" s="26">
        <f t="shared" si="47"/>
        <v>291.89</v>
      </c>
      <c r="P1015">
        <v>55</v>
      </c>
      <c r="Q1015" t="b">
        <v>1</v>
      </c>
      <c r="S1015" t="s">
        <v>42</v>
      </c>
    </row>
    <row r="1016" spans="1:19">
      <c r="A1016" t="s">
        <v>2108</v>
      </c>
      <c r="B1016" t="s">
        <v>2109</v>
      </c>
      <c r="C1016" s="23" t="s">
        <v>4131</v>
      </c>
      <c r="D1016" s="23">
        <v>45142</v>
      </c>
      <c r="E1016" s="22">
        <v>8</v>
      </c>
      <c r="F1016" s="22">
        <v>4</v>
      </c>
      <c r="G1016" s="22">
        <v>2023</v>
      </c>
      <c r="H1016" s="23">
        <f t="shared" si="45"/>
        <v>45142</v>
      </c>
      <c r="I1016" s="25">
        <v>45137</v>
      </c>
      <c r="J1016" s="22">
        <f t="shared" si="46"/>
        <v>-5</v>
      </c>
      <c r="K1016" t="s">
        <v>33</v>
      </c>
      <c r="L1016">
        <v>25818</v>
      </c>
      <c r="M1016">
        <v>589</v>
      </c>
      <c r="N1016" s="26">
        <v>684.26</v>
      </c>
      <c r="O1016" s="26">
        <f t="shared" si="47"/>
        <v>684.26</v>
      </c>
      <c r="P1016">
        <v>85</v>
      </c>
      <c r="Q1016" t="b">
        <v>0</v>
      </c>
      <c r="S1016" t="s">
        <v>34</v>
      </c>
    </row>
    <row r="1017" spans="1:19">
      <c r="A1017" t="s">
        <v>2110</v>
      </c>
      <c r="B1017" t="s">
        <v>2111</v>
      </c>
      <c r="C1017" s="23" t="s">
        <v>4128</v>
      </c>
      <c r="D1017" s="23">
        <v>45168</v>
      </c>
      <c r="E1017" s="22">
        <v>8</v>
      </c>
      <c r="F1017" s="22">
        <v>30</v>
      </c>
      <c r="G1017" s="22">
        <v>2023</v>
      </c>
      <c r="H1017" s="23">
        <f t="shared" si="45"/>
        <v>45168</v>
      </c>
      <c r="I1017" s="25">
        <v>45173</v>
      </c>
      <c r="J1017" s="22">
        <f t="shared" si="46"/>
        <v>5</v>
      </c>
      <c r="K1017" t="s">
        <v>234</v>
      </c>
      <c r="L1017">
        <v>5324</v>
      </c>
      <c r="M1017">
        <v>212</v>
      </c>
      <c r="N1017" s="26">
        <v>169.41</v>
      </c>
      <c r="O1017" s="26">
        <f t="shared" si="47"/>
        <v>169.41</v>
      </c>
      <c r="P1017">
        <v>36</v>
      </c>
      <c r="Q1017" t="b">
        <v>1</v>
      </c>
      <c r="S1017" t="s">
        <v>16</v>
      </c>
    </row>
    <row r="1018" spans="1:19">
      <c r="A1018" t="s">
        <v>2112</v>
      </c>
      <c r="B1018" t="s">
        <v>2113</v>
      </c>
      <c r="C1018" s="23" t="s">
        <v>4127</v>
      </c>
      <c r="D1018" s="23">
        <v>44935</v>
      </c>
      <c r="E1018" s="22">
        <v>1</v>
      </c>
      <c r="F1018" s="22">
        <v>9</v>
      </c>
      <c r="G1018" s="22">
        <v>2023</v>
      </c>
      <c r="H1018" s="23">
        <f t="shared" si="45"/>
        <v>44935</v>
      </c>
      <c r="I1018" s="25">
        <v>45174</v>
      </c>
      <c r="J1018" s="22">
        <f t="shared" si="46"/>
        <v>239</v>
      </c>
      <c r="K1018" t="s">
        <v>23</v>
      </c>
      <c r="L1018">
        <v>77323</v>
      </c>
      <c r="M1018">
        <v>2049</v>
      </c>
      <c r="N1018" s="26">
        <v>1837.35</v>
      </c>
      <c r="O1018" s="26">
        <f t="shared" si="47"/>
        <v>1837.35</v>
      </c>
      <c r="P1018">
        <v>0</v>
      </c>
      <c r="Q1018" t="b">
        <v>1</v>
      </c>
      <c r="S1018" t="s">
        <v>25</v>
      </c>
    </row>
    <row r="1019" spans="1:19">
      <c r="A1019" t="s">
        <v>2114</v>
      </c>
      <c r="B1019" t="s">
        <v>2115</v>
      </c>
      <c r="C1019" s="23" t="s">
        <v>4131</v>
      </c>
      <c r="D1019" s="23" t="s">
        <v>2116</v>
      </c>
      <c r="E1019" s="22">
        <v>21</v>
      </c>
      <c r="F1019" s="22">
        <v>4</v>
      </c>
      <c r="G1019" s="22">
        <v>2023</v>
      </c>
      <c r="H1019" s="23">
        <f t="shared" si="45"/>
        <v>45037</v>
      </c>
      <c r="I1019" s="25">
        <v>45038</v>
      </c>
      <c r="J1019" s="22">
        <f t="shared" si="46"/>
        <v>1</v>
      </c>
      <c r="K1019" t="s">
        <v>19</v>
      </c>
      <c r="L1019">
        <v>10111</v>
      </c>
      <c r="M1019">
        <v>362</v>
      </c>
      <c r="N1019" s="26">
        <v>454.43</v>
      </c>
      <c r="O1019" s="26">
        <f t="shared" si="47"/>
        <v>454.43</v>
      </c>
      <c r="P1019">
        <v>65</v>
      </c>
      <c r="Q1019" t="b">
        <v>0</v>
      </c>
      <c r="S1019" t="s">
        <v>20</v>
      </c>
    </row>
    <row r="1020" spans="1:19">
      <c r="A1020" t="s">
        <v>2117</v>
      </c>
      <c r="B1020" t="s">
        <v>2118</v>
      </c>
      <c r="C1020" s="23" t="s">
        <v>4127</v>
      </c>
      <c r="D1020" s="23">
        <v>44957</v>
      </c>
      <c r="E1020" s="22">
        <v>1</v>
      </c>
      <c r="F1020" s="22">
        <v>31</v>
      </c>
      <c r="G1020" s="22">
        <v>2023</v>
      </c>
      <c r="H1020" s="23">
        <f t="shared" si="45"/>
        <v>44957</v>
      </c>
      <c r="I1020" s="25">
        <v>44963</v>
      </c>
      <c r="J1020" s="22">
        <f t="shared" si="46"/>
        <v>6</v>
      </c>
      <c r="K1020" t="s">
        <v>138</v>
      </c>
      <c r="L1020">
        <v>39110</v>
      </c>
      <c r="M1020">
        <v>1402</v>
      </c>
      <c r="N1020" s="26">
        <v>844.23</v>
      </c>
      <c r="O1020" s="26">
        <f t="shared" si="47"/>
        <v>844.23</v>
      </c>
      <c r="P1020">
        <v>157</v>
      </c>
      <c r="Q1020" t="b">
        <v>1</v>
      </c>
      <c r="S1020" t="s">
        <v>139</v>
      </c>
    </row>
    <row r="1021" spans="1:19">
      <c r="A1021" t="s">
        <v>2119</v>
      </c>
      <c r="B1021" t="s">
        <v>2120</v>
      </c>
      <c r="C1021" s="23" t="s">
        <v>4128</v>
      </c>
      <c r="D1021" s="23">
        <v>45073</v>
      </c>
      <c r="E1021" s="22">
        <v>5</v>
      </c>
      <c r="F1021" s="22">
        <v>27</v>
      </c>
      <c r="G1021" s="22">
        <v>2023</v>
      </c>
      <c r="H1021" s="23">
        <f t="shared" si="45"/>
        <v>45073</v>
      </c>
      <c r="I1021" s="25">
        <v>45076</v>
      </c>
      <c r="J1021" s="22">
        <f t="shared" si="46"/>
        <v>3</v>
      </c>
      <c r="K1021" t="s">
        <v>14</v>
      </c>
      <c r="L1021">
        <v>17389</v>
      </c>
      <c r="M1021">
        <v>791</v>
      </c>
      <c r="N1021" s="26">
        <v>654.36</v>
      </c>
      <c r="O1021" s="26">
        <f t="shared" si="47"/>
        <v>654.36</v>
      </c>
      <c r="P1021">
        <v>122</v>
      </c>
      <c r="Q1021" t="b">
        <v>0</v>
      </c>
      <c r="S1021" t="s">
        <v>16</v>
      </c>
    </row>
    <row r="1022" spans="1:19">
      <c r="A1022" t="s">
        <v>2121</v>
      </c>
      <c r="B1022" t="s">
        <v>2122</v>
      </c>
      <c r="C1022" s="23" t="s">
        <v>4128</v>
      </c>
      <c r="D1022" s="23">
        <v>45139</v>
      </c>
      <c r="E1022" s="22">
        <v>8</v>
      </c>
      <c r="F1022" s="22">
        <v>1</v>
      </c>
      <c r="G1022" s="22">
        <v>2023</v>
      </c>
      <c r="H1022" s="23">
        <f t="shared" si="45"/>
        <v>45139</v>
      </c>
      <c r="I1022" s="25">
        <v>45158</v>
      </c>
      <c r="J1022" s="22">
        <f t="shared" si="46"/>
        <v>19</v>
      </c>
      <c r="K1022" t="s">
        <v>14</v>
      </c>
      <c r="L1022">
        <v>42427</v>
      </c>
      <c r="M1022">
        <v>1440</v>
      </c>
      <c r="N1022" s="26">
        <v>2740.42</v>
      </c>
      <c r="O1022" s="26">
        <f t="shared" si="47"/>
        <v>2740.42</v>
      </c>
      <c r="P1022">
        <v>0</v>
      </c>
      <c r="Q1022" t="b">
        <v>1</v>
      </c>
      <c r="S1022" t="s">
        <v>16</v>
      </c>
    </row>
    <row r="1023" spans="1:19">
      <c r="A1023" t="s">
        <v>2123</v>
      </c>
      <c r="B1023" t="s">
        <v>2124</v>
      </c>
      <c r="C1023" s="23" t="s">
        <v>4127</v>
      </c>
      <c r="D1023" s="23">
        <v>45254</v>
      </c>
      <c r="E1023" s="22">
        <v>11</v>
      </c>
      <c r="F1023" s="22">
        <v>24</v>
      </c>
      <c r="G1023" s="22">
        <v>2023</v>
      </c>
      <c r="H1023" s="23">
        <f t="shared" si="45"/>
        <v>45254</v>
      </c>
      <c r="I1023" s="25">
        <v>45249</v>
      </c>
      <c r="J1023" s="22">
        <f t="shared" si="46"/>
        <v>-5</v>
      </c>
      <c r="K1023" t="s">
        <v>23</v>
      </c>
      <c r="L1023">
        <v>80579</v>
      </c>
      <c r="M1023">
        <v>2424</v>
      </c>
      <c r="N1023" s="26">
        <v>2906.8</v>
      </c>
      <c r="O1023" s="26">
        <f t="shared" si="47"/>
        <v>2906.8</v>
      </c>
      <c r="P1023">
        <v>484</v>
      </c>
      <c r="Q1023" t="b">
        <v>1</v>
      </c>
      <c r="S1023" t="s">
        <v>25</v>
      </c>
    </row>
    <row r="1024" spans="1:19">
      <c r="A1024" t="s">
        <v>2125</v>
      </c>
      <c r="B1024" t="s">
        <v>2126</v>
      </c>
      <c r="C1024" s="23" t="s">
        <v>4129</v>
      </c>
      <c r="D1024" s="23" t="s">
        <v>2127</v>
      </c>
      <c r="E1024" s="22">
        <v>23</v>
      </c>
      <c r="F1024" s="22">
        <v>5</v>
      </c>
      <c r="G1024" s="22">
        <v>2023</v>
      </c>
      <c r="H1024" s="23">
        <f t="shared" si="45"/>
        <v>45069</v>
      </c>
      <c r="I1024" s="25">
        <v>45091</v>
      </c>
      <c r="J1024" s="22">
        <f t="shared" si="46"/>
        <v>22</v>
      </c>
      <c r="K1024" t="s">
        <v>33</v>
      </c>
      <c r="L1024">
        <v>29746</v>
      </c>
      <c r="M1024">
        <v>462</v>
      </c>
      <c r="N1024" s="26">
        <v>539.65</v>
      </c>
      <c r="O1024" s="26">
        <f t="shared" si="47"/>
        <v>539.65</v>
      </c>
      <c r="P1024">
        <v>35</v>
      </c>
      <c r="Q1024" t="b">
        <v>1</v>
      </c>
      <c r="S1024" t="s">
        <v>34</v>
      </c>
    </row>
    <row r="1025" spans="1:19">
      <c r="A1025" t="s">
        <v>2128</v>
      </c>
      <c r="B1025" t="s">
        <v>2129</v>
      </c>
      <c r="C1025" s="23" t="s">
        <v>4129</v>
      </c>
      <c r="D1025" s="23">
        <v>44967</v>
      </c>
      <c r="E1025" s="22">
        <v>2</v>
      </c>
      <c r="F1025" s="22">
        <v>10</v>
      </c>
      <c r="G1025" s="22">
        <v>2023</v>
      </c>
      <c r="H1025" s="23">
        <f t="shared" si="45"/>
        <v>44967</v>
      </c>
      <c r="I1025" s="25">
        <v>44974</v>
      </c>
      <c r="J1025" s="22">
        <f t="shared" si="46"/>
        <v>7</v>
      </c>
      <c r="K1025" t="s">
        <v>14</v>
      </c>
      <c r="L1025">
        <v>88886</v>
      </c>
      <c r="M1025">
        <v>1300</v>
      </c>
      <c r="N1025" s="26">
        <v>678.41</v>
      </c>
      <c r="O1025" s="26">
        <f t="shared" si="47"/>
        <v>678.41</v>
      </c>
      <c r="P1025">
        <v>66</v>
      </c>
      <c r="Q1025" t="b">
        <v>1</v>
      </c>
      <c r="S1025" t="s">
        <v>16</v>
      </c>
    </row>
    <row r="1026" spans="1:19">
      <c r="A1026" t="s">
        <v>2130</v>
      </c>
      <c r="B1026" t="s">
        <v>2131</v>
      </c>
      <c r="C1026" s="23" t="s">
        <v>4127</v>
      </c>
      <c r="D1026" s="23">
        <v>45006</v>
      </c>
      <c r="E1026" s="22">
        <v>3</v>
      </c>
      <c r="F1026" s="22">
        <v>21</v>
      </c>
      <c r="G1026" s="22">
        <v>2023</v>
      </c>
      <c r="H1026" s="23">
        <f t="shared" si="45"/>
        <v>45006</v>
      </c>
      <c r="I1026" s="25">
        <v>45021</v>
      </c>
      <c r="J1026" s="22">
        <f t="shared" si="46"/>
        <v>15</v>
      </c>
      <c r="K1026" t="s">
        <v>14</v>
      </c>
      <c r="L1026">
        <v>1117</v>
      </c>
      <c r="M1026">
        <v>18</v>
      </c>
      <c r="N1026" s="26">
        <v>15.68</v>
      </c>
      <c r="O1026" s="26">
        <f t="shared" si="47"/>
        <v>15.68</v>
      </c>
      <c r="P1026">
        <v>1</v>
      </c>
      <c r="Q1026" t="b">
        <v>0</v>
      </c>
      <c r="S1026" t="s">
        <v>16</v>
      </c>
    </row>
    <row r="1027" spans="1:19">
      <c r="A1027" t="s">
        <v>2132</v>
      </c>
      <c r="B1027" t="s">
        <v>2133</v>
      </c>
      <c r="C1027" s="23" t="s">
        <v>4127</v>
      </c>
      <c r="D1027" s="23">
        <v>45251</v>
      </c>
      <c r="E1027" s="22">
        <v>11</v>
      </c>
      <c r="F1027" s="22">
        <v>21</v>
      </c>
      <c r="G1027" s="22">
        <v>2023</v>
      </c>
      <c r="H1027" s="23">
        <f t="shared" ref="H1027:H1090" si="48">IF(E1027&gt;12,DATE(G1027,F1027,E1027),D1027)</f>
        <v>45251</v>
      </c>
      <c r="I1027" s="25">
        <v>45273</v>
      </c>
      <c r="J1027" s="22">
        <f t="shared" ref="J1027:J1090" si="49">DATEDIF(H1027,I1027,"D")</f>
        <v>22</v>
      </c>
      <c r="K1027" t="s">
        <v>41</v>
      </c>
      <c r="L1027">
        <v>85471</v>
      </c>
      <c r="M1027">
        <v>1442</v>
      </c>
      <c r="N1027" s="26">
        <v>2594.79</v>
      </c>
      <c r="O1027" s="26">
        <f t="shared" ref="O1027:O1090" si="50">IF(N1027&lt;$W$8,$W$8,IF(N1027&gt;$W$9,$W$9,N1027))</f>
        <v>2594.79</v>
      </c>
      <c r="P1027">
        <v>239</v>
      </c>
      <c r="Q1027" t="b">
        <v>0</v>
      </c>
      <c r="S1027" t="s">
        <v>42</v>
      </c>
    </row>
    <row r="1028" spans="1:19">
      <c r="A1028" t="s">
        <v>2134</v>
      </c>
      <c r="B1028" t="s">
        <v>2135</v>
      </c>
      <c r="C1028" s="23" t="s">
        <v>4131</v>
      </c>
      <c r="D1028" s="23" t="s">
        <v>2136</v>
      </c>
      <c r="E1028" s="22">
        <v>26</v>
      </c>
      <c r="F1028" s="22">
        <v>11</v>
      </c>
      <c r="G1028" s="22">
        <v>2023</v>
      </c>
      <c r="H1028" s="23">
        <f t="shared" si="48"/>
        <v>45256</v>
      </c>
      <c r="I1028" s="25">
        <v>45274</v>
      </c>
      <c r="J1028" s="22">
        <f t="shared" si="49"/>
        <v>18</v>
      </c>
      <c r="K1028" t="s">
        <v>23</v>
      </c>
      <c r="L1028">
        <v>14234</v>
      </c>
      <c r="M1028">
        <v>505</v>
      </c>
      <c r="N1028" s="26">
        <v>377.21</v>
      </c>
      <c r="O1028" s="26">
        <f t="shared" si="50"/>
        <v>377.21</v>
      </c>
      <c r="P1028">
        <v>59</v>
      </c>
      <c r="Q1028" t="b">
        <v>1</v>
      </c>
      <c r="S1028" t="s">
        <v>25</v>
      </c>
    </row>
    <row r="1029" spans="1:19">
      <c r="A1029" t="s">
        <v>2137</v>
      </c>
      <c r="B1029" t="s">
        <v>2138</v>
      </c>
      <c r="C1029" s="23" t="s">
        <v>4127</v>
      </c>
      <c r="D1029" s="23">
        <v>45284</v>
      </c>
      <c r="E1029" s="22">
        <v>12</v>
      </c>
      <c r="F1029" s="22">
        <v>24</v>
      </c>
      <c r="G1029" s="22">
        <v>2023</v>
      </c>
      <c r="H1029" s="23">
        <f t="shared" si="48"/>
        <v>45284</v>
      </c>
      <c r="I1029" s="25">
        <v>45296</v>
      </c>
      <c r="J1029" s="22">
        <f t="shared" si="49"/>
        <v>12</v>
      </c>
      <c r="K1029" t="s">
        <v>14</v>
      </c>
      <c r="L1029">
        <v>54441</v>
      </c>
      <c r="M1029">
        <v>2158</v>
      </c>
      <c r="N1029" s="26">
        <v>2422.76</v>
      </c>
      <c r="O1029" s="26">
        <f t="shared" si="50"/>
        <v>2422.76</v>
      </c>
      <c r="P1029">
        <v>252</v>
      </c>
      <c r="Q1029" t="b">
        <v>1</v>
      </c>
      <c r="S1029" t="s">
        <v>16</v>
      </c>
    </row>
    <row r="1030" spans="1:19">
      <c r="A1030" t="s">
        <v>2139</v>
      </c>
      <c r="B1030" t="s">
        <v>2140</v>
      </c>
      <c r="C1030" s="23" t="s">
        <v>4131</v>
      </c>
      <c r="D1030" s="23">
        <v>44990</v>
      </c>
      <c r="E1030" s="22">
        <v>3</v>
      </c>
      <c r="F1030" s="22">
        <v>5</v>
      </c>
      <c r="G1030" s="22">
        <v>2023</v>
      </c>
      <c r="H1030" s="23">
        <f t="shared" si="48"/>
        <v>44990</v>
      </c>
      <c r="I1030" s="25">
        <v>44985</v>
      </c>
      <c r="J1030" s="22">
        <f t="shared" si="49"/>
        <v>-5</v>
      </c>
      <c r="K1030" t="s">
        <v>14</v>
      </c>
      <c r="L1030">
        <v>1846</v>
      </c>
      <c r="M1030">
        <v>57</v>
      </c>
      <c r="N1030" s="26">
        <v>29.73</v>
      </c>
      <c r="O1030" s="26">
        <f t="shared" si="50"/>
        <v>29.73</v>
      </c>
      <c r="P1030">
        <v>0</v>
      </c>
      <c r="Q1030" t="b">
        <v>1</v>
      </c>
      <c r="S1030" t="s">
        <v>16</v>
      </c>
    </row>
    <row r="1031" spans="1:19">
      <c r="A1031" t="s">
        <v>2141</v>
      </c>
      <c r="B1031" t="s">
        <v>2142</v>
      </c>
      <c r="C1031" s="23" t="s">
        <v>4129</v>
      </c>
      <c r="D1031" s="23">
        <v>44971</v>
      </c>
      <c r="E1031" s="22">
        <v>2</v>
      </c>
      <c r="F1031" s="22">
        <v>14</v>
      </c>
      <c r="G1031" s="22">
        <v>2023</v>
      </c>
      <c r="H1031" s="23">
        <f t="shared" si="48"/>
        <v>44971</v>
      </c>
      <c r="I1031" s="25">
        <v>44980</v>
      </c>
      <c r="J1031" s="22">
        <f t="shared" si="49"/>
        <v>9</v>
      </c>
      <c r="K1031" t="s">
        <v>19</v>
      </c>
      <c r="L1031">
        <v>11954</v>
      </c>
      <c r="M1031">
        <v>515</v>
      </c>
      <c r="N1031" s="26">
        <v>627.01</v>
      </c>
      <c r="O1031" s="26">
        <f t="shared" si="50"/>
        <v>627.01</v>
      </c>
      <c r="P1031">
        <v>96</v>
      </c>
      <c r="Q1031" t="b">
        <v>1</v>
      </c>
      <c r="S1031" t="s">
        <v>20</v>
      </c>
    </row>
    <row r="1032" spans="1:19">
      <c r="A1032" t="s">
        <v>2143</v>
      </c>
      <c r="B1032" t="s">
        <v>2144</v>
      </c>
      <c r="C1032" s="23" t="s">
        <v>4127</v>
      </c>
      <c r="D1032" s="23">
        <v>45240</v>
      </c>
      <c r="E1032" s="22">
        <v>11</v>
      </c>
      <c r="F1032" s="22">
        <v>10</v>
      </c>
      <c r="G1032" s="22">
        <v>2023</v>
      </c>
      <c r="H1032" s="23">
        <f t="shared" si="48"/>
        <v>45240</v>
      </c>
      <c r="I1032" s="25">
        <v>45256</v>
      </c>
      <c r="J1032" s="22">
        <f t="shared" si="49"/>
        <v>16</v>
      </c>
      <c r="K1032" t="s">
        <v>14</v>
      </c>
      <c r="L1032">
        <v>80239</v>
      </c>
      <c r="M1032">
        <v>3983</v>
      </c>
      <c r="N1032" s="26">
        <v>2117.09</v>
      </c>
      <c r="O1032" s="26">
        <f t="shared" si="50"/>
        <v>2117.09</v>
      </c>
      <c r="P1032">
        <v>385</v>
      </c>
      <c r="Q1032" t="b">
        <v>0</v>
      </c>
      <c r="S1032" t="s">
        <v>16</v>
      </c>
    </row>
    <row r="1033" spans="1:19">
      <c r="A1033" t="s">
        <v>2145</v>
      </c>
      <c r="B1033" t="s">
        <v>2146</v>
      </c>
      <c r="C1033" s="23" t="s">
        <v>4131</v>
      </c>
      <c r="D1033" s="23">
        <v>45263</v>
      </c>
      <c r="E1033" s="22">
        <v>12</v>
      </c>
      <c r="F1033" s="22">
        <v>3</v>
      </c>
      <c r="G1033" s="22">
        <v>2023</v>
      </c>
      <c r="H1033" s="23">
        <f t="shared" si="48"/>
        <v>45263</v>
      </c>
      <c r="I1033" s="25">
        <v>45266</v>
      </c>
      <c r="J1033" s="22">
        <f t="shared" si="49"/>
        <v>3</v>
      </c>
      <c r="K1033" t="s">
        <v>19</v>
      </c>
      <c r="L1033">
        <v>47514</v>
      </c>
      <c r="M1033">
        <v>2033</v>
      </c>
      <c r="N1033" s="26">
        <v>3515.9</v>
      </c>
      <c r="O1033" s="26">
        <f t="shared" si="50"/>
        <v>3515.9</v>
      </c>
      <c r="P1033">
        <v>165</v>
      </c>
      <c r="Q1033" t="b">
        <v>1</v>
      </c>
      <c r="S1033" t="s">
        <v>20</v>
      </c>
    </row>
    <row r="1034" spans="1:19">
      <c r="A1034" t="s">
        <v>2147</v>
      </c>
      <c r="B1034" t="s">
        <v>2148</v>
      </c>
      <c r="C1034" s="23" t="s">
        <v>4131</v>
      </c>
      <c r="D1034" s="23">
        <v>45289</v>
      </c>
      <c r="E1034" s="22">
        <v>12</v>
      </c>
      <c r="F1034" s="22">
        <v>29</v>
      </c>
      <c r="G1034" s="22">
        <v>2023</v>
      </c>
      <c r="H1034" s="23">
        <f t="shared" si="48"/>
        <v>45289</v>
      </c>
      <c r="I1034" s="25">
        <v>45315</v>
      </c>
      <c r="J1034" s="22">
        <f t="shared" si="49"/>
        <v>26</v>
      </c>
      <c r="K1034" t="s">
        <v>19</v>
      </c>
      <c r="L1034">
        <v>89236</v>
      </c>
      <c r="M1034">
        <v>3372</v>
      </c>
      <c r="N1034" s="26">
        <v>5858.11</v>
      </c>
      <c r="O1034" s="26">
        <f t="shared" si="50"/>
        <v>3632.575</v>
      </c>
      <c r="P1034">
        <v>597</v>
      </c>
      <c r="Q1034" t="b">
        <v>0</v>
      </c>
      <c r="S1034" t="s">
        <v>20</v>
      </c>
    </row>
    <row r="1035" spans="1:19">
      <c r="A1035" t="s">
        <v>2149</v>
      </c>
      <c r="B1035" t="s">
        <v>2150</v>
      </c>
      <c r="C1035" s="23" t="s">
        <v>4131</v>
      </c>
      <c r="D1035" s="23">
        <v>45181</v>
      </c>
      <c r="E1035" s="22">
        <v>9</v>
      </c>
      <c r="F1035" s="22">
        <v>12</v>
      </c>
      <c r="G1035" s="22">
        <v>2023</v>
      </c>
      <c r="H1035" s="23">
        <f t="shared" si="48"/>
        <v>45181</v>
      </c>
      <c r="I1035" s="25">
        <v>45203</v>
      </c>
      <c r="J1035" s="22">
        <f t="shared" si="49"/>
        <v>22</v>
      </c>
      <c r="K1035" t="s">
        <v>41</v>
      </c>
      <c r="L1035">
        <v>98579</v>
      </c>
      <c r="M1035">
        <v>3085</v>
      </c>
      <c r="N1035" s="26">
        <v>5187.78</v>
      </c>
      <c r="O1035" s="26">
        <f t="shared" si="50"/>
        <v>3632.575</v>
      </c>
      <c r="P1035">
        <v>573</v>
      </c>
      <c r="Q1035" t="b">
        <v>1</v>
      </c>
      <c r="S1035" t="s">
        <v>42</v>
      </c>
    </row>
    <row r="1036" spans="1:19">
      <c r="A1036" t="s">
        <v>2151</v>
      </c>
      <c r="B1036" t="s">
        <v>2152</v>
      </c>
      <c r="C1036" s="23" t="s">
        <v>4129</v>
      </c>
      <c r="D1036" s="23">
        <v>45059</v>
      </c>
      <c r="E1036" s="22">
        <v>5</v>
      </c>
      <c r="F1036" s="22">
        <v>13</v>
      </c>
      <c r="G1036" s="22">
        <v>2023</v>
      </c>
      <c r="H1036" s="23">
        <f t="shared" si="48"/>
        <v>45059</v>
      </c>
      <c r="I1036" s="25">
        <v>45065</v>
      </c>
      <c r="J1036" s="22">
        <f t="shared" si="49"/>
        <v>6</v>
      </c>
      <c r="K1036" t="s">
        <v>19</v>
      </c>
      <c r="L1036">
        <v>7469</v>
      </c>
      <c r="M1036">
        <v>208</v>
      </c>
      <c r="N1036" s="26">
        <v>192.41</v>
      </c>
      <c r="O1036" s="26">
        <f t="shared" si="50"/>
        <v>192.41</v>
      </c>
      <c r="P1036">
        <v>27</v>
      </c>
      <c r="Q1036" t="b">
        <v>0</v>
      </c>
      <c r="R1036">
        <v>7539</v>
      </c>
      <c r="S1036" t="s">
        <v>20</v>
      </c>
    </row>
    <row r="1037" spans="1:19">
      <c r="A1037" t="s">
        <v>2153</v>
      </c>
      <c r="B1037" t="s">
        <v>2154</v>
      </c>
      <c r="C1037" s="23" t="s">
        <v>4131</v>
      </c>
      <c r="D1037" s="23">
        <v>45064</v>
      </c>
      <c r="E1037" s="22">
        <v>5</v>
      </c>
      <c r="F1037" s="22">
        <v>18</v>
      </c>
      <c r="G1037" s="22">
        <v>2023</v>
      </c>
      <c r="H1037" s="23">
        <f t="shared" si="48"/>
        <v>45064</v>
      </c>
      <c r="I1037" s="25">
        <v>45083</v>
      </c>
      <c r="J1037" s="22">
        <f t="shared" si="49"/>
        <v>19</v>
      </c>
      <c r="K1037" t="s">
        <v>19</v>
      </c>
      <c r="L1037">
        <v>31105</v>
      </c>
      <c r="M1037">
        <v>416</v>
      </c>
      <c r="N1037" s="26">
        <v>730.44</v>
      </c>
      <c r="O1037" s="26">
        <f t="shared" si="50"/>
        <v>730.44</v>
      </c>
      <c r="P1037">
        <v>60</v>
      </c>
      <c r="Q1037" t="b">
        <v>0</v>
      </c>
      <c r="S1037" t="s">
        <v>20</v>
      </c>
    </row>
    <row r="1038" spans="1:19">
      <c r="A1038" t="s">
        <v>2155</v>
      </c>
      <c r="B1038" t="s">
        <v>2156</v>
      </c>
      <c r="C1038" s="23" t="s">
        <v>4129</v>
      </c>
      <c r="D1038" s="23">
        <v>44942</v>
      </c>
      <c r="E1038" s="22">
        <v>1</v>
      </c>
      <c r="F1038" s="22">
        <v>16</v>
      </c>
      <c r="G1038" s="22">
        <v>2023</v>
      </c>
      <c r="H1038" s="23">
        <f t="shared" si="48"/>
        <v>44942</v>
      </c>
      <c r="I1038" s="25">
        <v>44956</v>
      </c>
      <c r="J1038" s="22">
        <f t="shared" si="49"/>
        <v>14</v>
      </c>
      <c r="K1038" t="s">
        <v>23</v>
      </c>
      <c r="L1038">
        <v>43101</v>
      </c>
      <c r="M1038">
        <v>1119</v>
      </c>
      <c r="N1038" s="26">
        <v>1470.92</v>
      </c>
      <c r="O1038" s="26">
        <f t="shared" si="50"/>
        <v>1470.92</v>
      </c>
      <c r="P1038">
        <v>99</v>
      </c>
      <c r="Q1038" t="b">
        <v>1</v>
      </c>
      <c r="S1038" t="s">
        <v>25</v>
      </c>
    </row>
    <row r="1039" spans="1:19">
      <c r="A1039" t="s">
        <v>2157</v>
      </c>
      <c r="B1039" t="s">
        <v>2158</v>
      </c>
      <c r="C1039" s="23" t="s">
        <v>4131</v>
      </c>
      <c r="D1039" s="23" t="s">
        <v>2159</v>
      </c>
      <c r="E1039" s="22">
        <v>26</v>
      </c>
      <c r="F1039" s="22">
        <v>9</v>
      </c>
      <c r="G1039" s="22">
        <v>2023</v>
      </c>
      <c r="H1039" s="23">
        <f t="shared" si="48"/>
        <v>45195</v>
      </c>
      <c r="I1039" s="25">
        <v>45199</v>
      </c>
      <c r="J1039" s="22">
        <f t="shared" si="49"/>
        <v>4</v>
      </c>
      <c r="K1039" t="s">
        <v>19</v>
      </c>
      <c r="L1039">
        <v>65323</v>
      </c>
      <c r="M1039">
        <v>3031</v>
      </c>
      <c r="N1039" s="26">
        <v>3215.02</v>
      </c>
      <c r="O1039" s="26">
        <f t="shared" si="50"/>
        <v>3215.02</v>
      </c>
      <c r="P1039">
        <v>515</v>
      </c>
      <c r="Q1039" t="b">
        <v>0</v>
      </c>
      <c r="S1039" t="s">
        <v>20</v>
      </c>
    </row>
    <row r="1040" spans="1:19">
      <c r="A1040" t="s">
        <v>2160</v>
      </c>
      <c r="B1040" t="s">
        <v>2161</v>
      </c>
      <c r="C1040" s="23" t="s">
        <v>4131</v>
      </c>
      <c r="D1040" s="23">
        <v>45291</v>
      </c>
      <c r="E1040" s="22">
        <v>12</v>
      </c>
      <c r="F1040" s="22">
        <v>31</v>
      </c>
      <c r="G1040" s="22">
        <v>2023</v>
      </c>
      <c r="H1040" s="23">
        <f t="shared" si="48"/>
        <v>45291</v>
      </c>
      <c r="I1040" s="25">
        <v>45309</v>
      </c>
      <c r="J1040" s="22">
        <f t="shared" si="49"/>
        <v>18</v>
      </c>
      <c r="K1040" t="s">
        <v>23</v>
      </c>
      <c r="L1040">
        <v>92922</v>
      </c>
      <c r="M1040">
        <v>3932</v>
      </c>
      <c r="N1040" s="26">
        <v>5654.2</v>
      </c>
      <c r="O1040" s="26">
        <f t="shared" si="50"/>
        <v>3632.575</v>
      </c>
      <c r="P1040">
        <v>569</v>
      </c>
      <c r="Q1040" t="b">
        <v>1</v>
      </c>
      <c r="S1040" t="s">
        <v>25</v>
      </c>
    </row>
    <row r="1041" spans="1:19">
      <c r="A1041" t="s">
        <v>2162</v>
      </c>
      <c r="B1041" t="s">
        <v>2163</v>
      </c>
      <c r="C1041" s="23" t="s">
        <v>4128</v>
      </c>
      <c r="D1041" s="23">
        <v>45181</v>
      </c>
      <c r="E1041" s="22">
        <v>9</v>
      </c>
      <c r="F1041" s="22">
        <v>12</v>
      </c>
      <c r="G1041" s="22">
        <v>2023</v>
      </c>
      <c r="H1041" s="23">
        <f t="shared" si="48"/>
        <v>45181</v>
      </c>
      <c r="I1041" s="25">
        <v>45183</v>
      </c>
      <c r="J1041" s="22">
        <f t="shared" si="49"/>
        <v>2</v>
      </c>
      <c r="K1041" t="s">
        <v>14</v>
      </c>
      <c r="L1041">
        <v>59067</v>
      </c>
      <c r="M1041">
        <v>1101</v>
      </c>
      <c r="N1041" s="26">
        <v>570.88</v>
      </c>
      <c r="O1041" s="26">
        <f t="shared" si="50"/>
        <v>570.88</v>
      </c>
      <c r="P1041">
        <v>138</v>
      </c>
      <c r="Q1041" t="b">
        <v>1</v>
      </c>
      <c r="S1041" t="s">
        <v>16</v>
      </c>
    </row>
    <row r="1042" spans="1:19">
      <c r="A1042" t="s">
        <v>2164</v>
      </c>
      <c r="B1042" t="s">
        <v>2165</v>
      </c>
      <c r="C1042" s="23" t="s">
        <v>4131</v>
      </c>
      <c r="D1042" s="23">
        <v>45182</v>
      </c>
      <c r="E1042" s="22">
        <v>9</v>
      </c>
      <c r="F1042" s="22">
        <v>13</v>
      </c>
      <c r="G1042" s="22">
        <v>2023</v>
      </c>
      <c r="H1042" s="23">
        <f t="shared" si="48"/>
        <v>45182</v>
      </c>
      <c r="I1042" s="25">
        <v>45190</v>
      </c>
      <c r="J1042" s="22">
        <f t="shared" si="49"/>
        <v>8</v>
      </c>
      <c r="K1042" t="s">
        <v>19</v>
      </c>
      <c r="L1042">
        <v>50376</v>
      </c>
      <c r="M1042">
        <v>1443</v>
      </c>
      <c r="N1042" s="26">
        <v>1030.94</v>
      </c>
      <c r="O1042" s="26">
        <f t="shared" si="50"/>
        <v>1030.94</v>
      </c>
      <c r="P1042">
        <v>85</v>
      </c>
      <c r="Q1042" t="b">
        <v>1</v>
      </c>
      <c r="S1042" t="s">
        <v>20</v>
      </c>
    </row>
    <row r="1043" spans="1:19">
      <c r="A1043" t="s">
        <v>2166</v>
      </c>
      <c r="B1043" t="s">
        <v>2167</v>
      </c>
      <c r="C1043" s="23" t="s">
        <v>4128</v>
      </c>
      <c r="D1043" s="23">
        <v>45007</v>
      </c>
      <c r="E1043" s="22">
        <v>3</v>
      </c>
      <c r="F1043" s="22">
        <v>22</v>
      </c>
      <c r="G1043" s="22">
        <v>2023</v>
      </c>
      <c r="H1043" s="23">
        <f t="shared" si="48"/>
        <v>45007</v>
      </c>
      <c r="I1043" s="25">
        <v>45014</v>
      </c>
      <c r="J1043" s="22">
        <f t="shared" si="49"/>
        <v>7</v>
      </c>
      <c r="K1043" t="s">
        <v>23</v>
      </c>
      <c r="L1043">
        <v>46587</v>
      </c>
      <c r="M1043">
        <v>1987</v>
      </c>
      <c r="N1043" s="26">
        <v>3205.91</v>
      </c>
      <c r="O1043" s="26">
        <f t="shared" si="50"/>
        <v>3205.91</v>
      </c>
      <c r="P1043">
        <v>372</v>
      </c>
      <c r="Q1043" t="b">
        <v>1</v>
      </c>
      <c r="S1043" t="s">
        <v>25</v>
      </c>
    </row>
    <row r="1044" spans="1:19">
      <c r="A1044" t="s">
        <v>2168</v>
      </c>
      <c r="B1044" t="s">
        <v>2169</v>
      </c>
      <c r="C1044" s="23" t="s">
        <v>4127</v>
      </c>
      <c r="D1044" s="23">
        <v>45220</v>
      </c>
      <c r="E1044" s="22">
        <v>10</v>
      </c>
      <c r="F1044" s="22">
        <v>21</v>
      </c>
      <c r="G1044" s="22">
        <v>2023</v>
      </c>
      <c r="H1044" s="23">
        <f t="shared" si="48"/>
        <v>45220</v>
      </c>
      <c r="I1044" s="25">
        <v>45225</v>
      </c>
      <c r="J1044" s="22">
        <f t="shared" si="49"/>
        <v>5</v>
      </c>
      <c r="K1044" t="s">
        <v>138</v>
      </c>
      <c r="L1044">
        <v>37976</v>
      </c>
      <c r="M1044">
        <v>482</v>
      </c>
      <c r="N1044" s="26">
        <v>417.53</v>
      </c>
      <c r="O1044" s="26">
        <f t="shared" si="50"/>
        <v>417.53</v>
      </c>
      <c r="P1044">
        <v>68</v>
      </c>
      <c r="Q1044" t="b">
        <v>1</v>
      </c>
      <c r="S1044" t="s">
        <v>139</v>
      </c>
    </row>
    <row r="1045" spans="1:19">
      <c r="A1045" t="s">
        <v>2170</v>
      </c>
      <c r="B1045" t="s">
        <v>2171</v>
      </c>
      <c r="C1045" s="23" t="s">
        <v>4129</v>
      </c>
      <c r="D1045" s="23" t="s">
        <v>2172</v>
      </c>
      <c r="E1045" s="22">
        <v>18</v>
      </c>
      <c r="F1045" s="22">
        <v>9</v>
      </c>
      <c r="G1045" s="22">
        <v>2023</v>
      </c>
      <c r="H1045" s="23">
        <f t="shared" si="48"/>
        <v>45187</v>
      </c>
      <c r="I1045" s="25">
        <v>45197</v>
      </c>
      <c r="J1045" s="22">
        <f t="shared" si="49"/>
        <v>10</v>
      </c>
      <c r="K1045" t="s">
        <v>33</v>
      </c>
      <c r="L1045">
        <v>68584</v>
      </c>
      <c r="M1045">
        <v>1748</v>
      </c>
      <c r="N1045" s="26">
        <v>2441.98</v>
      </c>
      <c r="O1045" s="26">
        <f t="shared" si="50"/>
        <v>2441.98</v>
      </c>
      <c r="P1045">
        <v>137</v>
      </c>
      <c r="Q1045" t="b">
        <v>0</v>
      </c>
      <c r="S1045" t="s">
        <v>34</v>
      </c>
    </row>
    <row r="1046" spans="1:19">
      <c r="A1046" t="s">
        <v>2173</v>
      </c>
      <c r="B1046" t="s">
        <v>2174</v>
      </c>
      <c r="C1046" s="23" t="s">
        <v>4128</v>
      </c>
      <c r="D1046" s="23">
        <v>44933</v>
      </c>
      <c r="E1046" s="22">
        <v>1</v>
      </c>
      <c r="F1046" s="22">
        <v>7</v>
      </c>
      <c r="G1046" s="22">
        <v>2023</v>
      </c>
      <c r="H1046" s="23">
        <f t="shared" si="48"/>
        <v>44933</v>
      </c>
      <c r="I1046" s="25">
        <v>44938</v>
      </c>
      <c r="J1046" s="22">
        <f t="shared" si="49"/>
        <v>5</v>
      </c>
      <c r="K1046" t="s">
        <v>23</v>
      </c>
      <c r="L1046">
        <v>79477</v>
      </c>
      <c r="M1046">
        <v>3502</v>
      </c>
      <c r="N1046" s="26">
        <v>3773.94</v>
      </c>
      <c r="O1046" s="26">
        <f t="shared" si="50"/>
        <v>3632.575</v>
      </c>
      <c r="P1046">
        <v>493</v>
      </c>
      <c r="Q1046" t="b">
        <v>1</v>
      </c>
      <c r="S1046" t="s">
        <v>25</v>
      </c>
    </row>
    <row r="1047" spans="1:19">
      <c r="A1047" t="s">
        <v>2175</v>
      </c>
      <c r="B1047" t="s">
        <v>2176</v>
      </c>
      <c r="C1047" s="23" t="s">
        <v>4131</v>
      </c>
      <c r="D1047" s="23">
        <v>45123</v>
      </c>
      <c r="E1047" s="22">
        <v>7</v>
      </c>
      <c r="F1047" s="22">
        <v>16</v>
      </c>
      <c r="G1047" s="22">
        <v>2023</v>
      </c>
      <c r="H1047" s="23">
        <f t="shared" si="48"/>
        <v>45123</v>
      </c>
      <c r="I1047" s="25">
        <v>45147</v>
      </c>
      <c r="J1047" s="22">
        <f t="shared" si="49"/>
        <v>24</v>
      </c>
      <c r="K1047" t="s">
        <v>23</v>
      </c>
      <c r="L1047">
        <v>43533</v>
      </c>
      <c r="M1047">
        <v>1138</v>
      </c>
      <c r="N1047" s="26">
        <v>2028.15</v>
      </c>
      <c r="O1047" s="26">
        <f t="shared" si="50"/>
        <v>2028.15</v>
      </c>
      <c r="P1047">
        <v>172</v>
      </c>
      <c r="Q1047" t="b">
        <v>1</v>
      </c>
      <c r="R1047">
        <v>43575</v>
      </c>
      <c r="S1047" t="s">
        <v>25</v>
      </c>
    </row>
    <row r="1048" spans="1:19">
      <c r="A1048" t="s">
        <v>2177</v>
      </c>
      <c r="B1048" t="s">
        <v>2178</v>
      </c>
      <c r="C1048" s="23" t="s">
        <v>4131</v>
      </c>
      <c r="D1048" s="23">
        <v>44945</v>
      </c>
      <c r="E1048" s="22">
        <v>1</v>
      </c>
      <c r="F1048" s="22">
        <v>19</v>
      </c>
      <c r="G1048" s="22">
        <v>2023</v>
      </c>
      <c r="H1048" s="23">
        <f t="shared" si="48"/>
        <v>44945</v>
      </c>
      <c r="I1048" s="25">
        <v>44968</v>
      </c>
      <c r="J1048" s="22">
        <f t="shared" si="49"/>
        <v>23</v>
      </c>
      <c r="K1048" t="s">
        <v>14</v>
      </c>
      <c r="L1048">
        <v>2828</v>
      </c>
      <c r="M1048">
        <v>37</v>
      </c>
      <c r="N1048" s="26">
        <v>71.36</v>
      </c>
      <c r="O1048" s="26">
        <f t="shared" si="50"/>
        <v>71.36</v>
      </c>
      <c r="P1048">
        <v>4</v>
      </c>
      <c r="Q1048" t="b">
        <v>0</v>
      </c>
      <c r="S1048" t="s">
        <v>16</v>
      </c>
    </row>
    <row r="1049" spans="1:19">
      <c r="A1049" t="s">
        <v>2179</v>
      </c>
      <c r="B1049" t="s">
        <v>2180</v>
      </c>
      <c r="C1049" s="23" t="s">
        <v>4127</v>
      </c>
      <c r="D1049" s="23">
        <v>45262</v>
      </c>
      <c r="E1049" s="22">
        <v>12</v>
      </c>
      <c r="F1049" s="22">
        <v>2</v>
      </c>
      <c r="G1049" s="22">
        <v>2023</v>
      </c>
      <c r="H1049" s="23">
        <f t="shared" si="48"/>
        <v>45262</v>
      </c>
      <c r="I1049" s="25">
        <v>45275</v>
      </c>
      <c r="J1049" s="22">
        <f t="shared" si="49"/>
        <v>13</v>
      </c>
      <c r="K1049" t="s">
        <v>14</v>
      </c>
      <c r="L1049">
        <v>2917</v>
      </c>
      <c r="M1049">
        <v>92</v>
      </c>
      <c r="N1049" s="26">
        <v>167.93</v>
      </c>
      <c r="O1049" s="26">
        <f t="shared" si="50"/>
        <v>167.93</v>
      </c>
      <c r="P1049">
        <v>14</v>
      </c>
      <c r="Q1049" t="b">
        <v>1</v>
      </c>
      <c r="S1049" t="s">
        <v>16</v>
      </c>
    </row>
    <row r="1050" spans="1:19">
      <c r="A1050" t="s">
        <v>2181</v>
      </c>
      <c r="B1050" t="s">
        <v>2182</v>
      </c>
      <c r="C1050" s="23" t="s">
        <v>4131</v>
      </c>
      <c r="D1050" s="23">
        <v>45140</v>
      </c>
      <c r="E1050" s="22">
        <v>8</v>
      </c>
      <c r="F1050" s="22">
        <v>2</v>
      </c>
      <c r="G1050" s="22">
        <v>2023</v>
      </c>
      <c r="H1050" s="23">
        <f t="shared" si="48"/>
        <v>45140</v>
      </c>
      <c r="I1050" s="25">
        <v>45141</v>
      </c>
      <c r="J1050" s="22">
        <f t="shared" si="49"/>
        <v>1</v>
      </c>
      <c r="K1050" t="s">
        <v>19</v>
      </c>
      <c r="L1050">
        <v>21618</v>
      </c>
      <c r="M1050">
        <v>961</v>
      </c>
      <c r="N1050" s="26">
        <v>870.6</v>
      </c>
      <c r="O1050" s="26">
        <f t="shared" si="50"/>
        <v>870.6</v>
      </c>
      <c r="P1050">
        <v>131</v>
      </c>
      <c r="Q1050" t="b">
        <v>1</v>
      </c>
      <c r="S1050" t="s">
        <v>20</v>
      </c>
    </row>
    <row r="1051" spans="1:19">
      <c r="A1051" t="s">
        <v>2183</v>
      </c>
      <c r="B1051" t="s">
        <v>2184</v>
      </c>
      <c r="C1051" s="23" t="s">
        <v>4128</v>
      </c>
      <c r="D1051" s="23">
        <v>44966</v>
      </c>
      <c r="E1051" s="22">
        <v>2</v>
      </c>
      <c r="F1051" s="22">
        <v>9</v>
      </c>
      <c r="G1051" s="22">
        <v>2023</v>
      </c>
      <c r="H1051" s="23">
        <f t="shared" si="48"/>
        <v>44966</v>
      </c>
      <c r="I1051" s="25">
        <v>44978</v>
      </c>
      <c r="J1051" s="22">
        <f t="shared" si="49"/>
        <v>12</v>
      </c>
      <c r="K1051" t="s">
        <v>33</v>
      </c>
      <c r="L1051">
        <v>33254</v>
      </c>
      <c r="M1051">
        <v>1117</v>
      </c>
      <c r="N1051" s="26">
        <v>883.82</v>
      </c>
      <c r="O1051" s="26">
        <f t="shared" si="50"/>
        <v>883.82</v>
      </c>
      <c r="P1051">
        <v>214</v>
      </c>
      <c r="Q1051" t="b">
        <v>0</v>
      </c>
      <c r="S1051" t="s">
        <v>34</v>
      </c>
    </row>
    <row r="1052" spans="1:19">
      <c r="A1052" t="s">
        <v>2185</v>
      </c>
      <c r="B1052" t="s">
        <v>2186</v>
      </c>
      <c r="C1052" s="23" t="s">
        <v>4127</v>
      </c>
      <c r="D1052" s="23">
        <v>45271</v>
      </c>
      <c r="E1052" s="22">
        <v>12</v>
      </c>
      <c r="F1052" s="22">
        <v>11</v>
      </c>
      <c r="G1052" s="22">
        <v>2023</v>
      </c>
      <c r="H1052" s="23">
        <f t="shared" si="48"/>
        <v>45271</v>
      </c>
      <c r="I1052" s="25">
        <v>45273</v>
      </c>
      <c r="J1052" s="22">
        <f t="shared" si="49"/>
        <v>2</v>
      </c>
      <c r="K1052" t="s">
        <v>23</v>
      </c>
      <c r="L1052">
        <v>48362</v>
      </c>
      <c r="M1052">
        <v>921</v>
      </c>
      <c r="N1052" s="26">
        <v>1115.93</v>
      </c>
      <c r="O1052" s="26">
        <f t="shared" si="50"/>
        <v>1115.93</v>
      </c>
      <c r="P1052">
        <v>53</v>
      </c>
      <c r="Q1052" t="b">
        <v>1</v>
      </c>
      <c r="S1052" t="s">
        <v>25</v>
      </c>
    </row>
    <row r="1053" spans="1:19">
      <c r="A1053" t="s">
        <v>2187</v>
      </c>
      <c r="B1053" t="s">
        <v>2188</v>
      </c>
      <c r="C1053" s="23" t="s">
        <v>4129</v>
      </c>
      <c r="D1053" s="23">
        <v>45191</v>
      </c>
      <c r="E1053" s="22">
        <v>9</v>
      </c>
      <c r="F1053" s="22">
        <v>22</v>
      </c>
      <c r="G1053" s="22">
        <v>2023</v>
      </c>
      <c r="H1053" s="23">
        <f t="shared" si="48"/>
        <v>45191</v>
      </c>
      <c r="I1053" s="25">
        <v>45208</v>
      </c>
      <c r="J1053" s="22">
        <f t="shared" si="49"/>
        <v>17</v>
      </c>
      <c r="K1053" t="s">
        <v>41</v>
      </c>
      <c r="L1053">
        <v>21128</v>
      </c>
      <c r="M1053">
        <v>536</v>
      </c>
      <c r="N1053" s="26">
        <v>273.9</v>
      </c>
      <c r="O1053" s="26">
        <f t="shared" si="50"/>
        <v>273.9</v>
      </c>
      <c r="P1053">
        <v>35</v>
      </c>
      <c r="Q1053" t="b">
        <v>1</v>
      </c>
      <c r="S1053" t="s">
        <v>42</v>
      </c>
    </row>
    <row r="1054" spans="1:19">
      <c r="A1054" t="s">
        <v>2189</v>
      </c>
      <c r="B1054" t="s">
        <v>2190</v>
      </c>
      <c r="C1054" s="23" t="s">
        <v>4129</v>
      </c>
      <c r="D1054" s="23">
        <v>44962</v>
      </c>
      <c r="E1054" s="22">
        <v>2</v>
      </c>
      <c r="F1054" s="22">
        <v>5</v>
      </c>
      <c r="G1054" s="22">
        <v>2023</v>
      </c>
      <c r="H1054" s="23">
        <f t="shared" si="48"/>
        <v>44962</v>
      </c>
      <c r="I1054" s="25">
        <v>44988</v>
      </c>
      <c r="J1054" s="22">
        <f t="shared" si="49"/>
        <v>26</v>
      </c>
      <c r="K1054" t="s">
        <v>19</v>
      </c>
      <c r="L1054">
        <v>60383</v>
      </c>
      <c r="M1054">
        <v>1691</v>
      </c>
      <c r="N1054" s="26">
        <v>910.97</v>
      </c>
      <c r="O1054" s="26">
        <f t="shared" si="50"/>
        <v>910.97</v>
      </c>
      <c r="P1054">
        <v>128</v>
      </c>
      <c r="Q1054" t="b">
        <v>0</v>
      </c>
      <c r="S1054" t="s">
        <v>20</v>
      </c>
    </row>
    <row r="1055" spans="1:19">
      <c r="A1055" t="s">
        <v>2191</v>
      </c>
      <c r="B1055" t="s">
        <v>2192</v>
      </c>
      <c r="C1055" s="23" t="s">
        <v>4131</v>
      </c>
      <c r="D1055" s="23">
        <v>45086</v>
      </c>
      <c r="E1055" s="22">
        <v>6</v>
      </c>
      <c r="F1055" s="22">
        <v>9</v>
      </c>
      <c r="G1055" s="22">
        <v>2023</v>
      </c>
      <c r="H1055" s="23">
        <f t="shared" si="48"/>
        <v>45086</v>
      </c>
      <c r="I1055" s="25">
        <v>45087</v>
      </c>
      <c r="J1055" s="22">
        <f t="shared" si="49"/>
        <v>1</v>
      </c>
      <c r="K1055" t="s">
        <v>41</v>
      </c>
      <c r="L1055">
        <v>66545</v>
      </c>
      <c r="M1055">
        <v>2207</v>
      </c>
      <c r="N1055" s="26">
        <v>2935.17</v>
      </c>
      <c r="O1055" s="26">
        <f t="shared" si="50"/>
        <v>2935.17</v>
      </c>
      <c r="P1055">
        <v>338</v>
      </c>
      <c r="Q1055" t="b">
        <v>1</v>
      </c>
      <c r="S1055" t="s">
        <v>42</v>
      </c>
    </row>
    <row r="1056" spans="1:19">
      <c r="A1056" t="s">
        <v>2193</v>
      </c>
      <c r="B1056" t="s">
        <v>2194</v>
      </c>
      <c r="C1056" s="23" t="s">
        <v>4128</v>
      </c>
      <c r="D1056" s="23">
        <v>44931</v>
      </c>
      <c r="E1056" s="22">
        <v>1</v>
      </c>
      <c r="F1056" s="22">
        <v>5</v>
      </c>
      <c r="G1056" s="22">
        <v>2023</v>
      </c>
      <c r="H1056" s="23">
        <f t="shared" si="48"/>
        <v>44931</v>
      </c>
      <c r="I1056" s="25">
        <v>44935</v>
      </c>
      <c r="J1056" s="22">
        <f t="shared" si="49"/>
        <v>4</v>
      </c>
      <c r="K1056" t="s">
        <v>41</v>
      </c>
      <c r="L1056">
        <v>83180</v>
      </c>
      <c r="M1056">
        <v>3358</v>
      </c>
      <c r="N1056" s="26">
        <v>4300.5</v>
      </c>
      <c r="O1056" s="26">
        <f t="shared" si="50"/>
        <v>3632.575</v>
      </c>
      <c r="P1056">
        <v>493</v>
      </c>
      <c r="Q1056" t="b">
        <v>1</v>
      </c>
      <c r="S1056" t="s">
        <v>42</v>
      </c>
    </row>
    <row r="1057" spans="1:19">
      <c r="A1057" t="s">
        <v>2195</v>
      </c>
      <c r="B1057" t="s">
        <v>2196</v>
      </c>
      <c r="C1057" s="23" t="s">
        <v>4131</v>
      </c>
      <c r="D1057" s="23">
        <v>45082</v>
      </c>
      <c r="E1057" s="22">
        <v>6</v>
      </c>
      <c r="F1057" s="22">
        <v>5</v>
      </c>
      <c r="G1057" s="22">
        <v>2023</v>
      </c>
      <c r="H1057" s="23">
        <f t="shared" si="48"/>
        <v>45082</v>
      </c>
      <c r="I1057" s="25">
        <v>45099</v>
      </c>
      <c r="J1057" s="22">
        <f t="shared" si="49"/>
        <v>17</v>
      </c>
      <c r="K1057" t="s">
        <v>33</v>
      </c>
      <c r="L1057">
        <v>88958</v>
      </c>
      <c r="M1057">
        <v>1241</v>
      </c>
      <c r="N1057" s="26">
        <v>2471.91</v>
      </c>
      <c r="O1057" s="26">
        <f t="shared" si="50"/>
        <v>2471.91</v>
      </c>
      <c r="P1057">
        <v>228</v>
      </c>
      <c r="Q1057" t="b">
        <v>0</v>
      </c>
      <c r="S1057" t="s">
        <v>34</v>
      </c>
    </row>
    <row r="1058" spans="1:19">
      <c r="A1058" t="s">
        <v>2197</v>
      </c>
      <c r="B1058" t="s">
        <v>2198</v>
      </c>
      <c r="C1058" s="23" t="s">
        <v>4131</v>
      </c>
      <c r="D1058" s="23">
        <v>45115</v>
      </c>
      <c r="E1058" s="22">
        <v>7</v>
      </c>
      <c r="F1058" s="22">
        <v>8</v>
      </c>
      <c r="G1058" s="22">
        <v>2023</v>
      </c>
      <c r="H1058" s="23">
        <f t="shared" si="48"/>
        <v>45115</v>
      </c>
      <c r="I1058" s="25">
        <v>45137</v>
      </c>
      <c r="J1058" s="22">
        <f t="shared" si="49"/>
        <v>22</v>
      </c>
      <c r="K1058" t="s">
        <v>14</v>
      </c>
      <c r="L1058">
        <v>10865</v>
      </c>
      <c r="M1058">
        <v>495</v>
      </c>
      <c r="N1058" s="26">
        <v>397.37</v>
      </c>
      <c r="O1058" s="26">
        <f t="shared" si="50"/>
        <v>397.37</v>
      </c>
      <c r="P1058">
        <v>79</v>
      </c>
      <c r="Q1058" t="b">
        <v>0</v>
      </c>
      <c r="S1058" t="s">
        <v>16</v>
      </c>
    </row>
    <row r="1059" spans="1:19">
      <c r="A1059" t="s">
        <v>2199</v>
      </c>
      <c r="B1059" t="s">
        <v>2200</v>
      </c>
      <c r="C1059" s="23" t="s">
        <v>4129</v>
      </c>
      <c r="D1059" s="23">
        <v>45027</v>
      </c>
      <c r="E1059" s="22">
        <v>4</v>
      </c>
      <c r="F1059" s="22">
        <v>11</v>
      </c>
      <c r="G1059" s="22">
        <v>2023</v>
      </c>
      <c r="H1059" s="23">
        <f t="shared" si="48"/>
        <v>45027</v>
      </c>
      <c r="I1059" s="25">
        <v>45036</v>
      </c>
      <c r="J1059" s="22">
        <f t="shared" si="49"/>
        <v>9</v>
      </c>
      <c r="K1059" t="s">
        <v>19</v>
      </c>
      <c r="L1059">
        <v>3219</v>
      </c>
      <c r="M1059">
        <v>33</v>
      </c>
      <c r="N1059" s="26">
        <v>29.28</v>
      </c>
      <c r="O1059" s="26">
        <f t="shared" si="50"/>
        <v>29.28</v>
      </c>
      <c r="P1059">
        <v>4</v>
      </c>
      <c r="Q1059" t="b">
        <v>1</v>
      </c>
      <c r="S1059" t="s">
        <v>20</v>
      </c>
    </row>
    <row r="1060" spans="1:19">
      <c r="A1060" t="s">
        <v>2201</v>
      </c>
      <c r="B1060" t="s">
        <v>2202</v>
      </c>
      <c r="C1060" s="23" t="s">
        <v>4128</v>
      </c>
      <c r="D1060" s="23">
        <v>45052</v>
      </c>
      <c r="E1060" s="22">
        <v>5</v>
      </c>
      <c r="F1060" s="22">
        <v>6</v>
      </c>
      <c r="G1060" s="22">
        <v>2023</v>
      </c>
      <c r="H1060" s="23">
        <f t="shared" si="48"/>
        <v>45052</v>
      </c>
      <c r="I1060" s="25">
        <v>45071</v>
      </c>
      <c r="J1060" s="22">
        <f t="shared" si="49"/>
        <v>19</v>
      </c>
      <c r="K1060" t="s">
        <v>41</v>
      </c>
      <c r="L1060">
        <v>40809</v>
      </c>
      <c r="M1060">
        <v>1012</v>
      </c>
      <c r="N1060" s="26">
        <v>678.35</v>
      </c>
      <c r="O1060" s="26">
        <f t="shared" si="50"/>
        <v>678.35</v>
      </c>
      <c r="P1060">
        <v>201</v>
      </c>
      <c r="Q1060" t="b">
        <v>0</v>
      </c>
      <c r="S1060" t="s">
        <v>42</v>
      </c>
    </row>
    <row r="1061" spans="1:19">
      <c r="A1061" t="s">
        <v>2203</v>
      </c>
      <c r="B1061" t="s">
        <v>2204</v>
      </c>
      <c r="C1061" s="23" t="s">
        <v>4131</v>
      </c>
      <c r="D1061" s="23">
        <v>44939</v>
      </c>
      <c r="E1061" s="22">
        <v>1</v>
      </c>
      <c r="F1061" s="22">
        <v>13</v>
      </c>
      <c r="G1061" s="22">
        <v>2023</v>
      </c>
      <c r="H1061" s="23">
        <f t="shared" si="48"/>
        <v>44939</v>
      </c>
      <c r="I1061" s="25">
        <v>44956</v>
      </c>
      <c r="J1061" s="22">
        <f t="shared" si="49"/>
        <v>17</v>
      </c>
      <c r="K1061" t="s">
        <v>19</v>
      </c>
      <c r="L1061">
        <v>6287</v>
      </c>
      <c r="M1061">
        <v>69</v>
      </c>
      <c r="N1061" s="26">
        <v>129.47</v>
      </c>
      <c r="O1061" s="26">
        <f t="shared" si="50"/>
        <v>129.47</v>
      </c>
      <c r="P1061">
        <v>6</v>
      </c>
      <c r="Q1061" t="b">
        <v>1</v>
      </c>
      <c r="S1061" t="s">
        <v>20</v>
      </c>
    </row>
    <row r="1062" spans="1:19">
      <c r="A1062" t="s">
        <v>2205</v>
      </c>
      <c r="B1062" t="s">
        <v>2206</v>
      </c>
      <c r="C1062" s="23" t="s">
        <v>4129</v>
      </c>
      <c r="D1062" s="23">
        <v>45282</v>
      </c>
      <c r="E1062" s="22">
        <v>12</v>
      </c>
      <c r="F1062" s="22">
        <v>22</v>
      </c>
      <c r="G1062" s="22">
        <v>2023</v>
      </c>
      <c r="H1062" s="23">
        <f t="shared" si="48"/>
        <v>45282</v>
      </c>
      <c r="I1062" s="25">
        <v>45283</v>
      </c>
      <c r="J1062" s="22">
        <f t="shared" si="49"/>
        <v>1</v>
      </c>
      <c r="K1062" t="s">
        <v>19</v>
      </c>
      <c r="L1062">
        <v>35387</v>
      </c>
      <c r="M1062">
        <v>910</v>
      </c>
      <c r="N1062" s="26">
        <v>1516.71</v>
      </c>
      <c r="O1062" s="26">
        <f t="shared" si="50"/>
        <v>1516.71</v>
      </c>
      <c r="P1062">
        <v>159</v>
      </c>
      <c r="Q1062" t="b">
        <v>0</v>
      </c>
      <c r="S1062" t="s">
        <v>20</v>
      </c>
    </row>
    <row r="1063" spans="1:19">
      <c r="A1063" t="s">
        <v>2207</v>
      </c>
      <c r="B1063" t="s">
        <v>2208</v>
      </c>
      <c r="C1063" s="23" t="s">
        <v>4131</v>
      </c>
      <c r="D1063" s="23">
        <v>44927</v>
      </c>
      <c r="E1063" s="22">
        <v>1</v>
      </c>
      <c r="F1063" s="22">
        <v>1</v>
      </c>
      <c r="G1063" s="22">
        <v>2023</v>
      </c>
      <c r="H1063" s="23">
        <f t="shared" si="48"/>
        <v>44927</v>
      </c>
      <c r="I1063" s="25">
        <v>44937</v>
      </c>
      <c r="J1063" s="22">
        <f t="shared" si="49"/>
        <v>10</v>
      </c>
      <c r="K1063" t="s">
        <v>14</v>
      </c>
      <c r="L1063">
        <v>9512</v>
      </c>
      <c r="M1063">
        <v>295</v>
      </c>
      <c r="N1063" s="26">
        <v>511.39</v>
      </c>
      <c r="O1063" s="26">
        <f t="shared" si="50"/>
        <v>511.39</v>
      </c>
      <c r="P1063">
        <v>33</v>
      </c>
      <c r="Q1063" t="b">
        <v>1</v>
      </c>
      <c r="S1063" t="s">
        <v>16</v>
      </c>
    </row>
    <row r="1064" spans="1:19">
      <c r="A1064" t="s">
        <v>2209</v>
      </c>
      <c r="B1064" t="s">
        <v>2210</v>
      </c>
      <c r="C1064" s="23" t="s">
        <v>4128</v>
      </c>
      <c r="D1064" s="23">
        <v>45084</v>
      </c>
      <c r="E1064" s="22">
        <v>6</v>
      </c>
      <c r="F1064" s="22">
        <v>7</v>
      </c>
      <c r="G1064" s="22">
        <v>2023</v>
      </c>
      <c r="H1064" s="23">
        <f t="shared" si="48"/>
        <v>45084</v>
      </c>
      <c r="I1064" s="25">
        <v>45113</v>
      </c>
      <c r="J1064" s="22">
        <f t="shared" si="49"/>
        <v>29</v>
      </c>
      <c r="K1064" t="s">
        <v>41</v>
      </c>
      <c r="L1064">
        <v>2342</v>
      </c>
      <c r="M1064">
        <v>71</v>
      </c>
      <c r="N1064" s="26">
        <v>131.64</v>
      </c>
      <c r="O1064" s="26">
        <f t="shared" si="50"/>
        <v>131.64</v>
      </c>
      <c r="P1064">
        <v>10</v>
      </c>
      <c r="Q1064" t="b">
        <v>1</v>
      </c>
      <c r="S1064" t="s">
        <v>42</v>
      </c>
    </row>
    <row r="1065" spans="1:19">
      <c r="A1065" t="s">
        <v>2211</v>
      </c>
      <c r="B1065" t="s">
        <v>2212</v>
      </c>
      <c r="C1065" s="23" t="s">
        <v>4127</v>
      </c>
      <c r="D1065" s="23">
        <v>45048</v>
      </c>
      <c r="E1065" s="22">
        <v>5</v>
      </c>
      <c r="F1065" s="22">
        <v>2</v>
      </c>
      <c r="G1065" s="22">
        <v>2023</v>
      </c>
      <c r="H1065" s="23">
        <f t="shared" si="48"/>
        <v>45048</v>
      </c>
      <c r="I1065" s="25">
        <v>45074</v>
      </c>
      <c r="J1065" s="22">
        <f t="shared" si="49"/>
        <v>26</v>
      </c>
      <c r="K1065" t="s">
        <v>19</v>
      </c>
      <c r="L1065">
        <v>64076</v>
      </c>
      <c r="M1065">
        <v>1065</v>
      </c>
      <c r="N1065" s="26">
        <v>1371.03</v>
      </c>
      <c r="O1065" s="26">
        <f t="shared" si="50"/>
        <v>1371.03</v>
      </c>
      <c r="P1065">
        <v>169</v>
      </c>
      <c r="Q1065" t="b">
        <v>1</v>
      </c>
      <c r="S1065" t="s">
        <v>20</v>
      </c>
    </row>
    <row r="1066" spans="1:19">
      <c r="A1066" t="s">
        <v>2213</v>
      </c>
      <c r="B1066" t="s">
        <v>2214</v>
      </c>
      <c r="C1066" s="23" t="s">
        <v>4128</v>
      </c>
      <c r="D1066" s="23">
        <v>44999</v>
      </c>
      <c r="E1066" s="22">
        <v>3</v>
      </c>
      <c r="F1066" s="22">
        <v>14</v>
      </c>
      <c r="G1066" s="22">
        <v>2023</v>
      </c>
      <c r="H1066" s="23">
        <f t="shared" si="48"/>
        <v>44999</v>
      </c>
      <c r="I1066" s="25">
        <v>45004</v>
      </c>
      <c r="J1066" s="22">
        <f t="shared" si="49"/>
        <v>5</v>
      </c>
      <c r="K1066" t="s">
        <v>33</v>
      </c>
      <c r="L1066">
        <v>20216</v>
      </c>
      <c r="M1066">
        <v>724</v>
      </c>
      <c r="N1066" s="26">
        <v>852</v>
      </c>
      <c r="O1066" s="26">
        <f t="shared" si="50"/>
        <v>852</v>
      </c>
      <c r="P1066">
        <v>105</v>
      </c>
      <c r="Q1066" t="b">
        <v>0</v>
      </c>
      <c r="S1066" t="s">
        <v>34</v>
      </c>
    </row>
    <row r="1067" spans="1:19">
      <c r="A1067" t="s">
        <v>2215</v>
      </c>
      <c r="B1067" t="s">
        <v>2216</v>
      </c>
      <c r="C1067" s="23" t="s">
        <v>4128</v>
      </c>
      <c r="D1067" s="23">
        <v>45045</v>
      </c>
      <c r="E1067" s="22">
        <v>4</v>
      </c>
      <c r="F1067" s="22">
        <v>29</v>
      </c>
      <c r="G1067" s="22">
        <v>2023</v>
      </c>
      <c r="H1067" s="23">
        <f t="shared" si="48"/>
        <v>45045</v>
      </c>
      <c r="I1067" s="25">
        <v>45056</v>
      </c>
      <c r="J1067" s="22">
        <f t="shared" si="49"/>
        <v>11</v>
      </c>
      <c r="K1067" t="s">
        <v>23</v>
      </c>
      <c r="L1067">
        <v>94070</v>
      </c>
      <c r="M1067">
        <v>1109</v>
      </c>
      <c r="N1067" s="26">
        <v>1104.11</v>
      </c>
      <c r="O1067" s="26">
        <f t="shared" si="50"/>
        <v>1104.11</v>
      </c>
      <c r="P1067">
        <v>78</v>
      </c>
      <c r="Q1067" t="b">
        <v>0</v>
      </c>
      <c r="S1067" t="s">
        <v>25</v>
      </c>
    </row>
    <row r="1068" spans="1:19">
      <c r="A1068" t="s">
        <v>2217</v>
      </c>
      <c r="B1068" t="s">
        <v>2218</v>
      </c>
      <c r="C1068" s="23" t="s">
        <v>4129</v>
      </c>
      <c r="D1068" s="23">
        <v>45285</v>
      </c>
      <c r="E1068" s="22">
        <v>12</v>
      </c>
      <c r="F1068" s="22">
        <v>25</v>
      </c>
      <c r="G1068" s="22">
        <v>2023</v>
      </c>
      <c r="H1068" s="23">
        <f t="shared" si="48"/>
        <v>45285</v>
      </c>
      <c r="I1068" s="25">
        <v>45315</v>
      </c>
      <c r="J1068" s="22">
        <f t="shared" si="49"/>
        <v>30</v>
      </c>
      <c r="K1068" t="s">
        <v>23</v>
      </c>
      <c r="L1068">
        <v>80767</v>
      </c>
      <c r="M1068">
        <v>3269</v>
      </c>
      <c r="N1068" s="26">
        <v>4523.71</v>
      </c>
      <c r="O1068" s="26">
        <f t="shared" si="50"/>
        <v>3632.575</v>
      </c>
      <c r="P1068">
        <v>380</v>
      </c>
      <c r="Q1068" t="b">
        <v>0</v>
      </c>
      <c r="S1068" t="s">
        <v>25</v>
      </c>
    </row>
    <row r="1069" spans="1:19">
      <c r="A1069" t="s">
        <v>2219</v>
      </c>
      <c r="B1069" t="s">
        <v>2220</v>
      </c>
      <c r="C1069" s="23" t="s">
        <v>4131</v>
      </c>
      <c r="D1069" s="23">
        <v>44970</v>
      </c>
      <c r="E1069" s="22">
        <v>2</v>
      </c>
      <c r="F1069" s="22">
        <v>13</v>
      </c>
      <c r="G1069" s="22">
        <v>2023</v>
      </c>
      <c r="H1069" s="23">
        <f t="shared" si="48"/>
        <v>44970</v>
      </c>
      <c r="I1069" s="25">
        <v>44978</v>
      </c>
      <c r="J1069" s="22">
        <f t="shared" si="49"/>
        <v>8</v>
      </c>
      <c r="K1069" t="s">
        <v>14</v>
      </c>
      <c r="L1069">
        <v>98829</v>
      </c>
      <c r="M1069">
        <v>4730</v>
      </c>
      <c r="N1069" s="26">
        <v>5588.11</v>
      </c>
      <c r="O1069" s="26">
        <f t="shared" si="50"/>
        <v>3632.575</v>
      </c>
      <c r="P1069">
        <v>634</v>
      </c>
      <c r="Q1069" t="b">
        <v>0</v>
      </c>
      <c r="S1069" t="s">
        <v>16</v>
      </c>
    </row>
    <row r="1070" spans="1:19">
      <c r="A1070" t="s">
        <v>2221</v>
      </c>
      <c r="B1070" t="s">
        <v>2222</v>
      </c>
      <c r="C1070" s="23" t="s">
        <v>4128</v>
      </c>
      <c r="D1070" s="23">
        <v>45253</v>
      </c>
      <c r="E1070" s="22">
        <v>11</v>
      </c>
      <c r="F1070" s="22">
        <v>23</v>
      </c>
      <c r="G1070" s="22">
        <v>2023</v>
      </c>
      <c r="H1070" s="23">
        <f t="shared" si="48"/>
        <v>45253</v>
      </c>
      <c r="I1070" s="25">
        <v>45281</v>
      </c>
      <c r="J1070" s="22">
        <f t="shared" si="49"/>
        <v>28</v>
      </c>
      <c r="K1070" t="s">
        <v>41</v>
      </c>
      <c r="L1070">
        <v>27614</v>
      </c>
      <c r="M1070">
        <v>651</v>
      </c>
      <c r="N1070" s="26">
        <v>766.45</v>
      </c>
      <c r="O1070" s="26">
        <f t="shared" si="50"/>
        <v>766.45</v>
      </c>
      <c r="P1070">
        <v>115</v>
      </c>
      <c r="Q1070" t="b">
        <v>0</v>
      </c>
      <c r="S1070" t="s">
        <v>42</v>
      </c>
    </row>
    <row r="1071" spans="1:19">
      <c r="A1071" t="s">
        <v>2223</v>
      </c>
      <c r="B1071" t="s">
        <v>2224</v>
      </c>
      <c r="C1071" s="23" t="s">
        <v>4131</v>
      </c>
      <c r="D1071" s="23" t="s">
        <v>2225</v>
      </c>
      <c r="E1071" s="22">
        <v>18</v>
      </c>
      <c r="F1071" s="22">
        <v>10</v>
      </c>
      <c r="G1071" s="22">
        <v>2023</v>
      </c>
      <c r="H1071" s="23">
        <f t="shared" si="48"/>
        <v>45217</v>
      </c>
      <c r="I1071" s="25">
        <v>45233</v>
      </c>
      <c r="J1071" s="22">
        <f t="shared" si="49"/>
        <v>16</v>
      </c>
      <c r="K1071" t="s">
        <v>14</v>
      </c>
      <c r="L1071">
        <v>37258</v>
      </c>
      <c r="M1071">
        <v>1143</v>
      </c>
      <c r="N1071" s="26">
        <v>2177.86</v>
      </c>
      <c r="O1071" s="26">
        <f t="shared" si="50"/>
        <v>2177.86</v>
      </c>
      <c r="P1071">
        <v>133</v>
      </c>
      <c r="Q1071" t="b">
        <v>1</v>
      </c>
      <c r="S1071" t="s">
        <v>16</v>
      </c>
    </row>
    <row r="1072" spans="1:19">
      <c r="A1072" t="s">
        <v>2226</v>
      </c>
      <c r="B1072" t="s">
        <v>2227</v>
      </c>
      <c r="C1072" s="23" t="s">
        <v>4129</v>
      </c>
      <c r="D1072" s="23">
        <v>45266</v>
      </c>
      <c r="E1072" s="22">
        <v>12</v>
      </c>
      <c r="F1072" s="22">
        <v>6</v>
      </c>
      <c r="G1072" s="22">
        <v>2023</v>
      </c>
      <c r="H1072" s="23">
        <f t="shared" si="48"/>
        <v>45266</v>
      </c>
      <c r="I1072" s="25">
        <v>45292</v>
      </c>
      <c r="J1072" s="22">
        <f t="shared" si="49"/>
        <v>26</v>
      </c>
      <c r="K1072" t="s">
        <v>19</v>
      </c>
      <c r="L1072">
        <v>94789</v>
      </c>
      <c r="M1072">
        <v>2384</v>
      </c>
      <c r="N1072" s="26">
        <v>4710.9</v>
      </c>
      <c r="O1072" s="26">
        <f t="shared" si="50"/>
        <v>3632.575</v>
      </c>
      <c r="P1072">
        <v>447</v>
      </c>
      <c r="Q1072" t="b">
        <v>1</v>
      </c>
      <c r="S1072" t="s">
        <v>20</v>
      </c>
    </row>
    <row r="1073" spans="1:19">
      <c r="A1073" t="s">
        <v>2228</v>
      </c>
      <c r="B1073" t="s">
        <v>2229</v>
      </c>
      <c r="C1073" s="23" t="s">
        <v>4128</v>
      </c>
      <c r="D1073" s="23">
        <v>45060</v>
      </c>
      <c r="E1073" s="22">
        <v>5</v>
      </c>
      <c r="F1073" s="22">
        <v>14</v>
      </c>
      <c r="G1073" s="22">
        <v>2023</v>
      </c>
      <c r="H1073" s="23">
        <f t="shared" si="48"/>
        <v>45060</v>
      </c>
      <c r="I1073" s="25">
        <v>45067</v>
      </c>
      <c r="J1073" s="22">
        <f t="shared" si="49"/>
        <v>7</v>
      </c>
      <c r="K1073" t="s">
        <v>14</v>
      </c>
      <c r="L1073">
        <v>43078</v>
      </c>
      <c r="M1073">
        <v>442</v>
      </c>
      <c r="N1073" s="26">
        <v>749.07</v>
      </c>
      <c r="O1073" s="26">
        <f t="shared" si="50"/>
        <v>749.07</v>
      </c>
      <c r="P1073">
        <v>51</v>
      </c>
      <c r="Q1073" t="b">
        <v>1</v>
      </c>
      <c r="S1073" t="s">
        <v>16</v>
      </c>
    </row>
    <row r="1074" spans="1:19">
      <c r="A1074" t="s">
        <v>2230</v>
      </c>
      <c r="B1074" t="s">
        <v>2231</v>
      </c>
      <c r="C1074" s="23" t="s">
        <v>4131</v>
      </c>
      <c r="D1074" s="23">
        <v>45128</v>
      </c>
      <c r="E1074" s="22">
        <v>7</v>
      </c>
      <c r="F1074" s="22">
        <v>21</v>
      </c>
      <c r="G1074" s="22">
        <v>2023</v>
      </c>
      <c r="H1074" s="23">
        <f t="shared" si="48"/>
        <v>45128</v>
      </c>
      <c r="I1074" s="25">
        <v>45135</v>
      </c>
      <c r="J1074" s="22">
        <f t="shared" si="49"/>
        <v>7</v>
      </c>
      <c r="K1074" t="s">
        <v>19</v>
      </c>
      <c r="L1074">
        <v>84524</v>
      </c>
      <c r="M1074">
        <v>2149</v>
      </c>
      <c r="N1074" s="26">
        <v>3513.91</v>
      </c>
      <c r="O1074" s="26">
        <f t="shared" si="50"/>
        <v>3513.91</v>
      </c>
      <c r="P1074">
        <v>284</v>
      </c>
      <c r="Q1074" t="b">
        <v>1</v>
      </c>
      <c r="S1074" t="s">
        <v>20</v>
      </c>
    </row>
    <row r="1075" spans="1:19">
      <c r="A1075" t="s">
        <v>2232</v>
      </c>
      <c r="B1075" t="s">
        <v>2233</v>
      </c>
      <c r="C1075" s="23" t="s">
        <v>4127</v>
      </c>
      <c r="D1075" s="23">
        <v>45089</v>
      </c>
      <c r="E1075" s="22">
        <v>6</v>
      </c>
      <c r="F1075" s="22">
        <v>12</v>
      </c>
      <c r="G1075" s="22">
        <v>2023</v>
      </c>
      <c r="H1075" s="23">
        <f t="shared" si="48"/>
        <v>45089</v>
      </c>
      <c r="I1075" s="25">
        <v>45111</v>
      </c>
      <c r="J1075" s="22">
        <f t="shared" si="49"/>
        <v>22</v>
      </c>
      <c r="K1075" t="s">
        <v>138</v>
      </c>
      <c r="L1075">
        <v>97573</v>
      </c>
      <c r="M1075">
        <v>4065</v>
      </c>
      <c r="N1075" s="26">
        <v>6182.2</v>
      </c>
      <c r="O1075" s="26">
        <f t="shared" si="50"/>
        <v>3632.575</v>
      </c>
      <c r="P1075">
        <v>688</v>
      </c>
      <c r="Q1075" t="b">
        <v>1</v>
      </c>
      <c r="S1075" t="s">
        <v>68</v>
      </c>
    </row>
    <row r="1076" spans="1:19">
      <c r="A1076" t="s">
        <v>2234</v>
      </c>
      <c r="B1076" t="s">
        <v>2235</v>
      </c>
      <c r="C1076" s="23" t="s">
        <v>4129</v>
      </c>
      <c r="D1076" s="23">
        <v>45030</v>
      </c>
      <c r="E1076" s="22">
        <v>4</v>
      </c>
      <c r="F1076" s="22">
        <v>14</v>
      </c>
      <c r="G1076" s="22">
        <v>2023</v>
      </c>
      <c r="H1076" s="23">
        <f t="shared" si="48"/>
        <v>45030</v>
      </c>
      <c r="I1076" s="25">
        <v>45046</v>
      </c>
      <c r="J1076" s="22">
        <f t="shared" si="49"/>
        <v>16</v>
      </c>
      <c r="K1076" t="s">
        <v>33</v>
      </c>
      <c r="L1076">
        <v>13219</v>
      </c>
      <c r="M1076">
        <v>447</v>
      </c>
      <c r="N1076" s="26">
        <v>334.85</v>
      </c>
      <c r="O1076" s="26">
        <f t="shared" si="50"/>
        <v>334.85</v>
      </c>
      <c r="P1076">
        <v>61</v>
      </c>
      <c r="Q1076" t="b">
        <v>1</v>
      </c>
      <c r="S1076" t="s">
        <v>34</v>
      </c>
    </row>
    <row r="1077" spans="1:19">
      <c r="A1077" t="s">
        <v>2236</v>
      </c>
      <c r="B1077" t="s">
        <v>2237</v>
      </c>
      <c r="C1077" s="23" t="s">
        <v>4129</v>
      </c>
      <c r="D1077" s="23">
        <v>44982</v>
      </c>
      <c r="E1077" s="22">
        <v>2</v>
      </c>
      <c r="F1077" s="22">
        <v>25</v>
      </c>
      <c r="G1077" s="22">
        <v>2023</v>
      </c>
      <c r="H1077" s="23">
        <f t="shared" si="48"/>
        <v>44982</v>
      </c>
      <c r="I1077" s="25">
        <v>44998</v>
      </c>
      <c r="J1077" s="22">
        <f t="shared" si="49"/>
        <v>16</v>
      </c>
      <c r="K1077" t="s">
        <v>33</v>
      </c>
      <c r="L1077">
        <v>1235</v>
      </c>
      <c r="M1077">
        <v>17</v>
      </c>
      <c r="N1077" s="26">
        <v>10.01</v>
      </c>
      <c r="O1077" s="26">
        <f t="shared" si="50"/>
        <v>10.01</v>
      </c>
      <c r="P1077">
        <v>3</v>
      </c>
      <c r="Q1077" t="b">
        <v>1</v>
      </c>
      <c r="S1077" t="s">
        <v>34</v>
      </c>
    </row>
    <row r="1078" spans="1:19">
      <c r="A1078" t="s">
        <v>2238</v>
      </c>
      <c r="B1078" t="s">
        <v>2239</v>
      </c>
      <c r="C1078" s="23" t="s">
        <v>4129</v>
      </c>
      <c r="D1078" s="23">
        <v>45165</v>
      </c>
      <c r="E1078" s="22">
        <v>8</v>
      </c>
      <c r="F1078" s="22">
        <v>27</v>
      </c>
      <c r="G1078" s="22">
        <v>2023</v>
      </c>
      <c r="H1078" s="23">
        <f t="shared" si="48"/>
        <v>45165</v>
      </c>
      <c r="I1078" s="25">
        <v>45181</v>
      </c>
      <c r="J1078" s="22">
        <f t="shared" si="49"/>
        <v>16</v>
      </c>
      <c r="K1078" t="s">
        <v>14</v>
      </c>
      <c r="L1078">
        <v>43929</v>
      </c>
      <c r="M1078">
        <v>1927</v>
      </c>
      <c r="N1078" s="26">
        <v>2960.04</v>
      </c>
      <c r="O1078" s="26">
        <f t="shared" si="50"/>
        <v>2960.04</v>
      </c>
      <c r="P1078">
        <v>287</v>
      </c>
      <c r="Q1078" t="b">
        <v>0</v>
      </c>
      <c r="S1078" t="s">
        <v>16</v>
      </c>
    </row>
    <row r="1079" spans="1:19">
      <c r="A1079" t="s">
        <v>2240</v>
      </c>
      <c r="B1079" t="s">
        <v>2241</v>
      </c>
      <c r="C1079" s="23" t="s">
        <v>4127</v>
      </c>
      <c r="D1079" s="23">
        <v>45110</v>
      </c>
      <c r="E1079" s="22">
        <v>7</v>
      </c>
      <c r="F1079" s="22">
        <v>3</v>
      </c>
      <c r="G1079" s="22">
        <v>2023</v>
      </c>
      <c r="H1079" s="23">
        <f t="shared" si="48"/>
        <v>45110</v>
      </c>
      <c r="I1079" s="25">
        <v>45117</v>
      </c>
      <c r="J1079" s="22">
        <f t="shared" si="49"/>
        <v>7</v>
      </c>
      <c r="K1079" t="s">
        <v>23</v>
      </c>
      <c r="L1079">
        <v>68444</v>
      </c>
      <c r="M1079">
        <v>2138</v>
      </c>
      <c r="N1079" s="26">
        <v>3406.22</v>
      </c>
      <c r="O1079" s="26">
        <f t="shared" si="50"/>
        <v>3406.22</v>
      </c>
      <c r="P1079">
        <v>274</v>
      </c>
      <c r="Q1079" t="b">
        <v>1</v>
      </c>
      <c r="S1079" t="s">
        <v>25</v>
      </c>
    </row>
    <row r="1080" spans="1:19">
      <c r="A1080" t="s">
        <v>2242</v>
      </c>
      <c r="B1080" t="s">
        <v>2243</v>
      </c>
      <c r="C1080" s="23" t="s">
        <v>4131</v>
      </c>
      <c r="D1080" s="23">
        <v>45084</v>
      </c>
      <c r="E1080" s="22">
        <v>6</v>
      </c>
      <c r="F1080" s="22">
        <v>7</v>
      </c>
      <c r="G1080" s="22">
        <v>2023</v>
      </c>
      <c r="H1080" s="23">
        <f t="shared" si="48"/>
        <v>45084</v>
      </c>
      <c r="I1080" s="25">
        <v>45088</v>
      </c>
      <c r="J1080" s="22">
        <f t="shared" si="49"/>
        <v>4</v>
      </c>
      <c r="K1080" t="s">
        <v>33</v>
      </c>
      <c r="L1080">
        <v>9567</v>
      </c>
      <c r="M1080">
        <v>417</v>
      </c>
      <c r="N1080" s="26">
        <v>237.88</v>
      </c>
      <c r="O1080" s="26">
        <f t="shared" si="50"/>
        <v>237.88</v>
      </c>
      <c r="P1080">
        <v>22</v>
      </c>
      <c r="Q1080" t="b">
        <v>0</v>
      </c>
      <c r="S1080" t="s">
        <v>34</v>
      </c>
    </row>
    <row r="1081" spans="1:19">
      <c r="A1081" t="s">
        <v>2244</v>
      </c>
      <c r="B1081" t="s">
        <v>2245</v>
      </c>
      <c r="C1081" s="23" t="s">
        <v>4131</v>
      </c>
      <c r="D1081" s="23">
        <v>44973</v>
      </c>
      <c r="E1081" s="22">
        <v>2</v>
      </c>
      <c r="F1081" s="22">
        <v>16</v>
      </c>
      <c r="G1081" s="22">
        <v>2023</v>
      </c>
      <c r="H1081" s="23">
        <f t="shared" si="48"/>
        <v>44973</v>
      </c>
      <c r="I1081" s="25">
        <v>44979</v>
      </c>
      <c r="J1081" s="22">
        <f t="shared" si="49"/>
        <v>6</v>
      </c>
      <c r="K1081" t="s">
        <v>33</v>
      </c>
      <c r="L1081">
        <v>71792</v>
      </c>
      <c r="M1081">
        <v>2384</v>
      </c>
      <c r="N1081" s="26">
        <v>4510.71</v>
      </c>
      <c r="O1081" s="26">
        <f t="shared" si="50"/>
        <v>3632.575</v>
      </c>
      <c r="P1081">
        <v>267</v>
      </c>
      <c r="Q1081" t="b">
        <v>0</v>
      </c>
      <c r="S1081" t="s">
        <v>34</v>
      </c>
    </row>
    <row r="1082" spans="1:19">
      <c r="A1082" t="s">
        <v>2246</v>
      </c>
      <c r="B1082" t="s">
        <v>2247</v>
      </c>
      <c r="C1082" s="23" t="s">
        <v>4128</v>
      </c>
      <c r="D1082" s="23">
        <v>45287</v>
      </c>
      <c r="E1082" s="22">
        <v>12</v>
      </c>
      <c r="F1082" s="22">
        <v>27</v>
      </c>
      <c r="G1082" s="22">
        <v>2023</v>
      </c>
      <c r="H1082" s="23">
        <f t="shared" si="48"/>
        <v>45287</v>
      </c>
      <c r="I1082" s="25">
        <v>45300</v>
      </c>
      <c r="J1082" s="22">
        <f t="shared" si="49"/>
        <v>13</v>
      </c>
      <c r="K1082" t="s">
        <v>23</v>
      </c>
      <c r="L1082">
        <v>66441</v>
      </c>
      <c r="M1082">
        <v>2151</v>
      </c>
      <c r="N1082" s="26">
        <v>1369.57</v>
      </c>
      <c r="O1082" s="26">
        <f t="shared" si="50"/>
        <v>1369.57</v>
      </c>
      <c r="P1082">
        <v>204</v>
      </c>
      <c r="Q1082" t="b">
        <v>0</v>
      </c>
      <c r="S1082" t="s">
        <v>25</v>
      </c>
    </row>
    <row r="1083" spans="1:19">
      <c r="A1083" t="s">
        <v>2248</v>
      </c>
      <c r="B1083" t="s">
        <v>2249</v>
      </c>
      <c r="C1083" s="23" t="s">
        <v>4128</v>
      </c>
      <c r="D1083" s="23">
        <v>45094</v>
      </c>
      <c r="E1083" s="22">
        <v>6</v>
      </c>
      <c r="F1083" s="22">
        <v>17</v>
      </c>
      <c r="G1083" s="22">
        <v>2023</v>
      </c>
      <c r="H1083" s="23">
        <f t="shared" si="48"/>
        <v>45094</v>
      </c>
      <c r="I1083" s="25">
        <v>45112</v>
      </c>
      <c r="J1083" s="22">
        <f t="shared" si="49"/>
        <v>18</v>
      </c>
      <c r="K1083" t="s">
        <v>23</v>
      </c>
      <c r="L1083">
        <v>85555</v>
      </c>
      <c r="M1083">
        <v>1215</v>
      </c>
      <c r="N1083" s="26">
        <v>1128.55</v>
      </c>
      <c r="O1083" s="26">
        <f t="shared" si="50"/>
        <v>1128.55</v>
      </c>
      <c r="P1083">
        <v>0</v>
      </c>
      <c r="Q1083" t="b">
        <v>1</v>
      </c>
      <c r="S1083" t="s">
        <v>25</v>
      </c>
    </row>
    <row r="1084" spans="1:19">
      <c r="A1084" t="s">
        <v>2250</v>
      </c>
      <c r="B1084" t="s">
        <v>2251</v>
      </c>
      <c r="C1084" s="23" t="s">
        <v>4129</v>
      </c>
      <c r="D1084" s="23">
        <v>45109</v>
      </c>
      <c r="E1084" s="22">
        <v>7</v>
      </c>
      <c r="F1084" s="22">
        <v>2</v>
      </c>
      <c r="G1084" s="22">
        <v>2023</v>
      </c>
      <c r="H1084" s="23">
        <f t="shared" si="48"/>
        <v>45109</v>
      </c>
      <c r="I1084" s="25">
        <v>44985</v>
      </c>
      <c r="J1084" s="22">
        <f t="shared" si="49"/>
        <v>-124</v>
      </c>
      <c r="K1084" t="s">
        <v>19</v>
      </c>
      <c r="L1084">
        <v>74698</v>
      </c>
      <c r="M1084">
        <v>1247</v>
      </c>
      <c r="N1084" s="26">
        <v>1881.21</v>
      </c>
      <c r="O1084" s="26">
        <f t="shared" si="50"/>
        <v>1881.21</v>
      </c>
      <c r="P1084">
        <v>101</v>
      </c>
      <c r="Q1084" t="b">
        <v>1</v>
      </c>
      <c r="S1084" t="s">
        <v>20</v>
      </c>
    </row>
    <row r="1085" spans="1:19">
      <c r="A1085" t="s">
        <v>2252</v>
      </c>
      <c r="B1085" t="s">
        <v>2253</v>
      </c>
      <c r="C1085" s="23" t="s">
        <v>4129</v>
      </c>
      <c r="D1085" s="23">
        <v>45080</v>
      </c>
      <c r="E1085" s="22">
        <v>6</v>
      </c>
      <c r="F1085" s="22">
        <v>3</v>
      </c>
      <c r="G1085" s="22">
        <v>2023</v>
      </c>
      <c r="H1085" s="23">
        <f t="shared" si="48"/>
        <v>45080</v>
      </c>
      <c r="I1085" s="25">
        <v>45101</v>
      </c>
      <c r="J1085" s="22">
        <f t="shared" si="49"/>
        <v>21</v>
      </c>
      <c r="K1085" t="s">
        <v>23</v>
      </c>
      <c r="L1085">
        <v>6415</v>
      </c>
      <c r="M1085">
        <v>313</v>
      </c>
      <c r="N1085" s="26">
        <v>236.26</v>
      </c>
      <c r="O1085" s="26">
        <f t="shared" si="50"/>
        <v>236.26</v>
      </c>
      <c r="P1085">
        <v>25</v>
      </c>
      <c r="Q1085" t="b">
        <v>0</v>
      </c>
      <c r="S1085" t="s">
        <v>25</v>
      </c>
    </row>
    <row r="1086" spans="1:19">
      <c r="A1086" t="s">
        <v>2254</v>
      </c>
      <c r="B1086" t="s">
        <v>2255</v>
      </c>
      <c r="C1086" s="23" t="s">
        <v>4131</v>
      </c>
      <c r="D1086" s="23">
        <v>44942</v>
      </c>
      <c r="E1086" s="22">
        <v>1</v>
      </c>
      <c r="F1086" s="22">
        <v>16</v>
      </c>
      <c r="G1086" s="22">
        <v>2023</v>
      </c>
      <c r="H1086" s="23">
        <f t="shared" si="48"/>
        <v>44942</v>
      </c>
      <c r="I1086" s="25">
        <v>44937</v>
      </c>
      <c r="J1086" s="22">
        <f t="shared" si="49"/>
        <v>-5</v>
      </c>
      <c r="K1086" t="s">
        <v>415</v>
      </c>
      <c r="L1086">
        <v>37159</v>
      </c>
      <c r="M1086">
        <v>711</v>
      </c>
      <c r="N1086" s="26">
        <v>414.6</v>
      </c>
      <c r="O1086" s="26">
        <f t="shared" si="50"/>
        <v>414.6</v>
      </c>
      <c r="P1086">
        <v>55</v>
      </c>
      <c r="Q1086" t="b">
        <v>1</v>
      </c>
      <c r="S1086" t="s">
        <v>34</v>
      </c>
    </row>
    <row r="1087" spans="1:19">
      <c r="A1087" t="s">
        <v>2256</v>
      </c>
      <c r="B1087" t="s">
        <v>2257</v>
      </c>
      <c r="C1087" s="23" t="s">
        <v>4129</v>
      </c>
      <c r="D1087" s="23">
        <v>45211</v>
      </c>
      <c r="E1087" s="22">
        <v>10</v>
      </c>
      <c r="F1087" s="22">
        <v>12</v>
      </c>
      <c r="G1087" s="22">
        <v>2023</v>
      </c>
      <c r="H1087" s="23">
        <f t="shared" si="48"/>
        <v>45211</v>
      </c>
      <c r="I1087" s="25">
        <v>45239</v>
      </c>
      <c r="J1087" s="22">
        <f t="shared" si="49"/>
        <v>28</v>
      </c>
      <c r="K1087" t="s">
        <v>14</v>
      </c>
      <c r="L1087">
        <v>44925</v>
      </c>
      <c r="M1087">
        <v>2205</v>
      </c>
      <c r="N1087" s="26">
        <v>2197.77</v>
      </c>
      <c r="O1087" s="26">
        <f t="shared" si="50"/>
        <v>2197.77</v>
      </c>
      <c r="P1087">
        <v>151</v>
      </c>
      <c r="Q1087" t="b">
        <v>1</v>
      </c>
      <c r="S1087" t="s">
        <v>16</v>
      </c>
    </row>
    <row r="1088" spans="1:19">
      <c r="A1088" t="s">
        <v>2258</v>
      </c>
      <c r="B1088" t="s">
        <v>2259</v>
      </c>
      <c r="C1088" s="23" t="s">
        <v>4129</v>
      </c>
      <c r="D1088" s="23">
        <v>45163</v>
      </c>
      <c r="E1088" s="22">
        <v>8</v>
      </c>
      <c r="F1088" s="22">
        <v>25</v>
      </c>
      <c r="G1088" s="22">
        <v>2023</v>
      </c>
      <c r="H1088" s="23">
        <f t="shared" si="48"/>
        <v>45163</v>
      </c>
      <c r="I1088" s="25">
        <v>45189</v>
      </c>
      <c r="J1088" s="22">
        <f t="shared" si="49"/>
        <v>26</v>
      </c>
      <c r="K1088" t="s">
        <v>41</v>
      </c>
      <c r="L1088">
        <v>6951</v>
      </c>
      <c r="M1088">
        <v>217</v>
      </c>
      <c r="N1088" s="26">
        <v>357.82</v>
      </c>
      <c r="O1088" s="26">
        <f t="shared" si="50"/>
        <v>357.82</v>
      </c>
      <c r="P1088">
        <v>20</v>
      </c>
      <c r="Q1088" t="b">
        <v>0</v>
      </c>
      <c r="S1088" t="s">
        <v>42</v>
      </c>
    </row>
    <row r="1089" spans="1:19">
      <c r="A1089" t="s">
        <v>2260</v>
      </c>
      <c r="B1089" t="s">
        <v>2261</v>
      </c>
      <c r="C1089" s="23" t="s">
        <v>4127</v>
      </c>
      <c r="D1089" s="23">
        <v>45019</v>
      </c>
      <c r="E1089" s="22">
        <v>4</v>
      </c>
      <c r="F1089" s="22">
        <v>3</v>
      </c>
      <c r="G1089" s="22">
        <v>2023</v>
      </c>
      <c r="H1089" s="23">
        <f t="shared" si="48"/>
        <v>45019</v>
      </c>
      <c r="I1089" s="25">
        <v>44992</v>
      </c>
      <c r="J1089" s="22">
        <f t="shared" si="49"/>
        <v>-27</v>
      </c>
      <c r="K1089" t="s">
        <v>14</v>
      </c>
      <c r="L1089">
        <v>88388</v>
      </c>
      <c r="M1089">
        <v>1363</v>
      </c>
      <c r="N1089" s="26">
        <v>1527.27</v>
      </c>
      <c r="O1089" s="26">
        <f t="shared" si="50"/>
        <v>1527.27</v>
      </c>
      <c r="P1089">
        <v>249</v>
      </c>
      <c r="Q1089" t="b">
        <v>0</v>
      </c>
      <c r="S1089" t="s">
        <v>16</v>
      </c>
    </row>
    <row r="1090" spans="1:19">
      <c r="A1090" t="s">
        <v>2262</v>
      </c>
      <c r="B1090" t="s">
        <v>2263</v>
      </c>
      <c r="C1090" s="23" t="s">
        <v>4129</v>
      </c>
      <c r="D1090" s="23">
        <v>45040</v>
      </c>
      <c r="E1090" s="22">
        <v>4</v>
      </c>
      <c r="F1090" s="22">
        <v>24</v>
      </c>
      <c r="G1090" s="22">
        <v>2023</v>
      </c>
      <c r="H1090" s="23">
        <f t="shared" si="48"/>
        <v>45040</v>
      </c>
      <c r="I1090" s="25">
        <v>45045</v>
      </c>
      <c r="J1090" s="22">
        <f t="shared" si="49"/>
        <v>5</v>
      </c>
      <c r="K1090" t="s">
        <v>33</v>
      </c>
      <c r="L1090">
        <v>9007</v>
      </c>
      <c r="M1090">
        <v>125</v>
      </c>
      <c r="N1090" s="26">
        <v>184.93</v>
      </c>
      <c r="O1090" s="26">
        <f t="shared" si="50"/>
        <v>184.93</v>
      </c>
      <c r="P1090">
        <v>20</v>
      </c>
      <c r="Q1090" t="b">
        <v>0</v>
      </c>
      <c r="S1090" t="s">
        <v>34</v>
      </c>
    </row>
    <row r="1091" spans="1:19">
      <c r="A1091" t="s">
        <v>2264</v>
      </c>
      <c r="B1091" t="s">
        <v>2265</v>
      </c>
      <c r="C1091" s="23" t="s">
        <v>4127</v>
      </c>
      <c r="D1091" s="23">
        <v>45117</v>
      </c>
      <c r="E1091" s="22">
        <v>7</v>
      </c>
      <c r="F1091" s="22">
        <v>10</v>
      </c>
      <c r="G1091" s="22">
        <v>2023</v>
      </c>
      <c r="H1091" s="23">
        <f t="shared" ref="H1091:H1154" si="51">IF(E1091&gt;12,DATE(G1091,F1091,E1091),D1091)</f>
        <v>45117</v>
      </c>
      <c r="I1091" s="25">
        <v>45139</v>
      </c>
      <c r="J1091" s="22">
        <f t="shared" ref="J1091:J1154" si="52">DATEDIF(H1091,I1091,"D")</f>
        <v>22</v>
      </c>
      <c r="K1091" t="s">
        <v>23</v>
      </c>
      <c r="L1091">
        <v>42832</v>
      </c>
      <c r="M1091">
        <v>786</v>
      </c>
      <c r="N1091" s="26">
        <v>1076.37</v>
      </c>
      <c r="O1091" s="26">
        <f t="shared" ref="O1091:O1154" si="53">IF(N1091&lt;$W$8,$W$8,IF(N1091&gt;$W$9,$W$9,N1091))</f>
        <v>1076.37</v>
      </c>
      <c r="P1091">
        <v>125</v>
      </c>
      <c r="Q1091" t="b">
        <v>0</v>
      </c>
      <c r="S1091" t="s">
        <v>25</v>
      </c>
    </row>
    <row r="1092" spans="1:19">
      <c r="A1092" t="s">
        <v>2266</v>
      </c>
      <c r="B1092" t="s">
        <v>2267</v>
      </c>
      <c r="C1092" s="23" t="s">
        <v>4129</v>
      </c>
      <c r="D1092" s="23">
        <v>44970</v>
      </c>
      <c r="E1092" s="22">
        <v>2</v>
      </c>
      <c r="F1092" s="22">
        <v>13</v>
      </c>
      <c r="G1092" s="22">
        <v>2023</v>
      </c>
      <c r="H1092" s="23">
        <f t="shared" si="51"/>
        <v>44970</v>
      </c>
      <c r="I1092" s="25">
        <v>44975</v>
      </c>
      <c r="J1092" s="22">
        <f t="shared" si="52"/>
        <v>5</v>
      </c>
      <c r="K1092" t="s">
        <v>33</v>
      </c>
      <c r="L1092">
        <v>59596</v>
      </c>
      <c r="M1092">
        <v>2802</v>
      </c>
      <c r="N1092" s="26">
        <v>1494.38</v>
      </c>
      <c r="O1092" s="26">
        <f t="shared" si="53"/>
        <v>1494.38</v>
      </c>
      <c r="P1092">
        <v>475</v>
      </c>
      <c r="Q1092" t="b">
        <v>0</v>
      </c>
      <c r="S1092" t="s">
        <v>34</v>
      </c>
    </row>
    <row r="1093" spans="1:19">
      <c r="A1093" t="s">
        <v>2268</v>
      </c>
      <c r="B1093" t="s">
        <v>2269</v>
      </c>
      <c r="C1093" s="23" t="s">
        <v>4127</v>
      </c>
      <c r="D1093" s="23">
        <v>45140</v>
      </c>
      <c r="E1093" s="22">
        <v>8</v>
      </c>
      <c r="F1093" s="22">
        <v>2</v>
      </c>
      <c r="G1093" s="22">
        <v>2023</v>
      </c>
      <c r="H1093" s="23">
        <f t="shared" si="51"/>
        <v>45140</v>
      </c>
      <c r="I1093" s="25">
        <v>44993</v>
      </c>
      <c r="J1093" s="22">
        <f t="shared" si="52"/>
        <v>-147</v>
      </c>
      <c r="K1093" t="s">
        <v>23</v>
      </c>
      <c r="L1093">
        <v>31523</v>
      </c>
      <c r="M1093">
        <v>837</v>
      </c>
      <c r="N1093" s="26">
        <v>1659.61</v>
      </c>
      <c r="O1093" s="26">
        <f t="shared" si="53"/>
        <v>1659.61</v>
      </c>
      <c r="P1093">
        <v>75</v>
      </c>
      <c r="Q1093" t="b">
        <v>1</v>
      </c>
      <c r="S1093" t="s">
        <v>25</v>
      </c>
    </row>
    <row r="1094" spans="1:19">
      <c r="A1094" t="s">
        <v>2270</v>
      </c>
      <c r="B1094" t="s">
        <v>2271</v>
      </c>
      <c r="C1094" s="23" t="s">
        <v>4128</v>
      </c>
      <c r="D1094" s="23">
        <v>44960</v>
      </c>
      <c r="E1094" s="22">
        <v>2</v>
      </c>
      <c r="F1094" s="22">
        <v>3</v>
      </c>
      <c r="G1094" s="22">
        <v>2023</v>
      </c>
      <c r="H1094" s="23">
        <f t="shared" si="51"/>
        <v>44960</v>
      </c>
      <c r="I1094" s="25">
        <v>44977</v>
      </c>
      <c r="J1094" s="22">
        <f t="shared" si="52"/>
        <v>17</v>
      </c>
      <c r="K1094" t="s">
        <v>19</v>
      </c>
      <c r="L1094">
        <v>89861</v>
      </c>
      <c r="M1094">
        <v>2319</v>
      </c>
      <c r="N1094" s="26">
        <v>1303.61</v>
      </c>
      <c r="O1094" s="26">
        <f t="shared" si="53"/>
        <v>1303.61</v>
      </c>
      <c r="P1094">
        <v>424</v>
      </c>
      <c r="Q1094" t="b">
        <v>0</v>
      </c>
      <c r="S1094" t="s">
        <v>20</v>
      </c>
    </row>
    <row r="1095" spans="1:19">
      <c r="A1095" t="s">
        <v>2272</v>
      </c>
      <c r="B1095" t="s">
        <v>2273</v>
      </c>
      <c r="C1095" s="23" t="s">
        <v>4128</v>
      </c>
      <c r="D1095" s="23">
        <v>45110</v>
      </c>
      <c r="E1095" s="22">
        <v>7</v>
      </c>
      <c r="F1095" s="22">
        <v>3</v>
      </c>
      <c r="G1095" s="22">
        <v>2023</v>
      </c>
      <c r="H1095" s="23">
        <f t="shared" si="51"/>
        <v>45110</v>
      </c>
      <c r="I1095" s="25">
        <v>44997</v>
      </c>
      <c r="J1095" s="22">
        <f t="shared" si="52"/>
        <v>-113</v>
      </c>
      <c r="K1095" t="s">
        <v>19</v>
      </c>
      <c r="L1095">
        <v>87740</v>
      </c>
      <c r="M1095">
        <v>1976</v>
      </c>
      <c r="N1095" s="26">
        <v>3856.57</v>
      </c>
      <c r="O1095" s="26">
        <f t="shared" si="53"/>
        <v>3632.575</v>
      </c>
      <c r="P1095">
        <v>139</v>
      </c>
      <c r="Q1095" t="b">
        <v>0</v>
      </c>
      <c r="S1095" t="s">
        <v>20</v>
      </c>
    </row>
    <row r="1096" spans="1:19">
      <c r="A1096" t="s">
        <v>2274</v>
      </c>
      <c r="B1096" t="s">
        <v>2275</v>
      </c>
      <c r="C1096" s="23" t="s">
        <v>4128</v>
      </c>
      <c r="D1096" s="23">
        <v>45096</v>
      </c>
      <c r="E1096" s="22">
        <v>6</v>
      </c>
      <c r="F1096" s="22">
        <v>19</v>
      </c>
      <c r="G1096" s="22">
        <v>2023</v>
      </c>
      <c r="H1096" s="23">
        <f t="shared" si="51"/>
        <v>45096</v>
      </c>
      <c r="I1096" s="25">
        <v>45124</v>
      </c>
      <c r="J1096" s="22">
        <f t="shared" si="52"/>
        <v>28</v>
      </c>
      <c r="K1096" t="s">
        <v>23</v>
      </c>
      <c r="L1096">
        <v>16524</v>
      </c>
      <c r="M1096">
        <v>262</v>
      </c>
      <c r="N1096" s="26">
        <v>347.1</v>
      </c>
      <c r="O1096" s="26">
        <f t="shared" si="53"/>
        <v>347.1</v>
      </c>
      <c r="P1096">
        <v>26</v>
      </c>
      <c r="Q1096" t="b">
        <v>0</v>
      </c>
      <c r="S1096" t="s">
        <v>25</v>
      </c>
    </row>
    <row r="1097" spans="1:19">
      <c r="A1097" t="s">
        <v>2276</v>
      </c>
      <c r="B1097" t="s">
        <v>2277</v>
      </c>
      <c r="C1097" s="23" t="s">
        <v>4127</v>
      </c>
      <c r="D1097" s="23">
        <v>44952</v>
      </c>
      <c r="E1097" s="22">
        <v>1</v>
      </c>
      <c r="F1097" s="22">
        <v>26</v>
      </c>
      <c r="G1097" s="22">
        <v>2023</v>
      </c>
      <c r="H1097" s="23">
        <f t="shared" si="51"/>
        <v>44952</v>
      </c>
      <c r="I1097" s="25">
        <v>44977</v>
      </c>
      <c r="J1097" s="22">
        <f t="shared" si="52"/>
        <v>25</v>
      </c>
      <c r="K1097" t="s">
        <v>14</v>
      </c>
      <c r="L1097">
        <v>20282</v>
      </c>
      <c r="M1097">
        <v>598</v>
      </c>
      <c r="N1097" s="26">
        <v>1162.95</v>
      </c>
      <c r="O1097" s="26">
        <f t="shared" si="53"/>
        <v>1162.95</v>
      </c>
      <c r="P1097">
        <v>0</v>
      </c>
      <c r="Q1097" t="b">
        <v>0</v>
      </c>
      <c r="S1097" t="s">
        <v>68</v>
      </c>
    </row>
    <row r="1098" spans="1:19">
      <c r="A1098" t="s">
        <v>2278</v>
      </c>
      <c r="B1098" t="s">
        <v>2279</v>
      </c>
      <c r="C1098" s="23" t="s">
        <v>4129</v>
      </c>
      <c r="D1098" s="23">
        <v>45129</v>
      </c>
      <c r="E1098" s="22">
        <v>7</v>
      </c>
      <c r="F1098" s="22">
        <v>22</v>
      </c>
      <c r="G1098" s="22">
        <v>2023</v>
      </c>
      <c r="H1098" s="23">
        <f t="shared" si="51"/>
        <v>45129</v>
      </c>
      <c r="I1098" s="25">
        <v>45132</v>
      </c>
      <c r="J1098" s="22">
        <f t="shared" si="52"/>
        <v>3</v>
      </c>
      <c r="K1098" t="s">
        <v>23</v>
      </c>
      <c r="L1098">
        <v>24930</v>
      </c>
      <c r="M1098">
        <v>378</v>
      </c>
      <c r="N1098" s="26">
        <v>254.07</v>
      </c>
      <c r="O1098" s="26">
        <f t="shared" si="53"/>
        <v>254.07</v>
      </c>
      <c r="P1098">
        <v>24</v>
      </c>
      <c r="Q1098" t="b">
        <v>1</v>
      </c>
      <c r="S1098" t="s">
        <v>25</v>
      </c>
    </row>
    <row r="1099" spans="1:19">
      <c r="A1099" t="s">
        <v>2280</v>
      </c>
      <c r="B1099" t="s">
        <v>2281</v>
      </c>
      <c r="C1099" s="23" t="s">
        <v>4129</v>
      </c>
      <c r="D1099" s="23">
        <v>45145</v>
      </c>
      <c r="E1099" s="22">
        <v>8</v>
      </c>
      <c r="F1099" s="22">
        <v>7</v>
      </c>
      <c r="G1099" s="22">
        <v>2023</v>
      </c>
      <c r="H1099" s="23">
        <f t="shared" si="51"/>
        <v>45145</v>
      </c>
      <c r="I1099" s="25">
        <v>45161</v>
      </c>
      <c r="J1099" s="22">
        <f t="shared" si="52"/>
        <v>16</v>
      </c>
      <c r="K1099" t="s">
        <v>41</v>
      </c>
      <c r="L1099">
        <v>1077</v>
      </c>
      <c r="M1099">
        <v>46</v>
      </c>
      <c r="N1099" s="26">
        <v>56.84</v>
      </c>
      <c r="O1099" s="26">
        <f t="shared" si="53"/>
        <v>56.84</v>
      </c>
      <c r="P1099">
        <v>0</v>
      </c>
      <c r="Q1099" t="b">
        <v>0</v>
      </c>
      <c r="S1099" t="s">
        <v>42</v>
      </c>
    </row>
    <row r="1100" spans="1:19">
      <c r="A1100" t="s">
        <v>2282</v>
      </c>
      <c r="B1100" t="s">
        <v>2283</v>
      </c>
      <c r="C1100" s="23" t="s">
        <v>4131</v>
      </c>
      <c r="D1100" s="23">
        <v>45022</v>
      </c>
      <c r="E1100" s="22">
        <v>4</v>
      </c>
      <c r="F1100" s="22">
        <v>6</v>
      </c>
      <c r="G1100" s="22">
        <v>2023</v>
      </c>
      <c r="H1100" s="23">
        <f t="shared" si="51"/>
        <v>45022</v>
      </c>
      <c r="I1100" s="25">
        <v>45039</v>
      </c>
      <c r="J1100" s="22">
        <f t="shared" si="52"/>
        <v>17</v>
      </c>
      <c r="K1100" t="s">
        <v>41</v>
      </c>
      <c r="L1100">
        <v>21611</v>
      </c>
      <c r="M1100">
        <v>536</v>
      </c>
      <c r="N1100" s="26">
        <v>404.28</v>
      </c>
      <c r="O1100" s="26">
        <f t="shared" si="53"/>
        <v>404.28</v>
      </c>
      <c r="P1100">
        <v>0</v>
      </c>
      <c r="Q1100" t="b">
        <v>0</v>
      </c>
      <c r="S1100" t="s">
        <v>42</v>
      </c>
    </row>
    <row r="1101" spans="1:19">
      <c r="A1101" t="s">
        <v>2284</v>
      </c>
      <c r="B1101" t="s">
        <v>2285</v>
      </c>
      <c r="C1101" s="23" t="s">
        <v>4128</v>
      </c>
      <c r="D1101" s="23" t="s">
        <v>2286</v>
      </c>
      <c r="E1101" s="22">
        <v>18</v>
      </c>
      <c r="F1101" s="22">
        <v>3</v>
      </c>
      <c r="G1101" s="22">
        <v>2023</v>
      </c>
      <c r="H1101" s="23">
        <f t="shared" si="51"/>
        <v>45003</v>
      </c>
      <c r="I1101" s="25">
        <v>45006</v>
      </c>
      <c r="J1101" s="22">
        <f t="shared" si="52"/>
        <v>3</v>
      </c>
      <c r="K1101" t="s">
        <v>14</v>
      </c>
      <c r="L1101">
        <v>17984</v>
      </c>
      <c r="M1101">
        <v>449</v>
      </c>
      <c r="N1101" s="26">
        <v>258.83</v>
      </c>
      <c r="O1101" s="26">
        <f t="shared" si="53"/>
        <v>258.83</v>
      </c>
      <c r="P1101">
        <v>75</v>
      </c>
      <c r="Q1101" t="b">
        <v>1</v>
      </c>
      <c r="R1101">
        <v>18015</v>
      </c>
      <c r="S1101" t="s">
        <v>16</v>
      </c>
    </row>
    <row r="1102" spans="1:19">
      <c r="A1102" t="s">
        <v>2287</v>
      </c>
      <c r="B1102" t="s">
        <v>2288</v>
      </c>
      <c r="C1102" s="23" t="s">
        <v>4127</v>
      </c>
      <c r="D1102" s="23">
        <v>45244</v>
      </c>
      <c r="E1102" s="22">
        <v>11</v>
      </c>
      <c r="F1102" s="22">
        <v>14</v>
      </c>
      <c r="G1102" s="22">
        <v>2023</v>
      </c>
      <c r="H1102" s="23">
        <f t="shared" si="51"/>
        <v>45244</v>
      </c>
      <c r="I1102" s="25">
        <v>45263</v>
      </c>
      <c r="J1102" s="22">
        <f t="shared" si="52"/>
        <v>19</v>
      </c>
      <c r="K1102" t="s">
        <v>41</v>
      </c>
      <c r="L1102">
        <v>15060</v>
      </c>
      <c r="M1102">
        <v>436</v>
      </c>
      <c r="N1102" s="26">
        <v>621.86</v>
      </c>
      <c r="O1102" s="26">
        <f t="shared" si="53"/>
        <v>621.86</v>
      </c>
      <c r="P1102">
        <v>54</v>
      </c>
      <c r="Q1102" t="b">
        <v>0</v>
      </c>
      <c r="S1102" t="s">
        <v>42</v>
      </c>
    </row>
    <row r="1103" spans="1:19">
      <c r="A1103" t="s">
        <v>2289</v>
      </c>
      <c r="B1103" t="s">
        <v>2290</v>
      </c>
      <c r="C1103" s="23" t="s">
        <v>4128</v>
      </c>
      <c r="D1103" s="23">
        <v>45182</v>
      </c>
      <c r="E1103" s="22">
        <v>9</v>
      </c>
      <c r="F1103" s="22">
        <v>13</v>
      </c>
      <c r="G1103" s="22">
        <v>2023</v>
      </c>
      <c r="H1103" s="23">
        <f t="shared" si="51"/>
        <v>45182</v>
      </c>
      <c r="I1103" s="25">
        <v>45188</v>
      </c>
      <c r="J1103" s="22">
        <f t="shared" si="52"/>
        <v>6</v>
      </c>
      <c r="K1103" t="s">
        <v>14</v>
      </c>
      <c r="L1103">
        <v>83985</v>
      </c>
      <c r="M1103">
        <v>2331</v>
      </c>
      <c r="N1103" s="26">
        <v>1892.01</v>
      </c>
      <c r="O1103" s="26">
        <f t="shared" si="53"/>
        <v>1892.01</v>
      </c>
      <c r="P1103">
        <v>0</v>
      </c>
      <c r="Q1103" t="b">
        <v>0</v>
      </c>
      <c r="S1103" t="s">
        <v>16</v>
      </c>
    </row>
    <row r="1104" spans="1:19">
      <c r="A1104" t="s">
        <v>2291</v>
      </c>
      <c r="B1104" t="s">
        <v>2292</v>
      </c>
      <c r="C1104" s="23" t="s">
        <v>4129</v>
      </c>
      <c r="D1104" s="23">
        <v>44928</v>
      </c>
      <c r="E1104" s="22">
        <v>1</v>
      </c>
      <c r="F1104" s="22">
        <v>2</v>
      </c>
      <c r="G1104" s="22">
        <v>2023</v>
      </c>
      <c r="H1104" s="23">
        <f t="shared" si="51"/>
        <v>44928</v>
      </c>
      <c r="I1104" s="25">
        <v>44966</v>
      </c>
      <c r="J1104" s="22">
        <f t="shared" si="52"/>
        <v>38</v>
      </c>
      <c r="K1104" t="s">
        <v>191</v>
      </c>
      <c r="L1104">
        <v>85056</v>
      </c>
      <c r="M1104">
        <v>4235</v>
      </c>
      <c r="N1104" s="26">
        <v>5850.85</v>
      </c>
      <c r="O1104" s="26">
        <f t="shared" si="53"/>
        <v>3632.575</v>
      </c>
      <c r="P1104">
        <v>678</v>
      </c>
      <c r="Q1104" t="b">
        <v>0</v>
      </c>
      <c r="S1104" t="s">
        <v>42</v>
      </c>
    </row>
    <row r="1105" spans="1:19">
      <c r="A1105" t="s">
        <v>2293</v>
      </c>
      <c r="B1105" t="s">
        <v>2294</v>
      </c>
      <c r="C1105" s="23" t="s">
        <v>4129</v>
      </c>
      <c r="D1105" s="23">
        <v>45123</v>
      </c>
      <c r="E1105" s="22">
        <v>7</v>
      </c>
      <c r="F1105" s="22">
        <v>16</v>
      </c>
      <c r="G1105" s="22">
        <v>2023</v>
      </c>
      <c r="H1105" s="23">
        <f t="shared" si="51"/>
        <v>45123</v>
      </c>
      <c r="I1105" s="25">
        <v>45144</v>
      </c>
      <c r="J1105" s="22">
        <f t="shared" si="52"/>
        <v>21</v>
      </c>
      <c r="K1105" t="s">
        <v>33</v>
      </c>
      <c r="L1105">
        <v>44303</v>
      </c>
      <c r="M1105">
        <v>1409</v>
      </c>
      <c r="N1105" s="26">
        <v>941.98</v>
      </c>
      <c r="O1105" s="26">
        <f t="shared" si="53"/>
        <v>941.98</v>
      </c>
      <c r="P1105">
        <v>0</v>
      </c>
      <c r="Q1105" t="b">
        <v>1</v>
      </c>
      <c r="S1105" t="s">
        <v>34</v>
      </c>
    </row>
    <row r="1106" spans="1:19">
      <c r="A1106" t="s">
        <v>2295</v>
      </c>
      <c r="B1106" t="s">
        <v>2296</v>
      </c>
      <c r="C1106" s="23" t="s">
        <v>4131</v>
      </c>
      <c r="D1106" s="23">
        <v>45196</v>
      </c>
      <c r="E1106" s="22">
        <v>9</v>
      </c>
      <c r="F1106" s="22">
        <v>27</v>
      </c>
      <c r="G1106" s="22">
        <v>2023</v>
      </c>
      <c r="H1106" s="23">
        <f t="shared" si="51"/>
        <v>45196</v>
      </c>
      <c r="I1106" s="25">
        <v>45221</v>
      </c>
      <c r="J1106" s="22">
        <f t="shared" si="52"/>
        <v>25</v>
      </c>
      <c r="K1106" t="s">
        <v>19</v>
      </c>
      <c r="L1106">
        <v>60207</v>
      </c>
      <c r="M1106">
        <v>814</v>
      </c>
      <c r="N1106" s="26">
        <v>812.36</v>
      </c>
      <c r="O1106" s="26">
        <f t="shared" si="53"/>
        <v>812.36</v>
      </c>
      <c r="P1106">
        <v>100</v>
      </c>
      <c r="Q1106" t="b">
        <v>1</v>
      </c>
      <c r="S1106" t="s">
        <v>20</v>
      </c>
    </row>
    <row r="1107" spans="1:19">
      <c r="A1107" t="s">
        <v>2297</v>
      </c>
      <c r="B1107" t="s">
        <v>2298</v>
      </c>
      <c r="C1107" s="23" t="s">
        <v>4127</v>
      </c>
      <c r="D1107" s="23">
        <v>45205</v>
      </c>
      <c r="E1107" s="22">
        <v>10</v>
      </c>
      <c r="F1107" s="22">
        <v>6</v>
      </c>
      <c r="G1107" s="22">
        <v>2023</v>
      </c>
      <c r="H1107" s="23">
        <f t="shared" si="51"/>
        <v>45205</v>
      </c>
      <c r="I1107" s="25">
        <v>45219</v>
      </c>
      <c r="J1107" s="22">
        <f t="shared" si="52"/>
        <v>14</v>
      </c>
      <c r="K1107" t="s">
        <v>19</v>
      </c>
      <c r="L1107">
        <v>76046</v>
      </c>
      <c r="M1107">
        <v>2606</v>
      </c>
      <c r="N1107" s="26">
        <v>4358.4</v>
      </c>
      <c r="O1107" s="26">
        <f t="shared" si="53"/>
        <v>3632.575</v>
      </c>
      <c r="P1107">
        <v>159</v>
      </c>
      <c r="Q1107" t="b">
        <v>1</v>
      </c>
      <c r="S1107" t="s">
        <v>20</v>
      </c>
    </row>
    <row r="1108" spans="1:19">
      <c r="A1108" t="s">
        <v>2299</v>
      </c>
      <c r="B1108" t="s">
        <v>2300</v>
      </c>
      <c r="C1108" s="23" t="s">
        <v>4127</v>
      </c>
      <c r="D1108" s="23">
        <v>45292</v>
      </c>
      <c r="E1108" s="22">
        <v>1</v>
      </c>
      <c r="F1108" s="22">
        <v>1</v>
      </c>
      <c r="G1108" s="22">
        <v>2024</v>
      </c>
      <c r="H1108" s="23">
        <f t="shared" si="51"/>
        <v>45292</v>
      </c>
      <c r="I1108" s="25">
        <v>45319</v>
      </c>
      <c r="J1108" s="22">
        <f t="shared" si="52"/>
        <v>27</v>
      </c>
      <c r="K1108" t="s">
        <v>33</v>
      </c>
      <c r="L1108">
        <v>30287</v>
      </c>
      <c r="M1108">
        <v>486</v>
      </c>
      <c r="N1108" s="26">
        <v>561.61</v>
      </c>
      <c r="O1108" s="26">
        <f t="shared" si="53"/>
        <v>561.61</v>
      </c>
      <c r="P1108">
        <v>69</v>
      </c>
      <c r="Q1108" t="b">
        <v>0</v>
      </c>
      <c r="S1108" t="s">
        <v>34</v>
      </c>
    </row>
    <row r="1109" spans="1:19">
      <c r="A1109" t="s">
        <v>2301</v>
      </c>
      <c r="B1109" t="s">
        <v>2302</v>
      </c>
      <c r="C1109" s="23" t="s">
        <v>4129</v>
      </c>
      <c r="D1109" s="23">
        <v>45175</v>
      </c>
      <c r="E1109" s="22">
        <v>9</v>
      </c>
      <c r="F1109" s="22">
        <v>6</v>
      </c>
      <c r="G1109" s="22">
        <v>2023</v>
      </c>
      <c r="H1109" s="23">
        <f t="shared" si="51"/>
        <v>45175</v>
      </c>
      <c r="I1109" s="25">
        <v>45196</v>
      </c>
      <c r="J1109" s="22">
        <f t="shared" si="52"/>
        <v>21</v>
      </c>
      <c r="K1109" t="s">
        <v>14</v>
      </c>
      <c r="L1109">
        <v>94709</v>
      </c>
      <c r="M1109">
        <v>1064</v>
      </c>
      <c r="N1109" s="26">
        <v>1533.88</v>
      </c>
      <c r="O1109" s="26">
        <f t="shared" si="53"/>
        <v>1533.88</v>
      </c>
      <c r="P1109">
        <v>159</v>
      </c>
      <c r="Q1109" t="b">
        <v>1</v>
      </c>
      <c r="S1109" t="s">
        <v>16</v>
      </c>
    </row>
    <row r="1110" spans="1:19">
      <c r="A1110" t="s">
        <v>2303</v>
      </c>
      <c r="B1110" t="s">
        <v>2304</v>
      </c>
      <c r="C1110" s="23" t="s">
        <v>4129</v>
      </c>
      <c r="D1110" s="23">
        <v>45091</v>
      </c>
      <c r="E1110" s="22">
        <v>6</v>
      </c>
      <c r="F1110" s="22">
        <v>14</v>
      </c>
      <c r="G1110" s="22">
        <v>2023</v>
      </c>
      <c r="H1110" s="23">
        <f t="shared" si="51"/>
        <v>45091</v>
      </c>
      <c r="I1110" s="25">
        <v>45103</v>
      </c>
      <c r="J1110" s="22">
        <f t="shared" si="52"/>
        <v>12</v>
      </c>
      <c r="K1110" t="s">
        <v>23</v>
      </c>
      <c r="L1110">
        <v>40711</v>
      </c>
      <c r="M1110">
        <v>1987</v>
      </c>
      <c r="N1110" s="26">
        <v>2923.25</v>
      </c>
      <c r="O1110" s="26">
        <f t="shared" si="53"/>
        <v>2923.25</v>
      </c>
      <c r="P1110">
        <v>212</v>
      </c>
      <c r="Q1110" t="b">
        <v>1</v>
      </c>
      <c r="S1110" t="s">
        <v>25</v>
      </c>
    </row>
    <row r="1111" spans="1:19">
      <c r="A1111" t="s">
        <v>2305</v>
      </c>
      <c r="B1111" t="s">
        <v>2306</v>
      </c>
      <c r="C1111" s="23" t="s">
        <v>4129</v>
      </c>
      <c r="D1111" s="23">
        <v>45090</v>
      </c>
      <c r="E1111" s="22">
        <v>6</v>
      </c>
      <c r="F1111" s="22">
        <v>13</v>
      </c>
      <c r="G1111" s="22">
        <v>2023</v>
      </c>
      <c r="H1111" s="23">
        <f t="shared" si="51"/>
        <v>45090</v>
      </c>
      <c r="I1111" s="25">
        <v>45085</v>
      </c>
      <c r="J1111" s="22">
        <f t="shared" si="52"/>
        <v>-5</v>
      </c>
      <c r="K1111" t="s">
        <v>19</v>
      </c>
      <c r="L1111">
        <v>12954</v>
      </c>
      <c r="M1111">
        <v>530</v>
      </c>
      <c r="N1111" s="26">
        <v>935.79</v>
      </c>
      <c r="O1111" s="26">
        <f t="shared" si="53"/>
        <v>935.79</v>
      </c>
      <c r="P1111">
        <v>102</v>
      </c>
      <c r="Q1111" t="b">
        <v>1</v>
      </c>
      <c r="S1111" t="s">
        <v>20</v>
      </c>
    </row>
    <row r="1112" spans="1:19">
      <c r="A1112" t="s">
        <v>2307</v>
      </c>
      <c r="B1112" t="s">
        <v>2308</v>
      </c>
      <c r="C1112" s="23" t="s">
        <v>4128</v>
      </c>
      <c r="D1112" s="23" t="s">
        <v>806</v>
      </c>
      <c r="E1112" s="22">
        <v>24</v>
      </c>
      <c r="F1112" s="22">
        <v>5</v>
      </c>
      <c r="G1112" s="22">
        <v>2023</v>
      </c>
      <c r="H1112" s="23">
        <f t="shared" si="51"/>
        <v>45070</v>
      </c>
      <c r="I1112" s="25">
        <v>45097</v>
      </c>
      <c r="J1112" s="22">
        <f t="shared" si="52"/>
        <v>27</v>
      </c>
      <c r="K1112" t="s">
        <v>14</v>
      </c>
      <c r="L1112">
        <v>74340</v>
      </c>
      <c r="M1112">
        <v>3657</v>
      </c>
      <c r="N1112" s="26">
        <v>3610.86</v>
      </c>
      <c r="O1112" s="26">
        <f t="shared" si="53"/>
        <v>3610.86</v>
      </c>
      <c r="P1112">
        <v>662</v>
      </c>
      <c r="Q1112" t="b">
        <v>1</v>
      </c>
      <c r="S1112" t="s">
        <v>16</v>
      </c>
    </row>
    <row r="1113" spans="1:19">
      <c r="A1113" t="s">
        <v>2309</v>
      </c>
      <c r="B1113" t="s">
        <v>2310</v>
      </c>
      <c r="C1113" s="23" t="s">
        <v>4131</v>
      </c>
      <c r="D1113" s="23">
        <v>45168</v>
      </c>
      <c r="E1113" s="22">
        <v>8</v>
      </c>
      <c r="F1113" s="22">
        <v>30</v>
      </c>
      <c r="G1113" s="22">
        <v>2023</v>
      </c>
      <c r="H1113" s="23">
        <f t="shared" si="51"/>
        <v>45168</v>
      </c>
      <c r="I1113" s="25">
        <v>45177</v>
      </c>
      <c r="J1113" s="22">
        <f t="shared" si="52"/>
        <v>9</v>
      </c>
      <c r="K1113" t="s">
        <v>41</v>
      </c>
      <c r="L1113">
        <v>73101</v>
      </c>
      <c r="M1113">
        <v>2128</v>
      </c>
      <c r="N1113" s="26">
        <v>3257.85</v>
      </c>
      <c r="O1113" s="26">
        <f t="shared" si="53"/>
        <v>3257.85</v>
      </c>
      <c r="P1113">
        <v>332</v>
      </c>
      <c r="Q1113" t="b">
        <v>0</v>
      </c>
      <c r="R1113">
        <v>73116</v>
      </c>
      <c r="S1113" t="s">
        <v>42</v>
      </c>
    </row>
    <row r="1114" spans="1:19">
      <c r="A1114" t="s">
        <v>2311</v>
      </c>
      <c r="B1114" t="s">
        <v>2312</v>
      </c>
      <c r="C1114" s="23" t="s">
        <v>4129</v>
      </c>
      <c r="D1114" s="23">
        <v>45046</v>
      </c>
      <c r="E1114" s="22">
        <v>4</v>
      </c>
      <c r="F1114" s="22">
        <v>30</v>
      </c>
      <c r="G1114" s="22">
        <v>2023</v>
      </c>
      <c r="H1114" s="23">
        <f t="shared" si="51"/>
        <v>45046</v>
      </c>
      <c r="I1114" s="25">
        <v>45060</v>
      </c>
      <c r="J1114" s="22">
        <f t="shared" si="52"/>
        <v>14</v>
      </c>
      <c r="K1114" t="s">
        <v>14</v>
      </c>
      <c r="L1114">
        <v>72520</v>
      </c>
      <c r="M1114">
        <v>2269</v>
      </c>
      <c r="N1114" s="26">
        <v>4407.36</v>
      </c>
      <c r="O1114" s="26">
        <f t="shared" si="53"/>
        <v>3632.575</v>
      </c>
      <c r="P1114">
        <v>356</v>
      </c>
      <c r="Q1114" t="b">
        <v>1</v>
      </c>
      <c r="S1114" t="s">
        <v>16</v>
      </c>
    </row>
    <row r="1115" spans="1:19">
      <c r="A1115" t="s">
        <v>2313</v>
      </c>
      <c r="B1115" t="s">
        <v>2314</v>
      </c>
      <c r="C1115" s="23" t="s">
        <v>4129</v>
      </c>
      <c r="D1115" s="23">
        <v>45263</v>
      </c>
      <c r="E1115" s="22">
        <v>12</v>
      </c>
      <c r="F1115" s="22">
        <v>3</v>
      </c>
      <c r="G1115" s="22">
        <v>2023</v>
      </c>
      <c r="H1115" s="23">
        <f t="shared" si="51"/>
        <v>45263</v>
      </c>
      <c r="I1115" s="25">
        <v>45265</v>
      </c>
      <c r="J1115" s="22">
        <f t="shared" si="52"/>
        <v>2</v>
      </c>
      <c r="K1115" t="s">
        <v>41</v>
      </c>
      <c r="L1115">
        <v>88062</v>
      </c>
      <c r="M1115">
        <v>1473</v>
      </c>
      <c r="N1115" s="26">
        <v>2349.97</v>
      </c>
      <c r="O1115" s="26">
        <f t="shared" si="53"/>
        <v>2349.97</v>
      </c>
      <c r="P1115">
        <v>129</v>
      </c>
      <c r="Q1115" t="b">
        <v>0</v>
      </c>
      <c r="S1115" t="s">
        <v>42</v>
      </c>
    </row>
    <row r="1116" spans="1:19">
      <c r="A1116" t="s">
        <v>2315</v>
      </c>
      <c r="B1116" t="s">
        <v>2316</v>
      </c>
      <c r="C1116" s="23" t="s">
        <v>4131</v>
      </c>
      <c r="D1116" s="23">
        <v>44955</v>
      </c>
      <c r="E1116" s="22">
        <v>1</v>
      </c>
      <c r="F1116" s="22">
        <v>29</v>
      </c>
      <c r="G1116" s="22">
        <v>2023</v>
      </c>
      <c r="H1116" s="23">
        <f t="shared" si="51"/>
        <v>44955</v>
      </c>
      <c r="I1116" s="25">
        <v>44980</v>
      </c>
      <c r="J1116" s="22">
        <f t="shared" si="52"/>
        <v>25</v>
      </c>
      <c r="K1116" t="s">
        <v>19</v>
      </c>
      <c r="L1116">
        <v>19574</v>
      </c>
      <c r="M1116">
        <v>389</v>
      </c>
      <c r="N1116" s="26">
        <v>480.34</v>
      </c>
      <c r="O1116" s="26">
        <f t="shared" si="53"/>
        <v>480.34</v>
      </c>
      <c r="P1116">
        <v>57</v>
      </c>
      <c r="Q1116" t="b">
        <v>0</v>
      </c>
      <c r="S1116" t="s">
        <v>20</v>
      </c>
    </row>
    <row r="1117" spans="1:19">
      <c r="A1117" t="s">
        <v>2317</v>
      </c>
      <c r="B1117" t="s">
        <v>2318</v>
      </c>
      <c r="C1117" s="23" t="s">
        <v>4128</v>
      </c>
      <c r="D1117" s="23">
        <v>45221</v>
      </c>
      <c r="E1117" s="22">
        <v>10</v>
      </c>
      <c r="F1117" s="22">
        <v>22</v>
      </c>
      <c r="G1117" s="22">
        <v>2023</v>
      </c>
      <c r="H1117" s="23">
        <f t="shared" si="51"/>
        <v>45221</v>
      </c>
      <c r="I1117" s="25">
        <v>45235</v>
      </c>
      <c r="J1117" s="22">
        <f t="shared" si="52"/>
        <v>14</v>
      </c>
      <c r="K1117" t="s">
        <v>41</v>
      </c>
      <c r="L1117">
        <v>10184</v>
      </c>
      <c r="M1117">
        <v>443</v>
      </c>
      <c r="N1117" s="26">
        <v>640.61</v>
      </c>
      <c r="O1117" s="26">
        <f t="shared" si="53"/>
        <v>640.61</v>
      </c>
      <c r="P1117">
        <v>0</v>
      </c>
      <c r="Q1117" t="b">
        <v>1</v>
      </c>
      <c r="S1117" t="s">
        <v>42</v>
      </c>
    </row>
    <row r="1118" spans="1:19">
      <c r="A1118" t="s">
        <v>2319</v>
      </c>
      <c r="B1118" t="s">
        <v>2320</v>
      </c>
      <c r="C1118" s="23" t="s">
        <v>4131</v>
      </c>
      <c r="D1118" s="23">
        <v>45108</v>
      </c>
      <c r="E1118" s="22">
        <v>7</v>
      </c>
      <c r="F1118" s="22">
        <v>1</v>
      </c>
      <c r="G1118" s="22">
        <v>2023</v>
      </c>
      <c r="H1118" s="23">
        <f t="shared" si="51"/>
        <v>45108</v>
      </c>
      <c r="I1118" s="25">
        <v>45110</v>
      </c>
      <c r="J1118" s="22">
        <f t="shared" si="52"/>
        <v>2</v>
      </c>
      <c r="K1118" t="s">
        <v>234</v>
      </c>
      <c r="L1118">
        <v>20096</v>
      </c>
      <c r="M1118">
        <v>487</v>
      </c>
      <c r="N1118" s="26">
        <v>783.84</v>
      </c>
      <c r="O1118" s="26">
        <f t="shared" si="53"/>
        <v>783.84</v>
      </c>
      <c r="P1118">
        <v>34</v>
      </c>
      <c r="Q1118" t="b">
        <v>0</v>
      </c>
      <c r="S1118" t="s">
        <v>16</v>
      </c>
    </row>
    <row r="1119" spans="1:19">
      <c r="A1119" t="s">
        <v>2321</v>
      </c>
      <c r="B1119" t="s">
        <v>2322</v>
      </c>
      <c r="C1119" s="23" t="s">
        <v>4129</v>
      </c>
      <c r="D1119" s="23">
        <v>45015</v>
      </c>
      <c r="E1119" s="22">
        <v>3</v>
      </c>
      <c r="F1119" s="22">
        <v>30</v>
      </c>
      <c r="G1119" s="22">
        <v>2023</v>
      </c>
      <c r="H1119" s="23">
        <f t="shared" si="51"/>
        <v>45015</v>
      </c>
      <c r="I1119" s="25">
        <v>45043</v>
      </c>
      <c r="J1119" s="22">
        <f t="shared" si="52"/>
        <v>28</v>
      </c>
      <c r="K1119" t="s">
        <v>19</v>
      </c>
      <c r="L1119">
        <v>68728</v>
      </c>
      <c r="M1119">
        <v>2960</v>
      </c>
      <c r="N1119" s="26">
        <v>4198.5</v>
      </c>
      <c r="O1119" s="26">
        <f t="shared" si="53"/>
        <v>3632.575</v>
      </c>
      <c r="P1119">
        <v>591</v>
      </c>
      <c r="Q1119" t="b">
        <v>1</v>
      </c>
      <c r="S1119" t="s">
        <v>20</v>
      </c>
    </row>
    <row r="1120" spans="1:19">
      <c r="A1120" t="s">
        <v>2323</v>
      </c>
      <c r="B1120" t="s">
        <v>2324</v>
      </c>
      <c r="C1120" s="23" t="s">
        <v>4128</v>
      </c>
      <c r="D1120" s="23">
        <v>45284</v>
      </c>
      <c r="E1120" s="22">
        <v>12</v>
      </c>
      <c r="F1120" s="22">
        <v>24</v>
      </c>
      <c r="G1120" s="22">
        <v>2023</v>
      </c>
      <c r="H1120" s="23">
        <f t="shared" si="51"/>
        <v>45284</v>
      </c>
      <c r="I1120" s="25">
        <v>45295</v>
      </c>
      <c r="J1120" s="22">
        <f t="shared" si="52"/>
        <v>11</v>
      </c>
      <c r="K1120" t="s">
        <v>41</v>
      </c>
      <c r="L1120">
        <v>35016</v>
      </c>
      <c r="M1120">
        <v>1343</v>
      </c>
      <c r="N1120" s="26">
        <v>705.09</v>
      </c>
      <c r="O1120" s="26">
        <f t="shared" si="53"/>
        <v>705.09</v>
      </c>
      <c r="P1120">
        <v>192</v>
      </c>
      <c r="Q1120" t="b">
        <v>0</v>
      </c>
      <c r="S1120" t="s">
        <v>42</v>
      </c>
    </row>
    <row r="1121" spans="1:19">
      <c r="A1121" t="s">
        <v>2325</v>
      </c>
      <c r="B1121" t="s">
        <v>2326</v>
      </c>
      <c r="C1121" s="23" t="s">
        <v>4128</v>
      </c>
      <c r="D1121" s="23">
        <v>45287</v>
      </c>
      <c r="E1121" s="22">
        <v>12</v>
      </c>
      <c r="F1121" s="22">
        <v>27</v>
      </c>
      <c r="G1121" s="22">
        <v>2023</v>
      </c>
      <c r="H1121" s="23">
        <f t="shared" si="51"/>
        <v>45287</v>
      </c>
      <c r="I1121" s="25">
        <v>45312</v>
      </c>
      <c r="J1121" s="22">
        <f t="shared" si="52"/>
        <v>25</v>
      </c>
      <c r="K1121" t="s">
        <v>23</v>
      </c>
      <c r="L1121">
        <v>12246</v>
      </c>
      <c r="M1121">
        <v>209</v>
      </c>
      <c r="N1121" s="26">
        <v>165.56</v>
      </c>
      <c r="O1121" s="26">
        <f t="shared" si="53"/>
        <v>165.56</v>
      </c>
      <c r="P1121">
        <v>23</v>
      </c>
      <c r="Q1121" t="b">
        <v>1</v>
      </c>
      <c r="S1121" t="s">
        <v>25</v>
      </c>
    </row>
    <row r="1122" spans="1:19">
      <c r="A1122" t="s">
        <v>2327</v>
      </c>
      <c r="B1122" t="s">
        <v>2328</v>
      </c>
      <c r="C1122" s="23" t="s">
        <v>4131</v>
      </c>
      <c r="D1122" s="23">
        <v>45215</v>
      </c>
      <c r="E1122" s="22">
        <v>10</v>
      </c>
      <c r="F1122" s="22">
        <v>16</v>
      </c>
      <c r="G1122" s="22">
        <v>2023</v>
      </c>
      <c r="H1122" s="23">
        <f t="shared" si="51"/>
        <v>45215</v>
      </c>
      <c r="I1122" s="25">
        <v>45228</v>
      </c>
      <c r="J1122" s="22">
        <f t="shared" si="52"/>
        <v>13</v>
      </c>
      <c r="K1122" t="s">
        <v>33</v>
      </c>
      <c r="L1122">
        <v>46558</v>
      </c>
      <c r="M1122">
        <v>1410</v>
      </c>
      <c r="N1122" s="26">
        <v>2419.14</v>
      </c>
      <c r="O1122" s="26">
        <f t="shared" si="53"/>
        <v>2419.14</v>
      </c>
      <c r="P1122">
        <v>131</v>
      </c>
      <c r="Q1122" t="b">
        <v>1</v>
      </c>
      <c r="S1122" t="s">
        <v>34</v>
      </c>
    </row>
    <row r="1123" spans="1:19">
      <c r="A1123" t="s">
        <v>2329</v>
      </c>
      <c r="B1123" t="s">
        <v>2330</v>
      </c>
      <c r="C1123" s="23" t="s">
        <v>4128</v>
      </c>
      <c r="D1123" s="23">
        <v>45179</v>
      </c>
      <c r="E1123" s="22">
        <v>9</v>
      </c>
      <c r="F1123" s="22">
        <v>10</v>
      </c>
      <c r="G1123" s="22">
        <v>2023</v>
      </c>
      <c r="H1123" s="23">
        <f t="shared" si="51"/>
        <v>45179</v>
      </c>
      <c r="I1123" s="25">
        <v>45180</v>
      </c>
      <c r="J1123" s="22">
        <f t="shared" si="52"/>
        <v>1</v>
      </c>
      <c r="K1123" t="s">
        <v>14</v>
      </c>
      <c r="L1123">
        <v>19381</v>
      </c>
      <c r="M1123">
        <v>718</v>
      </c>
      <c r="N1123" s="26">
        <v>652.64</v>
      </c>
      <c r="O1123" s="26">
        <f t="shared" si="53"/>
        <v>652.64</v>
      </c>
      <c r="P1123">
        <v>100</v>
      </c>
      <c r="Q1123" t="b">
        <v>0</v>
      </c>
      <c r="S1123" t="s">
        <v>16</v>
      </c>
    </row>
    <row r="1124" spans="1:19">
      <c r="A1124" t="s">
        <v>2331</v>
      </c>
      <c r="B1124" t="s">
        <v>2332</v>
      </c>
      <c r="C1124" s="23" t="s">
        <v>4129</v>
      </c>
      <c r="D1124" s="23" t="s">
        <v>2333</v>
      </c>
      <c r="E1124" s="22">
        <v>20</v>
      </c>
      <c r="F1124" s="22">
        <v>1</v>
      </c>
      <c r="G1124" s="22">
        <v>2023</v>
      </c>
      <c r="H1124" s="23">
        <f t="shared" si="51"/>
        <v>44946</v>
      </c>
      <c r="I1124" s="25">
        <v>44953</v>
      </c>
      <c r="J1124" s="22">
        <f t="shared" si="52"/>
        <v>7</v>
      </c>
      <c r="K1124" t="s">
        <v>19</v>
      </c>
      <c r="L1124">
        <v>37455</v>
      </c>
      <c r="M1124">
        <v>726</v>
      </c>
      <c r="N1124" s="26">
        <v>1159.67</v>
      </c>
      <c r="O1124" s="26">
        <f t="shared" si="53"/>
        <v>1159.67</v>
      </c>
      <c r="P1124">
        <v>41</v>
      </c>
      <c r="Q1124" t="b">
        <v>1</v>
      </c>
      <c r="S1124" t="s">
        <v>20</v>
      </c>
    </row>
    <row r="1125" spans="1:19">
      <c r="A1125" t="s">
        <v>2334</v>
      </c>
      <c r="B1125" t="s">
        <v>2335</v>
      </c>
      <c r="C1125" s="23" t="s">
        <v>4129</v>
      </c>
      <c r="D1125" s="23">
        <v>45046</v>
      </c>
      <c r="E1125" s="22">
        <v>4</v>
      </c>
      <c r="F1125" s="22">
        <v>30</v>
      </c>
      <c r="G1125" s="22">
        <v>2023</v>
      </c>
      <c r="H1125" s="23">
        <f t="shared" si="51"/>
        <v>45046</v>
      </c>
      <c r="I1125" s="25">
        <v>45068</v>
      </c>
      <c r="J1125" s="22">
        <f t="shared" si="52"/>
        <v>22</v>
      </c>
      <c r="K1125" t="s">
        <v>23</v>
      </c>
      <c r="L1125">
        <v>93263</v>
      </c>
      <c r="M1125">
        <v>4031</v>
      </c>
      <c r="N1125" s="26">
        <v>4265.52</v>
      </c>
      <c r="O1125" s="26">
        <f t="shared" si="53"/>
        <v>3632.575</v>
      </c>
      <c r="P1125">
        <v>258</v>
      </c>
      <c r="Q1125" t="b">
        <v>1</v>
      </c>
      <c r="S1125" t="s">
        <v>25</v>
      </c>
    </row>
    <row r="1126" spans="1:19">
      <c r="A1126" t="s">
        <v>2336</v>
      </c>
      <c r="B1126" t="s">
        <v>2337</v>
      </c>
      <c r="C1126" s="23" t="s">
        <v>4128</v>
      </c>
      <c r="D1126" s="23">
        <v>44966</v>
      </c>
      <c r="E1126" s="22">
        <v>2</v>
      </c>
      <c r="F1126" s="22">
        <v>9</v>
      </c>
      <c r="G1126" s="22">
        <v>2023</v>
      </c>
      <c r="H1126" s="23">
        <f t="shared" si="51"/>
        <v>44966</v>
      </c>
      <c r="I1126" s="25">
        <v>45195</v>
      </c>
      <c r="J1126" s="22">
        <f t="shared" si="52"/>
        <v>229</v>
      </c>
      <c r="K1126" t="s">
        <v>33</v>
      </c>
      <c r="L1126">
        <v>5018</v>
      </c>
      <c r="M1126">
        <v>159</v>
      </c>
      <c r="N1126" s="26">
        <v>203.97</v>
      </c>
      <c r="O1126" s="26">
        <f t="shared" si="53"/>
        <v>203.97</v>
      </c>
      <c r="P1126">
        <v>8</v>
      </c>
      <c r="Q1126" t="b">
        <v>0</v>
      </c>
      <c r="S1126" t="s">
        <v>34</v>
      </c>
    </row>
    <row r="1127" spans="1:19">
      <c r="A1127" t="s">
        <v>2338</v>
      </c>
      <c r="B1127" t="s">
        <v>2339</v>
      </c>
      <c r="C1127" s="23" t="s">
        <v>4128</v>
      </c>
      <c r="D1127" s="23">
        <v>45241</v>
      </c>
      <c r="E1127" s="22">
        <v>11</v>
      </c>
      <c r="F1127" s="22">
        <v>11</v>
      </c>
      <c r="G1127" s="22">
        <v>2023</v>
      </c>
      <c r="H1127" s="23">
        <f t="shared" si="51"/>
        <v>45241</v>
      </c>
      <c r="I1127" s="25">
        <v>45271</v>
      </c>
      <c r="J1127" s="22">
        <f t="shared" si="52"/>
        <v>30</v>
      </c>
      <c r="K1127" t="s">
        <v>14</v>
      </c>
      <c r="L1127">
        <v>12302</v>
      </c>
      <c r="M1127">
        <v>204</v>
      </c>
      <c r="N1127" s="26">
        <v>-122.8</v>
      </c>
      <c r="O1127" s="26">
        <f t="shared" si="53"/>
        <v>-122.8</v>
      </c>
      <c r="P1127">
        <v>25</v>
      </c>
      <c r="Q1127" t="b">
        <v>1</v>
      </c>
      <c r="S1127" t="s">
        <v>16</v>
      </c>
    </row>
    <row r="1128" spans="1:19">
      <c r="A1128" t="s">
        <v>2340</v>
      </c>
      <c r="B1128" t="s">
        <v>2341</v>
      </c>
      <c r="C1128" s="23" t="s">
        <v>4128</v>
      </c>
      <c r="D1128" s="23">
        <v>45017</v>
      </c>
      <c r="E1128" s="22">
        <v>4</v>
      </c>
      <c r="F1128" s="22">
        <v>1</v>
      </c>
      <c r="G1128" s="22">
        <v>2023</v>
      </c>
      <c r="H1128" s="23">
        <f t="shared" si="51"/>
        <v>45017</v>
      </c>
      <c r="I1128" s="25">
        <v>45029</v>
      </c>
      <c r="J1128" s="22">
        <f t="shared" si="52"/>
        <v>12</v>
      </c>
      <c r="K1128" t="s">
        <v>41</v>
      </c>
      <c r="L1128">
        <v>68506</v>
      </c>
      <c r="M1128">
        <v>2282</v>
      </c>
      <c r="N1128" s="26">
        <v>1761.34</v>
      </c>
      <c r="O1128" s="26">
        <f t="shared" si="53"/>
        <v>1761.34</v>
      </c>
      <c r="P1128">
        <v>319</v>
      </c>
      <c r="Q1128" t="b">
        <v>1</v>
      </c>
      <c r="S1128" t="s">
        <v>42</v>
      </c>
    </row>
    <row r="1129" spans="1:19">
      <c r="A1129" t="s">
        <v>2342</v>
      </c>
      <c r="B1129" t="s">
        <v>2343</v>
      </c>
      <c r="C1129" s="23" t="s">
        <v>4131</v>
      </c>
      <c r="D1129" s="23" t="s">
        <v>2344</v>
      </c>
      <c r="E1129" s="22">
        <v>15</v>
      </c>
      <c r="F1129" s="22">
        <v>6</v>
      </c>
      <c r="G1129" s="22">
        <v>2023</v>
      </c>
      <c r="H1129" s="23">
        <f t="shared" si="51"/>
        <v>45092</v>
      </c>
      <c r="I1129" s="25">
        <v>45105</v>
      </c>
      <c r="J1129" s="22">
        <f t="shared" si="52"/>
        <v>13</v>
      </c>
      <c r="K1129" t="s">
        <v>14</v>
      </c>
      <c r="L1129">
        <v>42157</v>
      </c>
      <c r="M1129">
        <v>2107</v>
      </c>
      <c r="N1129" s="26">
        <v>4078.72</v>
      </c>
      <c r="O1129" s="26">
        <f t="shared" si="53"/>
        <v>3632.575</v>
      </c>
      <c r="P1129">
        <v>125</v>
      </c>
      <c r="Q1129" t="b">
        <v>0</v>
      </c>
      <c r="S1129" t="s">
        <v>16</v>
      </c>
    </row>
    <row r="1130" spans="1:19">
      <c r="A1130" t="s">
        <v>2345</v>
      </c>
      <c r="B1130" t="s">
        <v>2346</v>
      </c>
      <c r="C1130" s="23" t="s">
        <v>4131</v>
      </c>
      <c r="D1130" s="23">
        <v>45002</v>
      </c>
      <c r="E1130" s="22">
        <v>3</v>
      </c>
      <c r="F1130" s="22">
        <v>17</v>
      </c>
      <c r="G1130" s="22">
        <v>2023</v>
      </c>
      <c r="H1130" s="23">
        <f t="shared" si="51"/>
        <v>45002</v>
      </c>
      <c r="I1130" s="25">
        <v>45017</v>
      </c>
      <c r="J1130" s="22">
        <f t="shared" si="52"/>
        <v>15</v>
      </c>
      <c r="K1130" t="s">
        <v>33</v>
      </c>
      <c r="L1130">
        <v>55917</v>
      </c>
      <c r="M1130">
        <v>895</v>
      </c>
      <c r="N1130" s="26">
        <v>1642.51</v>
      </c>
      <c r="O1130" s="26">
        <f t="shared" si="53"/>
        <v>1642.51</v>
      </c>
      <c r="P1130">
        <v>141</v>
      </c>
      <c r="Q1130" t="b">
        <v>1</v>
      </c>
      <c r="S1130" t="s">
        <v>34</v>
      </c>
    </row>
    <row r="1131" spans="1:19">
      <c r="A1131" t="s">
        <v>2347</v>
      </c>
      <c r="B1131" t="s">
        <v>2348</v>
      </c>
      <c r="C1131" s="23" t="s">
        <v>4128</v>
      </c>
      <c r="D1131" s="23">
        <v>44983</v>
      </c>
      <c r="E1131" s="22">
        <v>2</v>
      </c>
      <c r="F1131" s="22">
        <v>26</v>
      </c>
      <c r="G1131" s="22">
        <v>2023</v>
      </c>
      <c r="H1131" s="23">
        <f t="shared" si="51"/>
        <v>44983</v>
      </c>
      <c r="I1131" s="25">
        <v>45003</v>
      </c>
      <c r="J1131" s="22">
        <f t="shared" si="52"/>
        <v>20</v>
      </c>
      <c r="K1131" t="s">
        <v>23</v>
      </c>
      <c r="L1131">
        <v>93738</v>
      </c>
      <c r="M1131">
        <v>3999</v>
      </c>
      <c r="N1131" s="26">
        <v>5912.17</v>
      </c>
      <c r="O1131" s="26">
        <f t="shared" si="53"/>
        <v>3632.575</v>
      </c>
      <c r="P1131">
        <v>338</v>
      </c>
      <c r="Q1131" t="b">
        <v>0</v>
      </c>
      <c r="S1131" t="s">
        <v>25</v>
      </c>
    </row>
    <row r="1132" spans="1:19">
      <c r="A1132" t="s">
        <v>2349</v>
      </c>
      <c r="B1132" t="s">
        <v>2350</v>
      </c>
      <c r="C1132" s="23" t="s">
        <v>4128</v>
      </c>
      <c r="D1132" s="23">
        <v>44964</v>
      </c>
      <c r="E1132" s="22">
        <v>2</v>
      </c>
      <c r="F1132" s="22">
        <v>7</v>
      </c>
      <c r="G1132" s="22">
        <v>2023</v>
      </c>
      <c r="H1132" s="23">
        <f t="shared" si="51"/>
        <v>44964</v>
      </c>
      <c r="I1132" s="25">
        <v>44991</v>
      </c>
      <c r="J1132" s="22">
        <f t="shared" si="52"/>
        <v>27</v>
      </c>
      <c r="K1132" t="s">
        <v>23</v>
      </c>
      <c r="L1132">
        <v>97646</v>
      </c>
      <c r="M1132">
        <v>1786</v>
      </c>
      <c r="N1132" s="26">
        <v>2124.39</v>
      </c>
      <c r="O1132" s="26">
        <f t="shared" si="53"/>
        <v>2124.39</v>
      </c>
      <c r="P1132">
        <v>272</v>
      </c>
      <c r="Q1132" t="b">
        <v>1</v>
      </c>
      <c r="S1132" t="s">
        <v>25</v>
      </c>
    </row>
    <row r="1133" spans="1:19">
      <c r="A1133" t="s">
        <v>2351</v>
      </c>
      <c r="B1133" t="s">
        <v>2352</v>
      </c>
      <c r="C1133" s="23" t="s">
        <v>4131</v>
      </c>
      <c r="D1133" s="23">
        <v>45129</v>
      </c>
      <c r="E1133" s="22">
        <v>7</v>
      </c>
      <c r="F1133" s="22">
        <v>22</v>
      </c>
      <c r="G1133" s="22">
        <v>2023</v>
      </c>
      <c r="H1133" s="23">
        <f t="shared" si="51"/>
        <v>45129</v>
      </c>
      <c r="I1133" s="25">
        <v>45157</v>
      </c>
      <c r="J1133" s="22">
        <f t="shared" si="52"/>
        <v>28</v>
      </c>
      <c r="K1133" t="s">
        <v>19</v>
      </c>
      <c r="L1133">
        <v>84122</v>
      </c>
      <c r="M1133">
        <v>3473</v>
      </c>
      <c r="N1133" s="26">
        <v>5256.88</v>
      </c>
      <c r="O1133" s="26">
        <f t="shared" si="53"/>
        <v>3632.575</v>
      </c>
      <c r="P1133">
        <v>685</v>
      </c>
      <c r="Q1133" t="b">
        <v>1</v>
      </c>
      <c r="S1133" t="s">
        <v>20</v>
      </c>
    </row>
    <row r="1134" spans="1:19">
      <c r="A1134" t="s">
        <v>2353</v>
      </c>
      <c r="B1134" t="s">
        <v>2354</v>
      </c>
      <c r="C1134" s="23" t="s">
        <v>4129</v>
      </c>
      <c r="D1134" s="23">
        <v>45092</v>
      </c>
      <c r="E1134" s="22">
        <v>6</v>
      </c>
      <c r="F1134" s="22">
        <v>15</v>
      </c>
      <c r="G1134" s="22">
        <v>2023</v>
      </c>
      <c r="H1134" s="23">
        <f t="shared" si="51"/>
        <v>45092</v>
      </c>
      <c r="I1134" s="25">
        <v>45100</v>
      </c>
      <c r="J1134" s="22">
        <f t="shared" si="52"/>
        <v>8</v>
      </c>
      <c r="K1134" t="s">
        <v>19</v>
      </c>
      <c r="L1134">
        <v>25519</v>
      </c>
      <c r="M1134">
        <v>1005</v>
      </c>
      <c r="N1134" s="26">
        <v>1435.06</v>
      </c>
      <c r="O1134" s="26">
        <f t="shared" si="53"/>
        <v>1435.06</v>
      </c>
      <c r="P1134">
        <v>154</v>
      </c>
      <c r="Q1134" t="b">
        <v>1</v>
      </c>
      <c r="S1134" t="s">
        <v>20</v>
      </c>
    </row>
    <row r="1135" spans="1:19">
      <c r="A1135" t="s">
        <v>2355</v>
      </c>
      <c r="B1135" t="s">
        <v>2356</v>
      </c>
      <c r="C1135" s="23" t="s">
        <v>4128</v>
      </c>
      <c r="D1135" s="23">
        <v>45150</v>
      </c>
      <c r="E1135" s="22">
        <v>8</v>
      </c>
      <c r="F1135" s="22">
        <v>12</v>
      </c>
      <c r="G1135" s="22">
        <v>2023</v>
      </c>
      <c r="H1135" s="23">
        <f t="shared" si="51"/>
        <v>45150</v>
      </c>
      <c r="I1135" s="25">
        <v>45174</v>
      </c>
      <c r="J1135" s="22">
        <f t="shared" si="52"/>
        <v>24</v>
      </c>
      <c r="K1135" t="s">
        <v>23</v>
      </c>
      <c r="L1135">
        <v>97809</v>
      </c>
      <c r="M1135">
        <v>2153</v>
      </c>
      <c r="N1135" s="26">
        <v>2912.64</v>
      </c>
      <c r="O1135" s="26">
        <f t="shared" si="53"/>
        <v>2912.64</v>
      </c>
      <c r="P1135">
        <v>392</v>
      </c>
      <c r="Q1135" t="b">
        <v>1</v>
      </c>
      <c r="S1135" t="s">
        <v>25</v>
      </c>
    </row>
    <row r="1136" spans="1:19">
      <c r="A1136" t="s">
        <v>2357</v>
      </c>
      <c r="B1136" t="s">
        <v>2358</v>
      </c>
      <c r="C1136" s="23" t="s">
        <v>4129</v>
      </c>
      <c r="D1136" s="23">
        <v>45259</v>
      </c>
      <c r="E1136" s="22">
        <v>11</v>
      </c>
      <c r="F1136" s="22">
        <v>29</v>
      </c>
      <c r="G1136" s="22">
        <v>2023</v>
      </c>
      <c r="H1136" s="23">
        <f t="shared" si="51"/>
        <v>45259</v>
      </c>
      <c r="I1136" s="25">
        <v>45289</v>
      </c>
      <c r="J1136" s="22">
        <f t="shared" si="52"/>
        <v>30</v>
      </c>
      <c r="K1136" t="s">
        <v>23</v>
      </c>
      <c r="L1136">
        <v>88487</v>
      </c>
      <c r="M1136">
        <v>2038</v>
      </c>
      <c r="N1136" s="26">
        <v>1199.9</v>
      </c>
      <c r="O1136" s="26">
        <f t="shared" si="53"/>
        <v>1199.9</v>
      </c>
      <c r="P1136">
        <v>391</v>
      </c>
      <c r="Q1136" t="b">
        <v>1</v>
      </c>
      <c r="S1136" t="s">
        <v>25</v>
      </c>
    </row>
    <row r="1137" spans="1:19">
      <c r="A1137" t="s">
        <v>2359</v>
      </c>
      <c r="B1137" t="s">
        <v>2360</v>
      </c>
      <c r="C1137" s="23" t="s">
        <v>4131</v>
      </c>
      <c r="D1137" s="23">
        <v>45214</v>
      </c>
      <c r="E1137" s="22">
        <v>10</v>
      </c>
      <c r="F1137" s="22">
        <v>15</v>
      </c>
      <c r="G1137" s="22">
        <v>2023</v>
      </c>
      <c r="H1137" s="23">
        <f t="shared" si="51"/>
        <v>45214</v>
      </c>
      <c r="I1137" s="25">
        <v>45219</v>
      </c>
      <c r="J1137" s="22">
        <f t="shared" si="52"/>
        <v>5</v>
      </c>
      <c r="K1137" t="s">
        <v>41</v>
      </c>
      <c r="L1137">
        <v>57819</v>
      </c>
      <c r="M1137">
        <v>2411</v>
      </c>
      <c r="N1137" s="26">
        <v>3494.03</v>
      </c>
      <c r="O1137" s="26">
        <f t="shared" si="53"/>
        <v>3494.03</v>
      </c>
      <c r="P1137">
        <v>296</v>
      </c>
      <c r="Q1137" t="b">
        <v>1</v>
      </c>
      <c r="S1137" t="s">
        <v>42</v>
      </c>
    </row>
    <row r="1138" spans="1:19">
      <c r="A1138" t="s">
        <v>2361</v>
      </c>
      <c r="B1138" t="s">
        <v>2362</v>
      </c>
      <c r="C1138" s="23" t="s">
        <v>4129</v>
      </c>
      <c r="D1138" s="23">
        <v>45109</v>
      </c>
      <c r="E1138" s="22">
        <v>7</v>
      </c>
      <c r="F1138" s="22">
        <v>2</v>
      </c>
      <c r="G1138" s="22">
        <v>2023</v>
      </c>
      <c r="H1138" s="23">
        <f t="shared" si="51"/>
        <v>45109</v>
      </c>
      <c r="I1138" s="25">
        <v>45125</v>
      </c>
      <c r="J1138" s="22">
        <f t="shared" si="52"/>
        <v>16</v>
      </c>
      <c r="K1138" t="s">
        <v>19</v>
      </c>
      <c r="L1138">
        <v>81910</v>
      </c>
      <c r="M1138">
        <v>2330</v>
      </c>
      <c r="N1138" s="26">
        <v>3852.38</v>
      </c>
      <c r="O1138" s="26">
        <f t="shared" si="53"/>
        <v>3632.575</v>
      </c>
      <c r="P1138">
        <v>361</v>
      </c>
      <c r="Q1138" t="b">
        <v>0</v>
      </c>
      <c r="S1138" t="s">
        <v>20</v>
      </c>
    </row>
    <row r="1139" spans="1:19">
      <c r="A1139" t="s">
        <v>2363</v>
      </c>
      <c r="B1139" t="s">
        <v>2364</v>
      </c>
      <c r="C1139" s="23" t="s">
        <v>4128</v>
      </c>
      <c r="D1139" s="23">
        <v>45016</v>
      </c>
      <c r="E1139" s="22">
        <v>3</v>
      </c>
      <c r="F1139" s="22">
        <v>31</v>
      </c>
      <c r="G1139" s="22">
        <v>2023</v>
      </c>
      <c r="H1139" s="23">
        <f t="shared" si="51"/>
        <v>45016</v>
      </c>
      <c r="I1139" s="25">
        <v>45036</v>
      </c>
      <c r="J1139" s="22">
        <f t="shared" si="52"/>
        <v>20</v>
      </c>
      <c r="K1139" t="s">
        <v>23</v>
      </c>
      <c r="L1139">
        <v>72324</v>
      </c>
      <c r="M1139">
        <v>2837</v>
      </c>
      <c r="N1139" s="26">
        <v>5648.81</v>
      </c>
      <c r="O1139" s="26">
        <f t="shared" si="53"/>
        <v>3632.575</v>
      </c>
      <c r="P1139">
        <v>504</v>
      </c>
      <c r="Q1139" t="b">
        <v>1</v>
      </c>
      <c r="S1139" t="s">
        <v>25</v>
      </c>
    </row>
    <row r="1140" spans="1:19">
      <c r="A1140" t="s">
        <v>2365</v>
      </c>
      <c r="B1140" t="s">
        <v>2366</v>
      </c>
      <c r="C1140" s="23" t="s">
        <v>4128</v>
      </c>
      <c r="D1140" s="23">
        <v>45077</v>
      </c>
      <c r="E1140" s="22">
        <v>5</v>
      </c>
      <c r="F1140" s="22">
        <v>31</v>
      </c>
      <c r="G1140" s="22">
        <v>2023</v>
      </c>
      <c r="H1140" s="23">
        <f t="shared" si="51"/>
        <v>45077</v>
      </c>
      <c r="I1140" s="25">
        <v>45103</v>
      </c>
      <c r="J1140" s="22">
        <f t="shared" si="52"/>
        <v>26</v>
      </c>
      <c r="K1140" t="s">
        <v>23</v>
      </c>
      <c r="L1140">
        <v>6408</v>
      </c>
      <c r="M1140">
        <v>102</v>
      </c>
      <c r="N1140" s="26">
        <v>52.7</v>
      </c>
      <c r="O1140" s="26">
        <f t="shared" si="53"/>
        <v>52.7</v>
      </c>
      <c r="P1140">
        <v>0</v>
      </c>
      <c r="Q1140" t="b">
        <v>0</v>
      </c>
      <c r="S1140" t="s">
        <v>25</v>
      </c>
    </row>
    <row r="1141" spans="1:19">
      <c r="A1141" t="s">
        <v>2367</v>
      </c>
      <c r="B1141" t="s">
        <v>2368</v>
      </c>
      <c r="C1141" s="23" t="s">
        <v>4127</v>
      </c>
      <c r="D1141" s="23">
        <v>45286</v>
      </c>
      <c r="E1141" s="22">
        <v>12</v>
      </c>
      <c r="F1141" s="22">
        <v>26</v>
      </c>
      <c r="G1141" s="22">
        <v>2023</v>
      </c>
      <c r="H1141" s="23">
        <f t="shared" si="51"/>
        <v>45286</v>
      </c>
      <c r="I1141" s="25">
        <v>45303</v>
      </c>
      <c r="J1141" s="22">
        <f t="shared" si="52"/>
        <v>17</v>
      </c>
      <c r="K1141" t="s">
        <v>19</v>
      </c>
      <c r="L1141">
        <v>60379</v>
      </c>
      <c r="M1141">
        <v>2662</v>
      </c>
      <c r="N1141" s="26">
        <v>4246.58</v>
      </c>
      <c r="O1141" s="26">
        <f t="shared" si="53"/>
        <v>3632.575</v>
      </c>
      <c r="P1141">
        <v>237</v>
      </c>
      <c r="Q1141" t="b">
        <v>0</v>
      </c>
      <c r="S1141" t="s">
        <v>20</v>
      </c>
    </row>
    <row r="1142" spans="1:19">
      <c r="A1142" t="s">
        <v>2369</v>
      </c>
      <c r="B1142" t="s">
        <v>2370</v>
      </c>
      <c r="C1142" s="23" t="s">
        <v>4128</v>
      </c>
      <c r="D1142" s="23" t="s">
        <v>2225</v>
      </c>
      <c r="E1142" s="22">
        <v>18</v>
      </c>
      <c r="F1142" s="22">
        <v>10</v>
      </c>
      <c r="G1142" s="22">
        <v>2023</v>
      </c>
      <c r="H1142" s="23">
        <f t="shared" si="51"/>
        <v>45217</v>
      </c>
      <c r="I1142" s="25">
        <v>45246</v>
      </c>
      <c r="J1142" s="22">
        <f t="shared" si="52"/>
        <v>29</v>
      </c>
      <c r="K1142" t="s">
        <v>19</v>
      </c>
      <c r="L1142">
        <v>26053</v>
      </c>
      <c r="M1142">
        <v>1001</v>
      </c>
      <c r="N1142" s="26">
        <v>1359.04</v>
      </c>
      <c r="O1142" s="26">
        <f t="shared" si="53"/>
        <v>1359.04</v>
      </c>
      <c r="P1142">
        <v>192</v>
      </c>
      <c r="Q1142" t="b">
        <v>0</v>
      </c>
      <c r="S1142" t="s">
        <v>20</v>
      </c>
    </row>
    <row r="1143" spans="1:19">
      <c r="A1143" t="s">
        <v>2371</v>
      </c>
      <c r="B1143" t="s">
        <v>2372</v>
      </c>
      <c r="C1143" s="23" t="s">
        <v>4131</v>
      </c>
      <c r="D1143" s="23">
        <v>45235</v>
      </c>
      <c r="E1143" s="22">
        <v>11</v>
      </c>
      <c r="F1143" s="22">
        <v>5</v>
      </c>
      <c r="G1143" s="22">
        <v>2023</v>
      </c>
      <c r="H1143" s="23">
        <f t="shared" si="51"/>
        <v>45235</v>
      </c>
      <c r="I1143" s="25">
        <v>45249</v>
      </c>
      <c r="J1143" s="22">
        <f t="shared" si="52"/>
        <v>14</v>
      </c>
      <c r="K1143" t="s">
        <v>41</v>
      </c>
      <c r="L1143">
        <v>10446</v>
      </c>
      <c r="M1143">
        <v>483</v>
      </c>
      <c r="N1143" s="26">
        <v>555.97</v>
      </c>
      <c r="O1143" s="26">
        <f t="shared" si="53"/>
        <v>555.97</v>
      </c>
      <c r="P1143">
        <v>0</v>
      </c>
      <c r="Q1143" t="b">
        <v>1</v>
      </c>
      <c r="S1143" t="s">
        <v>42</v>
      </c>
    </row>
    <row r="1144" spans="1:19">
      <c r="A1144" t="s">
        <v>2373</v>
      </c>
      <c r="B1144" t="s">
        <v>2374</v>
      </c>
      <c r="C1144" s="23" t="s">
        <v>4131</v>
      </c>
      <c r="D1144" s="23">
        <v>45240</v>
      </c>
      <c r="E1144" s="22">
        <v>11</v>
      </c>
      <c r="F1144" s="22">
        <v>10</v>
      </c>
      <c r="G1144" s="22">
        <v>2023</v>
      </c>
      <c r="H1144" s="23">
        <f t="shared" si="51"/>
        <v>45240</v>
      </c>
      <c r="I1144" s="25">
        <v>45261</v>
      </c>
      <c r="J1144" s="22">
        <f t="shared" si="52"/>
        <v>21</v>
      </c>
      <c r="K1144" t="s">
        <v>138</v>
      </c>
      <c r="L1144">
        <v>1922</v>
      </c>
      <c r="M1144">
        <v>29</v>
      </c>
      <c r="N1144" s="26">
        <v>-20.05</v>
      </c>
      <c r="O1144" s="26">
        <f t="shared" si="53"/>
        <v>-20.05</v>
      </c>
      <c r="P1144">
        <v>2</v>
      </c>
      <c r="Q1144" t="b">
        <v>1</v>
      </c>
      <c r="S1144" t="s">
        <v>139</v>
      </c>
    </row>
    <row r="1145" spans="1:19">
      <c r="A1145" t="s">
        <v>2375</v>
      </c>
      <c r="B1145" t="s">
        <v>2376</v>
      </c>
      <c r="C1145" s="23" t="s">
        <v>4128</v>
      </c>
      <c r="D1145" s="23">
        <v>45181</v>
      </c>
      <c r="E1145" s="22">
        <v>9</v>
      </c>
      <c r="F1145" s="22">
        <v>12</v>
      </c>
      <c r="G1145" s="22">
        <v>2023</v>
      </c>
      <c r="H1145" s="23">
        <f t="shared" si="51"/>
        <v>45181</v>
      </c>
      <c r="I1145" s="25">
        <v>45209</v>
      </c>
      <c r="J1145" s="22">
        <f t="shared" si="52"/>
        <v>28</v>
      </c>
      <c r="K1145" t="s">
        <v>23</v>
      </c>
      <c r="L1145">
        <v>99723</v>
      </c>
      <c r="M1145">
        <v>3362</v>
      </c>
      <c r="N1145" s="26">
        <v>3744.02</v>
      </c>
      <c r="O1145" s="26">
        <f t="shared" si="53"/>
        <v>3632.575</v>
      </c>
      <c r="P1145">
        <v>394</v>
      </c>
      <c r="Q1145" t="b">
        <v>1</v>
      </c>
      <c r="S1145" t="s">
        <v>25</v>
      </c>
    </row>
    <row r="1146" spans="1:19">
      <c r="A1146" t="s">
        <v>2377</v>
      </c>
      <c r="B1146" t="s">
        <v>2378</v>
      </c>
      <c r="C1146" s="23" t="s">
        <v>4131</v>
      </c>
      <c r="D1146" s="23">
        <v>45048</v>
      </c>
      <c r="E1146" s="22">
        <v>5</v>
      </c>
      <c r="F1146" s="22">
        <v>2</v>
      </c>
      <c r="G1146" s="22">
        <v>2023</v>
      </c>
      <c r="H1146" s="23">
        <f t="shared" si="51"/>
        <v>45048</v>
      </c>
      <c r="I1146" s="25">
        <v>45073</v>
      </c>
      <c r="J1146" s="22">
        <f t="shared" si="52"/>
        <v>25</v>
      </c>
      <c r="K1146" t="s">
        <v>41</v>
      </c>
      <c r="L1146">
        <v>52356</v>
      </c>
      <c r="M1146">
        <v>1778</v>
      </c>
      <c r="N1146" s="26">
        <v>1834.12</v>
      </c>
      <c r="O1146" s="26">
        <f t="shared" si="53"/>
        <v>1834.12</v>
      </c>
      <c r="P1146">
        <v>301</v>
      </c>
      <c r="Q1146" t="b">
        <v>1</v>
      </c>
      <c r="S1146" t="s">
        <v>42</v>
      </c>
    </row>
    <row r="1147" spans="1:19">
      <c r="A1147" t="s">
        <v>2379</v>
      </c>
      <c r="B1147" t="s">
        <v>2380</v>
      </c>
      <c r="C1147" s="23" t="s">
        <v>4131</v>
      </c>
      <c r="D1147" s="23">
        <v>45252</v>
      </c>
      <c r="E1147" s="22">
        <v>11</v>
      </c>
      <c r="F1147" s="22">
        <v>22</v>
      </c>
      <c r="G1147" s="22">
        <v>2023</v>
      </c>
      <c r="H1147" s="23">
        <f t="shared" si="51"/>
        <v>45252</v>
      </c>
      <c r="I1147" s="25">
        <v>45273</v>
      </c>
      <c r="J1147" s="22">
        <f t="shared" si="52"/>
        <v>21</v>
      </c>
      <c r="K1147" t="s">
        <v>19</v>
      </c>
      <c r="L1147">
        <v>11789</v>
      </c>
      <c r="M1147">
        <v>284</v>
      </c>
      <c r="N1147" s="26">
        <v>271.01</v>
      </c>
      <c r="O1147" s="26">
        <f t="shared" si="53"/>
        <v>271.01</v>
      </c>
      <c r="P1147">
        <v>37</v>
      </c>
      <c r="Q1147" t="b">
        <v>1</v>
      </c>
      <c r="S1147" t="s">
        <v>20</v>
      </c>
    </row>
    <row r="1148" spans="1:19">
      <c r="A1148" t="s">
        <v>2381</v>
      </c>
      <c r="B1148" t="s">
        <v>2382</v>
      </c>
      <c r="C1148" s="23" t="s">
        <v>4131</v>
      </c>
      <c r="D1148" s="23">
        <v>45289</v>
      </c>
      <c r="E1148" s="22">
        <v>12</v>
      </c>
      <c r="F1148" s="22">
        <v>29</v>
      </c>
      <c r="G1148" s="22">
        <v>2023</v>
      </c>
      <c r="H1148" s="23">
        <f t="shared" si="51"/>
        <v>45289</v>
      </c>
      <c r="I1148" s="25">
        <v>45295</v>
      </c>
      <c r="J1148" s="22">
        <f t="shared" si="52"/>
        <v>6</v>
      </c>
      <c r="K1148" t="s">
        <v>415</v>
      </c>
      <c r="L1148">
        <v>98720</v>
      </c>
      <c r="M1148">
        <v>2797</v>
      </c>
      <c r="N1148" s="26">
        <v>4464.91</v>
      </c>
      <c r="O1148" s="26">
        <f t="shared" si="53"/>
        <v>3632.575</v>
      </c>
      <c r="P1148">
        <v>412</v>
      </c>
      <c r="Q1148" t="b">
        <v>1</v>
      </c>
      <c r="S1148" t="s">
        <v>34</v>
      </c>
    </row>
    <row r="1149" spans="1:19">
      <c r="A1149" t="s">
        <v>2383</v>
      </c>
      <c r="B1149" t="s">
        <v>2384</v>
      </c>
      <c r="C1149" s="23" t="s">
        <v>4128</v>
      </c>
      <c r="D1149" s="23">
        <v>45098</v>
      </c>
      <c r="E1149" s="22">
        <v>6</v>
      </c>
      <c r="F1149" s="22">
        <v>21</v>
      </c>
      <c r="G1149" s="22">
        <v>2023</v>
      </c>
      <c r="H1149" s="23">
        <f t="shared" si="51"/>
        <v>45098</v>
      </c>
      <c r="I1149" s="25">
        <v>45106</v>
      </c>
      <c r="J1149" s="22">
        <f t="shared" si="52"/>
        <v>8</v>
      </c>
      <c r="K1149" t="s">
        <v>14</v>
      </c>
      <c r="L1149">
        <v>67656</v>
      </c>
      <c r="M1149">
        <v>779</v>
      </c>
      <c r="N1149" s="26">
        <v>1208.3</v>
      </c>
      <c r="O1149" s="26">
        <f t="shared" si="53"/>
        <v>1208.3</v>
      </c>
      <c r="P1149">
        <v>127</v>
      </c>
      <c r="Q1149" t="b">
        <v>0</v>
      </c>
      <c r="S1149" t="s">
        <v>16</v>
      </c>
    </row>
    <row r="1150" spans="1:19">
      <c r="A1150" t="s">
        <v>2385</v>
      </c>
      <c r="B1150" t="s">
        <v>2386</v>
      </c>
      <c r="C1150" s="23" t="s">
        <v>4128</v>
      </c>
      <c r="D1150" s="23">
        <v>45054</v>
      </c>
      <c r="E1150" s="22">
        <v>5</v>
      </c>
      <c r="F1150" s="22">
        <v>8</v>
      </c>
      <c r="G1150" s="22">
        <v>2023</v>
      </c>
      <c r="H1150" s="23">
        <f t="shared" si="51"/>
        <v>45054</v>
      </c>
      <c r="I1150" s="25">
        <v>45074</v>
      </c>
      <c r="J1150" s="22">
        <f t="shared" si="52"/>
        <v>20</v>
      </c>
      <c r="K1150" t="s">
        <v>191</v>
      </c>
      <c r="L1150">
        <v>45028</v>
      </c>
      <c r="M1150">
        <v>1793</v>
      </c>
      <c r="N1150" s="26">
        <v>2480.67</v>
      </c>
      <c r="O1150" s="26">
        <f t="shared" si="53"/>
        <v>2480.67</v>
      </c>
      <c r="P1150">
        <v>256</v>
      </c>
      <c r="Q1150" t="b">
        <v>1</v>
      </c>
      <c r="S1150" t="s">
        <v>42</v>
      </c>
    </row>
    <row r="1151" spans="1:19">
      <c r="A1151" t="s">
        <v>2387</v>
      </c>
      <c r="B1151" t="s">
        <v>2388</v>
      </c>
      <c r="C1151" s="23" t="s">
        <v>4131</v>
      </c>
      <c r="D1151" s="23">
        <v>44982</v>
      </c>
      <c r="E1151" s="22">
        <v>2</v>
      </c>
      <c r="F1151" s="22">
        <v>25</v>
      </c>
      <c r="G1151" s="22">
        <v>2023</v>
      </c>
      <c r="H1151" s="23">
        <f t="shared" si="51"/>
        <v>44982</v>
      </c>
      <c r="I1151" s="25">
        <v>44999</v>
      </c>
      <c r="J1151" s="22">
        <f t="shared" si="52"/>
        <v>17</v>
      </c>
      <c r="K1151" t="s">
        <v>33</v>
      </c>
      <c r="L1151">
        <v>65484</v>
      </c>
      <c r="M1151">
        <v>2093</v>
      </c>
      <c r="N1151" s="26">
        <v>3993.44</v>
      </c>
      <c r="O1151" s="26">
        <f t="shared" si="53"/>
        <v>3632.575</v>
      </c>
      <c r="P1151">
        <v>274</v>
      </c>
      <c r="Q1151" t="b">
        <v>0</v>
      </c>
      <c r="S1151" t="s">
        <v>34</v>
      </c>
    </row>
    <row r="1152" spans="1:19">
      <c r="A1152" t="s">
        <v>2389</v>
      </c>
      <c r="B1152" t="s">
        <v>2390</v>
      </c>
      <c r="C1152" s="23" t="s">
        <v>4127</v>
      </c>
      <c r="D1152" s="23">
        <v>45151</v>
      </c>
      <c r="E1152" s="22">
        <v>8</v>
      </c>
      <c r="F1152" s="22">
        <v>13</v>
      </c>
      <c r="G1152" s="22">
        <v>2023</v>
      </c>
      <c r="H1152" s="23">
        <f t="shared" si="51"/>
        <v>45151</v>
      </c>
      <c r="I1152" s="25">
        <v>45161</v>
      </c>
      <c r="J1152" s="22">
        <f t="shared" si="52"/>
        <v>10</v>
      </c>
      <c r="K1152" t="s">
        <v>23</v>
      </c>
      <c r="L1152">
        <v>33154</v>
      </c>
      <c r="M1152">
        <v>408</v>
      </c>
      <c r="N1152" s="26">
        <v>418.11</v>
      </c>
      <c r="O1152" s="26">
        <f t="shared" si="53"/>
        <v>418.11</v>
      </c>
      <c r="P1152">
        <v>0</v>
      </c>
      <c r="Q1152" t="b">
        <v>1</v>
      </c>
      <c r="S1152" t="s">
        <v>25</v>
      </c>
    </row>
    <row r="1153" spans="1:19">
      <c r="A1153" t="s">
        <v>2391</v>
      </c>
      <c r="B1153" t="s">
        <v>2392</v>
      </c>
      <c r="C1153" s="23" t="s">
        <v>4127</v>
      </c>
      <c r="D1153" s="23">
        <v>45138</v>
      </c>
      <c r="E1153" s="22">
        <v>7</v>
      </c>
      <c r="F1153" s="22">
        <v>31</v>
      </c>
      <c r="G1153" s="22">
        <v>2023</v>
      </c>
      <c r="H1153" s="23">
        <f t="shared" si="51"/>
        <v>45138</v>
      </c>
      <c r="I1153" s="25">
        <v>45154</v>
      </c>
      <c r="J1153" s="22">
        <f t="shared" si="52"/>
        <v>16</v>
      </c>
      <c r="K1153" t="s">
        <v>33</v>
      </c>
      <c r="L1153">
        <v>83870</v>
      </c>
      <c r="M1153">
        <v>3122</v>
      </c>
      <c r="N1153" s="26">
        <v>2702.72</v>
      </c>
      <c r="O1153" s="26">
        <f t="shared" si="53"/>
        <v>2702.72</v>
      </c>
      <c r="P1153">
        <v>0</v>
      </c>
      <c r="Q1153" t="b">
        <v>1</v>
      </c>
      <c r="S1153" t="s">
        <v>34</v>
      </c>
    </row>
    <row r="1154" spans="1:19">
      <c r="A1154" t="s">
        <v>2393</v>
      </c>
      <c r="B1154" t="s">
        <v>2394</v>
      </c>
      <c r="C1154" s="23" t="s">
        <v>4129</v>
      </c>
      <c r="D1154" s="23">
        <v>45206</v>
      </c>
      <c r="E1154" s="22">
        <v>10</v>
      </c>
      <c r="F1154" s="22">
        <v>7</v>
      </c>
      <c r="G1154" s="22">
        <v>2023</v>
      </c>
      <c r="H1154" s="23">
        <f t="shared" si="51"/>
        <v>45206</v>
      </c>
      <c r="I1154" s="25">
        <v>45231</v>
      </c>
      <c r="J1154" s="22">
        <f t="shared" si="52"/>
        <v>25</v>
      </c>
      <c r="K1154" t="s">
        <v>14</v>
      </c>
      <c r="L1154">
        <v>3336</v>
      </c>
      <c r="M1154">
        <v>95</v>
      </c>
      <c r="N1154" s="26">
        <v>140.97</v>
      </c>
      <c r="O1154" s="26">
        <f t="shared" si="53"/>
        <v>140.97</v>
      </c>
      <c r="P1154">
        <v>13</v>
      </c>
      <c r="Q1154" t="b">
        <v>1</v>
      </c>
      <c r="S1154" t="s">
        <v>16</v>
      </c>
    </row>
    <row r="1155" spans="1:19">
      <c r="A1155" t="s">
        <v>2395</v>
      </c>
      <c r="B1155" t="s">
        <v>2396</v>
      </c>
      <c r="C1155" s="23" t="s">
        <v>4127</v>
      </c>
      <c r="D1155" s="23">
        <v>45222</v>
      </c>
      <c r="E1155" s="22">
        <v>10</v>
      </c>
      <c r="F1155" s="22">
        <v>23</v>
      </c>
      <c r="G1155" s="22">
        <v>2023</v>
      </c>
      <c r="H1155" s="23">
        <f t="shared" ref="H1155:H1218" si="54">IF(E1155&gt;12,DATE(G1155,F1155,E1155),D1155)</f>
        <v>45222</v>
      </c>
      <c r="I1155" s="25">
        <v>45225</v>
      </c>
      <c r="J1155" s="22">
        <f t="shared" ref="J1155:J1218" si="55">DATEDIF(H1155,I1155,"D")</f>
        <v>3</v>
      </c>
      <c r="K1155" t="s">
        <v>33</v>
      </c>
      <c r="L1155">
        <v>68779</v>
      </c>
      <c r="M1155">
        <v>782</v>
      </c>
      <c r="N1155" s="26">
        <v>624.21</v>
      </c>
      <c r="O1155" s="26">
        <f t="shared" ref="O1155:O1218" si="56">IF(N1155&lt;$W$8,$W$8,IF(N1155&gt;$W$9,$W$9,N1155))</f>
        <v>624.21</v>
      </c>
      <c r="P1155">
        <v>81</v>
      </c>
      <c r="Q1155" t="b">
        <v>0</v>
      </c>
      <c r="R1155">
        <v>68831</v>
      </c>
      <c r="S1155" t="s">
        <v>34</v>
      </c>
    </row>
    <row r="1156" spans="1:19">
      <c r="A1156" t="s">
        <v>2397</v>
      </c>
      <c r="B1156" t="s">
        <v>2398</v>
      </c>
      <c r="C1156" s="23" t="s">
        <v>4129</v>
      </c>
      <c r="D1156" s="23">
        <v>45010</v>
      </c>
      <c r="E1156" s="22">
        <v>3</v>
      </c>
      <c r="F1156" s="22">
        <v>25</v>
      </c>
      <c r="G1156" s="22">
        <v>2023</v>
      </c>
      <c r="H1156" s="23">
        <f t="shared" si="54"/>
        <v>45010</v>
      </c>
      <c r="I1156" s="25">
        <v>45024</v>
      </c>
      <c r="J1156" s="22">
        <f t="shared" si="55"/>
        <v>14</v>
      </c>
      <c r="K1156" t="s">
        <v>41</v>
      </c>
      <c r="L1156">
        <v>20029</v>
      </c>
      <c r="M1156">
        <v>977</v>
      </c>
      <c r="N1156" s="26">
        <v>950.15</v>
      </c>
      <c r="O1156" s="26">
        <f t="shared" si="56"/>
        <v>950.15</v>
      </c>
      <c r="P1156">
        <v>108</v>
      </c>
      <c r="Q1156" t="b">
        <v>1</v>
      </c>
      <c r="S1156" t="s">
        <v>42</v>
      </c>
    </row>
    <row r="1157" spans="1:19">
      <c r="A1157" t="s">
        <v>2399</v>
      </c>
      <c r="B1157" t="s">
        <v>2400</v>
      </c>
      <c r="C1157" s="23" t="s">
        <v>4128</v>
      </c>
      <c r="D1157" s="23">
        <v>44944</v>
      </c>
      <c r="E1157" s="22">
        <v>1</v>
      </c>
      <c r="F1157" s="22">
        <v>18</v>
      </c>
      <c r="G1157" s="22">
        <v>2023</v>
      </c>
      <c r="H1157" s="23">
        <f t="shared" si="54"/>
        <v>44944</v>
      </c>
      <c r="I1157" s="25">
        <v>44964</v>
      </c>
      <c r="J1157" s="22">
        <f t="shared" si="55"/>
        <v>20</v>
      </c>
      <c r="K1157" t="s">
        <v>266</v>
      </c>
      <c r="L1157">
        <v>60201</v>
      </c>
      <c r="M1157">
        <v>2887</v>
      </c>
      <c r="N1157" s="26">
        <v>2416.14</v>
      </c>
      <c r="O1157" s="26">
        <f t="shared" si="56"/>
        <v>2416.14</v>
      </c>
      <c r="P1157">
        <v>564</v>
      </c>
      <c r="Q1157" t="b">
        <v>0</v>
      </c>
      <c r="S1157" t="s">
        <v>20</v>
      </c>
    </row>
    <row r="1158" spans="1:19">
      <c r="A1158" t="s">
        <v>2401</v>
      </c>
      <c r="B1158" t="s">
        <v>2402</v>
      </c>
      <c r="C1158" s="23" t="s">
        <v>4131</v>
      </c>
      <c r="D1158" s="23" t="s">
        <v>2403</v>
      </c>
      <c r="E1158" s="22">
        <v>23</v>
      </c>
      <c r="F1158" s="22">
        <v>2</v>
      </c>
      <c r="G1158" s="22">
        <v>2023</v>
      </c>
      <c r="H1158" s="23">
        <f t="shared" si="54"/>
        <v>44980</v>
      </c>
      <c r="I1158" s="25">
        <v>44981</v>
      </c>
      <c r="J1158" s="22">
        <f t="shared" si="55"/>
        <v>1</v>
      </c>
      <c r="K1158" t="s">
        <v>14</v>
      </c>
      <c r="L1158">
        <v>33265</v>
      </c>
      <c r="M1158">
        <v>1015</v>
      </c>
      <c r="N1158" s="26">
        <v>612.79</v>
      </c>
      <c r="O1158" s="26">
        <f t="shared" si="56"/>
        <v>612.79</v>
      </c>
      <c r="P1158">
        <v>67</v>
      </c>
      <c r="Q1158" t="b">
        <v>1</v>
      </c>
      <c r="S1158" t="s">
        <v>16</v>
      </c>
    </row>
    <row r="1159" spans="1:19">
      <c r="A1159" t="s">
        <v>2404</v>
      </c>
      <c r="B1159" t="s">
        <v>2405</v>
      </c>
      <c r="C1159" s="23" t="s">
        <v>4128</v>
      </c>
      <c r="D1159" s="23">
        <v>45014</v>
      </c>
      <c r="E1159" s="22">
        <v>3</v>
      </c>
      <c r="F1159" s="22">
        <v>29</v>
      </c>
      <c r="G1159" s="22">
        <v>2023</v>
      </c>
      <c r="H1159" s="23">
        <f t="shared" si="54"/>
        <v>45014</v>
      </c>
      <c r="I1159" s="25">
        <v>45028</v>
      </c>
      <c r="J1159" s="22">
        <f t="shared" si="55"/>
        <v>14</v>
      </c>
      <c r="K1159" t="s">
        <v>23</v>
      </c>
      <c r="L1159">
        <v>44872</v>
      </c>
      <c r="M1159">
        <v>616</v>
      </c>
      <c r="N1159" s="26">
        <v>1072.61</v>
      </c>
      <c r="O1159" s="26">
        <f t="shared" si="56"/>
        <v>1072.61</v>
      </c>
      <c r="P1159">
        <v>0</v>
      </c>
      <c r="Q1159" t="b">
        <v>0</v>
      </c>
      <c r="S1159" t="s">
        <v>68</v>
      </c>
    </row>
    <row r="1160" spans="1:19">
      <c r="A1160" t="s">
        <v>2406</v>
      </c>
      <c r="B1160" t="s">
        <v>2407</v>
      </c>
      <c r="C1160" s="23" t="s">
        <v>4128</v>
      </c>
      <c r="D1160" s="23">
        <v>44965</v>
      </c>
      <c r="E1160" s="22">
        <v>2</v>
      </c>
      <c r="F1160" s="22">
        <v>8</v>
      </c>
      <c r="G1160" s="22">
        <v>2023</v>
      </c>
      <c r="H1160" s="23">
        <f t="shared" si="54"/>
        <v>44965</v>
      </c>
      <c r="I1160" s="25">
        <v>44968</v>
      </c>
      <c r="J1160" s="22">
        <f t="shared" si="55"/>
        <v>3</v>
      </c>
      <c r="K1160" t="s">
        <v>41</v>
      </c>
      <c r="L1160">
        <v>47197</v>
      </c>
      <c r="M1160">
        <v>1896</v>
      </c>
      <c r="N1160" s="26">
        <v>1671.91</v>
      </c>
      <c r="O1160" s="26">
        <f t="shared" si="56"/>
        <v>1671.91</v>
      </c>
      <c r="P1160">
        <v>234</v>
      </c>
      <c r="Q1160" t="b">
        <v>0</v>
      </c>
      <c r="S1160" t="s">
        <v>42</v>
      </c>
    </row>
    <row r="1161" spans="1:19">
      <c r="A1161" t="s">
        <v>2408</v>
      </c>
      <c r="B1161" t="s">
        <v>2409</v>
      </c>
      <c r="C1161" s="23" t="s">
        <v>4127</v>
      </c>
      <c r="D1161" s="23">
        <v>44974</v>
      </c>
      <c r="E1161" s="22">
        <v>2</v>
      </c>
      <c r="F1161" s="22">
        <v>17</v>
      </c>
      <c r="G1161" s="22">
        <v>2023</v>
      </c>
      <c r="H1161" s="23">
        <f t="shared" si="54"/>
        <v>44974</v>
      </c>
      <c r="I1161" s="25">
        <v>44992</v>
      </c>
      <c r="J1161" s="22">
        <f t="shared" si="55"/>
        <v>18</v>
      </c>
      <c r="K1161" t="s">
        <v>33</v>
      </c>
      <c r="L1161">
        <v>56180</v>
      </c>
      <c r="M1161">
        <v>1667</v>
      </c>
      <c r="N1161" s="26">
        <v>2016.31</v>
      </c>
      <c r="O1161" s="26">
        <f t="shared" si="56"/>
        <v>2016.31</v>
      </c>
      <c r="P1161">
        <v>292</v>
      </c>
      <c r="Q1161" t="b">
        <v>1</v>
      </c>
      <c r="S1161" t="s">
        <v>34</v>
      </c>
    </row>
    <row r="1162" spans="1:19">
      <c r="A1162" t="s">
        <v>2410</v>
      </c>
      <c r="B1162" t="s">
        <v>2411</v>
      </c>
      <c r="C1162" s="23" t="s">
        <v>4131</v>
      </c>
      <c r="D1162" s="23">
        <v>45174</v>
      </c>
      <c r="E1162" s="22">
        <v>9</v>
      </c>
      <c r="F1162" s="22">
        <v>5</v>
      </c>
      <c r="G1162" s="22">
        <v>2023</v>
      </c>
      <c r="H1162" s="23">
        <f t="shared" si="54"/>
        <v>45174</v>
      </c>
      <c r="I1162" s="25">
        <v>45177</v>
      </c>
      <c r="J1162" s="22">
        <f t="shared" si="55"/>
        <v>3</v>
      </c>
      <c r="K1162" t="s">
        <v>33</v>
      </c>
      <c r="L1162">
        <v>24710</v>
      </c>
      <c r="M1162">
        <v>546</v>
      </c>
      <c r="N1162" s="26">
        <v>308.48</v>
      </c>
      <c r="O1162" s="26">
        <f t="shared" si="56"/>
        <v>308.48</v>
      </c>
      <c r="P1162">
        <v>40</v>
      </c>
      <c r="Q1162" t="b">
        <v>1</v>
      </c>
      <c r="S1162" t="s">
        <v>34</v>
      </c>
    </row>
    <row r="1163" spans="1:19">
      <c r="A1163" t="s">
        <v>2412</v>
      </c>
      <c r="B1163" t="s">
        <v>2413</v>
      </c>
      <c r="C1163" s="23" t="s">
        <v>4129</v>
      </c>
      <c r="D1163" s="23">
        <v>45261</v>
      </c>
      <c r="E1163" s="22">
        <v>12</v>
      </c>
      <c r="F1163" s="22">
        <v>1</v>
      </c>
      <c r="G1163" s="22">
        <v>2023</v>
      </c>
      <c r="H1163" s="23">
        <f t="shared" si="54"/>
        <v>45261</v>
      </c>
      <c r="I1163" s="25">
        <v>45284</v>
      </c>
      <c r="J1163" s="22">
        <f t="shared" si="55"/>
        <v>23</v>
      </c>
      <c r="K1163" t="s">
        <v>19</v>
      </c>
      <c r="L1163">
        <v>30486</v>
      </c>
      <c r="M1163">
        <v>904</v>
      </c>
      <c r="N1163" s="26">
        <v>1400.3</v>
      </c>
      <c r="O1163" s="26">
        <f t="shared" si="56"/>
        <v>1400.3</v>
      </c>
      <c r="P1163">
        <v>82</v>
      </c>
      <c r="Q1163" t="b">
        <v>1</v>
      </c>
      <c r="S1163" t="s">
        <v>20</v>
      </c>
    </row>
    <row r="1164" spans="1:19">
      <c r="A1164" t="s">
        <v>2414</v>
      </c>
      <c r="B1164" t="s">
        <v>2415</v>
      </c>
      <c r="C1164" s="23" t="s">
        <v>4128</v>
      </c>
      <c r="D1164" s="23" t="s">
        <v>722</v>
      </c>
      <c r="E1164" s="22">
        <v>22</v>
      </c>
      <c r="F1164" s="22">
        <v>3</v>
      </c>
      <c r="G1164" s="22">
        <v>2023</v>
      </c>
      <c r="H1164" s="23">
        <f t="shared" si="54"/>
        <v>45007</v>
      </c>
      <c r="I1164" s="25">
        <v>45036</v>
      </c>
      <c r="J1164" s="22">
        <f t="shared" si="55"/>
        <v>29</v>
      </c>
      <c r="K1164" t="s">
        <v>23</v>
      </c>
      <c r="L1164">
        <v>72907</v>
      </c>
      <c r="M1164">
        <v>2252</v>
      </c>
      <c r="N1164" s="26">
        <v>2242.64</v>
      </c>
      <c r="O1164" s="26">
        <f t="shared" si="56"/>
        <v>2242.64</v>
      </c>
      <c r="P1164">
        <v>0</v>
      </c>
      <c r="Q1164" t="b">
        <v>0</v>
      </c>
      <c r="S1164" t="s">
        <v>25</v>
      </c>
    </row>
    <row r="1165" spans="1:19">
      <c r="A1165" t="s">
        <v>2416</v>
      </c>
      <c r="B1165" t="s">
        <v>2417</v>
      </c>
      <c r="C1165" s="23" t="s">
        <v>4131</v>
      </c>
      <c r="D1165" s="23">
        <v>45096</v>
      </c>
      <c r="E1165" s="22">
        <v>6</v>
      </c>
      <c r="F1165" s="22">
        <v>19</v>
      </c>
      <c r="G1165" s="22">
        <v>2023</v>
      </c>
      <c r="H1165" s="23">
        <f t="shared" si="54"/>
        <v>45096</v>
      </c>
      <c r="I1165" s="25">
        <v>45121</v>
      </c>
      <c r="J1165" s="22">
        <f t="shared" si="55"/>
        <v>25</v>
      </c>
      <c r="K1165" t="s">
        <v>19</v>
      </c>
      <c r="L1165">
        <v>72895</v>
      </c>
      <c r="M1165">
        <v>2369</v>
      </c>
      <c r="N1165" s="26">
        <v>3830.92</v>
      </c>
      <c r="O1165" s="26">
        <f t="shared" si="56"/>
        <v>3632.575</v>
      </c>
      <c r="P1165">
        <v>369</v>
      </c>
      <c r="Q1165" t="b">
        <v>0</v>
      </c>
      <c r="S1165" t="s">
        <v>20</v>
      </c>
    </row>
    <row r="1166" spans="1:19">
      <c r="A1166" t="s">
        <v>2418</v>
      </c>
      <c r="B1166" t="s">
        <v>2419</v>
      </c>
      <c r="C1166" s="23" t="s">
        <v>4128</v>
      </c>
      <c r="D1166" s="23">
        <v>45283</v>
      </c>
      <c r="E1166" s="22">
        <v>12</v>
      </c>
      <c r="F1166" s="22">
        <v>23</v>
      </c>
      <c r="G1166" s="22">
        <v>2023</v>
      </c>
      <c r="H1166" s="23">
        <f t="shared" si="54"/>
        <v>45283</v>
      </c>
      <c r="I1166" s="25">
        <v>45288</v>
      </c>
      <c r="J1166" s="22">
        <f t="shared" si="55"/>
        <v>5</v>
      </c>
      <c r="K1166" t="s">
        <v>23</v>
      </c>
      <c r="L1166">
        <v>65435</v>
      </c>
      <c r="M1166">
        <v>1809</v>
      </c>
      <c r="N1166" s="26">
        <v>2023.56</v>
      </c>
      <c r="O1166" s="26">
        <f t="shared" si="56"/>
        <v>2023.56</v>
      </c>
      <c r="P1166">
        <v>155</v>
      </c>
      <c r="Q1166" t="b">
        <v>1</v>
      </c>
      <c r="S1166" t="s">
        <v>25</v>
      </c>
    </row>
    <row r="1167" spans="1:19">
      <c r="A1167" t="s">
        <v>2420</v>
      </c>
      <c r="B1167" t="s">
        <v>2421</v>
      </c>
      <c r="C1167" s="23" t="s">
        <v>4127</v>
      </c>
      <c r="D1167" s="23">
        <v>45203</v>
      </c>
      <c r="E1167" s="22">
        <v>10</v>
      </c>
      <c r="F1167" s="22">
        <v>4</v>
      </c>
      <c r="G1167" s="22">
        <v>2023</v>
      </c>
      <c r="H1167" s="23">
        <f t="shared" si="54"/>
        <v>45203</v>
      </c>
      <c r="I1167" s="25">
        <v>45228</v>
      </c>
      <c r="J1167" s="22">
        <f t="shared" si="55"/>
        <v>25</v>
      </c>
      <c r="K1167" t="s">
        <v>19</v>
      </c>
      <c r="L1167">
        <v>41631</v>
      </c>
      <c r="M1167">
        <v>1425</v>
      </c>
      <c r="N1167" s="26">
        <v>1130.93</v>
      </c>
      <c r="O1167" s="26">
        <f t="shared" si="56"/>
        <v>1130.93</v>
      </c>
      <c r="P1167">
        <v>154</v>
      </c>
      <c r="Q1167" t="b">
        <v>0</v>
      </c>
      <c r="S1167" t="s">
        <v>20</v>
      </c>
    </row>
    <row r="1168" spans="1:19">
      <c r="A1168" t="s">
        <v>2422</v>
      </c>
      <c r="B1168" t="s">
        <v>2423</v>
      </c>
      <c r="C1168" s="23" t="s">
        <v>4131</v>
      </c>
      <c r="D1168" s="23">
        <v>44962</v>
      </c>
      <c r="E1168" s="22">
        <v>2</v>
      </c>
      <c r="F1168" s="22">
        <v>5</v>
      </c>
      <c r="G1168" s="22">
        <v>2023</v>
      </c>
      <c r="H1168" s="23">
        <f t="shared" si="54"/>
        <v>44962</v>
      </c>
      <c r="I1168" s="25">
        <v>45069</v>
      </c>
      <c r="J1168" s="22">
        <f t="shared" si="55"/>
        <v>107</v>
      </c>
      <c r="K1168" t="s">
        <v>23</v>
      </c>
      <c r="L1168">
        <v>21103</v>
      </c>
      <c r="M1168">
        <v>986</v>
      </c>
      <c r="N1168" s="26">
        <v>1251.99</v>
      </c>
      <c r="O1168" s="26">
        <f t="shared" si="56"/>
        <v>1251.99</v>
      </c>
      <c r="P1168">
        <v>114</v>
      </c>
      <c r="Q1168" t="b">
        <v>0</v>
      </c>
      <c r="S1168" t="s">
        <v>25</v>
      </c>
    </row>
    <row r="1169" spans="1:19">
      <c r="A1169" t="s">
        <v>2424</v>
      </c>
      <c r="B1169" t="s">
        <v>2425</v>
      </c>
      <c r="C1169" s="23" t="s">
        <v>4128</v>
      </c>
      <c r="D1169" s="23">
        <v>45128</v>
      </c>
      <c r="E1169" s="22">
        <v>7</v>
      </c>
      <c r="F1169" s="22">
        <v>21</v>
      </c>
      <c r="G1169" s="22">
        <v>2023</v>
      </c>
      <c r="H1169" s="23">
        <f t="shared" si="54"/>
        <v>45128</v>
      </c>
      <c r="I1169" s="25">
        <v>45130</v>
      </c>
      <c r="J1169" s="22">
        <f t="shared" si="55"/>
        <v>2</v>
      </c>
      <c r="K1169" t="s">
        <v>19</v>
      </c>
      <c r="L1169">
        <v>65772</v>
      </c>
      <c r="M1169">
        <v>1610</v>
      </c>
      <c r="N1169" s="26">
        <v>1120.17</v>
      </c>
      <c r="O1169" s="26">
        <f t="shared" si="56"/>
        <v>1120.17</v>
      </c>
      <c r="P1169">
        <v>295</v>
      </c>
      <c r="Q1169" t="b">
        <v>1</v>
      </c>
      <c r="S1169" t="s">
        <v>20</v>
      </c>
    </row>
    <row r="1170" spans="1:19">
      <c r="A1170" t="s">
        <v>2426</v>
      </c>
      <c r="B1170" t="s">
        <v>2427</v>
      </c>
      <c r="C1170" s="23" t="s">
        <v>4129</v>
      </c>
      <c r="D1170" s="23" t="s">
        <v>2428</v>
      </c>
      <c r="E1170" s="22">
        <v>20</v>
      </c>
      <c r="F1170" s="22">
        <v>3</v>
      </c>
      <c r="G1170" s="22">
        <v>2023</v>
      </c>
      <c r="H1170" s="23">
        <f t="shared" si="54"/>
        <v>45005</v>
      </c>
      <c r="I1170" s="25">
        <v>45017</v>
      </c>
      <c r="J1170" s="22">
        <f t="shared" si="55"/>
        <v>12</v>
      </c>
      <c r="K1170" t="s">
        <v>14</v>
      </c>
      <c r="L1170">
        <v>15382</v>
      </c>
      <c r="M1170">
        <v>600</v>
      </c>
      <c r="N1170" s="26">
        <v>696.49</v>
      </c>
      <c r="O1170" s="26">
        <f t="shared" si="56"/>
        <v>696.49</v>
      </c>
      <c r="P1170">
        <v>67</v>
      </c>
      <c r="Q1170" t="b">
        <v>1</v>
      </c>
      <c r="S1170" t="s">
        <v>16</v>
      </c>
    </row>
    <row r="1171" spans="1:19">
      <c r="A1171" t="s">
        <v>2429</v>
      </c>
      <c r="B1171" t="s">
        <v>2430</v>
      </c>
      <c r="C1171" s="23" t="s">
        <v>4131</v>
      </c>
      <c r="D1171" s="23">
        <v>44928</v>
      </c>
      <c r="E1171" s="22">
        <v>1</v>
      </c>
      <c r="F1171" s="22">
        <v>2</v>
      </c>
      <c r="G1171" s="22">
        <v>2023</v>
      </c>
      <c r="H1171" s="23">
        <f t="shared" si="54"/>
        <v>44928</v>
      </c>
      <c r="I1171" s="25">
        <v>44937</v>
      </c>
      <c r="J1171" s="22">
        <f t="shared" si="55"/>
        <v>9</v>
      </c>
      <c r="K1171" t="s">
        <v>19</v>
      </c>
      <c r="L1171">
        <v>85291</v>
      </c>
      <c r="M1171">
        <v>3904</v>
      </c>
      <c r="N1171" s="26">
        <v>3810.14</v>
      </c>
      <c r="O1171" s="26">
        <f t="shared" si="56"/>
        <v>3632.575</v>
      </c>
      <c r="P1171">
        <v>280</v>
      </c>
      <c r="Q1171" t="b">
        <v>1</v>
      </c>
      <c r="S1171" t="s">
        <v>20</v>
      </c>
    </row>
    <row r="1172" spans="1:19">
      <c r="A1172" t="s">
        <v>2431</v>
      </c>
      <c r="B1172" t="s">
        <v>2432</v>
      </c>
      <c r="C1172" s="23" t="s">
        <v>4127</v>
      </c>
      <c r="D1172" s="23">
        <v>45265</v>
      </c>
      <c r="E1172" s="22">
        <v>12</v>
      </c>
      <c r="F1172" s="22">
        <v>5</v>
      </c>
      <c r="G1172" s="22">
        <v>2023</v>
      </c>
      <c r="H1172" s="23">
        <f t="shared" si="54"/>
        <v>45265</v>
      </c>
      <c r="I1172" s="25">
        <v>45278</v>
      </c>
      <c r="J1172" s="22">
        <f t="shared" si="55"/>
        <v>13</v>
      </c>
      <c r="K1172" t="s">
        <v>19</v>
      </c>
      <c r="L1172">
        <v>4756</v>
      </c>
      <c r="M1172">
        <v>134</v>
      </c>
      <c r="N1172" s="26">
        <v>250.3</v>
      </c>
      <c r="O1172" s="26">
        <f t="shared" si="56"/>
        <v>250.3</v>
      </c>
      <c r="P1172">
        <v>17</v>
      </c>
      <c r="Q1172" t="b">
        <v>0</v>
      </c>
      <c r="S1172" t="s">
        <v>20</v>
      </c>
    </row>
    <row r="1173" spans="1:19">
      <c r="A1173" t="s">
        <v>2433</v>
      </c>
      <c r="B1173" t="s">
        <v>2434</v>
      </c>
      <c r="C1173" s="23" t="s">
        <v>4128</v>
      </c>
      <c r="D1173" s="23" t="s">
        <v>1335</v>
      </c>
      <c r="E1173" s="22">
        <v>19</v>
      </c>
      <c r="F1173" s="22">
        <v>2</v>
      </c>
      <c r="G1173" s="22">
        <v>2023</v>
      </c>
      <c r="H1173" s="23">
        <f t="shared" si="54"/>
        <v>44976</v>
      </c>
      <c r="I1173" s="25">
        <v>44985</v>
      </c>
      <c r="J1173" s="22">
        <f t="shared" si="55"/>
        <v>9</v>
      </c>
      <c r="K1173" t="s">
        <v>14</v>
      </c>
      <c r="L1173">
        <v>21609</v>
      </c>
      <c r="M1173">
        <v>599</v>
      </c>
      <c r="N1173" s="26">
        <v>354.24</v>
      </c>
      <c r="O1173" s="26">
        <f t="shared" si="56"/>
        <v>354.24</v>
      </c>
      <c r="P1173">
        <v>116</v>
      </c>
      <c r="Q1173" t="b">
        <v>1</v>
      </c>
      <c r="S1173" t="s">
        <v>16</v>
      </c>
    </row>
    <row r="1174" spans="1:19">
      <c r="A1174" t="s">
        <v>2435</v>
      </c>
      <c r="B1174" t="s">
        <v>2436</v>
      </c>
      <c r="C1174" s="23" t="s">
        <v>4128</v>
      </c>
      <c r="D1174" s="23">
        <v>45014</v>
      </c>
      <c r="E1174" s="22">
        <v>3</v>
      </c>
      <c r="F1174" s="22">
        <v>29</v>
      </c>
      <c r="G1174" s="22">
        <v>2023</v>
      </c>
      <c r="H1174" s="23">
        <f t="shared" si="54"/>
        <v>45014</v>
      </c>
      <c r="I1174" s="25">
        <v>45029</v>
      </c>
      <c r="J1174" s="22">
        <f t="shared" si="55"/>
        <v>15</v>
      </c>
      <c r="K1174" t="s">
        <v>23</v>
      </c>
      <c r="L1174">
        <v>17478</v>
      </c>
      <c r="M1174">
        <v>595</v>
      </c>
      <c r="N1174" s="26">
        <v>916.91</v>
      </c>
      <c r="O1174" s="26">
        <f t="shared" si="56"/>
        <v>916.91</v>
      </c>
      <c r="P1174">
        <v>83</v>
      </c>
      <c r="Q1174" t="b">
        <v>0</v>
      </c>
      <c r="S1174" t="s">
        <v>25</v>
      </c>
    </row>
    <row r="1175" spans="1:19">
      <c r="A1175" t="s">
        <v>2437</v>
      </c>
      <c r="B1175" t="s">
        <v>2438</v>
      </c>
      <c r="C1175" s="23" t="s">
        <v>4129</v>
      </c>
      <c r="D1175" s="23">
        <v>45169</v>
      </c>
      <c r="E1175" s="22">
        <v>8</v>
      </c>
      <c r="F1175" s="22">
        <v>31</v>
      </c>
      <c r="G1175" s="22">
        <v>2023</v>
      </c>
      <c r="H1175" s="23">
        <f t="shared" si="54"/>
        <v>45169</v>
      </c>
      <c r="I1175" s="25">
        <v>45190</v>
      </c>
      <c r="J1175" s="22">
        <f t="shared" si="55"/>
        <v>21</v>
      </c>
      <c r="K1175" t="s">
        <v>19</v>
      </c>
      <c r="L1175">
        <v>40666</v>
      </c>
      <c r="M1175">
        <v>1368</v>
      </c>
      <c r="N1175" s="26">
        <v>1059.01</v>
      </c>
      <c r="O1175" s="26">
        <f t="shared" si="56"/>
        <v>1059.01</v>
      </c>
      <c r="P1175">
        <v>270</v>
      </c>
      <c r="Q1175" t="b">
        <v>1</v>
      </c>
      <c r="S1175" t="s">
        <v>20</v>
      </c>
    </row>
    <row r="1176" spans="1:19">
      <c r="A1176" t="s">
        <v>2439</v>
      </c>
      <c r="B1176" t="s">
        <v>2440</v>
      </c>
      <c r="C1176" s="23" t="s">
        <v>4127</v>
      </c>
      <c r="D1176" s="23">
        <v>45130</v>
      </c>
      <c r="E1176" s="22">
        <v>7</v>
      </c>
      <c r="F1176" s="22">
        <v>23</v>
      </c>
      <c r="G1176" s="22">
        <v>2023</v>
      </c>
      <c r="H1176" s="23">
        <f t="shared" si="54"/>
        <v>45130</v>
      </c>
      <c r="I1176" s="25">
        <v>45156</v>
      </c>
      <c r="J1176" s="22">
        <f t="shared" si="55"/>
        <v>26</v>
      </c>
      <c r="K1176" t="s">
        <v>19</v>
      </c>
      <c r="L1176">
        <v>76683</v>
      </c>
      <c r="M1176">
        <v>3240</v>
      </c>
      <c r="N1176" s="26">
        <v>3170.56</v>
      </c>
      <c r="O1176" s="26">
        <f t="shared" si="56"/>
        <v>3170.56</v>
      </c>
      <c r="P1176">
        <v>570</v>
      </c>
      <c r="Q1176" t="b">
        <v>1</v>
      </c>
      <c r="S1176" t="s">
        <v>20</v>
      </c>
    </row>
    <row r="1177" spans="1:19">
      <c r="A1177" t="s">
        <v>2441</v>
      </c>
      <c r="B1177" t="s">
        <v>2442</v>
      </c>
      <c r="C1177" s="23" t="s">
        <v>4129</v>
      </c>
      <c r="D1177" s="23" t="s">
        <v>843</v>
      </c>
      <c r="E1177" s="22">
        <v>16</v>
      </c>
      <c r="F1177" s="22">
        <v>5</v>
      </c>
      <c r="G1177" s="22">
        <v>2023</v>
      </c>
      <c r="H1177" s="23">
        <f t="shared" si="54"/>
        <v>45062</v>
      </c>
      <c r="I1177" s="25">
        <v>45092</v>
      </c>
      <c r="J1177" s="22">
        <f t="shared" si="55"/>
        <v>30</v>
      </c>
      <c r="K1177" t="s">
        <v>41</v>
      </c>
      <c r="L1177">
        <v>72315</v>
      </c>
      <c r="M1177">
        <v>2101</v>
      </c>
      <c r="N1177" s="26">
        <v>2359.99</v>
      </c>
      <c r="O1177" s="26">
        <f t="shared" si="56"/>
        <v>2359.99</v>
      </c>
      <c r="P1177">
        <v>116</v>
      </c>
      <c r="Q1177" t="b">
        <v>0</v>
      </c>
      <c r="S1177" t="s">
        <v>42</v>
      </c>
    </row>
    <row r="1178" spans="1:19">
      <c r="A1178" t="s">
        <v>2443</v>
      </c>
      <c r="B1178" t="s">
        <v>2444</v>
      </c>
      <c r="C1178" s="23" t="s">
        <v>4131</v>
      </c>
      <c r="D1178" s="23">
        <v>45205</v>
      </c>
      <c r="E1178" s="22">
        <v>10</v>
      </c>
      <c r="F1178" s="22">
        <v>6</v>
      </c>
      <c r="G1178" s="22">
        <v>2023</v>
      </c>
      <c r="H1178" s="23">
        <f t="shared" si="54"/>
        <v>45205</v>
      </c>
      <c r="I1178" s="25">
        <v>45216</v>
      </c>
      <c r="J1178" s="22">
        <f t="shared" si="55"/>
        <v>11</v>
      </c>
      <c r="K1178" t="s">
        <v>14</v>
      </c>
      <c r="L1178">
        <v>78834</v>
      </c>
      <c r="M1178">
        <v>3929</v>
      </c>
      <c r="N1178" s="26">
        <v>7315.89</v>
      </c>
      <c r="O1178" s="26">
        <f t="shared" si="56"/>
        <v>3632.575</v>
      </c>
      <c r="P1178">
        <v>584</v>
      </c>
      <c r="Q1178" t="b">
        <v>0</v>
      </c>
      <c r="S1178" t="s">
        <v>16</v>
      </c>
    </row>
    <row r="1179" spans="1:19">
      <c r="A1179" t="s">
        <v>2445</v>
      </c>
      <c r="B1179" t="s">
        <v>2446</v>
      </c>
      <c r="C1179" s="23" t="s">
        <v>4128</v>
      </c>
      <c r="D1179" s="23">
        <v>45122</v>
      </c>
      <c r="E1179" s="22">
        <v>7</v>
      </c>
      <c r="F1179" s="22">
        <v>15</v>
      </c>
      <c r="G1179" s="22">
        <v>2023</v>
      </c>
      <c r="H1179" s="23">
        <f t="shared" si="54"/>
        <v>45122</v>
      </c>
      <c r="I1179" s="25">
        <v>45132</v>
      </c>
      <c r="J1179" s="22">
        <f t="shared" si="55"/>
        <v>10</v>
      </c>
      <c r="K1179" t="s">
        <v>14</v>
      </c>
      <c r="L1179">
        <v>15153</v>
      </c>
      <c r="M1179">
        <v>187</v>
      </c>
      <c r="N1179" s="26">
        <v>161.54</v>
      </c>
      <c r="O1179" s="26">
        <f t="shared" si="56"/>
        <v>161.54</v>
      </c>
      <c r="P1179">
        <v>17</v>
      </c>
      <c r="Q1179" t="b">
        <v>0</v>
      </c>
      <c r="S1179" t="s">
        <v>16</v>
      </c>
    </row>
    <row r="1180" spans="1:19">
      <c r="A1180" t="s">
        <v>2447</v>
      </c>
      <c r="B1180" t="s">
        <v>2448</v>
      </c>
      <c r="C1180" s="23" t="s">
        <v>4127</v>
      </c>
      <c r="D1180" s="23">
        <v>45061</v>
      </c>
      <c r="E1180" s="22">
        <v>5</v>
      </c>
      <c r="F1180" s="22">
        <v>15</v>
      </c>
      <c r="G1180" s="22">
        <v>2023</v>
      </c>
      <c r="H1180" s="23">
        <f t="shared" si="54"/>
        <v>45061</v>
      </c>
      <c r="I1180" s="25">
        <v>45088</v>
      </c>
      <c r="J1180" s="22">
        <f t="shared" si="55"/>
        <v>27</v>
      </c>
      <c r="K1180" t="s">
        <v>23</v>
      </c>
      <c r="L1180">
        <v>77325</v>
      </c>
      <c r="M1180">
        <v>783</v>
      </c>
      <c r="N1180" s="26">
        <v>498.74</v>
      </c>
      <c r="O1180" s="26">
        <f t="shared" si="56"/>
        <v>498.74</v>
      </c>
      <c r="P1180">
        <v>104</v>
      </c>
      <c r="Q1180" t="b">
        <v>1</v>
      </c>
      <c r="S1180" t="s">
        <v>25</v>
      </c>
    </row>
    <row r="1181" spans="1:19">
      <c r="A1181" t="s">
        <v>2449</v>
      </c>
      <c r="B1181" t="s">
        <v>2450</v>
      </c>
      <c r="C1181" s="23" t="s">
        <v>4129</v>
      </c>
      <c r="D1181" s="23">
        <v>45064</v>
      </c>
      <c r="E1181" s="22">
        <v>5</v>
      </c>
      <c r="F1181" s="22">
        <v>18</v>
      </c>
      <c r="G1181" s="22">
        <v>2023</v>
      </c>
      <c r="H1181" s="23">
        <f t="shared" si="54"/>
        <v>45064</v>
      </c>
      <c r="I1181" s="25">
        <v>45082</v>
      </c>
      <c r="J1181" s="22">
        <f t="shared" si="55"/>
        <v>18</v>
      </c>
      <c r="K1181" t="s">
        <v>58</v>
      </c>
      <c r="L1181">
        <v>13999</v>
      </c>
      <c r="M1181">
        <v>498</v>
      </c>
      <c r="N1181" s="26">
        <v>487.06</v>
      </c>
      <c r="O1181" s="26">
        <f t="shared" si="56"/>
        <v>487.06</v>
      </c>
      <c r="P1181">
        <v>45</v>
      </c>
      <c r="Q1181" t="b">
        <v>1</v>
      </c>
      <c r="S1181" t="s">
        <v>59</v>
      </c>
    </row>
    <row r="1182" spans="1:19">
      <c r="A1182" t="s">
        <v>2451</v>
      </c>
      <c r="B1182" t="s">
        <v>2452</v>
      </c>
      <c r="C1182" s="23" t="s">
        <v>4131</v>
      </c>
      <c r="D1182" s="23">
        <v>45283</v>
      </c>
      <c r="E1182" s="22">
        <v>12</v>
      </c>
      <c r="F1182" s="22">
        <v>23</v>
      </c>
      <c r="G1182" s="22">
        <v>2023</v>
      </c>
      <c r="H1182" s="23">
        <f t="shared" si="54"/>
        <v>45283</v>
      </c>
      <c r="I1182" s="25">
        <v>45303</v>
      </c>
      <c r="J1182" s="22">
        <f t="shared" si="55"/>
        <v>20</v>
      </c>
      <c r="K1182" t="s">
        <v>14</v>
      </c>
      <c r="L1182">
        <v>56318</v>
      </c>
      <c r="M1182">
        <v>1235</v>
      </c>
      <c r="N1182" s="26">
        <v>811.41</v>
      </c>
      <c r="O1182" s="26">
        <f t="shared" si="56"/>
        <v>811.41</v>
      </c>
      <c r="P1182">
        <v>126</v>
      </c>
      <c r="Q1182" t="b">
        <v>1</v>
      </c>
      <c r="S1182" t="s">
        <v>16</v>
      </c>
    </row>
    <row r="1183" spans="1:19">
      <c r="A1183" t="s">
        <v>2453</v>
      </c>
      <c r="B1183" t="s">
        <v>2454</v>
      </c>
      <c r="C1183" s="23" t="s">
        <v>4131</v>
      </c>
      <c r="D1183" s="23">
        <v>45103</v>
      </c>
      <c r="E1183" s="22">
        <v>6</v>
      </c>
      <c r="F1183" s="22">
        <v>26</v>
      </c>
      <c r="G1183" s="22">
        <v>2023</v>
      </c>
      <c r="H1183" s="23">
        <f t="shared" si="54"/>
        <v>45103</v>
      </c>
      <c r="I1183" s="25">
        <v>45114</v>
      </c>
      <c r="J1183" s="22">
        <f t="shared" si="55"/>
        <v>11</v>
      </c>
      <c r="K1183" t="s">
        <v>14</v>
      </c>
      <c r="L1183">
        <v>1814</v>
      </c>
      <c r="M1183">
        <v>35</v>
      </c>
      <c r="N1183" s="26">
        <v>24.25</v>
      </c>
      <c r="O1183" s="26">
        <f t="shared" si="56"/>
        <v>24.25</v>
      </c>
      <c r="P1183">
        <v>6</v>
      </c>
      <c r="Q1183" t="b">
        <v>0</v>
      </c>
      <c r="S1183" t="s">
        <v>16</v>
      </c>
    </row>
    <row r="1184" spans="1:19">
      <c r="A1184" t="s">
        <v>2455</v>
      </c>
      <c r="B1184" t="s">
        <v>2456</v>
      </c>
      <c r="C1184" s="23" t="s">
        <v>4129</v>
      </c>
      <c r="D1184" s="23">
        <v>45228</v>
      </c>
      <c r="E1184" s="22">
        <v>10</v>
      </c>
      <c r="F1184" s="22">
        <v>29</v>
      </c>
      <c r="G1184" s="22">
        <v>2023</v>
      </c>
      <c r="H1184" s="23">
        <f t="shared" si="54"/>
        <v>45228</v>
      </c>
      <c r="I1184" s="25">
        <v>45258</v>
      </c>
      <c r="J1184" s="22">
        <f t="shared" si="55"/>
        <v>30</v>
      </c>
      <c r="K1184" t="s">
        <v>23</v>
      </c>
      <c r="L1184">
        <v>77077</v>
      </c>
      <c r="M1184">
        <v>1732</v>
      </c>
      <c r="N1184" s="26">
        <v>2356.86</v>
      </c>
      <c r="O1184" s="26">
        <f t="shared" si="56"/>
        <v>2356.86</v>
      </c>
      <c r="P1184">
        <v>140</v>
      </c>
      <c r="Q1184" t="b">
        <v>1</v>
      </c>
      <c r="R1184">
        <v>77120</v>
      </c>
      <c r="S1184" t="s">
        <v>25</v>
      </c>
    </row>
    <row r="1185" spans="1:19">
      <c r="A1185" t="s">
        <v>2457</v>
      </c>
      <c r="B1185" t="s">
        <v>2458</v>
      </c>
      <c r="C1185" s="23" t="s">
        <v>4127</v>
      </c>
      <c r="D1185" s="23">
        <v>45125</v>
      </c>
      <c r="E1185" s="22">
        <v>7</v>
      </c>
      <c r="F1185" s="22">
        <v>18</v>
      </c>
      <c r="G1185" s="22">
        <v>2023</v>
      </c>
      <c r="H1185" s="23">
        <f t="shared" si="54"/>
        <v>45125</v>
      </c>
      <c r="I1185" s="25">
        <v>45135</v>
      </c>
      <c r="J1185" s="22">
        <f t="shared" si="55"/>
        <v>10</v>
      </c>
      <c r="K1185" t="s">
        <v>19</v>
      </c>
      <c r="L1185">
        <v>91474</v>
      </c>
      <c r="M1185">
        <v>1851</v>
      </c>
      <c r="N1185" s="26">
        <v>1094.59</v>
      </c>
      <c r="O1185" s="26">
        <f t="shared" si="56"/>
        <v>1094.59</v>
      </c>
      <c r="P1185">
        <v>0</v>
      </c>
      <c r="Q1185" t="b">
        <v>0</v>
      </c>
      <c r="S1185" t="s">
        <v>20</v>
      </c>
    </row>
    <row r="1186" spans="1:19">
      <c r="A1186" t="s">
        <v>2459</v>
      </c>
      <c r="B1186" t="s">
        <v>2460</v>
      </c>
      <c r="C1186" s="23" t="s">
        <v>4129</v>
      </c>
      <c r="D1186" s="23">
        <v>45201</v>
      </c>
      <c r="E1186" s="22">
        <v>10</v>
      </c>
      <c r="F1186" s="22">
        <v>2</v>
      </c>
      <c r="G1186" s="22">
        <v>2023</v>
      </c>
      <c r="H1186" s="23">
        <f t="shared" si="54"/>
        <v>45201</v>
      </c>
      <c r="I1186" s="25">
        <v>45229</v>
      </c>
      <c r="J1186" s="22">
        <f t="shared" si="55"/>
        <v>28</v>
      </c>
      <c r="K1186" t="s">
        <v>41</v>
      </c>
      <c r="L1186">
        <v>3443</v>
      </c>
      <c r="M1186">
        <v>38</v>
      </c>
      <c r="N1186" s="26">
        <v>20.76</v>
      </c>
      <c r="O1186" s="26">
        <f t="shared" si="56"/>
        <v>20.76</v>
      </c>
      <c r="P1186">
        <v>2</v>
      </c>
      <c r="Q1186" t="b">
        <v>1</v>
      </c>
      <c r="S1186" t="s">
        <v>42</v>
      </c>
    </row>
    <row r="1187" spans="1:19">
      <c r="A1187" t="s">
        <v>2461</v>
      </c>
      <c r="B1187" t="s">
        <v>2462</v>
      </c>
      <c r="C1187" s="23" t="s">
        <v>4131</v>
      </c>
      <c r="D1187" s="23">
        <v>45220</v>
      </c>
      <c r="E1187" s="22">
        <v>10</v>
      </c>
      <c r="F1187" s="22">
        <v>21</v>
      </c>
      <c r="G1187" s="22">
        <v>2023</v>
      </c>
      <c r="H1187" s="23">
        <f t="shared" si="54"/>
        <v>45220</v>
      </c>
      <c r="I1187" s="25">
        <v>45215</v>
      </c>
      <c r="J1187" s="22">
        <f t="shared" si="55"/>
        <v>-5</v>
      </c>
      <c r="K1187" t="s">
        <v>19</v>
      </c>
      <c r="L1187">
        <v>76993</v>
      </c>
      <c r="M1187">
        <v>3761</v>
      </c>
      <c r="N1187" s="26">
        <v>5910.87</v>
      </c>
      <c r="O1187" s="26">
        <f t="shared" si="56"/>
        <v>3632.575</v>
      </c>
      <c r="P1187">
        <v>239</v>
      </c>
      <c r="Q1187" t="b">
        <v>1</v>
      </c>
      <c r="S1187" t="s">
        <v>20</v>
      </c>
    </row>
    <row r="1188" spans="1:19">
      <c r="A1188" t="s">
        <v>2463</v>
      </c>
      <c r="B1188" t="s">
        <v>2464</v>
      </c>
      <c r="C1188" s="23" t="s">
        <v>4128</v>
      </c>
      <c r="D1188" s="23">
        <v>44967</v>
      </c>
      <c r="E1188" s="22">
        <v>2</v>
      </c>
      <c r="F1188" s="22">
        <v>10</v>
      </c>
      <c r="G1188" s="22">
        <v>2023</v>
      </c>
      <c r="H1188" s="23">
        <f t="shared" si="54"/>
        <v>44967</v>
      </c>
      <c r="I1188" s="25">
        <v>44984</v>
      </c>
      <c r="J1188" s="22">
        <f t="shared" si="55"/>
        <v>17</v>
      </c>
      <c r="K1188" t="s">
        <v>23</v>
      </c>
      <c r="L1188">
        <v>76916</v>
      </c>
      <c r="M1188">
        <v>1448</v>
      </c>
      <c r="N1188" s="26">
        <v>1509.5</v>
      </c>
      <c r="O1188" s="26">
        <f t="shared" si="56"/>
        <v>1509.5</v>
      </c>
      <c r="P1188">
        <v>258</v>
      </c>
      <c r="Q1188" t="b">
        <v>1</v>
      </c>
      <c r="S1188" t="s">
        <v>25</v>
      </c>
    </row>
    <row r="1189" spans="1:19">
      <c r="A1189" t="s">
        <v>2465</v>
      </c>
      <c r="B1189" t="s">
        <v>2466</v>
      </c>
      <c r="C1189" s="23" t="s">
        <v>4128</v>
      </c>
      <c r="D1189" s="23">
        <v>44944</v>
      </c>
      <c r="E1189" s="22">
        <v>1</v>
      </c>
      <c r="F1189" s="22">
        <v>18</v>
      </c>
      <c r="G1189" s="22">
        <v>2023</v>
      </c>
      <c r="H1189" s="23">
        <f t="shared" si="54"/>
        <v>44944</v>
      </c>
      <c r="I1189" s="25">
        <v>44960</v>
      </c>
      <c r="J1189" s="22">
        <f t="shared" si="55"/>
        <v>16</v>
      </c>
      <c r="K1189" t="s">
        <v>23</v>
      </c>
      <c r="L1189">
        <v>74319</v>
      </c>
      <c r="M1189">
        <v>2925</v>
      </c>
      <c r="N1189" s="26">
        <v>2012.58</v>
      </c>
      <c r="O1189" s="26">
        <f t="shared" si="56"/>
        <v>2012.58</v>
      </c>
      <c r="P1189">
        <v>422</v>
      </c>
      <c r="Q1189" t="b">
        <v>0</v>
      </c>
      <c r="S1189" t="s">
        <v>25</v>
      </c>
    </row>
    <row r="1190" spans="1:19">
      <c r="A1190" t="s">
        <v>2467</v>
      </c>
      <c r="B1190" t="s">
        <v>2468</v>
      </c>
      <c r="C1190" s="23" t="s">
        <v>4127</v>
      </c>
      <c r="D1190" s="23">
        <v>45219</v>
      </c>
      <c r="E1190" s="22">
        <v>10</v>
      </c>
      <c r="F1190" s="22">
        <v>20</v>
      </c>
      <c r="G1190" s="22">
        <v>2023</v>
      </c>
      <c r="H1190" s="23">
        <f t="shared" si="54"/>
        <v>45219</v>
      </c>
      <c r="I1190" s="25">
        <v>45232</v>
      </c>
      <c r="J1190" s="22">
        <f t="shared" si="55"/>
        <v>13</v>
      </c>
      <c r="K1190" t="s">
        <v>33</v>
      </c>
      <c r="L1190">
        <v>18368</v>
      </c>
      <c r="M1190">
        <v>743</v>
      </c>
      <c r="N1190" s="26">
        <v>654.15</v>
      </c>
      <c r="O1190" s="26">
        <f t="shared" si="56"/>
        <v>654.15</v>
      </c>
      <c r="P1190">
        <v>120</v>
      </c>
      <c r="Q1190" t="b">
        <v>0</v>
      </c>
      <c r="S1190" t="s">
        <v>34</v>
      </c>
    </row>
    <row r="1191" spans="1:19">
      <c r="A1191" t="s">
        <v>2469</v>
      </c>
      <c r="B1191" t="s">
        <v>2470</v>
      </c>
      <c r="C1191" s="23" t="s">
        <v>4131</v>
      </c>
      <c r="D1191" s="23">
        <v>44988</v>
      </c>
      <c r="E1191" s="22">
        <v>3</v>
      </c>
      <c r="F1191" s="22">
        <v>3</v>
      </c>
      <c r="G1191" s="22">
        <v>2023</v>
      </c>
      <c r="H1191" s="23">
        <f t="shared" si="54"/>
        <v>44988</v>
      </c>
      <c r="I1191" s="25">
        <v>45013</v>
      </c>
      <c r="J1191" s="22">
        <f t="shared" si="55"/>
        <v>25</v>
      </c>
      <c r="K1191" t="s">
        <v>138</v>
      </c>
      <c r="L1191">
        <v>16328</v>
      </c>
      <c r="M1191">
        <v>770</v>
      </c>
      <c r="N1191" s="26">
        <v>1126.61</v>
      </c>
      <c r="O1191" s="26">
        <f t="shared" si="56"/>
        <v>1126.61</v>
      </c>
      <c r="P1191">
        <v>62</v>
      </c>
      <c r="Q1191" t="b">
        <v>1</v>
      </c>
      <c r="S1191" t="s">
        <v>139</v>
      </c>
    </row>
    <row r="1192" spans="1:19">
      <c r="A1192" t="s">
        <v>2471</v>
      </c>
      <c r="B1192" t="s">
        <v>2472</v>
      </c>
      <c r="C1192" s="23" t="s">
        <v>4131</v>
      </c>
      <c r="D1192" s="23">
        <v>45012</v>
      </c>
      <c r="E1192" s="22">
        <v>3</v>
      </c>
      <c r="F1192" s="22">
        <v>27</v>
      </c>
      <c r="G1192" s="22">
        <v>2023</v>
      </c>
      <c r="H1192" s="23">
        <f t="shared" si="54"/>
        <v>45012</v>
      </c>
      <c r="I1192" s="25">
        <v>45040</v>
      </c>
      <c r="J1192" s="22">
        <f t="shared" si="55"/>
        <v>28</v>
      </c>
      <c r="K1192" t="s">
        <v>41</v>
      </c>
      <c r="L1192">
        <v>57942</v>
      </c>
      <c r="M1192">
        <v>650</v>
      </c>
      <c r="N1192" s="26">
        <v>593.65</v>
      </c>
      <c r="O1192" s="26">
        <f t="shared" si="56"/>
        <v>593.65</v>
      </c>
      <c r="P1192">
        <v>84</v>
      </c>
      <c r="Q1192" t="b">
        <v>0</v>
      </c>
      <c r="S1192" t="s">
        <v>42</v>
      </c>
    </row>
    <row r="1193" spans="1:19">
      <c r="A1193" t="s">
        <v>2473</v>
      </c>
      <c r="B1193" t="s">
        <v>2474</v>
      </c>
      <c r="C1193" s="23" t="s">
        <v>4129</v>
      </c>
      <c r="D1193" s="23">
        <v>45080</v>
      </c>
      <c r="E1193" s="22">
        <v>6</v>
      </c>
      <c r="F1193" s="22">
        <v>3</v>
      </c>
      <c r="G1193" s="22">
        <v>2023</v>
      </c>
      <c r="H1193" s="23">
        <f t="shared" si="54"/>
        <v>45080</v>
      </c>
      <c r="I1193" s="25">
        <v>45018</v>
      </c>
      <c r="J1193" s="22">
        <f t="shared" si="55"/>
        <v>-62</v>
      </c>
      <c r="K1193" t="s">
        <v>14</v>
      </c>
      <c r="L1193">
        <v>92751</v>
      </c>
      <c r="M1193">
        <v>4162</v>
      </c>
      <c r="N1193" s="26">
        <v>5168.3</v>
      </c>
      <c r="O1193" s="26">
        <f t="shared" si="56"/>
        <v>3632.575</v>
      </c>
      <c r="P1193">
        <v>668</v>
      </c>
      <c r="Q1193" t="b">
        <v>1</v>
      </c>
      <c r="S1193" t="s">
        <v>16</v>
      </c>
    </row>
    <row r="1194" spans="1:19">
      <c r="A1194" t="s">
        <v>2475</v>
      </c>
      <c r="B1194" t="s">
        <v>2476</v>
      </c>
      <c r="C1194" s="23" t="s">
        <v>4128</v>
      </c>
      <c r="D1194" s="23">
        <v>44967</v>
      </c>
      <c r="E1194" s="22">
        <v>2</v>
      </c>
      <c r="F1194" s="22">
        <v>10</v>
      </c>
      <c r="G1194" s="22">
        <v>2023</v>
      </c>
      <c r="H1194" s="23">
        <f t="shared" si="54"/>
        <v>44967</v>
      </c>
      <c r="I1194" s="25">
        <v>44990</v>
      </c>
      <c r="J1194" s="22">
        <f t="shared" si="55"/>
        <v>23</v>
      </c>
      <c r="K1194" t="s">
        <v>14</v>
      </c>
      <c r="L1194">
        <v>28306</v>
      </c>
      <c r="M1194">
        <v>880</v>
      </c>
      <c r="N1194" s="26">
        <v>600.64</v>
      </c>
      <c r="O1194" s="26">
        <f t="shared" si="56"/>
        <v>600.64</v>
      </c>
      <c r="P1194">
        <v>126</v>
      </c>
      <c r="Q1194" t="b">
        <v>0</v>
      </c>
      <c r="S1194" t="s">
        <v>16</v>
      </c>
    </row>
    <row r="1195" spans="1:19">
      <c r="A1195" t="s">
        <v>2477</v>
      </c>
      <c r="B1195" t="s">
        <v>2478</v>
      </c>
      <c r="C1195" s="23" t="s">
        <v>4129</v>
      </c>
      <c r="D1195" s="23">
        <v>45248</v>
      </c>
      <c r="E1195" s="22">
        <v>11</v>
      </c>
      <c r="F1195" s="22">
        <v>18</v>
      </c>
      <c r="G1195" s="22">
        <v>2023</v>
      </c>
      <c r="H1195" s="23">
        <f t="shared" si="54"/>
        <v>45248</v>
      </c>
      <c r="I1195" s="25">
        <v>45267</v>
      </c>
      <c r="J1195" s="22">
        <f t="shared" si="55"/>
        <v>19</v>
      </c>
      <c r="K1195" t="s">
        <v>33</v>
      </c>
      <c r="L1195">
        <v>86451</v>
      </c>
      <c r="M1195">
        <v>3051</v>
      </c>
      <c r="N1195" s="26">
        <v>4216.91</v>
      </c>
      <c r="O1195" s="26">
        <f t="shared" si="56"/>
        <v>3632.575</v>
      </c>
      <c r="P1195">
        <v>0</v>
      </c>
      <c r="Q1195" t="b">
        <v>1</v>
      </c>
      <c r="S1195" t="s">
        <v>34</v>
      </c>
    </row>
    <row r="1196" spans="1:19">
      <c r="A1196" t="s">
        <v>2479</v>
      </c>
      <c r="B1196" t="s">
        <v>2480</v>
      </c>
      <c r="C1196" s="23" t="s">
        <v>4131</v>
      </c>
      <c r="D1196" s="23">
        <v>45090</v>
      </c>
      <c r="E1196" s="22">
        <v>6</v>
      </c>
      <c r="F1196" s="22">
        <v>13</v>
      </c>
      <c r="G1196" s="22">
        <v>2023</v>
      </c>
      <c r="H1196" s="23">
        <f t="shared" si="54"/>
        <v>45090</v>
      </c>
      <c r="I1196" s="25">
        <v>45113</v>
      </c>
      <c r="J1196" s="22">
        <f t="shared" si="55"/>
        <v>23</v>
      </c>
      <c r="K1196" t="s">
        <v>19</v>
      </c>
      <c r="L1196">
        <v>40915</v>
      </c>
      <c r="M1196">
        <v>1463</v>
      </c>
      <c r="N1196" s="26">
        <v>1425.13</v>
      </c>
      <c r="O1196" s="26">
        <f t="shared" si="56"/>
        <v>1425.13</v>
      </c>
      <c r="P1196">
        <v>283</v>
      </c>
      <c r="Q1196" t="b">
        <v>1</v>
      </c>
      <c r="S1196" t="s">
        <v>20</v>
      </c>
    </row>
    <row r="1197" spans="1:19">
      <c r="A1197" t="s">
        <v>2481</v>
      </c>
      <c r="B1197" t="s">
        <v>2482</v>
      </c>
      <c r="C1197" s="23" t="s">
        <v>4127</v>
      </c>
      <c r="D1197" s="23">
        <v>45018</v>
      </c>
      <c r="E1197" s="22">
        <v>4</v>
      </c>
      <c r="F1197" s="22">
        <v>2</v>
      </c>
      <c r="G1197" s="22">
        <v>2023</v>
      </c>
      <c r="H1197" s="23">
        <f t="shared" si="54"/>
        <v>45018</v>
      </c>
      <c r="I1197" s="25">
        <v>44979</v>
      </c>
      <c r="J1197" s="22">
        <f t="shared" si="55"/>
        <v>-39</v>
      </c>
      <c r="K1197" t="s">
        <v>23</v>
      </c>
      <c r="L1197">
        <v>38219</v>
      </c>
      <c r="M1197">
        <v>1635</v>
      </c>
      <c r="N1197" s="26">
        <v>2355.14</v>
      </c>
      <c r="O1197" s="26">
        <f t="shared" si="56"/>
        <v>2355.14</v>
      </c>
      <c r="P1197">
        <v>247</v>
      </c>
      <c r="Q1197" t="b">
        <v>1</v>
      </c>
      <c r="S1197" t="s">
        <v>68</v>
      </c>
    </row>
    <row r="1198" spans="1:19">
      <c r="A1198" t="s">
        <v>2483</v>
      </c>
      <c r="B1198" t="s">
        <v>2484</v>
      </c>
      <c r="C1198" s="23" t="s">
        <v>4128</v>
      </c>
      <c r="D1198" s="23">
        <v>45211</v>
      </c>
      <c r="E1198" s="22">
        <v>10</v>
      </c>
      <c r="F1198" s="22">
        <v>12</v>
      </c>
      <c r="G1198" s="22">
        <v>2023</v>
      </c>
      <c r="H1198" s="23">
        <f t="shared" si="54"/>
        <v>45211</v>
      </c>
      <c r="I1198" s="25">
        <v>45241</v>
      </c>
      <c r="J1198" s="22">
        <f t="shared" si="55"/>
        <v>30</v>
      </c>
      <c r="K1198" t="s">
        <v>41</v>
      </c>
      <c r="L1198">
        <v>81879</v>
      </c>
      <c r="M1198">
        <v>1910</v>
      </c>
      <c r="N1198" s="26">
        <v>3271.05</v>
      </c>
      <c r="O1198" s="26">
        <f t="shared" si="56"/>
        <v>3271.05</v>
      </c>
      <c r="P1198">
        <v>355</v>
      </c>
      <c r="Q1198" t="b">
        <v>1</v>
      </c>
      <c r="S1198" t="s">
        <v>42</v>
      </c>
    </row>
    <row r="1199" spans="1:19">
      <c r="A1199" t="s">
        <v>2485</v>
      </c>
      <c r="B1199" t="s">
        <v>2486</v>
      </c>
      <c r="C1199" s="23" t="s">
        <v>4127</v>
      </c>
      <c r="D1199" s="23">
        <v>45068</v>
      </c>
      <c r="E1199" s="22">
        <v>5</v>
      </c>
      <c r="F1199" s="22">
        <v>22</v>
      </c>
      <c r="G1199" s="22">
        <v>2023</v>
      </c>
      <c r="H1199" s="23">
        <f t="shared" si="54"/>
        <v>45068</v>
      </c>
      <c r="I1199" s="25">
        <v>45090</v>
      </c>
      <c r="J1199" s="22">
        <f t="shared" si="55"/>
        <v>22</v>
      </c>
      <c r="K1199" t="s">
        <v>23</v>
      </c>
      <c r="L1199">
        <v>65644</v>
      </c>
      <c r="M1199">
        <v>2581</v>
      </c>
      <c r="N1199" s="26">
        <v>3658.49</v>
      </c>
      <c r="O1199" s="26">
        <f t="shared" si="56"/>
        <v>3632.575</v>
      </c>
      <c r="P1199">
        <v>411</v>
      </c>
      <c r="Q1199" t="b">
        <v>1</v>
      </c>
      <c r="S1199" t="s">
        <v>25</v>
      </c>
    </row>
    <row r="1200" spans="1:19">
      <c r="A1200" t="s">
        <v>2487</v>
      </c>
      <c r="B1200" t="s">
        <v>2488</v>
      </c>
      <c r="C1200" s="23" t="s">
        <v>4131</v>
      </c>
      <c r="D1200" s="23">
        <v>44933</v>
      </c>
      <c r="E1200" s="22">
        <v>1</v>
      </c>
      <c r="F1200" s="22">
        <v>7</v>
      </c>
      <c r="G1200" s="22">
        <v>2023</v>
      </c>
      <c r="H1200" s="23">
        <f t="shared" si="54"/>
        <v>44933</v>
      </c>
      <c r="I1200" s="25">
        <v>44953</v>
      </c>
      <c r="J1200" s="22">
        <f t="shared" si="55"/>
        <v>20</v>
      </c>
      <c r="K1200" t="s">
        <v>33</v>
      </c>
      <c r="L1200">
        <v>61279</v>
      </c>
      <c r="M1200">
        <v>1908</v>
      </c>
      <c r="N1200" s="26">
        <v>1800.43</v>
      </c>
      <c r="O1200" s="26">
        <f t="shared" si="56"/>
        <v>1800.43</v>
      </c>
      <c r="P1200">
        <v>0</v>
      </c>
      <c r="Q1200" t="b">
        <v>1</v>
      </c>
      <c r="S1200" t="s">
        <v>34</v>
      </c>
    </row>
    <row r="1201" spans="1:19">
      <c r="A1201" t="s">
        <v>2489</v>
      </c>
      <c r="B1201" t="s">
        <v>2490</v>
      </c>
      <c r="C1201" s="23" t="s">
        <v>4131</v>
      </c>
      <c r="D1201" s="23">
        <v>45194</v>
      </c>
      <c r="E1201" s="22">
        <v>9</v>
      </c>
      <c r="F1201" s="22">
        <v>25</v>
      </c>
      <c r="G1201" s="22">
        <v>2023</v>
      </c>
      <c r="H1201" s="23">
        <f t="shared" si="54"/>
        <v>45194</v>
      </c>
      <c r="I1201" s="25">
        <v>45214</v>
      </c>
      <c r="J1201" s="22">
        <f t="shared" si="55"/>
        <v>20</v>
      </c>
      <c r="K1201" t="s">
        <v>23</v>
      </c>
      <c r="L1201">
        <v>54028</v>
      </c>
      <c r="M1201">
        <v>2254</v>
      </c>
      <c r="N1201" s="26">
        <v>1991.67</v>
      </c>
      <c r="O1201" s="26">
        <f t="shared" si="56"/>
        <v>1991.67</v>
      </c>
      <c r="P1201">
        <v>139</v>
      </c>
      <c r="Q1201" t="b">
        <v>0</v>
      </c>
      <c r="S1201" t="s">
        <v>25</v>
      </c>
    </row>
    <row r="1202" spans="1:19">
      <c r="A1202" t="s">
        <v>2491</v>
      </c>
      <c r="B1202" t="s">
        <v>2492</v>
      </c>
      <c r="C1202" s="23" t="s">
        <v>4128</v>
      </c>
      <c r="D1202" s="23">
        <v>45003</v>
      </c>
      <c r="E1202" s="22">
        <v>3</v>
      </c>
      <c r="F1202" s="22">
        <v>18</v>
      </c>
      <c r="G1202" s="22">
        <v>2023</v>
      </c>
      <c r="H1202" s="23">
        <f t="shared" si="54"/>
        <v>45003</v>
      </c>
      <c r="I1202" s="25">
        <v>45025</v>
      </c>
      <c r="J1202" s="22">
        <f t="shared" si="55"/>
        <v>22</v>
      </c>
      <c r="K1202" t="s">
        <v>41</v>
      </c>
      <c r="L1202">
        <v>1126</v>
      </c>
      <c r="M1202">
        <v>55</v>
      </c>
      <c r="N1202" s="26">
        <v>54.51</v>
      </c>
      <c r="O1202" s="26">
        <f t="shared" si="56"/>
        <v>54.51</v>
      </c>
      <c r="P1202">
        <v>5</v>
      </c>
      <c r="Q1202" t="b">
        <v>0</v>
      </c>
      <c r="S1202" t="s">
        <v>42</v>
      </c>
    </row>
    <row r="1203" spans="1:19">
      <c r="A1203" t="s">
        <v>2493</v>
      </c>
      <c r="B1203" t="s">
        <v>2494</v>
      </c>
      <c r="C1203" s="23" t="s">
        <v>4127</v>
      </c>
      <c r="D1203" s="23">
        <v>44978</v>
      </c>
      <c r="E1203" s="22">
        <v>2</v>
      </c>
      <c r="F1203" s="22">
        <v>21</v>
      </c>
      <c r="G1203" s="22">
        <v>2023</v>
      </c>
      <c r="H1203" s="23">
        <f t="shared" si="54"/>
        <v>44978</v>
      </c>
      <c r="I1203" s="25">
        <v>45004</v>
      </c>
      <c r="J1203" s="22">
        <f t="shared" si="55"/>
        <v>26</v>
      </c>
      <c r="K1203" t="s">
        <v>23</v>
      </c>
      <c r="L1203">
        <v>53329</v>
      </c>
      <c r="M1203">
        <v>961</v>
      </c>
      <c r="N1203" s="26">
        <v>717.8</v>
      </c>
      <c r="O1203" s="26">
        <f t="shared" si="56"/>
        <v>717.8</v>
      </c>
      <c r="P1203">
        <v>171</v>
      </c>
      <c r="Q1203" t="b">
        <v>0</v>
      </c>
      <c r="S1203" t="s">
        <v>25</v>
      </c>
    </row>
    <row r="1204" spans="1:19">
      <c r="A1204" t="s">
        <v>2495</v>
      </c>
      <c r="B1204" t="s">
        <v>2496</v>
      </c>
      <c r="C1204" s="23" t="s">
        <v>4129</v>
      </c>
      <c r="D1204" s="23">
        <v>44978</v>
      </c>
      <c r="E1204" s="22">
        <v>2</v>
      </c>
      <c r="F1204" s="22">
        <v>21</v>
      </c>
      <c r="G1204" s="22">
        <v>2023</v>
      </c>
      <c r="H1204" s="23">
        <f t="shared" si="54"/>
        <v>44978</v>
      </c>
      <c r="I1204" s="25">
        <v>44997</v>
      </c>
      <c r="J1204" s="22">
        <f t="shared" si="55"/>
        <v>19</v>
      </c>
      <c r="K1204" t="s">
        <v>33</v>
      </c>
      <c r="L1204">
        <v>28632</v>
      </c>
      <c r="M1204">
        <v>1425</v>
      </c>
      <c r="N1204" s="26">
        <v>1099.75</v>
      </c>
      <c r="O1204" s="26">
        <f t="shared" si="56"/>
        <v>1099.75</v>
      </c>
      <c r="P1204">
        <v>0</v>
      </c>
      <c r="Q1204" t="b">
        <v>0</v>
      </c>
      <c r="S1204" t="s">
        <v>34</v>
      </c>
    </row>
    <row r="1205" spans="1:19">
      <c r="A1205" t="s">
        <v>2497</v>
      </c>
      <c r="B1205" t="s">
        <v>2498</v>
      </c>
      <c r="C1205" s="23" t="s">
        <v>4128</v>
      </c>
      <c r="D1205" s="23">
        <v>45103</v>
      </c>
      <c r="E1205" s="22">
        <v>6</v>
      </c>
      <c r="F1205" s="22">
        <v>26</v>
      </c>
      <c r="G1205" s="22">
        <v>2023</v>
      </c>
      <c r="H1205" s="23">
        <f t="shared" si="54"/>
        <v>45103</v>
      </c>
      <c r="I1205" s="25">
        <v>45108</v>
      </c>
      <c r="J1205" s="22">
        <f t="shared" si="55"/>
        <v>5</v>
      </c>
      <c r="K1205" t="s">
        <v>23</v>
      </c>
      <c r="L1205">
        <v>66310</v>
      </c>
      <c r="M1205">
        <v>901</v>
      </c>
      <c r="N1205" s="26">
        <v>1519.12</v>
      </c>
      <c r="O1205" s="26">
        <f t="shared" si="56"/>
        <v>1519.12</v>
      </c>
      <c r="P1205">
        <v>60</v>
      </c>
      <c r="Q1205" t="b">
        <v>0</v>
      </c>
      <c r="S1205" t="s">
        <v>25</v>
      </c>
    </row>
    <row r="1206" spans="1:19">
      <c r="A1206" t="s">
        <v>2499</v>
      </c>
      <c r="B1206" t="s">
        <v>2500</v>
      </c>
      <c r="C1206" s="23" t="s">
        <v>4127</v>
      </c>
      <c r="D1206" s="23">
        <v>45262</v>
      </c>
      <c r="E1206" s="22">
        <v>12</v>
      </c>
      <c r="F1206" s="22">
        <v>2</v>
      </c>
      <c r="G1206" s="22">
        <v>2023</v>
      </c>
      <c r="H1206" s="23">
        <f t="shared" si="54"/>
        <v>45262</v>
      </c>
      <c r="I1206" s="25">
        <v>45278</v>
      </c>
      <c r="J1206" s="22">
        <f t="shared" si="55"/>
        <v>16</v>
      </c>
      <c r="K1206" t="s">
        <v>23</v>
      </c>
      <c r="L1206">
        <v>56176</v>
      </c>
      <c r="M1206">
        <v>566</v>
      </c>
      <c r="N1206" s="26">
        <v>609.64</v>
      </c>
      <c r="O1206" s="26">
        <f t="shared" si="56"/>
        <v>609.64</v>
      </c>
      <c r="P1206">
        <v>55</v>
      </c>
      <c r="Q1206" t="b">
        <v>0</v>
      </c>
      <c r="S1206" t="s">
        <v>25</v>
      </c>
    </row>
    <row r="1207" spans="1:19">
      <c r="A1207" t="s">
        <v>2501</v>
      </c>
      <c r="B1207" t="s">
        <v>2502</v>
      </c>
      <c r="C1207" s="23" t="s">
        <v>4128</v>
      </c>
      <c r="D1207" s="23">
        <v>44946</v>
      </c>
      <c r="E1207" s="22">
        <v>1</v>
      </c>
      <c r="F1207" s="22">
        <v>20</v>
      </c>
      <c r="G1207" s="22">
        <v>2023</v>
      </c>
      <c r="H1207" s="23">
        <f t="shared" si="54"/>
        <v>44946</v>
      </c>
      <c r="I1207" s="25">
        <v>44957</v>
      </c>
      <c r="J1207" s="22">
        <f t="shared" si="55"/>
        <v>11</v>
      </c>
      <c r="K1207" t="s">
        <v>14</v>
      </c>
      <c r="L1207">
        <v>87066</v>
      </c>
      <c r="M1207">
        <v>1024</v>
      </c>
      <c r="N1207" s="26">
        <v>1181.69</v>
      </c>
      <c r="O1207" s="26">
        <f t="shared" si="56"/>
        <v>1181.69</v>
      </c>
      <c r="P1207">
        <v>0</v>
      </c>
      <c r="Q1207" t="b">
        <v>0</v>
      </c>
      <c r="S1207" t="s">
        <v>16</v>
      </c>
    </row>
    <row r="1208" spans="1:19">
      <c r="A1208" t="s">
        <v>2503</v>
      </c>
      <c r="B1208" t="s">
        <v>2504</v>
      </c>
      <c r="C1208" s="23" t="s">
        <v>4128</v>
      </c>
      <c r="D1208" s="23">
        <v>45243</v>
      </c>
      <c r="E1208" s="22">
        <v>11</v>
      </c>
      <c r="F1208" s="22">
        <v>13</v>
      </c>
      <c r="G1208" s="22">
        <v>2023</v>
      </c>
      <c r="H1208" s="23">
        <f t="shared" si="54"/>
        <v>45243</v>
      </c>
      <c r="I1208" s="25">
        <v>45246</v>
      </c>
      <c r="J1208" s="22">
        <f t="shared" si="55"/>
        <v>3</v>
      </c>
      <c r="K1208" t="s">
        <v>33</v>
      </c>
      <c r="L1208">
        <v>45327</v>
      </c>
      <c r="M1208">
        <v>1072</v>
      </c>
      <c r="N1208" s="26">
        <v>1491.23</v>
      </c>
      <c r="O1208" s="26">
        <f t="shared" si="56"/>
        <v>1491.23</v>
      </c>
      <c r="P1208">
        <v>202</v>
      </c>
      <c r="Q1208" t="b">
        <v>1</v>
      </c>
      <c r="S1208" t="s">
        <v>34</v>
      </c>
    </row>
    <row r="1209" spans="1:19">
      <c r="A1209" t="s">
        <v>2505</v>
      </c>
      <c r="B1209" t="s">
        <v>2506</v>
      </c>
      <c r="C1209" s="23" t="s">
        <v>4128</v>
      </c>
      <c r="D1209" s="23">
        <v>44946</v>
      </c>
      <c r="E1209" s="22">
        <v>1</v>
      </c>
      <c r="F1209" s="22">
        <v>20</v>
      </c>
      <c r="G1209" s="22">
        <v>2023</v>
      </c>
      <c r="H1209" s="23">
        <f t="shared" si="54"/>
        <v>44946</v>
      </c>
      <c r="I1209" s="25">
        <v>44969</v>
      </c>
      <c r="J1209" s="22">
        <f t="shared" si="55"/>
        <v>23</v>
      </c>
      <c r="K1209" t="s">
        <v>33</v>
      </c>
      <c r="L1209">
        <v>69904</v>
      </c>
      <c r="M1209">
        <v>2468</v>
      </c>
      <c r="N1209" s="26">
        <v>3416.9</v>
      </c>
      <c r="O1209" s="26">
        <f t="shared" si="56"/>
        <v>3416.9</v>
      </c>
      <c r="P1209">
        <v>444</v>
      </c>
      <c r="Q1209" t="b">
        <v>1</v>
      </c>
      <c r="S1209" t="s">
        <v>34</v>
      </c>
    </row>
    <row r="1210" spans="1:19">
      <c r="A1210" t="s">
        <v>2507</v>
      </c>
      <c r="B1210" t="s">
        <v>2508</v>
      </c>
      <c r="C1210" s="23" t="s">
        <v>4127</v>
      </c>
      <c r="D1210" s="23">
        <v>45280</v>
      </c>
      <c r="E1210" s="22">
        <v>12</v>
      </c>
      <c r="F1210" s="22">
        <v>20</v>
      </c>
      <c r="G1210" s="22">
        <v>2023</v>
      </c>
      <c r="H1210" s="23">
        <f t="shared" si="54"/>
        <v>45280</v>
      </c>
      <c r="I1210" s="25">
        <v>45296</v>
      </c>
      <c r="J1210" s="22">
        <f t="shared" si="55"/>
        <v>16</v>
      </c>
      <c r="K1210" t="s">
        <v>41</v>
      </c>
      <c r="L1210">
        <v>4797</v>
      </c>
      <c r="M1210">
        <v>61</v>
      </c>
      <c r="N1210" s="26">
        <v>36.66</v>
      </c>
      <c r="O1210" s="26">
        <f t="shared" si="56"/>
        <v>36.66</v>
      </c>
      <c r="P1210">
        <v>7</v>
      </c>
      <c r="Q1210" t="b">
        <v>0</v>
      </c>
      <c r="S1210" t="s">
        <v>42</v>
      </c>
    </row>
    <row r="1211" spans="1:19">
      <c r="A1211" t="s">
        <v>2509</v>
      </c>
      <c r="B1211" t="s">
        <v>2510</v>
      </c>
      <c r="C1211" s="23" t="s">
        <v>4129</v>
      </c>
      <c r="D1211" s="23">
        <v>45064</v>
      </c>
      <c r="E1211" s="22">
        <v>5</v>
      </c>
      <c r="F1211" s="22">
        <v>18</v>
      </c>
      <c r="G1211" s="22">
        <v>2023</v>
      </c>
      <c r="H1211" s="23">
        <f t="shared" si="54"/>
        <v>45064</v>
      </c>
      <c r="I1211" s="25">
        <v>45075</v>
      </c>
      <c r="J1211" s="22">
        <f t="shared" si="55"/>
        <v>11</v>
      </c>
      <c r="K1211" t="s">
        <v>14</v>
      </c>
      <c r="L1211">
        <v>48882</v>
      </c>
      <c r="M1211">
        <v>499</v>
      </c>
      <c r="N1211" s="26">
        <v>871.91</v>
      </c>
      <c r="O1211" s="26">
        <f t="shared" si="56"/>
        <v>871.91</v>
      </c>
      <c r="P1211">
        <v>29</v>
      </c>
      <c r="Q1211" t="b">
        <v>0</v>
      </c>
      <c r="S1211" t="s">
        <v>16</v>
      </c>
    </row>
    <row r="1212" spans="1:19">
      <c r="A1212" t="s">
        <v>2511</v>
      </c>
      <c r="B1212" t="s">
        <v>2512</v>
      </c>
      <c r="C1212" s="23" t="s">
        <v>4127</v>
      </c>
      <c r="D1212" s="23">
        <v>45082</v>
      </c>
      <c r="E1212" s="22">
        <v>6</v>
      </c>
      <c r="F1212" s="22">
        <v>5</v>
      </c>
      <c r="G1212" s="22">
        <v>2023</v>
      </c>
      <c r="H1212" s="23">
        <f t="shared" si="54"/>
        <v>45082</v>
      </c>
      <c r="I1212" s="25">
        <v>45100</v>
      </c>
      <c r="J1212" s="22">
        <f t="shared" si="55"/>
        <v>18</v>
      </c>
      <c r="K1212" t="s">
        <v>14</v>
      </c>
      <c r="L1212">
        <v>14718</v>
      </c>
      <c r="M1212">
        <v>698</v>
      </c>
      <c r="N1212" s="26">
        <v>534.66</v>
      </c>
      <c r="O1212" s="26">
        <f t="shared" si="56"/>
        <v>534.66</v>
      </c>
      <c r="P1212">
        <v>109</v>
      </c>
      <c r="Q1212" t="b">
        <v>0</v>
      </c>
      <c r="S1212" t="s">
        <v>16</v>
      </c>
    </row>
    <row r="1213" spans="1:19">
      <c r="A1213" t="s">
        <v>2513</v>
      </c>
      <c r="B1213" t="s">
        <v>2514</v>
      </c>
      <c r="C1213" s="23" t="s">
        <v>4129</v>
      </c>
      <c r="D1213" s="23">
        <v>45283</v>
      </c>
      <c r="E1213" s="22">
        <v>12</v>
      </c>
      <c r="F1213" s="22">
        <v>23</v>
      </c>
      <c r="G1213" s="22">
        <v>2023</v>
      </c>
      <c r="H1213" s="23">
        <f t="shared" si="54"/>
        <v>45283</v>
      </c>
      <c r="I1213" s="25">
        <v>45300</v>
      </c>
      <c r="J1213" s="22">
        <f t="shared" si="55"/>
        <v>17</v>
      </c>
      <c r="K1213" t="s">
        <v>41</v>
      </c>
      <c r="L1213">
        <v>35560</v>
      </c>
      <c r="M1213">
        <v>1524</v>
      </c>
      <c r="N1213" s="26">
        <v>2414.94</v>
      </c>
      <c r="O1213" s="26">
        <f t="shared" si="56"/>
        <v>2414.94</v>
      </c>
      <c r="P1213">
        <v>0</v>
      </c>
      <c r="Q1213" t="b">
        <v>1</v>
      </c>
      <c r="S1213" t="s">
        <v>42</v>
      </c>
    </row>
    <row r="1214" spans="1:19">
      <c r="A1214" t="s">
        <v>2515</v>
      </c>
      <c r="B1214" t="s">
        <v>2516</v>
      </c>
      <c r="C1214" s="23" t="s">
        <v>4128</v>
      </c>
      <c r="D1214" s="23">
        <v>45043</v>
      </c>
      <c r="E1214" s="22">
        <v>4</v>
      </c>
      <c r="F1214" s="22">
        <v>27</v>
      </c>
      <c r="G1214" s="22">
        <v>2023</v>
      </c>
      <c r="H1214" s="23">
        <f t="shared" si="54"/>
        <v>45043</v>
      </c>
      <c r="I1214" s="25">
        <v>45063</v>
      </c>
      <c r="J1214" s="22">
        <f t="shared" si="55"/>
        <v>20</v>
      </c>
      <c r="K1214" t="s">
        <v>23</v>
      </c>
      <c r="L1214">
        <v>77589</v>
      </c>
      <c r="M1214">
        <v>3287</v>
      </c>
      <c r="N1214" s="26">
        <v>5453.15</v>
      </c>
      <c r="O1214" s="26">
        <f t="shared" si="56"/>
        <v>3632.575</v>
      </c>
      <c r="P1214">
        <v>642</v>
      </c>
      <c r="Q1214" t="b">
        <v>1</v>
      </c>
      <c r="S1214" t="s">
        <v>25</v>
      </c>
    </row>
    <row r="1215" spans="1:19">
      <c r="A1215" t="s">
        <v>2517</v>
      </c>
      <c r="B1215" t="s">
        <v>2518</v>
      </c>
      <c r="C1215" s="23" t="s">
        <v>4131</v>
      </c>
      <c r="D1215" s="23">
        <v>45153</v>
      </c>
      <c r="E1215" s="22">
        <v>8</v>
      </c>
      <c r="F1215" s="22">
        <v>15</v>
      </c>
      <c r="G1215" s="22">
        <v>2023</v>
      </c>
      <c r="H1215" s="23">
        <f t="shared" si="54"/>
        <v>45153</v>
      </c>
      <c r="I1215" s="25">
        <v>45174</v>
      </c>
      <c r="J1215" s="22">
        <f t="shared" si="55"/>
        <v>21</v>
      </c>
      <c r="K1215" t="s">
        <v>138</v>
      </c>
      <c r="L1215">
        <v>23116</v>
      </c>
      <c r="M1215">
        <v>1048</v>
      </c>
      <c r="N1215" s="26">
        <v>1647.82</v>
      </c>
      <c r="O1215" s="26">
        <f t="shared" si="56"/>
        <v>1647.82</v>
      </c>
      <c r="P1215">
        <v>140</v>
      </c>
      <c r="Q1215" t="b">
        <v>0</v>
      </c>
      <c r="S1215" t="s">
        <v>139</v>
      </c>
    </row>
    <row r="1216" spans="1:19">
      <c r="A1216" t="s">
        <v>2519</v>
      </c>
      <c r="B1216" t="s">
        <v>2520</v>
      </c>
      <c r="C1216" s="23" t="s">
        <v>4128</v>
      </c>
      <c r="D1216" s="23">
        <v>45140</v>
      </c>
      <c r="E1216" s="22">
        <v>8</v>
      </c>
      <c r="F1216" s="22">
        <v>2</v>
      </c>
      <c r="G1216" s="22">
        <v>2023</v>
      </c>
      <c r="H1216" s="23">
        <f t="shared" si="54"/>
        <v>45140</v>
      </c>
      <c r="I1216" s="25">
        <v>44968</v>
      </c>
      <c r="J1216" s="22">
        <f t="shared" si="55"/>
        <v>-172</v>
      </c>
      <c r="K1216" t="s">
        <v>41</v>
      </c>
      <c r="L1216">
        <v>37244</v>
      </c>
      <c r="M1216">
        <v>1415</v>
      </c>
      <c r="N1216" s="26">
        <v>1936.38</v>
      </c>
      <c r="O1216" s="26">
        <f t="shared" si="56"/>
        <v>1936.38</v>
      </c>
      <c r="P1216">
        <v>142</v>
      </c>
      <c r="Q1216" t="b">
        <v>1</v>
      </c>
      <c r="S1216" t="s">
        <v>42</v>
      </c>
    </row>
    <row r="1217" spans="1:19">
      <c r="A1217" t="s">
        <v>2521</v>
      </c>
      <c r="B1217" t="s">
        <v>2522</v>
      </c>
      <c r="C1217" s="23" t="s">
        <v>4131</v>
      </c>
      <c r="D1217" s="23">
        <v>45153</v>
      </c>
      <c r="E1217" s="22">
        <v>8</v>
      </c>
      <c r="F1217" s="22">
        <v>15</v>
      </c>
      <c r="G1217" s="22">
        <v>2023</v>
      </c>
      <c r="H1217" s="23">
        <f t="shared" si="54"/>
        <v>45153</v>
      </c>
      <c r="I1217" s="25">
        <v>45162</v>
      </c>
      <c r="J1217" s="22">
        <f t="shared" si="55"/>
        <v>9</v>
      </c>
      <c r="K1217" t="s">
        <v>14</v>
      </c>
      <c r="L1217">
        <v>2645</v>
      </c>
      <c r="M1217">
        <v>37</v>
      </c>
      <c r="N1217" s="26">
        <v>19.31</v>
      </c>
      <c r="O1217" s="26">
        <f t="shared" si="56"/>
        <v>19.31</v>
      </c>
      <c r="P1217">
        <v>0</v>
      </c>
      <c r="Q1217" t="b">
        <v>1</v>
      </c>
      <c r="S1217" t="s">
        <v>16</v>
      </c>
    </row>
    <row r="1218" spans="1:19">
      <c r="A1218" t="s">
        <v>2523</v>
      </c>
      <c r="B1218" t="s">
        <v>2524</v>
      </c>
      <c r="C1218" s="23" t="s">
        <v>4127</v>
      </c>
      <c r="D1218" s="23">
        <v>45175</v>
      </c>
      <c r="E1218" s="22">
        <v>9</v>
      </c>
      <c r="F1218" s="22">
        <v>6</v>
      </c>
      <c r="G1218" s="22">
        <v>2023</v>
      </c>
      <c r="H1218" s="23">
        <f t="shared" si="54"/>
        <v>45175</v>
      </c>
      <c r="I1218" s="25">
        <v>45196</v>
      </c>
      <c r="J1218" s="22">
        <f t="shared" si="55"/>
        <v>21</v>
      </c>
      <c r="K1218" t="s">
        <v>19</v>
      </c>
      <c r="L1218">
        <v>48523</v>
      </c>
      <c r="M1218">
        <v>1259</v>
      </c>
      <c r="N1218" s="26">
        <v>1310.07</v>
      </c>
      <c r="O1218" s="26">
        <f t="shared" si="56"/>
        <v>1310.07</v>
      </c>
      <c r="P1218">
        <v>247</v>
      </c>
      <c r="Q1218" t="b">
        <v>1</v>
      </c>
      <c r="S1218" t="s">
        <v>20</v>
      </c>
    </row>
    <row r="1219" spans="1:19">
      <c r="A1219" t="s">
        <v>2525</v>
      </c>
      <c r="B1219" t="s">
        <v>2526</v>
      </c>
      <c r="C1219" s="23" t="s">
        <v>4128</v>
      </c>
      <c r="D1219" s="23">
        <v>44955</v>
      </c>
      <c r="E1219" s="22">
        <v>1</v>
      </c>
      <c r="F1219" s="22">
        <v>29</v>
      </c>
      <c r="G1219" s="22">
        <v>2023</v>
      </c>
      <c r="H1219" s="23">
        <f t="shared" ref="H1219:H1282" si="57">IF(E1219&gt;12,DATE(G1219,F1219,E1219),D1219)</f>
        <v>44955</v>
      </c>
      <c r="I1219" s="25">
        <v>44964</v>
      </c>
      <c r="J1219" s="22">
        <f t="shared" ref="J1219:J1282" si="58">DATEDIF(H1219,I1219,"D")</f>
        <v>9</v>
      </c>
      <c r="K1219" t="s">
        <v>19</v>
      </c>
      <c r="L1219">
        <v>20256</v>
      </c>
      <c r="M1219">
        <v>788</v>
      </c>
      <c r="N1219" s="26">
        <v>1108.92</v>
      </c>
      <c r="O1219" s="26">
        <f t="shared" ref="O1219:O1282" si="59">IF(N1219&lt;$W$8,$W$8,IF(N1219&gt;$W$9,$W$9,N1219))</f>
        <v>1108.92</v>
      </c>
      <c r="P1219">
        <v>121</v>
      </c>
      <c r="Q1219" t="b">
        <v>1</v>
      </c>
      <c r="S1219" t="s">
        <v>20</v>
      </c>
    </row>
    <row r="1220" spans="1:19">
      <c r="A1220" t="s">
        <v>2527</v>
      </c>
      <c r="B1220" t="s">
        <v>2528</v>
      </c>
      <c r="C1220" s="23" t="s">
        <v>4128</v>
      </c>
      <c r="D1220" s="23">
        <v>45086</v>
      </c>
      <c r="E1220" s="22">
        <v>6</v>
      </c>
      <c r="F1220" s="22">
        <v>9</v>
      </c>
      <c r="G1220" s="22">
        <v>2023</v>
      </c>
      <c r="H1220" s="23">
        <f t="shared" si="57"/>
        <v>45086</v>
      </c>
      <c r="I1220" s="25">
        <v>45116</v>
      </c>
      <c r="J1220" s="22">
        <f t="shared" si="58"/>
        <v>30</v>
      </c>
      <c r="K1220" t="s">
        <v>33</v>
      </c>
      <c r="L1220">
        <v>54173</v>
      </c>
      <c r="M1220">
        <v>1149</v>
      </c>
      <c r="N1220" s="26">
        <v>1242.27</v>
      </c>
      <c r="O1220" s="26">
        <f t="shared" si="59"/>
        <v>1242.27</v>
      </c>
      <c r="P1220">
        <v>173</v>
      </c>
      <c r="Q1220" t="b">
        <v>0</v>
      </c>
      <c r="S1220" t="s">
        <v>34</v>
      </c>
    </row>
    <row r="1221" spans="1:19">
      <c r="A1221" t="s">
        <v>2529</v>
      </c>
      <c r="B1221" t="s">
        <v>2530</v>
      </c>
      <c r="C1221" s="23" t="s">
        <v>4128</v>
      </c>
      <c r="D1221" s="23">
        <v>45195</v>
      </c>
      <c r="E1221" s="22">
        <v>9</v>
      </c>
      <c r="F1221" s="22">
        <v>26</v>
      </c>
      <c r="G1221" s="22">
        <v>2023</v>
      </c>
      <c r="H1221" s="23">
        <f t="shared" si="57"/>
        <v>45195</v>
      </c>
      <c r="I1221" s="25">
        <v>45204</v>
      </c>
      <c r="J1221" s="22">
        <f t="shared" si="58"/>
        <v>9</v>
      </c>
      <c r="K1221" t="s">
        <v>33</v>
      </c>
      <c r="L1221">
        <v>38430</v>
      </c>
      <c r="M1221">
        <v>1440</v>
      </c>
      <c r="N1221" s="26">
        <v>2585.12</v>
      </c>
      <c r="O1221" s="26">
        <f t="shared" si="59"/>
        <v>2585.12</v>
      </c>
      <c r="P1221">
        <v>123</v>
      </c>
      <c r="Q1221" t="b">
        <v>0</v>
      </c>
      <c r="S1221" t="s">
        <v>34</v>
      </c>
    </row>
    <row r="1222" spans="1:19">
      <c r="A1222" t="s">
        <v>2531</v>
      </c>
      <c r="B1222" t="s">
        <v>2532</v>
      </c>
      <c r="C1222" s="23" t="s">
        <v>4128</v>
      </c>
      <c r="D1222" s="23">
        <v>45025</v>
      </c>
      <c r="E1222" s="22">
        <v>4</v>
      </c>
      <c r="F1222" s="22">
        <v>9</v>
      </c>
      <c r="G1222" s="22">
        <v>2023</v>
      </c>
      <c r="H1222" s="23">
        <f t="shared" si="57"/>
        <v>45025</v>
      </c>
      <c r="I1222" s="25">
        <v>45053</v>
      </c>
      <c r="J1222" s="22">
        <f t="shared" si="58"/>
        <v>28</v>
      </c>
      <c r="K1222" t="s">
        <v>138</v>
      </c>
      <c r="L1222">
        <v>40282</v>
      </c>
      <c r="M1222">
        <v>442</v>
      </c>
      <c r="N1222" s="26">
        <v>425.74</v>
      </c>
      <c r="O1222" s="26">
        <f t="shared" si="59"/>
        <v>425.74</v>
      </c>
      <c r="P1222">
        <v>71</v>
      </c>
      <c r="Q1222" t="b">
        <v>1</v>
      </c>
      <c r="S1222" t="s">
        <v>139</v>
      </c>
    </row>
    <row r="1223" spans="1:19">
      <c r="A1223" t="s">
        <v>2533</v>
      </c>
      <c r="B1223" t="s">
        <v>2534</v>
      </c>
      <c r="C1223" s="23" t="s">
        <v>4129</v>
      </c>
      <c r="D1223" s="23">
        <v>44956</v>
      </c>
      <c r="E1223" s="22">
        <v>1</v>
      </c>
      <c r="F1223" s="22">
        <v>30</v>
      </c>
      <c r="G1223" s="22">
        <v>2023</v>
      </c>
      <c r="H1223" s="23">
        <f t="shared" si="57"/>
        <v>44956</v>
      </c>
      <c r="I1223" s="25">
        <v>44966</v>
      </c>
      <c r="J1223" s="22">
        <f t="shared" si="58"/>
        <v>10</v>
      </c>
      <c r="K1223" t="s">
        <v>14</v>
      </c>
      <c r="L1223">
        <v>64374</v>
      </c>
      <c r="M1223">
        <v>1432</v>
      </c>
      <c r="N1223" s="26">
        <v>1346.51</v>
      </c>
      <c r="O1223" s="26">
        <f t="shared" si="59"/>
        <v>1346.51</v>
      </c>
      <c r="P1223">
        <v>232</v>
      </c>
      <c r="Q1223" t="b">
        <v>1</v>
      </c>
      <c r="S1223" t="s">
        <v>16</v>
      </c>
    </row>
    <row r="1224" spans="1:19">
      <c r="A1224" t="s">
        <v>2535</v>
      </c>
      <c r="B1224" t="s">
        <v>2536</v>
      </c>
      <c r="C1224" s="23" t="s">
        <v>4131</v>
      </c>
      <c r="D1224" s="23">
        <v>45111</v>
      </c>
      <c r="E1224" s="22">
        <v>7</v>
      </c>
      <c r="F1224" s="22">
        <v>4</v>
      </c>
      <c r="G1224" s="22">
        <v>2023</v>
      </c>
      <c r="H1224" s="23">
        <f t="shared" si="57"/>
        <v>45111</v>
      </c>
      <c r="I1224" s="25">
        <v>45131</v>
      </c>
      <c r="J1224" s="22">
        <f t="shared" si="58"/>
        <v>20</v>
      </c>
      <c r="K1224" t="s">
        <v>33</v>
      </c>
      <c r="L1224">
        <v>69244</v>
      </c>
      <c r="M1224">
        <v>2213</v>
      </c>
      <c r="N1224" s="26">
        <v>1989.48</v>
      </c>
      <c r="O1224" s="26">
        <f t="shared" si="59"/>
        <v>1989.48</v>
      </c>
      <c r="P1224">
        <v>215</v>
      </c>
      <c r="Q1224" t="b">
        <v>1</v>
      </c>
      <c r="S1224" t="s">
        <v>34</v>
      </c>
    </row>
    <row r="1225" spans="1:19">
      <c r="A1225" t="s">
        <v>2537</v>
      </c>
      <c r="B1225" t="s">
        <v>2538</v>
      </c>
      <c r="C1225" s="23" t="s">
        <v>4131</v>
      </c>
      <c r="D1225" s="23">
        <v>45164</v>
      </c>
      <c r="E1225" s="22">
        <v>8</v>
      </c>
      <c r="F1225" s="22">
        <v>26</v>
      </c>
      <c r="G1225" s="22">
        <v>2023</v>
      </c>
      <c r="H1225" s="23">
        <f t="shared" si="57"/>
        <v>45164</v>
      </c>
      <c r="I1225" s="25">
        <v>45181</v>
      </c>
      <c r="J1225" s="22">
        <f t="shared" si="58"/>
        <v>17</v>
      </c>
      <c r="K1225" t="s">
        <v>19</v>
      </c>
      <c r="L1225">
        <v>12694</v>
      </c>
      <c r="M1225">
        <v>447</v>
      </c>
      <c r="N1225" s="26">
        <v>446.63</v>
      </c>
      <c r="O1225" s="26">
        <f t="shared" si="59"/>
        <v>446.63</v>
      </c>
      <c r="P1225">
        <v>54</v>
      </c>
      <c r="Q1225" t="b">
        <v>1</v>
      </c>
      <c r="S1225" t="s">
        <v>20</v>
      </c>
    </row>
    <row r="1226" spans="1:19">
      <c r="A1226" t="s">
        <v>2539</v>
      </c>
      <c r="B1226" t="s">
        <v>2540</v>
      </c>
      <c r="C1226" s="23" t="s">
        <v>4129</v>
      </c>
      <c r="D1226" s="23">
        <v>44990</v>
      </c>
      <c r="E1226" s="22">
        <v>3</v>
      </c>
      <c r="F1226" s="22">
        <v>5</v>
      </c>
      <c r="G1226" s="22">
        <v>2023</v>
      </c>
      <c r="H1226" s="23">
        <f t="shared" si="57"/>
        <v>44990</v>
      </c>
      <c r="I1226" s="25">
        <v>44998</v>
      </c>
      <c r="J1226" s="22">
        <f t="shared" si="58"/>
        <v>8</v>
      </c>
      <c r="K1226" t="s">
        <v>19</v>
      </c>
      <c r="L1226">
        <v>57264</v>
      </c>
      <c r="M1226">
        <v>1894</v>
      </c>
      <c r="N1226" s="26">
        <v>2530.59</v>
      </c>
      <c r="O1226" s="26">
        <f t="shared" si="59"/>
        <v>2530.59</v>
      </c>
      <c r="P1226">
        <v>178</v>
      </c>
      <c r="Q1226" t="b">
        <v>0</v>
      </c>
      <c r="S1226" t="s">
        <v>20</v>
      </c>
    </row>
    <row r="1227" spans="1:19">
      <c r="A1227" t="s">
        <v>2541</v>
      </c>
      <c r="B1227" t="s">
        <v>2542</v>
      </c>
      <c r="C1227" s="23" t="s">
        <v>4128</v>
      </c>
      <c r="D1227" s="23">
        <v>45177</v>
      </c>
      <c r="E1227" s="22">
        <v>9</v>
      </c>
      <c r="F1227" s="22">
        <v>8</v>
      </c>
      <c r="G1227" s="22">
        <v>2023</v>
      </c>
      <c r="H1227" s="23">
        <f t="shared" si="57"/>
        <v>45177</v>
      </c>
      <c r="I1227" s="25">
        <v>45188</v>
      </c>
      <c r="J1227" s="22">
        <f t="shared" si="58"/>
        <v>11</v>
      </c>
      <c r="K1227" t="s">
        <v>23</v>
      </c>
      <c r="L1227">
        <v>76060</v>
      </c>
      <c r="M1227">
        <v>2883</v>
      </c>
      <c r="N1227" s="26">
        <v>4498.99</v>
      </c>
      <c r="O1227" s="26">
        <f t="shared" si="59"/>
        <v>3632.575</v>
      </c>
      <c r="P1227">
        <v>256</v>
      </c>
      <c r="Q1227" t="b">
        <v>0</v>
      </c>
      <c r="R1227">
        <v>76115</v>
      </c>
      <c r="S1227" t="s">
        <v>25</v>
      </c>
    </row>
    <row r="1228" spans="1:19">
      <c r="A1228" t="s">
        <v>2543</v>
      </c>
      <c r="B1228" t="s">
        <v>2544</v>
      </c>
      <c r="C1228" s="23" t="s">
        <v>4128</v>
      </c>
      <c r="D1228" s="23">
        <v>45169</v>
      </c>
      <c r="E1228" s="22">
        <v>8</v>
      </c>
      <c r="F1228" s="22">
        <v>31</v>
      </c>
      <c r="G1228" s="22">
        <v>2023</v>
      </c>
      <c r="H1228" s="23">
        <f t="shared" si="57"/>
        <v>45169</v>
      </c>
      <c r="I1228" s="25">
        <v>45199</v>
      </c>
      <c r="J1228" s="22">
        <f t="shared" si="58"/>
        <v>30</v>
      </c>
      <c r="K1228" t="s">
        <v>41</v>
      </c>
      <c r="L1228">
        <v>98416</v>
      </c>
      <c r="M1228">
        <v>1008</v>
      </c>
      <c r="N1228" s="26">
        <v>1505.8</v>
      </c>
      <c r="O1228" s="26">
        <f t="shared" si="59"/>
        <v>1505.8</v>
      </c>
      <c r="P1228">
        <v>0</v>
      </c>
      <c r="Q1228" t="b">
        <v>1</v>
      </c>
      <c r="S1228" t="s">
        <v>42</v>
      </c>
    </row>
    <row r="1229" spans="1:19">
      <c r="A1229" t="s">
        <v>2545</v>
      </c>
      <c r="B1229" t="s">
        <v>2546</v>
      </c>
      <c r="C1229" s="23" t="s">
        <v>4129</v>
      </c>
      <c r="D1229" s="23">
        <v>45010</v>
      </c>
      <c r="E1229" s="22">
        <v>3</v>
      </c>
      <c r="F1229" s="22">
        <v>25</v>
      </c>
      <c r="G1229" s="22">
        <v>2023</v>
      </c>
      <c r="H1229" s="23">
        <f t="shared" si="57"/>
        <v>45010</v>
      </c>
      <c r="I1229" s="25">
        <v>45039</v>
      </c>
      <c r="J1229" s="22">
        <f t="shared" si="58"/>
        <v>29</v>
      </c>
      <c r="K1229" t="s">
        <v>23</v>
      </c>
      <c r="L1229">
        <v>58545</v>
      </c>
      <c r="M1229">
        <v>821</v>
      </c>
      <c r="N1229" s="26">
        <v>1405.2</v>
      </c>
      <c r="O1229" s="26">
        <f t="shared" si="59"/>
        <v>1405.2</v>
      </c>
      <c r="P1229">
        <v>76</v>
      </c>
      <c r="Q1229" t="b">
        <v>1</v>
      </c>
      <c r="S1229" t="s">
        <v>25</v>
      </c>
    </row>
    <row r="1230" spans="1:19">
      <c r="A1230" t="s">
        <v>2547</v>
      </c>
      <c r="B1230" t="s">
        <v>2548</v>
      </c>
      <c r="C1230" s="23" t="s">
        <v>4129</v>
      </c>
      <c r="D1230" s="23" t="s">
        <v>1320</v>
      </c>
      <c r="E1230" s="22">
        <v>19</v>
      </c>
      <c r="F1230" s="22">
        <v>12</v>
      </c>
      <c r="G1230" s="22">
        <v>2023</v>
      </c>
      <c r="H1230" s="23">
        <f t="shared" si="57"/>
        <v>45279</v>
      </c>
      <c r="I1230" s="25">
        <v>45290</v>
      </c>
      <c r="J1230" s="22">
        <f t="shared" si="58"/>
        <v>11</v>
      </c>
      <c r="K1230" t="s">
        <v>191</v>
      </c>
      <c r="L1230">
        <v>40224</v>
      </c>
      <c r="M1230">
        <v>1800</v>
      </c>
      <c r="N1230" s="26">
        <v>3291.97</v>
      </c>
      <c r="O1230" s="26">
        <f t="shared" si="59"/>
        <v>3291.97</v>
      </c>
      <c r="P1230">
        <v>239</v>
      </c>
      <c r="Q1230" t="b">
        <v>0</v>
      </c>
      <c r="S1230" t="s">
        <v>42</v>
      </c>
    </row>
    <row r="1231" spans="1:19">
      <c r="A1231" t="s">
        <v>2549</v>
      </c>
      <c r="B1231" t="s">
        <v>2550</v>
      </c>
      <c r="C1231" s="23" t="s">
        <v>4127</v>
      </c>
      <c r="D1231" s="23">
        <v>44941</v>
      </c>
      <c r="E1231" s="22">
        <v>1</v>
      </c>
      <c r="F1231" s="22">
        <v>15</v>
      </c>
      <c r="G1231" s="22">
        <v>2023</v>
      </c>
      <c r="H1231" s="23">
        <f t="shared" si="57"/>
        <v>44941</v>
      </c>
      <c r="I1231" s="25">
        <v>44971</v>
      </c>
      <c r="J1231" s="22">
        <f t="shared" si="58"/>
        <v>30</v>
      </c>
      <c r="K1231" t="s">
        <v>19</v>
      </c>
      <c r="L1231">
        <v>98945</v>
      </c>
      <c r="M1231">
        <v>3687</v>
      </c>
      <c r="N1231" s="26">
        <v>6356.83</v>
      </c>
      <c r="O1231" s="26">
        <f t="shared" si="59"/>
        <v>3632.575</v>
      </c>
      <c r="P1231">
        <v>185</v>
      </c>
      <c r="Q1231" t="b">
        <v>1</v>
      </c>
      <c r="S1231" t="s">
        <v>20</v>
      </c>
    </row>
    <row r="1232" spans="1:19">
      <c r="A1232" t="s">
        <v>2551</v>
      </c>
      <c r="B1232" t="s">
        <v>2552</v>
      </c>
      <c r="C1232" s="23" t="s">
        <v>4127</v>
      </c>
      <c r="D1232" s="23">
        <v>45219</v>
      </c>
      <c r="E1232" s="22">
        <v>10</v>
      </c>
      <c r="F1232" s="22">
        <v>20</v>
      </c>
      <c r="G1232" s="22">
        <v>2023</v>
      </c>
      <c r="H1232" s="23">
        <f t="shared" si="57"/>
        <v>45219</v>
      </c>
      <c r="I1232" s="25">
        <v>45227</v>
      </c>
      <c r="J1232" s="22">
        <f t="shared" si="58"/>
        <v>8</v>
      </c>
      <c r="K1232" t="s">
        <v>138</v>
      </c>
      <c r="L1232">
        <v>14224</v>
      </c>
      <c r="M1232">
        <v>206</v>
      </c>
      <c r="N1232" s="26">
        <v>108.85</v>
      </c>
      <c r="O1232" s="26">
        <f t="shared" si="59"/>
        <v>108.85</v>
      </c>
      <c r="P1232">
        <v>19</v>
      </c>
      <c r="Q1232" t="b">
        <v>0</v>
      </c>
      <c r="S1232" t="s">
        <v>139</v>
      </c>
    </row>
    <row r="1233" spans="1:19">
      <c r="A1233" t="s">
        <v>2553</v>
      </c>
      <c r="B1233" t="s">
        <v>2554</v>
      </c>
      <c r="C1233" s="23" t="s">
        <v>4129</v>
      </c>
      <c r="D1233" s="23">
        <v>45040</v>
      </c>
      <c r="E1233" s="22">
        <v>4</v>
      </c>
      <c r="F1233" s="22">
        <v>24</v>
      </c>
      <c r="G1233" s="22">
        <v>2023</v>
      </c>
      <c r="H1233" s="23">
        <f t="shared" si="57"/>
        <v>45040</v>
      </c>
      <c r="I1233" s="25">
        <v>45059</v>
      </c>
      <c r="J1233" s="22">
        <f t="shared" si="58"/>
        <v>19</v>
      </c>
      <c r="K1233" t="s">
        <v>41</v>
      </c>
      <c r="L1233">
        <v>41738</v>
      </c>
      <c r="M1233">
        <v>1823</v>
      </c>
      <c r="N1233" s="26">
        <v>2923.87</v>
      </c>
      <c r="O1233" s="26">
        <f t="shared" si="59"/>
        <v>2923.87</v>
      </c>
      <c r="P1233">
        <v>332</v>
      </c>
      <c r="Q1233" t="b">
        <v>1</v>
      </c>
      <c r="S1233" t="s">
        <v>68</v>
      </c>
    </row>
    <row r="1234" spans="1:19">
      <c r="A1234" t="s">
        <v>2555</v>
      </c>
      <c r="B1234" t="s">
        <v>2556</v>
      </c>
      <c r="C1234" s="23" t="s">
        <v>4128</v>
      </c>
      <c r="D1234" s="23">
        <v>45064</v>
      </c>
      <c r="E1234" s="22">
        <v>5</v>
      </c>
      <c r="F1234" s="22">
        <v>18</v>
      </c>
      <c r="G1234" s="22">
        <v>2023</v>
      </c>
      <c r="H1234" s="23">
        <f t="shared" si="57"/>
        <v>45064</v>
      </c>
      <c r="I1234" s="25">
        <v>45071</v>
      </c>
      <c r="J1234" s="22">
        <f t="shared" si="58"/>
        <v>7</v>
      </c>
      <c r="K1234" t="s">
        <v>41</v>
      </c>
      <c r="L1234">
        <v>26150</v>
      </c>
      <c r="M1234">
        <v>514</v>
      </c>
      <c r="N1234" s="26">
        <v>417.68</v>
      </c>
      <c r="O1234" s="26">
        <f t="shared" si="59"/>
        <v>417.68</v>
      </c>
      <c r="P1234">
        <v>71</v>
      </c>
      <c r="Q1234" t="b">
        <v>1</v>
      </c>
      <c r="S1234" t="s">
        <v>42</v>
      </c>
    </row>
    <row r="1235" spans="1:19">
      <c r="A1235" t="s">
        <v>2557</v>
      </c>
      <c r="B1235" t="s">
        <v>2558</v>
      </c>
      <c r="C1235" s="23" t="s">
        <v>4131</v>
      </c>
      <c r="D1235" s="23" t="s">
        <v>2559</v>
      </c>
      <c r="E1235" s="22">
        <v>16</v>
      </c>
      <c r="F1235" s="22">
        <v>12</v>
      </c>
      <c r="G1235" s="22">
        <v>2023</v>
      </c>
      <c r="H1235" s="23">
        <f t="shared" si="57"/>
        <v>45276</v>
      </c>
      <c r="I1235" s="25">
        <v>45288</v>
      </c>
      <c r="J1235" s="22">
        <f t="shared" si="58"/>
        <v>12</v>
      </c>
      <c r="K1235" t="s">
        <v>33</v>
      </c>
      <c r="L1235">
        <v>64731</v>
      </c>
      <c r="M1235">
        <v>1885</v>
      </c>
      <c r="N1235" s="26">
        <v>1318.35</v>
      </c>
      <c r="O1235" s="26">
        <f t="shared" si="59"/>
        <v>1318.35</v>
      </c>
      <c r="P1235">
        <v>266</v>
      </c>
      <c r="Q1235" t="b">
        <v>1</v>
      </c>
      <c r="S1235" t="s">
        <v>34</v>
      </c>
    </row>
    <row r="1236" spans="1:19">
      <c r="A1236" t="s">
        <v>2560</v>
      </c>
      <c r="B1236" t="s">
        <v>2561</v>
      </c>
      <c r="C1236" s="23" t="s">
        <v>4128</v>
      </c>
      <c r="D1236" s="23">
        <v>44994</v>
      </c>
      <c r="E1236" s="22">
        <v>3</v>
      </c>
      <c r="F1236" s="22">
        <v>9</v>
      </c>
      <c r="G1236" s="22">
        <v>2023</v>
      </c>
      <c r="H1236" s="23">
        <f t="shared" si="57"/>
        <v>44994</v>
      </c>
      <c r="I1236" s="25">
        <v>45004</v>
      </c>
      <c r="J1236" s="22">
        <f t="shared" si="58"/>
        <v>10</v>
      </c>
      <c r="K1236" t="s">
        <v>19</v>
      </c>
      <c r="L1236">
        <v>50688</v>
      </c>
      <c r="M1236">
        <v>801</v>
      </c>
      <c r="N1236" s="26">
        <v>1167.64</v>
      </c>
      <c r="O1236" s="26">
        <f t="shared" si="59"/>
        <v>1167.64</v>
      </c>
      <c r="P1236">
        <v>88</v>
      </c>
      <c r="Q1236" t="b">
        <v>0</v>
      </c>
      <c r="S1236" t="s">
        <v>20</v>
      </c>
    </row>
    <row r="1237" spans="1:19">
      <c r="A1237" t="s">
        <v>2562</v>
      </c>
      <c r="B1237" t="s">
        <v>2563</v>
      </c>
      <c r="C1237" s="23" t="s">
        <v>4129</v>
      </c>
      <c r="D1237" s="23">
        <v>44931</v>
      </c>
      <c r="E1237" s="22">
        <v>1</v>
      </c>
      <c r="F1237" s="22">
        <v>5</v>
      </c>
      <c r="G1237" s="22">
        <v>2023</v>
      </c>
      <c r="H1237" s="23">
        <f t="shared" si="57"/>
        <v>44931</v>
      </c>
      <c r="I1237" s="25">
        <v>44938</v>
      </c>
      <c r="J1237" s="22">
        <f t="shared" si="58"/>
        <v>7</v>
      </c>
      <c r="K1237" t="s">
        <v>41</v>
      </c>
      <c r="L1237">
        <v>74509</v>
      </c>
      <c r="M1237">
        <v>2861</v>
      </c>
      <c r="N1237" s="26">
        <v>2802.68</v>
      </c>
      <c r="O1237" s="26">
        <f t="shared" si="59"/>
        <v>2802.68</v>
      </c>
      <c r="P1237">
        <v>433</v>
      </c>
      <c r="Q1237" t="b">
        <v>1</v>
      </c>
      <c r="S1237" t="s">
        <v>42</v>
      </c>
    </row>
    <row r="1238" spans="1:19">
      <c r="A1238" t="s">
        <v>2564</v>
      </c>
      <c r="B1238" t="s">
        <v>2565</v>
      </c>
      <c r="C1238" s="23" t="s">
        <v>4131</v>
      </c>
      <c r="D1238" s="23">
        <v>45083</v>
      </c>
      <c r="E1238" s="22">
        <v>6</v>
      </c>
      <c r="F1238" s="22">
        <v>6</v>
      </c>
      <c r="G1238" s="22">
        <v>2023</v>
      </c>
      <c r="H1238" s="23">
        <f t="shared" si="57"/>
        <v>45083</v>
      </c>
      <c r="I1238" s="25">
        <v>45110</v>
      </c>
      <c r="J1238" s="22">
        <f t="shared" si="58"/>
        <v>27</v>
      </c>
      <c r="K1238" t="s">
        <v>19</v>
      </c>
      <c r="L1238">
        <v>9577</v>
      </c>
      <c r="M1238">
        <v>351</v>
      </c>
      <c r="N1238" s="26">
        <v>205.57</v>
      </c>
      <c r="O1238" s="26">
        <f t="shared" si="59"/>
        <v>205.57</v>
      </c>
      <c r="P1238">
        <v>27</v>
      </c>
      <c r="Q1238" t="b">
        <v>0</v>
      </c>
      <c r="S1238" t="s">
        <v>20</v>
      </c>
    </row>
    <row r="1239" spans="1:19">
      <c r="A1239" t="s">
        <v>2566</v>
      </c>
      <c r="B1239" t="s">
        <v>2567</v>
      </c>
      <c r="C1239" s="23" t="s">
        <v>4129</v>
      </c>
      <c r="D1239" s="23">
        <v>45067</v>
      </c>
      <c r="E1239" s="22">
        <v>5</v>
      </c>
      <c r="F1239" s="22">
        <v>21</v>
      </c>
      <c r="G1239" s="22">
        <v>2023</v>
      </c>
      <c r="H1239" s="23">
        <f t="shared" si="57"/>
        <v>45067</v>
      </c>
      <c r="I1239" s="25">
        <v>45078</v>
      </c>
      <c r="J1239" s="22">
        <f t="shared" si="58"/>
        <v>11</v>
      </c>
      <c r="K1239" t="s">
        <v>33</v>
      </c>
      <c r="L1239">
        <v>9070</v>
      </c>
      <c r="M1239">
        <v>167</v>
      </c>
      <c r="N1239" s="26">
        <v>117.98</v>
      </c>
      <c r="O1239" s="26">
        <f t="shared" si="59"/>
        <v>117.98</v>
      </c>
      <c r="P1239">
        <v>28</v>
      </c>
      <c r="Q1239" t="b">
        <v>1</v>
      </c>
      <c r="S1239" t="s">
        <v>34</v>
      </c>
    </row>
    <row r="1240" spans="1:19">
      <c r="A1240" t="s">
        <v>2568</v>
      </c>
      <c r="B1240" t="s">
        <v>2569</v>
      </c>
      <c r="C1240" s="23" t="s">
        <v>4129</v>
      </c>
      <c r="D1240" s="23">
        <v>45105</v>
      </c>
      <c r="E1240" s="22">
        <v>6</v>
      </c>
      <c r="F1240" s="22">
        <v>28</v>
      </c>
      <c r="G1240" s="22">
        <v>2023</v>
      </c>
      <c r="H1240" s="23">
        <f t="shared" si="57"/>
        <v>45105</v>
      </c>
      <c r="I1240" s="25">
        <v>45122</v>
      </c>
      <c r="J1240" s="22">
        <f t="shared" si="58"/>
        <v>17</v>
      </c>
      <c r="K1240" t="s">
        <v>19</v>
      </c>
      <c r="L1240">
        <v>9666</v>
      </c>
      <c r="M1240">
        <v>430</v>
      </c>
      <c r="N1240" s="26">
        <v>215.6</v>
      </c>
      <c r="O1240" s="26">
        <f t="shared" si="59"/>
        <v>215.6</v>
      </c>
      <c r="P1240">
        <v>29</v>
      </c>
      <c r="Q1240" t="b">
        <v>0</v>
      </c>
      <c r="S1240" t="s">
        <v>20</v>
      </c>
    </row>
    <row r="1241" spans="1:19">
      <c r="A1241" t="s">
        <v>2570</v>
      </c>
      <c r="B1241" t="s">
        <v>2571</v>
      </c>
      <c r="C1241" s="23" t="s">
        <v>4129</v>
      </c>
      <c r="D1241" s="23">
        <v>45081</v>
      </c>
      <c r="E1241" s="22">
        <v>6</v>
      </c>
      <c r="F1241" s="22">
        <v>4</v>
      </c>
      <c r="G1241" s="22">
        <v>2023</v>
      </c>
      <c r="H1241" s="23">
        <f t="shared" si="57"/>
        <v>45081</v>
      </c>
      <c r="I1241" s="25">
        <v>45103</v>
      </c>
      <c r="J1241" s="22">
        <f t="shared" si="58"/>
        <v>22</v>
      </c>
      <c r="K1241" t="s">
        <v>33</v>
      </c>
      <c r="L1241">
        <v>58761</v>
      </c>
      <c r="M1241">
        <v>1530</v>
      </c>
      <c r="N1241" s="26">
        <v>2837.9</v>
      </c>
      <c r="O1241" s="26">
        <f t="shared" si="59"/>
        <v>2837.9</v>
      </c>
      <c r="P1241">
        <v>227</v>
      </c>
      <c r="Q1241" t="b">
        <v>0</v>
      </c>
      <c r="S1241" t="s">
        <v>34</v>
      </c>
    </row>
    <row r="1242" spans="1:19">
      <c r="A1242" t="s">
        <v>2572</v>
      </c>
      <c r="B1242" t="s">
        <v>2573</v>
      </c>
      <c r="C1242" s="23" t="s">
        <v>4127</v>
      </c>
      <c r="D1242" s="23">
        <v>45130</v>
      </c>
      <c r="E1242" s="22">
        <v>7</v>
      </c>
      <c r="F1242" s="22">
        <v>23</v>
      </c>
      <c r="G1242" s="22">
        <v>2023</v>
      </c>
      <c r="H1242" s="23">
        <f t="shared" si="57"/>
        <v>45130</v>
      </c>
      <c r="I1242" s="25">
        <v>45144</v>
      </c>
      <c r="J1242" s="22">
        <f t="shared" si="58"/>
        <v>14</v>
      </c>
      <c r="K1242" t="s">
        <v>33</v>
      </c>
      <c r="L1242">
        <v>37368</v>
      </c>
      <c r="M1242">
        <v>810</v>
      </c>
      <c r="N1242" s="26">
        <v>434.91</v>
      </c>
      <c r="O1242" s="26">
        <f t="shared" si="59"/>
        <v>434.91</v>
      </c>
      <c r="P1242">
        <v>81</v>
      </c>
      <c r="Q1242" t="b">
        <v>0</v>
      </c>
      <c r="S1242" t="s">
        <v>34</v>
      </c>
    </row>
    <row r="1243" spans="1:19">
      <c r="A1243" t="s">
        <v>2574</v>
      </c>
      <c r="B1243" t="s">
        <v>2575</v>
      </c>
      <c r="C1243" s="23" t="s">
        <v>4129</v>
      </c>
      <c r="D1243" s="23">
        <v>45266</v>
      </c>
      <c r="E1243" s="22">
        <v>12</v>
      </c>
      <c r="F1243" s="22">
        <v>6</v>
      </c>
      <c r="G1243" s="22">
        <v>2023</v>
      </c>
      <c r="H1243" s="23">
        <f t="shared" si="57"/>
        <v>45266</v>
      </c>
      <c r="I1243" s="25">
        <v>45275</v>
      </c>
      <c r="J1243" s="22">
        <f t="shared" si="58"/>
        <v>9</v>
      </c>
      <c r="K1243" t="s">
        <v>41</v>
      </c>
      <c r="L1243">
        <v>7783</v>
      </c>
      <c r="M1243">
        <v>125</v>
      </c>
      <c r="N1243" s="26">
        <v>101.77</v>
      </c>
      <c r="O1243" s="26">
        <f t="shared" si="59"/>
        <v>101.77</v>
      </c>
      <c r="P1243">
        <v>20</v>
      </c>
      <c r="Q1243" t="b">
        <v>0</v>
      </c>
      <c r="S1243" t="s">
        <v>42</v>
      </c>
    </row>
    <row r="1244" spans="1:19">
      <c r="A1244" t="s">
        <v>2576</v>
      </c>
      <c r="B1244" t="s">
        <v>2577</v>
      </c>
      <c r="C1244" s="23" t="s">
        <v>4128</v>
      </c>
      <c r="D1244" s="23">
        <v>45214</v>
      </c>
      <c r="E1244" s="22">
        <v>10</v>
      </c>
      <c r="F1244" s="22">
        <v>15</v>
      </c>
      <c r="G1244" s="22">
        <v>2023</v>
      </c>
      <c r="H1244" s="23">
        <f t="shared" si="57"/>
        <v>45214</v>
      </c>
      <c r="I1244" s="25">
        <v>45223</v>
      </c>
      <c r="J1244" s="22">
        <f t="shared" si="58"/>
        <v>9</v>
      </c>
      <c r="K1244" t="s">
        <v>23</v>
      </c>
      <c r="L1244">
        <v>42914</v>
      </c>
      <c r="M1244">
        <v>886</v>
      </c>
      <c r="N1244" s="26">
        <v>996.21</v>
      </c>
      <c r="O1244" s="26">
        <f t="shared" si="59"/>
        <v>996.21</v>
      </c>
      <c r="P1244">
        <v>117</v>
      </c>
      <c r="Q1244" t="b">
        <v>1</v>
      </c>
      <c r="S1244" t="s">
        <v>25</v>
      </c>
    </row>
    <row r="1245" spans="1:19">
      <c r="A1245" t="s">
        <v>2578</v>
      </c>
      <c r="B1245" t="s">
        <v>2579</v>
      </c>
      <c r="C1245" s="23" t="s">
        <v>4128</v>
      </c>
      <c r="D1245" s="23">
        <v>45079</v>
      </c>
      <c r="E1245" s="22">
        <v>6</v>
      </c>
      <c r="F1245" s="22">
        <v>2</v>
      </c>
      <c r="G1245" s="22">
        <v>2023</v>
      </c>
      <c r="H1245" s="23">
        <f t="shared" si="57"/>
        <v>45079</v>
      </c>
      <c r="I1245" s="25">
        <v>45099</v>
      </c>
      <c r="J1245" s="22">
        <f t="shared" si="58"/>
        <v>20</v>
      </c>
      <c r="K1245" t="s">
        <v>23</v>
      </c>
      <c r="L1245">
        <v>71507</v>
      </c>
      <c r="M1245">
        <v>778</v>
      </c>
      <c r="N1245" s="26">
        <v>805.12</v>
      </c>
      <c r="O1245" s="26">
        <f t="shared" si="59"/>
        <v>805.12</v>
      </c>
      <c r="P1245">
        <v>91</v>
      </c>
      <c r="Q1245" t="b">
        <v>1</v>
      </c>
      <c r="S1245" t="s">
        <v>68</v>
      </c>
    </row>
    <row r="1246" spans="1:19">
      <c r="A1246" t="s">
        <v>2580</v>
      </c>
      <c r="B1246" t="s">
        <v>2581</v>
      </c>
      <c r="C1246" s="23" t="s">
        <v>4129</v>
      </c>
      <c r="D1246" s="23">
        <v>45099</v>
      </c>
      <c r="E1246" s="22">
        <v>6</v>
      </c>
      <c r="F1246" s="22">
        <v>22</v>
      </c>
      <c r="G1246" s="22">
        <v>2023</v>
      </c>
      <c r="H1246" s="23">
        <f t="shared" si="57"/>
        <v>45099</v>
      </c>
      <c r="I1246" s="25">
        <v>45113</v>
      </c>
      <c r="J1246" s="22">
        <f t="shared" si="58"/>
        <v>14</v>
      </c>
      <c r="K1246" t="s">
        <v>19</v>
      </c>
      <c r="L1246">
        <v>80026</v>
      </c>
      <c r="M1246">
        <v>2667</v>
      </c>
      <c r="N1246" s="26">
        <v>4980.86</v>
      </c>
      <c r="O1246" s="26">
        <f t="shared" si="59"/>
        <v>3632.575</v>
      </c>
      <c r="P1246">
        <v>201</v>
      </c>
      <c r="Q1246" t="b">
        <v>0</v>
      </c>
      <c r="S1246" t="s">
        <v>20</v>
      </c>
    </row>
    <row r="1247" spans="1:19">
      <c r="A1247" t="s">
        <v>2582</v>
      </c>
      <c r="B1247" t="s">
        <v>2583</v>
      </c>
      <c r="C1247" s="23" t="s">
        <v>4127</v>
      </c>
      <c r="D1247" s="23">
        <v>45068</v>
      </c>
      <c r="E1247" s="22">
        <v>5</v>
      </c>
      <c r="F1247" s="22">
        <v>22</v>
      </c>
      <c r="G1247" s="22">
        <v>2023</v>
      </c>
      <c r="H1247" s="23">
        <f t="shared" si="57"/>
        <v>45068</v>
      </c>
      <c r="I1247" s="25">
        <v>45090</v>
      </c>
      <c r="J1247" s="22">
        <f t="shared" si="58"/>
        <v>22</v>
      </c>
      <c r="K1247" t="s">
        <v>33</v>
      </c>
      <c r="L1247">
        <v>68526</v>
      </c>
      <c r="M1247">
        <v>2993</v>
      </c>
      <c r="N1247" s="26">
        <v>1677.38</v>
      </c>
      <c r="O1247" s="26">
        <f t="shared" si="59"/>
        <v>1677.38</v>
      </c>
      <c r="P1247">
        <v>435</v>
      </c>
      <c r="Q1247" t="b">
        <v>1</v>
      </c>
      <c r="S1247" t="s">
        <v>34</v>
      </c>
    </row>
    <row r="1248" spans="1:19">
      <c r="A1248" t="s">
        <v>2584</v>
      </c>
      <c r="B1248" t="s">
        <v>2585</v>
      </c>
      <c r="C1248" s="23" t="s">
        <v>4129</v>
      </c>
      <c r="D1248" s="23">
        <v>45260</v>
      </c>
      <c r="E1248" s="22">
        <v>11</v>
      </c>
      <c r="F1248" s="22">
        <v>30</v>
      </c>
      <c r="G1248" s="22">
        <v>2023</v>
      </c>
      <c r="H1248" s="23">
        <f t="shared" si="57"/>
        <v>45260</v>
      </c>
      <c r="I1248" s="25">
        <v>45282</v>
      </c>
      <c r="J1248" s="22">
        <f t="shared" si="58"/>
        <v>22</v>
      </c>
      <c r="K1248" t="s">
        <v>33</v>
      </c>
      <c r="L1248">
        <v>71835</v>
      </c>
      <c r="M1248">
        <v>2295</v>
      </c>
      <c r="N1248" s="26">
        <v>2910.8</v>
      </c>
      <c r="O1248" s="26">
        <f t="shared" si="59"/>
        <v>2910.8</v>
      </c>
      <c r="P1248">
        <v>450</v>
      </c>
      <c r="Q1248" t="b">
        <v>1</v>
      </c>
      <c r="S1248" t="s">
        <v>34</v>
      </c>
    </row>
    <row r="1249" spans="1:19">
      <c r="A1249" t="s">
        <v>2586</v>
      </c>
      <c r="B1249" t="s">
        <v>2587</v>
      </c>
      <c r="C1249" s="23" t="s">
        <v>4128</v>
      </c>
      <c r="D1249" s="23">
        <v>45050</v>
      </c>
      <c r="E1249" s="22">
        <v>5</v>
      </c>
      <c r="F1249" s="22">
        <v>4</v>
      </c>
      <c r="G1249" s="22">
        <v>2023</v>
      </c>
      <c r="H1249" s="23">
        <f t="shared" si="57"/>
        <v>45050</v>
      </c>
      <c r="I1249" s="25">
        <v>45057</v>
      </c>
      <c r="J1249" s="22">
        <f t="shared" si="58"/>
        <v>7</v>
      </c>
      <c r="K1249" t="s">
        <v>41</v>
      </c>
      <c r="L1249">
        <v>46765</v>
      </c>
      <c r="M1249">
        <v>877</v>
      </c>
      <c r="N1249" s="26">
        <v>1333.67</v>
      </c>
      <c r="O1249" s="26">
        <f t="shared" si="59"/>
        <v>1333.67</v>
      </c>
      <c r="P1249">
        <v>152</v>
      </c>
      <c r="Q1249" t="b">
        <v>0</v>
      </c>
      <c r="S1249" t="s">
        <v>42</v>
      </c>
    </row>
    <row r="1250" spans="1:19">
      <c r="A1250" t="s">
        <v>2588</v>
      </c>
      <c r="B1250" t="s">
        <v>2589</v>
      </c>
      <c r="C1250" s="23" t="s">
        <v>4127</v>
      </c>
      <c r="D1250" s="23">
        <v>45234</v>
      </c>
      <c r="E1250" s="22">
        <v>11</v>
      </c>
      <c r="F1250" s="22">
        <v>4</v>
      </c>
      <c r="G1250" s="22">
        <v>2023</v>
      </c>
      <c r="H1250" s="23">
        <f t="shared" si="57"/>
        <v>45234</v>
      </c>
      <c r="I1250" s="25">
        <v>45259</v>
      </c>
      <c r="J1250" s="22">
        <f t="shared" si="58"/>
        <v>25</v>
      </c>
      <c r="K1250" t="s">
        <v>14</v>
      </c>
      <c r="L1250">
        <v>20956</v>
      </c>
      <c r="M1250">
        <v>237</v>
      </c>
      <c r="N1250" s="26">
        <v>449.72</v>
      </c>
      <c r="O1250" s="26">
        <f t="shared" si="59"/>
        <v>449.72</v>
      </c>
      <c r="P1250">
        <v>13</v>
      </c>
      <c r="Q1250" t="b">
        <v>0</v>
      </c>
      <c r="S1250" t="s">
        <v>16</v>
      </c>
    </row>
    <row r="1251" spans="1:19">
      <c r="A1251" t="s">
        <v>2590</v>
      </c>
      <c r="B1251" t="s">
        <v>2591</v>
      </c>
      <c r="C1251" s="23" t="s">
        <v>4128</v>
      </c>
      <c r="D1251" s="23">
        <v>44998</v>
      </c>
      <c r="E1251" s="22">
        <v>3</v>
      </c>
      <c r="F1251" s="22">
        <v>13</v>
      </c>
      <c r="G1251" s="22">
        <v>2023</v>
      </c>
      <c r="H1251" s="23">
        <f t="shared" si="57"/>
        <v>44998</v>
      </c>
      <c r="I1251" s="25">
        <v>45018</v>
      </c>
      <c r="J1251" s="22">
        <f t="shared" si="58"/>
        <v>20</v>
      </c>
      <c r="K1251" t="s">
        <v>33</v>
      </c>
      <c r="L1251">
        <v>88895</v>
      </c>
      <c r="M1251">
        <v>1652</v>
      </c>
      <c r="N1251" s="26">
        <v>2363.28</v>
      </c>
      <c r="O1251" s="26">
        <f t="shared" si="59"/>
        <v>2363.28</v>
      </c>
      <c r="P1251">
        <v>175</v>
      </c>
      <c r="Q1251" t="b">
        <v>0</v>
      </c>
      <c r="S1251" t="s">
        <v>34</v>
      </c>
    </row>
    <row r="1252" spans="1:19">
      <c r="A1252" t="s">
        <v>2592</v>
      </c>
      <c r="B1252" t="s">
        <v>2593</v>
      </c>
      <c r="C1252" s="23" t="s">
        <v>4128</v>
      </c>
      <c r="D1252" s="23">
        <v>45078</v>
      </c>
      <c r="E1252" s="22">
        <v>6</v>
      </c>
      <c r="F1252" s="22">
        <v>1</v>
      </c>
      <c r="G1252" s="22">
        <v>2023</v>
      </c>
      <c r="H1252" s="23">
        <f t="shared" si="57"/>
        <v>45078</v>
      </c>
      <c r="I1252" s="25">
        <v>45107</v>
      </c>
      <c r="J1252" s="22">
        <f t="shared" si="58"/>
        <v>29</v>
      </c>
      <c r="K1252" t="s">
        <v>23</v>
      </c>
      <c r="L1252">
        <v>47240</v>
      </c>
      <c r="M1252">
        <v>1258</v>
      </c>
      <c r="N1252" s="26">
        <v>2145.69</v>
      </c>
      <c r="O1252" s="26">
        <f t="shared" si="59"/>
        <v>2145.69</v>
      </c>
      <c r="P1252">
        <v>237</v>
      </c>
      <c r="Q1252" t="b">
        <v>0</v>
      </c>
      <c r="S1252" t="s">
        <v>25</v>
      </c>
    </row>
    <row r="1253" spans="1:19">
      <c r="A1253" t="s">
        <v>2594</v>
      </c>
      <c r="B1253" t="s">
        <v>2595</v>
      </c>
      <c r="C1253" s="23" t="s">
        <v>4128</v>
      </c>
      <c r="D1253" s="23">
        <v>45125</v>
      </c>
      <c r="E1253" s="22">
        <v>7</v>
      </c>
      <c r="F1253" s="22">
        <v>18</v>
      </c>
      <c r="G1253" s="22">
        <v>2023</v>
      </c>
      <c r="H1253" s="23">
        <f t="shared" si="57"/>
        <v>45125</v>
      </c>
      <c r="I1253" s="25">
        <v>45151</v>
      </c>
      <c r="J1253" s="22">
        <f t="shared" si="58"/>
        <v>26</v>
      </c>
      <c r="K1253" t="s">
        <v>23</v>
      </c>
      <c r="L1253">
        <v>38148</v>
      </c>
      <c r="M1253">
        <v>1540</v>
      </c>
      <c r="N1253" s="26">
        <v>963.4</v>
      </c>
      <c r="O1253" s="26">
        <f t="shared" si="59"/>
        <v>963.4</v>
      </c>
      <c r="P1253">
        <v>193</v>
      </c>
      <c r="Q1253" t="b">
        <v>1</v>
      </c>
      <c r="S1253" t="s">
        <v>25</v>
      </c>
    </row>
    <row r="1254" spans="1:19">
      <c r="A1254" t="s">
        <v>2596</v>
      </c>
      <c r="B1254" t="s">
        <v>2597</v>
      </c>
      <c r="C1254" s="23" t="s">
        <v>4127</v>
      </c>
      <c r="D1254" s="23">
        <v>45219</v>
      </c>
      <c r="E1254" s="22">
        <v>10</v>
      </c>
      <c r="F1254" s="22">
        <v>20</v>
      </c>
      <c r="G1254" s="22">
        <v>2023</v>
      </c>
      <c r="H1254" s="23">
        <f t="shared" si="57"/>
        <v>45219</v>
      </c>
      <c r="I1254" s="25">
        <v>45224</v>
      </c>
      <c r="J1254" s="22">
        <f t="shared" si="58"/>
        <v>5</v>
      </c>
      <c r="K1254" t="s">
        <v>33</v>
      </c>
      <c r="L1254">
        <v>95270</v>
      </c>
      <c r="M1254">
        <v>1668</v>
      </c>
      <c r="N1254" s="26">
        <v>1799.62</v>
      </c>
      <c r="O1254" s="26">
        <f t="shared" si="59"/>
        <v>1799.62</v>
      </c>
      <c r="P1254">
        <v>249</v>
      </c>
      <c r="Q1254" t="b">
        <v>1</v>
      </c>
      <c r="S1254" t="s">
        <v>34</v>
      </c>
    </row>
    <row r="1255" spans="1:19">
      <c r="A1255" t="s">
        <v>2598</v>
      </c>
      <c r="B1255" t="s">
        <v>2599</v>
      </c>
      <c r="C1255" s="23" t="s">
        <v>4128</v>
      </c>
      <c r="D1255" s="23">
        <v>45292</v>
      </c>
      <c r="E1255" s="22">
        <v>1</v>
      </c>
      <c r="F1255" s="22">
        <v>1</v>
      </c>
      <c r="G1255" s="22">
        <v>2024</v>
      </c>
      <c r="H1255" s="23">
        <f t="shared" si="57"/>
        <v>45292</v>
      </c>
      <c r="I1255" s="25">
        <v>45318</v>
      </c>
      <c r="J1255" s="22">
        <f t="shared" si="58"/>
        <v>26</v>
      </c>
      <c r="K1255" t="s">
        <v>19</v>
      </c>
      <c r="L1255">
        <v>5757</v>
      </c>
      <c r="M1255">
        <v>223</v>
      </c>
      <c r="N1255" s="26">
        <v>236.59</v>
      </c>
      <c r="O1255" s="26">
        <f t="shared" si="59"/>
        <v>236.59</v>
      </c>
      <c r="P1255">
        <v>41</v>
      </c>
      <c r="Q1255" t="b">
        <v>1</v>
      </c>
      <c r="S1255" t="s">
        <v>20</v>
      </c>
    </row>
    <row r="1256" spans="1:19">
      <c r="A1256" t="s">
        <v>2600</v>
      </c>
      <c r="B1256" t="s">
        <v>2601</v>
      </c>
      <c r="C1256" s="23" t="s">
        <v>4127</v>
      </c>
      <c r="D1256" s="23">
        <v>45170</v>
      </c>
      <c r="E1256" s="22">
        <v>9</v>
      </c>
      <c r="F1256" s="22">
        <v>1</v>
      </c>
      <c r="G1256" s="22">
        <v>2023</v>
      </c>
      <c r="H1256" s="23">
        <f t="shared" si="57"/>
        <v>45170</v>
      </c>
      <c r="I1256" s="25">
        <v>45195</v>
      </c>
      <c r="J1256" s="22">
        <f t="shared" si="58"/>
        <v>25</v>
      </c>
      <c r="K1256" t="s">
        <v>41</v>
      </c>
      <c r="L1256">
        <v>20097</v>
      </c>
      <c r="M1256">
        <v>897</v>
      </c>
      <c r="N1256" s="26">
        <v>1641</v>
      </c>
      <c r="O1256" s="26">
        <f t="shared" si="59"/>
        <v>1641</v>
      </c>
      <c r="P1256">
        <v>162</v>
      </c>
      <c r="Q1256" t="b">
        <v>0</v>
      </c>
      <c r="S1256" t="s">
        <v>42</v>
      </c>
    </row>
    <row r="1257" spans="1:19">
      <c r="A1257" t="s">
        <v>2602</v>
      </c>
      <c r="B1257" t="s">
        <v>2603</v>
      </c>
      <c r="C1257" s="23" t="s">
        <v>4128</v>
      </c>
      <c r="D1257" s="23">
        <v>45186</v>
      </c>
      <c r="E1257" s="22">
        <v>9</v>
      </c>
      <c r="F1257" s="22">
        <v>17</v>
      </c>
      <c r="G1257" s="22">
        <v>2023</v>
      </c>
      <c r="H1257" s="23">
        <f t="shared" si="57"/>
        <v>45186</v>
      </c>
      <c r="I1257" s="25">
        <v>45209</v>
      </c>
      <c r="J1257" s="22">
        <f t="shared" si="58"/>
        <v>23</v>
      </c>
      <c r="K1257" t="s">
        <v>23</v>
      </c>
      <c r="L1257">
        <v>11395</v>
      </c>
      <c r="M1257">
        <v>320</v>
      </c>
      <c r="N1257" s="26">
        <v>232.66</v>
      </c>
      <c r="O1257" s="26">
        <f t="shared" si="59"/>
        <v>232.66</v>
      </c>
      <c r="P1257">
        <v>40</v>
      </c>
      <c r="Q1257" t="b">
        <v>1</v>
      </c>
      <c r="S1257" t="s">
        <v>25</v>
      </c>
    </row>
    <row r="1258" spans="1:19">
      <c r="A1258" t="s">
        <v>2604</v>
      </c>
      <c r="B1258" t="s">
        <v>2605</v>
      </c>
      <c r="C1258" s="23" t="s">
        <v>4131</v>
      </c>
      <c r="D1258" s="23">
        <v>45263</v>
      </c>
      <c r="E1258" s="22">
        <v>12</v>
      </c>
      <c r="F1258" s="22">
        <v>3</v>
      </c>
      <c r="G1258" s="22">
        <v>2023</v>
      </c>
      <c r="H1258" s="23">
        <f t="shared" si="57"/>
        <v>45263</v>
      </c>
      <c r="I1258" s="25">
        <v>45273</v>
      </c>
      <c r="J1258" s="22">
        <f t="shared" si="58"/>
        <v>10</v>
      </c>
      <c r="K1258" t="s">
        <v>14</v>
      </c>
      <c r="L1258">
        <v>17241</v>
      </c>
      <c r="M1258">
        <v>738</v>
      </c>
      <c r="N1258" s="26">
        <v>537.14</v>
      </c>
      <c r="O1258" s="26">
        <f t="shared" si="59"/>
        <v>537.14</v>
      </c>
      <c r="P1258">
        <v>0</v>
      </c>
      <c r="Q1258" t="b">
        <v>0</v>
      </c>
      <c r="S1258" t="s">
        <v>16</v>
      </c>
    </row>
    <row r="1259" spans="1:19">
      <c r="A1259" t="s">
        <v>2606</v>
      </c>
      <c r="B1259" t="s">
        <v>2607</v>
      </c>
      <c r="C1259" s="23" t="s">
        <v>4128</v>
      </c>
      <c r="D1259" s="23">
        <v>44976</v>
      </c>
      <c r="E1259" s="22">
        <v>2</v>
      </c>
      <c r="F1259" s="22">
        <v>19</v>
      </c>
      <c r="G1259" s="22">
        <v>2023</v>
      </c>
      <c r="H1259" s="23">
        <f t="shared" si="57"/>
        <v>44976</v>
      </c>
      <c r="I1259" s="25">
        <v>44983</v>
      </c>
      <c r="J1259" s="22">
        <f t="shared" si="58"/>
        <v>7</v>
      </c>
      <c r="K1259" t="s">
        <v>19</v>
      </c>
      <c r="L1259">
        <v>28696</v>
      </c>
      <c r="M1259">
        <v>923</v>
      </c>
      <c r="N1259" s="26">
        <v>916.39</v>
      </c>
      <c r="O1259" s="26">
        <f t="shared" si="59"/>
        <v>916.39</v>
      </c>
      <c r="P1259">
        <v>93</v>
      </c>
      <c r="Q1259" t="b">
        <v>0</v>
      </c>
      <c r="S1259" t="s">
        <v>20</v>
      </c>
    </row>
    <row r="1260" spans="1:19">
      <c r="A1260" t="s">
        <v>2608</v>
      </c>
      <c r="B1260" t="s">
        <v>2609</v>
      </c>
      <c r="C1260" s="23" t="s">
        <v>4127</v>
      </c>
      <c r="D1260" s="23">
        <v>45213</v>
      </c>
      <c r="E1260" s="22">
        <v>10</v>
      </c>
      <c r="F1260" s="22">
        <v>14</v>
      </c>
      <c r="G1260" s="22">
        <v>2023</v>
      </c>
      <c r="H1260" s="23">
        <f t="shared" si="57"/>
        <v>45213</v>
      </c>
      <c r="I1260" s="25">
        <v>45235</v>
      </c>
      <c r="J1260" s="22">
        <f t="shared" si="58"/>
        <v>22</v>
      </c>
      <c r="K1260" t="s">
        <v>23</v>
      </c>
      <c r="L1260">
        <v>71480</v>
      </c>
      <c r="M1260">
        <v>2536</v>
      </c>
      <c r="N1260" s="26">
        <v>1475.19</v>
      </c>
      <c r="O1260" s="26">
        <f t="shared" si="59"/>
        <v>1475.19</v>
      </c>
      <c r="P1260">
        <v>400</v>
      </c>
      <c r="Q1260" t="b">
        <v>1</v>
      </c>
      <c r="S1260" t="s">
        <v>25</v>
      </c>
    </row>
    <row r="1261" spans="1:19">
      <c r="A1261" t="s">
        <v>2610</v>
      </c>
      <c r="B1261" t="s">
        <v>2611</v>
      </c>
      <c r="C1261" s="23" t="s">
        <v>4129</v>
      </c>
      <c r="D1261" s="23">
        <v>45275</v>
      </c>
      <c r="E1261" s="22">
        <v>12</v>
      </c>
      <c r="F1261" s="22">
        <v>15</v>
      </c>
      <c r="G1261" s="22">
        <v>2023</v>
      </c>
      <c r="H1261" s="23">
        <f t="shared" si="57"/>
        <v>45275</v>
      </c>
      <c r="I1261" s="25">
        <v>45297</v>
      </c>
      <c r="J1261" s="22">
        <f t="shared" si="58"/>
        <v>22</v>
      </c>
      <c r="K1261" t="s">
        <v>23</v>
      </c>
      <c r="L1261">
        <v>47163</v>
      </c>
      <c r="M1261">
        <v>1464</v>
      </c>
      <c r="N1261" s="26">
        <v>1132.68</v>
      </c>
      <c r="O1261" s="26">
        <f t="shared" si="59"/>
        <v>1132.68</v>
      </c>
      <c r="P1261">
        <v>136</v>
      </c>
      <c r="Q1261" t="b">
        <v>1</v>
      </c>
      <c r="S1261" t="s">
        <v>25</v>
      </c>
    </row>
    <row r="1262" spans="1:19">
      <c r="A1262" t="s">
        <v>2612</v>
      </c>
      <c r="B1262" t="s">
        <v>2613</v>
      </c>
      <c r="C1262" s="23" t="s">
        <v>4127</v>
      </c>
      <c r="D1262" s="23">
        <v>45040</v>
      </c>
      <c r="E1262" s="22">
        <v>4</v>
      </c>
      <c r="F1262" s="22">
        <v>24</v>
      </c>
      <c r="G1262" s="22">
        <v>2023</v>
      </c>
      <c r="H1262" s="23">
        <f t="shared" si="57"/>
        <v>45040</v>
      </c>
      <c r="I1262" s="25">
        <v>45052</v>
      </c>
      <c r="J1262" s="22">
        <f t="shared" si="58"/>
        <v>12</v>
      </c>
      <c r="K1262" t="s">
        <v>23</v>
      </c>
      <c r="L1262">
        <v>20816</v>
      </c>
      <c r="M1262">
        <v>593</v>
      </c>
      <c r="N1262" s="26">
        <v>1155.05</v>
      </c>
      <c r="O1262" s="26">
        <f t="shared" si="59"/>
        <v>1155.05</v>
      </c>
      <c r="P1262">
        <v>51</v>
      </c>
      <c r="Q1262" t="b">
        <v>1</v>
      </c>
      <c r="S1262" t="s">
        <v>25</v>
      </c>
    </row>
    <row r="1263" spans="1:19">
      <c r="A1263" t="s">
        <v>2614</v>
      </c>
      <c r="B1263" t="s">
        <v>2615</v>
      </c>
      <c r="C1263" s="23" t="s">
        <v>4131</v>
      </c>
      <c r="D1263" s="23">
        <v>45084</v>
      </c>
      <c r="E1263" s="22">
        <v>6</v>
      </c>
      <c r="F1263" s="22">
        <v>7</v>
      </c>
      <c r="G1263" s="22">
        <v>2023</v>
      </c>
      <c r="H1263" s="23">
        <f t="shared" si="57"/>
        <v>45084</v>
      </c>
      <c r="I1263" s="25">
        <v>45107</v>
      </c>
      <c r="J1263" s="22">
        <f t="shared" si="58"/>
        <v>23</v>
      </c>
      <c r="K1263" t="s">
        <v>23</v>
      </c>
      <c r="L1263">
        <v>50840</v>
      </c>
      <c r="M1263">
        <v>985</v>
      </c>
      <c r="N1263" s="26">
        <v>1125.14</v>
      </c>
      <c r="O1263" s="26">
        <f t="shared" si="59"/>
        <v>1125.14</v>
      </c>
      <c r="P1263">
        <v>101</v>
      </c>
      <c r="Q1263" t="b">
        <v>1</v>
      </c>
      <c r="S1263" t="s">
        <v>25</v>
      </c>
    </row>
    <row r="1264" spans="1:19">
      <c r="A1264" t="s">
        <v>2616</v>
      </c>
      <c r="B1264" t="s">
        <v>2617</v>
      </c>
      <c r="C1264" s="23" t="s">
        <v>4131</v>
      </c>
      <c r="D1264" s="23">
        <v>45117</v>
      </c>
      <c r="E1264" s="22">
        <v>7</v>
      </c>
      <c r="F1264" s="22">
        <v>10</v>
      </c>
      <c r="G1264" s="22">
        <v>2023</v>
      </c>
      <c r="H1264" s="23">
        <f t="shared" si="57"/>
        <v>45117</v>
      </c>
      <c r="I1264" s="25">
        <v>45135</v>
      </c>
      <c r="J1264" s="22">
        <f t="shared" si="58"/>
        <v>18</v>
      </c>
      <c r="K1264" t="s">
        <v>41</v>
      </c>
      <c r="L1264">
        <v>53853</v>
      </c>
      <c r="M1264">
        <v>1191</v>
      </c>
      <c r="N1264" s="26">
        <v>1724.6</v>
      </c>
      <c r="O1264" s="26">
        <f t="shared" si="59"/>
        <v>1724.6</v>
      </c>
      <c r="P1264">
        <v>91</v>
      </c>
      <c r="Q1264" t="b">
        <v>0</v>
      </c>
      <c r="S1264" t="s">
        <v>42</v>
      </c>
    </row>
    <row r="1265" spans="1:19">
      <c r="A1265" t="s">
        <v>2618</v>
      </c>
      <c r="B1265" t="s">
        <v>2619</v>
      </c>
      <c r="C1265" s="23" t="s">
        <v>4129</v>
      </c>
      <c r="D1265" s="23">
        <v>44987</v>
      </c>
      <c r="E1265" s="22">
        <v>3</v>
      </c>
      <c r="F1265" s="22">
        <v>2</v>
      </c>
      <c r="G1265" s="22">
        <v>2023</v>
      </c>
      <c r="H1265" s="23">
        <f t="shared" si="57"/>
        <v>44987</v>
      </c>
      <c r="I1265" s="25">
        <v>45005</v>
      </c>
      <c r="J1265" s="22">
        <f t="shared" si="58"/>
        <v>18</v>
      </c>
      <c r="K1265" t="s">
        <v>23</v>
      </c>
      <c r="L1265">
        <v>25917</v>
      </c>
      <c r="M1265">
        <v>559</v>
      </c>
      <c r="N1265" s="26">
        <v>888.34</v>
      </c>
      <c r="O1265" s="26">
        <f t="shared" si="59"/>
        <v>888.34</v>
      </c>
      <c r="P1265">
        <v>86</v>
      </c>
      <c r="Q1265" t="b">
        <v>1</v>
      </c>
      <c r="S1265" t="s">
        <v>25</v>
      </c>
    </row>
    <row r="1266" spans="1:19">
      <c r="A1266" t="s">
        <v>2620</v>
      </c>
      <c r="B1266" t="s">
        <v>2621</v>
      </c>
      <c r="C1266" s="23" t="s">
        <v>4129</v>
      </c>
      <c r="D1266" s="23">
        <v>45225</v>
      </c>
      <c r="E1266" s="22">
        <v>10</v>
      </c>
      <c r="F1266" s="22">
        <v>26</v>
      </c>
      <c r="G1266" s="22">
        <v>2023</v>
      </c>
      <c r="H1266" s="23">
        <f t="shared" si="57"/>
        <v>45225</v>
      </c>
      <c r="I1266" s="25">
        <v>45236</v>
      </c>
      <c r="J1266" s="22">
        <f t="shared" si="58"/>
        <v>11</v>
      </c>
      <c r="K1266" t="s">
        <v>14</v>
      </c>
      <c r="L1266">
        <v>97731</v>
      </c>
      <c r="M1266">
        <v>3179</v>
      </c>
      <c r="N1266" s="26">
        <v>3339.36</v>
      </c>
      <c r="O1266" s="26">
        <f t="shared" si="59"/>
        <v>3339.36</v>
      </c>
      <c r="P1266">
        <v>0</v>
      </c>
      <c r="Q1266" t="b">
        <v>1</v>
      </c>
      <c r="S1266" t="s">
        <v>16</v>
      </c>
    </row>
    <row r="1267" spans="1:19">
      <c r="A1267" t="s">
        <v>2622</v>
      </c>
      <c r="B1267" t="s">
        <v>2623</v>
      </c>
      <c r="C1267" s="23" t="s">
        <v>4127</v>
      </c>
      <c r="D1267" s="23">
        <v>45168</v>
      </c>
      <c r="E1267" s="22">
        <v>8</v>
      </c>
      <c r="F1267" s="22">
        <v>30</v>
      </c>
      <c r="G1267" s="22">
        <v>2023</v>
      </c>
      <c r="H1267" s="23">
        <f t="shared" si="57"/>
        <v>45168</v>
      </c>
      <c r="I1267" s="25">
        <v>45175</v>
      </c>
      <c r="J1267" s="22">
        <f t="shared" si="58"/>
        <v>7</v>
      </c>
      <c r="K1267" t="s">
        <v>23</v>
      </c>
      <c r="L1267">
        <v>22566</v>
      </c>
      <c r="M1267">
        <v>333</v>
      </c>
      <c r="N1267" s="26">
        <v>240.04</v>
      </c>
      <c r="O1267" s="26">
        <f t="shared" si="59"/>
        <v>240.04</v>
      </c>
      <c r="P1267">
        <v>40</v>
      </c>
      <c r="Q1267" t="b">
        <v>1</v>
      </c>
      <c r="S1267" t="s">
        <v>25</v>
      </c>
    </row>
    <row r="1268" spans="1:19">
      <c r="A1268" t="s">
        <v>2624</v>
      </c>
      <c r="B1268" t="s">
        <v>2625</v>
      </c>
      <c r="C1268" s="23" t="s">
        <v>4127</v>
      </c>
      <c r="D1268" s="23">
        <v>45275</v>
      </c>
      <c r="E1268" s="22">
        <v>12</v>
      </c>
      <c r="F1268" s="22">
        <v>15</v>
      </c>
      <c r="G1268" s="22">
        <v>2023</v>
      </c>
      <c r="H1268" s="23">
        <f t="shared" si="57"/>
        <v>45275</v>
      </c>
      <c r="I1268" s="25">
        <v>45301</v>
      </c>
      <c r="J1268" s="22">
        <f t="shared" si="58"/>
        <v>26</v>
      </c>
      <c r="K1268" t="s">
        <v>23</v>
      </c>
      <c r="L1268">
        <v>76452</v>
      </c>
      <c r="M1268">
        <v>3568</v>
      </c>
      <c r="N1268" s="26">
        <v>2889.62</v>
      </c>
      <c r="O1268" s="26">
        <f t="shared" si="59"/>
        <v>2889.62</v>
      </c>
      <c r="P1268">
        <v>387</v>
      </c>
      <c r="Q1268" t="b">
        <v>1</v>
      </c>
      <c r="S1268" t="s">
        <v>25</v>
      </c>
    </row>
    <row r="1269" spans="1:19">
      <c r="A1269" t="s">
        <v>2626</v>
      </c>
      <c r="B1269" t="s">
        <v>2627</v>
      </c>
      <c r="C1269" s="23" t="s">
        <v>4128</v>
      </c>
      <c r="D1269" s="23">
        <v>44954</v>
      </c>
      <c r="E1269" s="22">
        <v>1</v>
      </c>
      <c r="F1269" s="22">
        <v>28</v>
      </c>
      <c r="G1269" s="22">
        <v>2023</v>
      </c>
      <c r="H1269" s="23">
        <f t="shared" si="57"/>
        <v>44954</v>
      </c>
      <c r="I1269" s="25">
        <v>44969</v>
      </c>
      <c r="J1269" s="22">
        <f t="shared" si="58"/>
        <v>15</v>
      </c>
      <c r="K1269" t="s">
        <v>33</v>
      </c>
      <c r="L1269">
        <v>63823</v>
      </c>
      <c r="M1269">
        <v>2478</v>
      </c>
      <c r="N1269" s="26">
        <v>2403.41</v>
      </c>
      <c r="O1269" s="26">
        <f t="shared" si="59"/>
        <v>2403.41</v>
      </c>
      <c r="P1269">
        <v>461</v>
      </c>
      <c r="Q1269" t="b">
        <v>0</v>
      </c>
      <c r="S1269" t="s">
        <v>34</v>
      </c>
    </row>
    <row r="1270" spans="1:19">
      <c r="A1270" t="s">
        <v>2628</v>
      </c>
      <c r="B1270" t="s">
        <v>2629</v>
      </c>
      <c r="C1270" s="23" t="s">
        <v>4131</v>
      </c>
      <c r="D1270" s="23">
        <v>45029</v>
      </c>
      <c r="E1270" s="22">
        <v>4</v>
      </c>
      <c r="F1270" s="22">
        <v>13</v>
      </c>
      <c r="G1270" s="22">
        <v>2023</v>
      </c>
      <c r="H1270" s="23">
        <f t="shared" si="57"/>
        <v>45029</v>
      </c>
      <c r="I1270" s="25">
        <v>45048</v>
      </c>
      <c r="J1270" s="22">
        <f t="shared" si="58"/>
        <v>19</v>
      </c>
      <c r="K1270" t="s">
        <v>33</v>
      </c>
      <c r="L1270">
        <v>21806</v>
      </c>
      <c r="M1270">
        <v>568</v>
      </c>
      <c r="N1270" s="26">
        <v>825.93</v>
      </c>
      <c r="O1270" s="26">
        <f t="shared" si="59"/>
        <v>825.93</v>
      </c>
      <c r="P1270">
        <v>30</v>
      </c>
      <c r="Q1270" t="b">
        <v>1</v>
      </c>
      <c r="S1270" t="s">
        <v>34</v>
      </c>
    </row>
    <row r="1271" spans="1:19">
      <c r="A1271" t="s">
        <v>2630</v>
      </c>
      <c r="B1271" t="s">
        <v>2631</v>
      </c>
      <c r="C1271" s="23" t="s">
        <v>4131</v>
      </c>
      <c r="D1271" s="23">
        <v>45161</v>
      </c>
      <c r="E1271" s="22">
        <v>8</v>
      </c>
      <c r="F1271" s="22">
        <v>23</v>
      </c>
      <c r="G1271" s="22">
        <v>2023</v>
      </c>
      <c r="H1271" s="23">
        <f t="shared" si="57"/>
        <v>45161</v>
      </c>
      <c r="I1271" s="25">
        <v>45178</v>
      </c>
      <c r="J1271" s="22">
        <f t="shared" si="58"/>
        <v>17</v>
      </c>
      <c r="K1271" t="s">
        <v>33</v>
      </c>
      <c r="L1271">
        <v>76520</v>
      </c>
      <c r="M1271">
        <v>1250</v>
      </c>
      <c r="N1271" s="26">
        <v>1371.78</v>
      </c>
      <c r="O1271" s="26">
        <f t="shared" si="59"/>
        <v>1371.78</v>
      </c>
      <c r="P1271">
        <v>206</v>
      </c>
      <c r="Q1271" t="b">
        <v>0</v>
      </c>
      <c r="S1271" t="s">
        <v>34</v>
      </c>
    </row>
    <row r="1272" spans="1:19">
      <c r="A1272" t="s">
        <v>2632</v>
      </c>
      <c r="B1272" t="s">
        <v>2633</v>
      </c>
      <c r="C1272" s="23" t="s">
        <v>4131</v>
      </c>
      <c r="D1272" s="23">
        <v>45019</v>
      </c>
      <c r="E1272" s="22">
        <v>4</v>
      </c>
      <c r="F1272" s="22">
        <v>3</v>
      </c>
      <c r="G1272" s="22">
        <v>2023</v>
      </c>
      <c r="H1272" s="23">
        <f t="shared" si="57"/>
        <v>45019</v>
      </c>
      <c r="I1272" s="25">
        <v>45025</v>
      </c>
      <c r="J1272" s="22">
        <f t="shared" si="58"/>
        <v>6</v>
      </c>
      <c r="K1272" t="s">
        <v>41</v>
      </c>
      <c r="L1272">
        <v>2759</v>
      </c>
      <c r="M1272">
        <v>124</v>
      </c>
      <c r="N1272" s="26">
        <v>63.27</v>
      </c>
      <c r="O1272" s="26">
        <f t="shared" si="59"/>
        <v>63.27</v>
      </c>
      <c r="P1272">
        <v>22</v>
      </c>
      <c r="Q1272" t="b">
        <v>1</v>
      </c>
      <c r="S1272" t="s">
        <v>42</v>
      </c>
    </row>
    <row r="1273" spans="1:19">
      <c r="A1273" t="s">
        <v>2634</v>
      </c>
      <c r="B1273" t="s">
        <v>2635</v>
      </c>
      <c r="C1273" s="23" t="s">
        <v>4131</v>
      </c>
      <c r="D1273" s="23">
        <v>45250</v>
      </c>
      <c r="E1273" s="22">
        <v>11</v>
      </c>
      <c r="F1273" s="22">
        <v>20</v>
      </c>
      <c r="G1273" s="22">
        <v>2023</v>
      </c>
      <c r="H1273" s="23">
        <f t="shared" si="57"/>
        <v>45250</v>
      </c>
      <c r="I1273" s="25">
        <v>45254</v>
      </c>
      <c r="J1273" s="22">
        <f t="shared" si="58"/>
        <v>4</v>
      </c>
      <c r="K1273" t="s">
        <v>14</v>
      </c>
      <c r="L1273">
        <v>42949</v>
      </c>
      <c r="M1273">
        <v>1844</v>
      </c>
      <c r="N1273" s="26">
        <v>2369.74</v>
      </c>
      <c r="O1273" s="26">
        <f t="shared" si="59"/>
        <v>2369.74</v>
      </c>
      <c r="P1273">
        <v>215</v>
      </c>
      <c r="Q1273" t="b">
        <v>1</v>
      </c>
      <c r="S1273" t="s">
        <v>16</v>
      </c>
    </row>
    <row r="1274" spans="1:19">
      <c r="A1274" t="s">
        <v>2636</v>
      </c>
      <c r="B1274" t="s">
        <v>2637</v>
      </c>
      <c r="C1274" s="23" t="s">
        <v>4127</v>
      </c>
      <c r="D1274" s="23" t="s">
        <v>2638</v>
      </c>
      <c r="E1274" s="22">
        <v>30</v>
      </c>
      <c r="F1274" s="22">
        <v>1</v>
      </c>
      <c r="G1274" s="22">
        <v>2023</v>
      </c>
      <c r="H1274" s="23">
        <f t="shared" si="57"/>
        <v>44956</v>
      </c>
      <c r="I1274" s="25">
        <v>44980</v>
      </c>
      <c r="J1274" s="22">
        <f t="shared" si="58"/>
        <v>24</v>
      </c>
      <c r="K1274" t="s">
        <v>41</v>
      </c>
      <c r="L1274">
        <v>93374</v>
      </c>
      <c r="M1274">
        <v>3629</v>
      </c>
      <c r="N1274" s="26">
        <v>6830.76</v>
      </c>
      <c r="O1274" s="26">
        <f t="shared" si="59"/>
        <v>3632.575</v>
      </c>
      <c r="P1274">
        <v>481</v>
      </c>
      <c r="Q1274" t="b">
        <v>1</v>
      </c>
      <c r="S1274" t="s">
        <v>42</v>
      </c>
    </row>
    <row r="1275" spans="1:19">
      <c r="A1275" t="s">
        <v>2639</v>
      </c>
      <c r="B1275" t="s">
        <v>2640</v>
      </c>
      <c r="C1275" s="23" t="s">
        <v>4129</v>
      </c>
      <c r="D1275" s="23">
        <v>45067</v>
      </c>
      <c r="E1275" s="22">
        <v>5</v>
      </c>
      <c r="F1275" s="22">
        <v>21</v>
      </c>
      <c r="G1275" s="22">
        <v>2023</v>
      </c>
      <c r="H1275" s="23">
        <f t="shared" si="57"/>
        <v>45067</v>
      </c>
      <c r="I1275" s="25">
        <v>45091</v>
      </c>
      <c r="J1275" s="22">
        <f t="shared" si="58"/>
        <v>24</v>
      </c>
      <c r="K1275" t="s">
        <v>19</v>
      </c>
      <c r="L1275">
        <v>3482</v>
      </c>
      <c r="M1275">
        <v>72</v>
      </c>
      <c r="N1275" s="26">
        <v>123.7</v>
      </c>
      <c r="O1275" s="26">
        <f t="shared" si="59"/>
        <v>123.7</v>
      </c>
      <c r="P1275">
        <v>13</v>
      </c>
      <c r="Q1275" t="b">
        <v>1</v>
      </c>
      <c r="S1275" t="s">
        <v>20</v>
      </c>
    </row>
    <row r="1276" spans="1:19">
      <c r="A1276" t="s">
        <v>2641</v>
      </c>
      <c r="B1276" t="s">
        <v>2642</v>
      </c>
      <c r="C1276" s="23" t="s">
        <v>4127</v>
      </c>
      <c r="D1276" s="23">
        <v>45222</v>
      </c>
      <c r="E1276" s="22">
        <v>10</v>
      </c>
      <c r="F1276" s="22">
        <v>23</v>
      </c>
      <c r="G1276" s="22">
        <v>2023</v>
      </c>
      <c r="H1276" s="23">
        <f t="shared" si="57"/>
        <v>45222</v>
      </c>
      <c r="I1276" s="25">
        <v>45251</v>
      </c>
      <c r="J1276" s="22">
        <f t="shared" si="58"/>
        <v>29</v>
      </c>
      <c r="K1276" t="s">
        <v>19</v>
      </c>
      <c r="L1276">
        <v>25442</v>
      </c>
      <c r="M1276">
        <v>663</v>
      </c>
      <c r="N1276" s="26">
        <v>1152.17</v>
      </c>
      <c r="O1276" s="26">
        <f t="shared" si="59"/>
        <v>1152.17</v>
      </c>
      <c r="P1276">
        <v>54</v>
      </c>
      <c r="Q1276" t="b">
        <v>0</v>
      </c>
      <c r="S1276" t="s">
        <v>20</v>
      </c>
    </row>
    <row r="1277" spans="1:19">
      <c r="A1277" t="s">
        <v>2643</v>
      </c>
      <c r="B1277" t="s">
        <v>2644</v>
      </c>
      <c r="C1277" s="23" t="s">
        <v>4131</v>
      </c>
      <c r="D1277" s="23">
        <v>44972</v>
      </c>
      <c r="E1277" s="22">
        <v>2</v>
      </c>
      <c r="F1277" s="22">
        <v>15</v>
      </c>
      <c r="G1277" s="22">
        <v>2023</v>
      </c>
      <c r="H1277" s="23">
        <f t="shared" si="57"/>
        <v>44972</v>
      </c>
      <c r="I1277" s="25">
        <v>44982</v>
      </c>
      <c r="J1277" s="22">
        <f t="shared" si="58"/>
        <v>10</v>
      </c>
      <c r="K1277" t="s">
        <v>23</v>
      </c>
      <c r="L1277">
        <v>34719</v>
      </c>
      <c r="M1277">
        <v>489</v>
      </c>
      <c r="N1277" s="26">
        <v>827.68</v>
      </c>
      <c r="O1277" s="26">
        <f t="shared" si="59"/>
        <v>827.68</v>
      </c>
      <c r="P1277">
        <v>62</v>
      </c>
      <c r="Q1277" t="b">
        <v>1</v>
      </c>
      <c r="S1277" t="s">
        <v>25</v>
      </c>
    </row>
    <row r="1278" spans="1:19">
      <c r="A1278" t="s">
        <v>2645</v>
      </c>
      <c r="B1278" t="s">
        <v>2646</v>
      </c>
      <c r="C1278" s="23" t="s">
        <v>4131</v>
      </c>
      <c r="D1278" s="23">
        <v>45146</v>
      </c>
      <c r="E1278" s="22">
        <v>8</v>
      </c>
      <c r="F1278" s="22">
        <v>8</v>
      </c>
      <c r="G1278" s="22">
        <v>2023</v>
      </c>
      <c r="H1278" s="23">
        <f t="shared" si="57"/>
        <v>45146</v>
      </c>
      <c r="I1278" s="25">
        <v>45167</v>
      </c>
      <c r="J1278" s="22">
        <f t="shared" si="58"/>
        <v>21</v>
      </c>
      <c r="K1278" t="s">
        <v>58</v>
      </c>
      <c r="L1278">
        <v>59066</v>
      </c>
      <c r="M1278">
        <v>1037</v>
      </c>
      <c r="N1278" s="26">
        <v>1022.06</v>
      </c>
      <c r="O1278" s="26">
        <f t="shared" si="59"/>
        <v>1022.06</v>
      </c>
      <c r="P1278">
        <v>125</v>
      </c>
      <c r="Q1278" t="b">
        <v>1</v>
      </c>
      <c r="S1278" t="s">
        <v>59</v>
      </c>
    </row>
    <row r="1279" spans="1:19">
      <c r="A1279" t="s">
        <v>2647</v>
      </c>
      <c r="B1279" t="s">
        <v>2648</v>
      </c>
      <c r="C1279" s="23" t="s">
        <v>4129</v>
      </c>
      <c r="D1279" s="23" t="s">
        <v>2649</v>
      </c>
      <c r="E1279" s="22">
        <v>16</v>
      </c>
      <c r="F1279" s="22">
        <v>7</v>
      </c>
      <c r="G1279" s="22">
        <v>2023</v>
      </c>
      <c r="H1279" s="23">
        <f t="shared" si="57"/>
        <v>45123</v>
      </c>
      <c r="I1279" s="25">
        <v>45131</v>
      </c>
      <c r="J1279" s="22">
        <f t="shared" si="58"/>
        <v>8</v>
      </c>
      <c r="K1279" t="s">
        <v>23</v>
      </c>
      <c r="L1279">
        <v>94501</v>
      </c>
      <c r="M1279">
        <v>3904</v>
      </c>
      <c r="N1279" s="26">
        <v>6432.98</v>
      </c>
      <c r="O1279" s="26">
        <f t="shared" si="59"/>
        <v>3632.575</v>
      </c>
      <c r="P1279">
        <v>346</v>
      </c>
      <c r="Q1279" t="b">
        <v>1</v>
      </c>
      <c r="S1279" t="s">
        <v>25</v>
      </c>
    </row>
    <row r="1280" spans="1:19">
      <c r="A1280" t="s">
        <v>2650</v>
      </c>
      <c r="B1280" t="s">
        <v>2651</v>
      </c>
      <c r="C1280" s="23" t="s">
        <v>4128</v>
      </c>
      <c r="D1280" s="23">
        <v>45200</v>
      </c>
      <c r="E1280" s="22">
        <v>10</v>
      </c>
      <c r="F1280" s="22">
        <v>1</v>
      </c>
      <c r="G1280" s="22">
        <v>2023</v>
      </c>
      <c r="H1280" s="23">
        <f t="shared" si="57"/>
        <v>45200</v>
      </c>
      <c r="I1280" s="25">
        <v>45207</v>
      </c>
      <c r="J1280" s="22">
        <f t="shared" si="58"/>
        <v>7</v>
      </c>
      <c r="K1280" t="s">
        <v>14</v>
      </c>
      <c r="L1280">
        <v>3079</v>
      </c>
      <c r="M1280">
        <v>118</v>
      </c>
      <c r="N1280" s="26">
        <v>84.34</v>
      </c>
      <c r="O1280" s="26">
        <f t="shared" si="59"/>
        <v>84.34</v>
      </c>
      <c r="P1280">
        <v>20</v>
      </c>
      <c r="Q1280" t="b">
        <v>0</v>
      </c>
      <c r="S1280" t="s">
        <v>16</v>
      </c>
    </row>
    <row r="1281" spans="1:19">
      <c r="A1281" t="s">
        <v>2652</v>
      </c>
      <c r="B1281" t="s">
        <v>2653</v>
      </c>
      <c r="C1281" s="23" t="s">
        <v>4131</v>
      </c>
      <c r="D1281" s="23">
        <v>44934</v>
      </c>
      <c r="E1281" s="22">
        <v>1</v>
      </c>
      <c r="F1281" s="22">
        <v>8</v>
      </c>
      <c r="G1281" s="22">
        <v>2023</v>
      </c>
      <c r="H1281" s="23">
        <f t="shared" si="57"/>
        <v>44934</v>
      </c>
      <c r="I1281" s="25">
        <v>44954</v>
      </c>
      <c r="J1281" s="22">
        <f t="shared" si="58"/>
        <v>20</v>
      </c>
      <c r="K1281" t="s">
        <v>14</v>
      </c>
      <c r="L1281">
        <v>3717</v>
      </c>
      <c r="M1281">
        <v>125</v>
      </c>
      <c r="N1281" s="26">
        <v>185.82</v>
      </c>
      <c r="O1281" s="26">
        <f t="shared" si="59"/>
        <v>185.82</v>
      </c>
      <c r="P1281">
        <v>23</v>
      </c>
      <c r="Q1281" t="b">
        <v>1</v>
      </c>
      <c r="S1281" t="s">
        <v>16</v>
      </c>
    </row>
    <row r="1282" spans="1:19">
      <c r="A1282" t="s">
        <v>2654</v>
      </c>
      <c r="B1282" t="s">
        <v>2655</v>
      </c>
      <c r="C1282" s="23" t="s">
        <v>4129</v>
      </c>
      <c r="D1282" s="23">
        <v>45198</v>
      </c>
      <c r="E1282" s="22">
        <v>9</v>
      </c>
      <c r="F1282" s="22">
        <v>29</v>
      </c>
      <c r="G1282" s="22">
        <v>2023</v>
      </c>
      <c r="H1282" s="23">
        <f t="shared" si="57"/>
        <v>45198</v>
      </c>
      <c r="I1282" s="25">
        <v>45224</v>
      </c>
      <c r="J1282" s="22">
        <f t="shared" si="58"/>
        <v>26</v>
      </c>
      <c r="K1282" t="s">
        <v>14</v>
      </c>
      <c r="L1282">
        <v>60676</v>
      </c>
      <c r="M1282">
        <v>2780</v>
      </c>
      <c r="N1282" s="26">
        <v>4065.34</v>
      </c>
      <c r="O1282" s="26">
        <f t="shared" si="59"/>
        <v>3632.575</v>
      </c>
      <c r="P1282">
        <v>465</v>
      </c>
      <c r="Q1282" t="b">
        <v>0</v>
      </c>
      <c r="S1282" t="s">
        <v>16</v>
      </c>
    </row>
    <row r="1283" spans="1:19">
      <c r="A1283" t="s">
        <v>2656</v>
      </c>
      <c r="B1283" t="s">
        <v>2657</v>
      </c>
      <c r="C1283" s="23" t="s">
        <v>4131</v>
      </c>
      <c r="D1283" s="23">
        <v>45247</v>
      </c>
      <c r="E1283" s="22">
        <v>11</v>
      </c>
      <c r="F1283" s="22">
        <v>17</v>
      </c>
      <c r="G1283" s="22">
        <v>2023</v>
      </c>
      <c r="H1283" s="23">
        <f t="shared" ref="H1283:H1346" si="60">IF(E1283&gt;12,DATE(G1283,F1283,E1283),D1283)</f>
        <v>45247</v>
      </c>
      <c r="I1283" s="25">
        <v>45268</v>
      </c>
      <c r="J1283" s="22">
        <f t="shared" ref="J1283:J1346" si="61">DATEDIF(H1283,I1283,"D")</f>
        <v>21</v>
      </c>
      <c r="K1283" t="s">
        <v>234</v>
      </c>
      <c r="L1283">
        <v>28952</v>
      </c>
      <c r="M1283">
        <v>964</v>
      </c>
      <c r="N1283" s="26">
        <v>518.97</v>
      </c>
      <c r="O1283" s="26">
        <f t="shared" ref="O1283:O1346" si="62">IF(N1283&lt;$W$8,$W$8,IF(N1283&gt;$W$9,$W$9,N1283))</f>
        <v>518.97</v>
      </c>
      <c r="P1283">
        <v>76</v>
      </c>
      <c r="Q1283" t="b">
        <v>0</v>
      </c>
      <c r="S1283" t="s">
        <v>16</v>
      </c>
    </row>
    <row r="1284" spans="1:19">
      <c r="A1284" t="s">
        <v>2658</v>
      </c>
      <c r="B1284" t="s">
        <v>2659</v>
      </c>
      <c r="C1284" s="23" t="s">
        <v>4131</v>
      </c>
      <c r="D1284" s="23">
        <v>45103</v>
      </c>
      <c r="E1284" s="22">
        <v>6</v>
      </c>
      <c r="F1284" s="22">
        <v>26</v>
      </c>
      <c r="G1284" s="22">
        <v>2023</v>
      </c>
      <c r="H1284" s="23">
        <f t="shared" si="60"/>
        <v>45103</v>
      </c>
      <c r="I1284" s="25">
        <v>45130</v>
      </c>
      <c r="J1284" s="22">
        <f t="shared" si="61"/>
        <v>27</v>
      </c>
      <c r="K1284" t="s">
        <v>14</v>
      </c>
      <c r="L1284">
        <v>87444</v>
      </c>
      <c r="M1284">
        <v>2507</v>
      </c>
      <c r="N1284" s="26">
        <v>4216.66</v>
      </c>
      <c r="O1284" s="26">
        <f t="shared" si="62"/>
        <v>3632.575</v>
      </c>
      <c r="P1284">
        <v>157</v>
      </c>
      <c r="Q1284" t="b">
        <v>1</v>
      </c>
      <c r="S1284" t="s">
        <v>16</v>
      </c>
    </row>
    <row r="1285" spans="1:19">
      <c r="A1285" t="s">
        <v>2660</v>
      </c>
      <c r="B1285" t="s">
        <v>2661</v>
      </c>
      <c r="C1285" s="23" t="s">
        <v>4127</v>
      </c>
      <c r="D1285" s="23">
        <v>45184</v>
      </c>
      <c r="E1285" s="22">
        <v>9</v>
      </c>
      <c r="F1285" s="22">
        <v>15</v>
      </c>
      <c r="G1285" s="22">
        <v>2023</v>
      </c>
      <c r="H1285" s="23">
        <f t="shared" si="60"/>
        <v>45184</v>
      </c>
      <c r="I1285" s="25">
        <v>45195</v>
      </c>
      <c r="J1285" s="22">
        <f t="shared" si="61"/>
        <v>11</v>
      </c>
      <c r="K1285" t="s">
        <v>19</v>
      </c>
      <c r="L1285">
        <v>43460</v>
      </c>
      <c r="M1285">
        <v>1026</v>
      </c>
      <c r="N1285" s="26">
        <v>1903.1</v>
      </c>
      <c r="O1285" s="26">
        <f t="shared" si="62"/>
        <v>1903.1</v>
      </c>
      <c r="P1285">
        <v>144</v>
      </c>
      <c r="Q1285" t="b">
        <v>1</v>
      </c>
      <c r="S1285" t="s">
        <v>20</v>
      </c>
    </row>
    <row r="1286" spans="1:19">
      <c r="A1286" t="s">
        <v>2662</v>
      </c>
      <c r="B1286" t="s">
        <v>2663</v>
      </c>
      <c r="C1286" s="23" t="s">
        <v>4131</v>
      </c>
      <c r="D1286" s="23">
        <v>44950</v>
      </c>
      <c r="E1286" s="22">
        <v>1</v>
      </c>
      <c r="F1286" s="22">
        <v>24</v>
      </c>
      <c r="G1286" s="22">
        <v>2023</v>
      </c>
      <c r="H1286" s="23">
        <f t="shared" si="60"/>
        <v>44950</v>
      </c>
      <c r="I1286" s="25">
        <v>44956</v>
      </c>
      <c r="J1286" s="22">
        <f t="shared" si="61"/>
        <v>6</v>
      </c>
      <c r="K1286" t="s">
        <v>19</v>
      </c>
      <c r="L1286">
        <v>91397</v>
      </c>
      <c r="M1286">
        <v>4352</v>
      </c>
      <c r="N1286" s="26">
        <v>3921.69</v>
      </c>
      <c r="O1286" s="26">
        <f t="shared" si="62"/>
        <v>3632.575</v>
      </c>
      <c r="P1286">
        <v>254</v>
      </c>
      <c r="Q1286" t="b">
        <v>1</v>
      </c>
      <c r="S1286" t="s">
        <v>20</v>
      </c>
    </row>
    <row r="1287" spans="1:19">
      <c r="A1287" t="s">
        <v>2664</v>
      </c>
      <c r="B1287" t="s">
        <v>2665</v>
      </c>
      <c r="C1287" s="23" t="s">
        <v>4127</v>
      </c>
      <c r="D1287" s="23">
        <v>45193</v>
      </c>
      <c r="E1287" s="22">
        <v>9</v>
      </c>
      <c r="F1287" s="22">
        <v>24</v>
      </c>
      <c r="G1287" s="22">
        <v>2023</v>
      </c>
      <c r="H1287" s="23">
        <f t="shared" si="60"/>
        <v>45193</v>
      </c>
      <c r="I1287" s="25">
        <v>45222</v>
      </c>
      <c r="J1287" s="22">
        <f t="shared" si="61"/>
        <v>29</v>
      </c>
      <c r="K1287" t="s">
        <v>23</v>
      </c>
      <c r="L1287">
        <v>73847</v>
      </c>
      <c r="M1287">
        <v>982</v>
      </c>
      <c r="N1287" s="26">
        <v>1687.65</v>
      </c>
      <c r="O1287" s="26">
        <f t="shared" si="62"/>
        <v>1687.65</v>
      </c>
      <c r="P1287">
        <v>148</v>
      </c>
      <c r="Q1287" t="b">
        <v>0</v>
      </c>
      <c r="S1287" t="s">
        <v>25</v>
      </c>
    </row>
    <row r="1288" spans="1:19">
      <c r="A1288" t="s">
        <v>2666</v>
      </c>
      <c r="B1288" t="s">
        <v>2667</v>
      </c>
      <c r="C1288" s="23" t="s">
        <v>4131</v>
      </c>
      <c r="D1288" s="23">
        <v>45278</v>
      </c>
      <c r="E1288" s="22">
        <v>12</v>
      </c>
      <c r="F1288" s="22">
        <v>18</v>
      </c>
      <c r="G1288" s="22">
        <v>2023</v>
      </c>
      <c r="H1288" s="23">
        <f t="shared" si="60"/>
        <v>45278</v>
      </c>
      <c r="I1288" s="25">
        <v>45299</v>
      </c>
      <c r="J1288" s="22">
        <f t="shared" si="61"/>
        <v>21</v>
      </c>
      <c r="K1288" t="s">
        <v>19</v>
      </c>
      <c r="L1288">
        <v>94607</v>
      </c>
      <c r="M1288">
        <v>4468</v>
      </c>
      <c r="N1288" s="26">
        <v>2786.28</v>
      </c>
      <c r="O1288" s="26">
        <f t="shared" si="62"/>
        <v>2786.28</v>
      </c>
      <c r="P1288">
        <v>578</v>
      </c>
      <c r="Q1288" t="b">
        <v>0</v>
      </c>
      <c r="S1288" t="s">
        <v>20</v>
      </c>
    </row>
    <row r="1289" spans="1:19">
      <c r="A1289" t="s">
        <v>2668</v>
      </c>
      <c r="B1289" t="s">
        <v>2669</v>
      </c>
      <c r="C1289" s="23" t="s">
        <v>4128</v>
      </c>
      <c r="D1289" s="23">
        <v>45177</v>
      </c>
      <c r="E1289" s="22">
        <v>9</v>
      </c>
      <c r="F1289" s="22">
        <v>8</v>
      </c>
      <c r="G1289" s="22">
        <v>2023</v>
      </c>
      <c r="H1289" s="23">
        <f t="shared" si="60"/>
        <v>45177</v>
      </c>
      <c r="I1289" s="25">
        <v>45203</v>
      </c>
      <c r="J1289" s="22">
        <f t="shared" si="61"/>
        <v>26</v>
      </c>
      <c r="K1289" t="s">
        <v>33</v>
      </c>
      <c r="L1289">
        <v>90106</v>
      </c>
      <c r="M1289">
        <v>3880</v>
      </c>
      <c r="N1289" s="26">
        <v>5431.81</v>
      </c>
      <c r="O1289" s="26">
        <f t="shared" si="62"/>
        <v>3632.575</v>
      </c>
      <c r="P1289">
        <v>579</v>
      </c>
      <c r="Q1289" t="b">
        <v>1</v>
      </c>
      <c r="S1289" t="s">
        <v>34</v>
      </c>
    </row>
    <row r="1290" spans="1:19">
      <c r="A1290" t="s">
        <v>2670</v>
      </c>
      <c r="B1290" t="s">
        <v>2671</v>
      </c>
      <c r="C1290" s="23" t="s">
        <v>4131</v>
      </c>
      <c r="D1290" s="23" t="s">
        <v>2672</v>
      </c>
      <c r="E1290" s="22">
        <v>26</v>
      </c>
      <c r="F1290" s="22">
        <v>7</v>
      </c>
      <c r="G1290" s="22">
        <v>2023</v>
      </c>
      <c r="H1290" s="23">
        <f t="shared" si="60"/>
        <v>45133</v>
      </c>
      <c r="I1290" s="25">
        <v>45149</v>
      </c>
      <c r="J1290" s="22">
        <f t="shared" si="61"/>
        <v>16</v>
      </c>
      <c r="K1290" t="s">
        <v>19</v>
      </c>
      <c r="L1290">
        <v>19449</v>
      </c>
      <c r="M1290">
        <v>295</v>
      </c>
      <c r="N1290" s="26">
        <v>362.4</v>
      </c>
      <c r="O1290" s="26">
        <f t="shared" si="62"/>
        <v>362.4</v>
      </c>
      <c r="P1290">
        <v>40</v>
      </c>
      <c r="Q1290" t="b">
        <v>1</v>
      </c>
      <c r="S1290" t="s">
        <v>20</v>
      </c>
    </row>
    <row r="1291" spans="1:19">
      <c r="A1291" t="s">
        <v>2673</v>
      </c>
      <c r="B1291" t="s">
        <v>2674</v>
      </c>
      <c r="C1291" s="23" t="s">
        <v>4131</v>
      </c>
      <c r="D1291" s="23">
        <v>45041</v>
      </c>
      <c r="E1291" s="22">
        <v>4</v>
      </c>
      <c r="F1291" s="22">
        <v>25</v>
      </c>
      <c r="G1291" s="22">
        <v>2023</v>
      </c>
      <c r="H1291" s="23">
        <f t="shared" si="60"/>
        <v>45041</v>
      </c>
      <c r="I1291" s="25">
        <v>45053</v>
      </c>
      <c r="J1291" s="22">
        <f t="shared" si="61"/>
        <v>12</v>
      </c>
      <c r="K1291" t="s">
        <v>23</v>
      </c>
      <c r="L1291">
        <v>34536</v>
      </c>
      <c r="M1291">
        <v>1125</v>
      </c>
      <c r="N1291" s="26">
        <v>1483.75</v>
      </c>
      <c r="O1291" s="26">
        <f t="shared" si="62"/>
        <v>1483.75</v>
      </c>
      <c r="P1291">
        <v>127</v>
      </c>
      <c r="Q1291" t="b">
        <v>1</v>
      </c>
      <c r="S1291" t="s">
        <v>25</v>
      </c>
    </row>
    <row r="1292" spans="1:19">
      <c r="A1292" t="s">
        <v>2675</v>
      </c>
      <c r="B1292" t="s">
        <v>2676</v>
      </c>
      <c r="C1292" s="23" t="s">
        <v>4128</v>
      </c>
      <c r="D1292" s="23">
        <v>44938</v>
      </c>
      <c r="E1292" s="22">
        <v>1</v>
      </c>
      <c r="F1292" s="22">
        <v>12</v>
      </c>
      <c r="G1292" s="22">
        <v>2023</v>
      </c>
      <c r="H1292" s="23">
        <f t="shared" si="60"/>
        <v>44938</v>
      </c>
      <c r="I1292" s="25">
        <v>44946</v>
      </c>
      <c r="J1292" s="22">
        <f t="shared" si="61"/>
        <v>8</v>
      </c>
      <c r="K1292" t="s">
        <v>33</v>
      </c>
      <c r="L1292">
        <v>65077</v>
      </c>
      <c r="M1292">
        <v>2906</v>
      </c>
      <c r="N1292" s="26">
        <v>5490.33</v>
      </c>
      <c r="O1292" s="26">
        <f t="shared" si="62"/>
        <v>3632.575</v>
      </c>
      <c r="P1292">
        <v>232</v>
      </c>
      <c r="Q1292" t="b">
        <v>1</v>
      </c>
      <c r="S1292" t="s">
        <v>34</v>
      </c>
    </row>
    <row r="1293" spans="1:19">
      <c r="A1293" t="s">
        <v>2677</v>
      </c>
      <c r="B1293" t="s">
        <v>2678</v>
      </c>
      <c r="C1293" s="23" t="s">
        <v>4129</v>
      </c>
      <c r="D1293" s="23">
        <v>45114</v>
      </c>
      <c r="E1293" s="22">
        <v>7</v>
      </c>
      <c r="F1293" s="22">
        <v>7</v>
      </c>
      <c r="G1293" s="22">
        <v>2023</v>
      </c>
      <c r="H1293" s="23">
        <f t="shared" si="60"/>
        <v>45114</v>
      </c>
      <c r="I1293" s="25">
        <v>45127</v>
      </c>
      <c r="J1293" s="22">
        <f t="shared" si="61"/>
        <v>13</v>
      </c>
      <c r="K1293" t="s">
        <v>41</v>
      </c>
      <c r="L1293">
        <v>39258</v>
      </c>
      <c r="M1293">
        <v>1290</v>
      </c>
      <c r="N1293" s="26">
        <v>2331</v>
      </c>
      <c r="O1293" s="26">
        <f t="shared" si="62"/>
        <v>2331</v>
      </c>
      <c r="P1293">
        <v>123</v>
      </c>
      <c r="Q1293" t="b">
        <v>0</v>
      </c>
      <c r="S1293" t="s">
        <v>42</v>
      </c>
    </row>
    <row r="1294" spans="1:19">
      <c r="A1294" t="s">
        <v>2679</v>
      </c>
      <c r="B1294" t="s">
        <v>2680</v>
      </c>
      <c r="C1294" s="23" t="s">
        <v>4129</v>
      </c>
      <c r="D1294" s="23">
        <v>45119</v>
      </c>
      <c r="E1294" s="22">
        <v>7</v>
      </c>
      <c r="F1294" s="22">
        <v>12</v>
      </c>
      <c r="G1294" s="22">
        <v>2023</v>
      </c>
      <c r="H1294" s="23">
        <f t="shared" si="60"/>
        <v>45119</v>
      </c>
      <c r="I1294" s="25">
        <v>45135</v>
      </c>
      <c r="J1294" s="22">
        <f t="shared" si="61"/>
        <v>16</v>
      </c>
      <c r="K1294" t="s">
        <v>41</v>
      </c>
      <c r="L1294">
        <v>49302</v>
      </c>
      <c r="M1294">
        <v>2282</v>
      </c>
      <c r="N1294" s="26">
        <v>3828.34</v>
      </c>
      <c r="O1294" s="26">
        <f t="shared" si="62"/>
        <v>3632.575</v>
      </c>
      <c r="P1294">
        <v>293</v>
      </c>
      <c r="Q1294" t="b">
        <v>1</v>
      </c>
      <c r="S1294" t="s">
        <v>42</v>
      </c>
    </row>
    <row r="1295" spans="1:19">
      <c r="A1295" t="s">
        <v>2681</v>
      </c>
      <c r="B1295" t="s">
        <v>2682</v>
      </c>
      <c r="C1295" s="23" t="s">
        <v>4128</v>
      </c>
      <c r="D1295" s="23">
        <v>45200</v>
      </c>
      <c r="E1295" s="22">
        <v>10</v>
      </c>
      <c r="F1295" s="22">
        <v>1</v>
      </c>
      <c r="G1295" s="22">
        <v>2023</v>
      </c>
      <c r="H1295" s="23">
        <f t="shared" si="60"/>
        <v>45200</v>
      </c>
      <c r="I1295" s="25">
        <v>45223</v>
      </c>
      <c r="J1295" s="22">
        <f t="shared" si="61"/>
        <v>23</v>
      </c>
      <c r="K1295" t="s">
        <v>23</v>
      </c>
      <c r="L1295">
        <v>29865</v>
      </c>
      <c r="M1295">
        <v>1425</v>
      </c>
      <c r="N1295" s="26">
        <v>1297.53</v>
      </c>
      <c r="O1295" s="26">
        <f t="shared" si="62"/>
        <v>1297.53</v>
      </c>
      <c r="P1295">
        <v>210</v>
      </c>
      <c r="Q1295" t="b">
        <v>0</v>
      </c>
      <c r="S1295" t="s">
        <v>25</v>
      </c>
    </row>
    <row r="1296" spans="1:19">
      <c r="A1296" t="s">
        <v>2683</v>
      </c>
      <c r="B1296" t="s">
        <v>2684</v>
      </c>
      <c r="C1296" s="23" t="s">
        <v>4127</v>
      </c>
      <c r="D1296" s="23">
        <v>44951</v>
      </c>
      <c r="E1296" s="22">
        <v>1</v>
      </c>
      <c r="F1296" s="22">
        <v>25</v>
      </c>
      <c r="G1296" s="22">
        <v>2023</v>
      </c>
      <c r="H1296" s="23">
        <f t="shared" si="60"/>
        <v>44951</v>
      </c>
      <c r="I1296" s="25">
        <v>44960</v>
      </c>
      <c r="J1296" s="22">
        <f t="shared" si="61"/>
        <v>9</v>
      </c>
      <c r="K1296" t="s">
        <v>23</v>
      </c>
      <c r="L1296">
        <v>7645</v>
      </c>
      <c r="M1296">
        <v>205</v>
      </c>
      <c r="N1296" s="26">
        <v>382.88</v>
      </c>
      <c r="O1296" s="26">
        <f t="shared" si="62"/>
        <v>382.88</v>
      </c>
      <c r="P1296">
        <v>34</v>
      </c>
      <c r="Q1296" t="b">
        <v>1</v>
      </c>
      <c r="S1296" t="s">
        <v>25</v>
      </c>
    </row>
    <row r="1297" spans="1:19">
      <c r="A1297" t="s">
        <v>2685</v>
      </c>
      <c r="B1297" t="s">
        <v>2686</v>
      </c>
      <c r="C1297" s="23" t="s">
        <v>4129</v>
      </c>
      <c r="D1297" s="23">
        <v>45231</v>
      </c>
      <c r="E1297" s="22">
        <v>11</v>
      </c>
      <c r="F1297" s="22">
        <v>1</v>
      </c>
      <c r="G1297" s="22">
        <v>2023</v>
      </c>
      <c r="H1297" s="23">
        <f t="shared" si="60"/>
        <v>45231</v>
      </c>
      <c r="I1297" s="25">
        <v>44967</v>
      </c>
      <c r="J1297" s="22">
        <f t="shared" si="61"/>
        <v>-264</v>
      </c>
      <c r="K1297" t="s">
        <v>19</v>
      </c>
      <c r="L1297">
        <v>39000</v>
      </c>
      <c r="M1297">
        <v>978</v>
      </c>
      <c r="N1297" s="26">
        <v>632.04</v>
      </c>
      <c r="O1297" s="26">
        <f t="shared" si="62"/>
        <v>632.04</v>
      </c>
      <c r="P1297">
        <v>0</v>
      </c>
      <c r="Q1297" t="b">
        <v>1</v>
      </c>
      <c r="S1297" t="s">
        <v>20</v>
      </c>
    </row>
    <row r="1298" spans="1:19">
      <c r="A1298" t="s">
        <v>2687</v>
      </c>
      <c r="B1298" t="s">
        <v>2688</v>
      </c>
      <c r="C1298" s="23" t="s">
        <v>4129</v>
      </c>
      <c r="D1298" s="23">
        <v>44986</v>
      </c>
      <c r="E1298" s="22">
        <v>3</v>
      </c>
      <c r="F1298" s="22">
        <v>1</v>
      </c>
      <c r="G1298" s="22">
        <v>2023</v>
      </c>
      <c r="H1298" s="23">
        <f t="shared" si="60"/>
        <v>44986</v>
      </c>
      <c r="I1298" s="25">
        <v>45005</v>
      </c>
      <c r="J1298" s="22">
        <f t="shared" si="61"/>
        <v>19</v>
      </c>
      <c r="K1298" t="s">
        <v>41</v>
      </c>
      <c r="L1298">
        <v>27737</v>
      </c>
      <c r="M1298">
        <v>1316</v>
      </c>
      <c r="N1298" s="26">
        <v>2342.47</v>
      </c>
      <c r="O1298" s="26">
        <f t="shared" si="62"/>
        <v>2342.47</v>
      </c>
      <c r="P1298">
        <v>257</v>
      </c>
      <c r="Q1298" t="b">
        <v>1</v>
      </c>
      <c r="S1298" t="s">
        <v>68</v>
      </c>
    </row>
    <row r="1299" spans="1:19">
      <c r="A1299" t="s">
        <v>2689</v>
      </c>
      <c r="B1299" t="s">
        <v>2690</v>
      </c>
      <c r="C1299" s="23" t="s">
        <v>4129</v>
      </c>
      <c r="D1299" s="23">
        <v>45207</v>
      </c>
      <c r="E1299" s="22">
        <v>10</v>
      </c>
      <c r="F1299" s="22">
        <v>8</v>
      </c>
      <c r="G1299" s="22">
        <v>2023</v>
      </c>
      <c r="H1299" s="23">
        <f t="shared" si="60"/>
        <v>45207</v>
      </c>
      <c r="I1299" s="25">
        <v>45222</v>
      </c>
      <c r="J1299" s="22">
        <f t="shared" si="61"/>
        <v>15</v>
      </c>
      <c r="K1299" t="s">
        <v>14</v>
      </c>
      <c r="L1299">
        <v>12485</v>
      </c>
      <c r="M1299">
        <v>462</v>
      </c>
      <c r="N1299" s="26">
        <v>458.41</v>
      </c>
      <c r="O1299" s="26">
        <f t="shared" si="62"/>
        <v>458.41</v>
      </c>
      <c r="P1299">
        <v>42</v>
      </c>
      <c r="Q1299" t="b">
        <v>0</v>
      </c>
      <c r="S1299" t="s">
        <v>16</v>
      </c>
    </row>
    <row r="1300" spans="1:19">
      <c r="A1300" t="s">
        <v>2691</v>
      </c>
      <c r="B1300" t="s">
        <v>2692</v>
      </c>
      <c r="C1300" s="23" t="s">
        <v>4127</v>
      </c>
      <c r="D1300" s="23">
        <v>45032</v>
      </c>
      <c r="E1300" s="22">
        <v>4</v>
      </c>
      <c r="F1300" s="22">
        <v>16</v>
      </c>
      <c r="G1300" s="22">
        <v>2023</v>
      </c>
      <c r="H1300" s="23">
        <f t="shared" si="60"/>
        <v>45032</v>
      </c>
      <c r="I1300" s="25">
        <v>45050</v>
      </c>
      <c r="J1300" s="22">
        <f t="shared" si="61"/>
        <v>18</v>
      </c>
      <c r="K1300" t="s">
        <v>23</v>
      </c>
      <c r="L1300">
        <v>39565</v>
      </c>
      <c r="M1300">
        <v>579</v>
      </c>
      <c r="N1300" s="26">
        <v>336.2</v>
      </c>
      <c r="O1300" s="26">
        <f t="shared" si="62"/>
        <v>336.2</v>
      </c>
      <c r="P1300">
        <v>35</v>
      </c>
      <c r="Q1300" t="b">
        <v>0</v>
      </c>
      <c r="S1300" t="s">
        <v>25</v>
      </c>
    </row>
    <row r="1301" spans="1:19">
      <c r="A1301" t="s">
        <v>2693</v>
      </c>
      <c r="B1301" t="s">
        <v>2694</v>
      </c>
      <c r="C1301" s="23" t="s">
        <v>4131</v>
      </c>
      <c r="D1301" s="23">
        <v>45081</v>
      </c>
      <c r="E1301" s="22">
        <v>6</v>
      </c>
      <c r="F1301" s="22">
        <v>4</v>
      </c>
      <c r="G1301" s="22">
        <v>2023</v>
      </c>
      <c r="H1301" s="23">
        <f t="shared" si="60"/>
        <v>45081</v>
      </c>
      <c r="I1301" s="25">
        <v>45092</v>
      </c>
      <c r="J1301" s="22">
        <f t="shared" si="61"/>
        <v>11</v>
      </c>
      <c r="K1301" t="s">
        <v>19</v>
      </c>
      <c r="L1301">
        <v>26522</v>
      </c>
      <c r="M1301">
        <v>310</v>
      </c>
      <c r="N1301" s="26">
        <v>466.25</v>
      </c>
      <c r="O1301" s="26">
        <f t="shared" si="62"/>
        <v>466.25</v>
      </c>
      <c r="P1301">
        <v>31</v>
      </c>
      <c r="Q1301" t="b">
        <v>0</v>
      </c>
      <c r="S1301" t="s">
        <v>20</v>
      </c>
    </row>
    <row r="1302" spans="1:19">
      <c r="A1302" t="s">
        <v>2695</v>
      </c>
      <c r="B1302" t="s">
        <v>2696</v>
      </c>
      <c r="C1302" s="23" t="s">
        <v>4128</v>
      </c>
      <c r="D1302" s="23">
        <v>45193</v>
      </c>
      <c r="E1302" s="22">
        <v>9</v>
      </c>
      <c r="F1302" s="22">
        <v>24</v>
      </c>
      <c r="G1302" s="22">
        <v>2023</v>
      </c>
      <c r="H1302" s="23">
        <f t="shared" si="60"/>
        <v>45193</v>
      </c>
      <c r="I1302" s="25">
        <v>45198</v>
      </c>
      <c r="J1302" s="22">
        <f t="shared" si="61"/>
        <v>5</v>
      </c>
      <c r="K1302" t="s">
        <v>23</v>
      </c>
      <c r="L1302">
        <v>66155</v>
      </c>
      <c r="M1302">
        <v>2155</v>
      </c>
      <c r="N1302" s="26">
        <v>1825.11</v>
      </c>
      <c r="O1302" s="26">
        <f t="shared" si="62"/>
        <v>1825.11</v>
      </c>
      <c r="P1302">
        <v>348</v>
      </c>
      <c r="Q1302" t="b">
        <v>1</v>
      </c>
      <c r="S1302" t="s">
        <v>25</v>
      </c>
    </row>
    <row r="1303" spans="1:19">
      <c r="A1303" t="s">
        <v>2697</v>
      </c>
      <c r="B1303" t="s">
        <v>2698</v>
      </c>
      <c r="C1303" s="23" t="s">
        <v>4129</v>
      </c>
      <c r="D1303" s="23">
        <v>44997</v>
      </c>
      <c r="E1303" s="22">
        <v>3</v>
      </c>
      <c r="F1303" s="22">
        <v>12</v>
      </c>
      <c r="G1303" s="22">
        <v>2023</v>
      </c>
      <c r="H1303" s="23">
        <f t="shared" si="60"/>
        <v>44997</v>
      </c>
      <c r="I1303" s="25">
        <v>45006</v>
      </c>
      <c r="J1303" s="22">
        <f t="shared" si="61"/>
        <v>9</v>
      </c>
      <c r="K1303" t="s">
        <v>33</v>
      </c>
      <c r="L1303">
        <v>56168</v>
      </c>
      <c r="M1303">
        <v>2651</v>
      </c>
      <c r="N1303" s="26">
        <v>2294.06</v>
      </c>
      <c r="O1303" s="26">
        <f t="shared" si="62"/>
        <v>2294.06</v>
      </c>
      <c r="P1303">
        <v>306</v>
      </c>
      <c r="Q1303" t="b">
        <v>0</v>
      </c>
      <c r="S1303" t="s">
        <v>34</v>
      </c>
    </row>
    <row r="1304" spans="1:19">
      <c r="A1304" t="s">
        <v>2699</v>
      </c>
      <c r="B1304" t="s">
        <v>2700</v>
      </c>
      <c r="C1304" s="23" t="s">
        <v>4131</v>
      </c>
      <c r="D1304" s="23">
        <v>45188</v>
      </c>
      <c r="E1304" s="22">
        <v>9</v>
      </c>
      <c r="F1304" s="22">
        <v>19</v>
      </c>
      <c r="G1304" s="22">
        <v>2023</v>
      </c>
      <c r="H1304" s="23">
        <f t="shared" si="60"/>
        <v>45188</v>
      </c>
      <c r="I1304" s="25">
        <v>45208</v>
      </c>
      <c r="J1304" s="22">
        <f t="shared" si="61"/>
        <v>20</v>
      </c>
      <c r="K1304" t="s">
        <v>33</v>
      </c>
      <c r="L1304">
        <v>53487</v>
      </c>
      <c r="M1304">
        <v>2341</v>
      </c>
      <c r="N1304" s="26">
        <v>2245.18</v>
      </c>
      <c r="O1304" s="26">
        <f t="shared" si="62"/>
        <v>2245.18</v>
      </c>
      <c r="P1304">
        <v>404</v>
      </c>
      <c r="Q1304" t="b">
        <v>1</v>
      </c>
      <c r="S1304" t="s">
        <v>34</v>
      </c>
    </row>
    <row r="1305" spans="1:19">
      <c r="A1305" t="s">
        <v>2701</v>
      </c>
      <c r="B1305" t="s">
        <v>2702</v>
      </c>
      <c r="C1305" s="23" t="s">
        <v>4128</v>
      </c>
      <c r="D1305" s="23">
        <v>44985</v>
      </c>
      <c r="E1305" s="22">
        <v>2</v>
      </c>
      <c r="F1305" s="22">
        <v>28</v>
      </c>
      <c r="G1305" s="22">
        <v>2023</v>
      </c>
      <c r="H1305" s="23">
        <f t="shared" si="60"/>
        <v>44985</v>
      </c>
      <c r="I1305" s="25">
        <v>44988</v>
      </c>
      <c r="J1305" s="22">
        <f t="shared" si="61"/>
        <v>3</v>
      </c>
      <c r="K1305" t="s">
        <v>33</v>
      </c>
      <c r="L1305">
        <v>13342</v>
      </c>
      <c r="M1305">
        <v>494</v>
      </c>
      <c r="N1305" s="26">
        <v>294.19</v>
      </c>
      <c r="O1305" s="26">
        <f t="shared" si="62"/>
        <v>294.19</v>
      </c>
      <c r="P1305">
        <v>65</v>
      </c>
      <c r="Q1305" t="b">
        <v>0</v>
      </c>
      <c r="S1305" t="s">
        <v>34</v>
      </c>
    </row>
    <row r="1306" spans="1:19">
      <c r="A1306" t="s">
        <v>2703</v>
      </c>
      <c r="B1306" t="s">
        <v>2704</v>
      </c>
      <c r="C1306" s="23" t="s">
        <v>4131</v>
      </c>
      <c r="D1306" s="23">
        <v>45238</v>
      </c>
      <c r="E1306" s="22">
        <v>11</v>
      </c>
      <c r="F1306" s="22">
        <v>8</v>
      </c>
      <c r="G1306" s="22">
        <v>2023</v>
      </c>
      <c r="H1306" s="23">
        <f t="shared" si="60"/>
        <v>45238</v>
      </c>
      <c r="I1306" s="25">
        <v>45247</v>
      </c>
      <c r="J1306" s="22">
        <f t="shared" si="61"/>
        <v>9</v>
      </c>
      <c r="K1306" t="s">
        <v>23</v>
      </c>
      <c r="L1306">
        <v>41806</v>
      </c>
      <c r="M1306">
        <v>650</v>
      </c>
      <c r="N1306" s="26">
        <v>497.7</v>
      </c>
      <c r="O1306" s="26">
        <f t="shared" si="62"/>
        <v>497.7</v>
      </c>
      <c r="P1306">
        <v>123</v>
      </c>
      <c r="Q1306" t="b">
        <v>0</v>
      </c>
      <c r="S1306" t="s">
        <v>25</v>
      </c>
    </row>
    <row r="1307" spans="1:19">
      <c r="A1307" t="s">
        <v>2705</v>
      </c>
      <c r="B1307" t="s">
        <v>2706</v>
      </c>
      <c r="C1307" s="23" t="s">
        <v>4131</v>
      </c>
      <c r="D1307" s="23">
        <v>45194</v>
      </c>
      <c r="E1307" s="22">
        <v>9</v>
      </c>
      <c r="F1307" s="22">
        <v>25</v>
      </c>
      <c r="G1307" s="22">
        <v>2023</v>
      </c>
      <c r="H1307" s="23">
        <f t="shared" si="60"/>
        <v>45194</v>
      </c>
      <c r="I1307" s="25">
        <v>45198</v>
      </c>
      <c r="J1307" s="22">
        <f t="shared" si="61"/>
        <v>4</v>
      </c>
      <c r="K1307" t="s">
        <v>23</v>
      </c>
      <c r="L1307">
        <v>49770</v>
      </c>
      <c r="M1307">
        <v>1003</v>
      </c>
      <c r="N1307" s="26">
        <v>509.23</v>
      </c>
      <c r="O1307" s="26">
        <f t="shared" si="62"/>
        <v>509.23</v>
      </c>
      <c r="P1307">
        <v>192</v>
      </c>
      <c r="Q1307" t="b">
        <v>1</v>
      </c>
      <c r="S1307" t="s">
        <v>25</v>
      </c>
    </row>
    <row r="1308" spans="1:19">
      <c r="A1308" t="s">
        <v>2707</v>
      </c>
      <c r="B1308" t="s">
        <v>2708</v>
      </c>
      <c r="C1308" s="23" t="s">
        <v>4127</v>
      </c>
      <c r="D1308" s="23">
        <v>45136</v>
      </c>
      <c r="E1308" s="22">
        <v>7</v>
      </c>
      <c r="F1308" s="22">
        <v>29</v>
      </c>
      <c r="G1308" s="22">
        <v>2023</v>
      </c>
      <c r="H1308" s="23">
        <f t="shared" si="60"/>
        <v>45136</v>
      </c>
      <c r="I1308" s="25">
        <v>45149</v>
      </c>
      <c r="J1308" s="22">
        <f t="shared" si="61"/>
        <v>13</v>
      </c>
      <c r="K1308" t="s">
        <v>14</v>
      </c>
      <c r="L1308">
        <v>79623</v>
      </c>
      <c r="M1308">
        <v>3584</v>
      </c>
      <c r="N1308" s="26">
        <v>4186.52</v>
      </c>
      <c r="O1308" s="26">
        <f t="shared" si="62"/>
        <v>3632.575</v>
      </c>
      <c r="P1308">
        <v>216</v>
      </c>
      <c r="Q1308" t="b">
        <v>0</v>
      </c>
      <c r="S1308" t="s">
        <v>16</v>
      </c>
    </row>
    <row r="1309" spans="1:19">
      <c r="A1309" t="s">
        <v>2709</v>
      </c>
      <c r="B1309" t="s">
        <v>2710</v>
      </c>
      <c r="C1309" s="23" t="s">
        <v>4129</v>
      </c>
      <c r="D1309" s="23">
        <v>45181</v>
      </c>
      <c r="E1309" s="22">
        <v>9</v>
      </c>
      <c r="F1309" s="22">
        <v>12</v>
      </c>
      <c r="G1309" s="22">
        <v>2023</v>
      </c>
      <c r="H1309" s="23">
        <f t="shared" si="60"/>
        <v>45181</v>
      </c>
      <c r="I1309" s="25">
        <v>45208</v>
      </c>
      <c r="J1309" s="22">
        <f t="shared" si="61"/>
        <v>27</v>
      </c>
      <c r="K1309" t="s">
        <v>19</v>
      </c>
      <c r="L1309">
        <v>76629</v>
      </c>
      <c r="M1309">
        <v>1326</v>
      </c>
      <c r="N1309" s="26">
        <v>830.58</v>
      </c>
      <c r="O1309" s="26">
        <f t="shared" si="62"/>
        <v>830.58</v>
      </c>
      <c r="P1309">
        <v>157</v>
      </c>
      <c r="Q1309" t="b">
        <v>0</v>
      </c>
      <c r="S1309" t="s">
        <v>20</v>
      </c>
    </row>
    <row r="1310" spans="1:19">
      <c r="A1310" t="s">
        <v>2711</v>
      </c>
      <c r="B1310" t="s">
        <v>2712</v>
      </c>
      <c r="C1310" s="23" t="s">
        <v>4131</v>
      </c>
      <c r="D1310" s="23">
        <v>45173</v>
      </c>
      <c r="E1310" s="22">
        <v>9</v>
      </c>
      <c r="F1310" s="22">
        <v>4</v>
      </c>
      <c r="G1310" s="22">
        <v>2023</v>
      </c>
      <c r="H1310" s="23">
        <f t="shared" si="60"/>
        <v>45173</v>
      </c>
      <c r="I1310" s="25">
        <v>45043</v>
      </c>
      <c r="J1310" s="22">
        <f t="shared" si="61"/>
        <v>-130</v>
      </c>
      <c r="K1310" t="s">
        <v>33</v>
      </c>
      <c r="L1310">
        <v>53603</v>
      </c>
      <c r="M1310">
        <v>1133</v>
      </c>
      <c r="N1310" s="26">
        <v>1726.67</v>
      </c>
      <c r="O1310" s="26">
        <f t="shared" si="62"/>
        <v>1726.67</v>
      </c>
      <c r="P1310">
        <v>160</v>
      </c>
      <c r="Q1310" t="b">
        <v>1</v>
      </c>
      <c r="S1310" t="s">
        <v>68</v>
      </c>
    </row>
    <row r="1311" spans="1:19">
      <c r="A1311" t="s">
        <v>2713</v>
      </c>
      <c r="B1311" t="s">
        <v>2714</v>
      </c>
      <c r="C1311" s="23" t="s">
        <v>4129</v>
      </c>
      <c r="D1311" s="23">
        <v>45211</v>
      </c>
      <c r="E1311" s="22">
        <v>10</v>
      </c>
      <c r="F1311" s="22">
        <v>12</v>
      </c>
      <c r="G1311" s="22">
        <v>2023</v>
      </c>
      <c r="H1311" s="23">
        <f t="shared" si="60"/>
        <v>45211</v>
      </c>
      <c r="I1311" s="25">
        <v>45283</v>
      </c>
      <c r="J1311" s="22">
        <f t="shared" si="61"/>
        <v>72</v>
      </c>
      <c r="K1311" t="s">
        <v>14</v>
      </c>
      <c r="L1311">
        <v>82974</v>
      </c>
      <c r="M1311">
        <v>1259</v>
      </c>
      <c r="N1311" s="26">
        <v>1074.47</v>
      </c>
      <c r="O1311" s="26">
        <f t="shared" si="62"/>
        <v>1074.47</v>
      </c>
      <c r="P1311">
        <v>111</v>
      </c>
      <c r="Q1311" t="b">
        <v>0</v>
      </c>
      <c r="S1311" t="s">
        <v>16</v>
      </c>
    </row>
    <row r="1312" spans="1:19">
      <c r="A1312" t="s">
        <v>2715</v>
      </c>
      <c r="B1312" t="s">
        <v>2716</v>
      </c>
      <c r="C1312" s="23" t="s">
        <v>4128</v>
      </c>
      <c r="D1312" s="23">
        <v>44983</v>
      </c>
      <c r="E1312" s="22">
        <v>2</v>
      </c>
      <c r="F1312" s="22">
        <v>26</v>
      </c>
      <c r="G1312" s="22">
        <v>2023</v>
      </c>
      <c r="H1312" s="23">
        <f t="shared" si="60"/>
        <v>44983</v>
      </c>
      <c r="I1312" s="25">
        <v>44984</v>
      </c>
      <c r="J1312" s="22">
        <f t="shared" si="61"/>
        <v>1</v>
      </c>
      <c r="K1312" t="s">
        <v>14</v>
      </c>
      <c r="L1312">
        <v>27399</v>
      </c>
      <c r="M1312">
        <v>1014</v>
      </c>
      <c r="N1312" s="26">
        <v>1942.18</v>
      </c>
      <c r="O1312" s="26">
        <f t="shared" si="62"/>
        <v>1942.18</v>
      </c>
      <c r="P1312">
        <v>112</v>
      </c>
      <c r="Q1312" t="b">
        <v>0</v>
      </c>
      <c r="S1312" t="s">
        <v>16</v>
      </c>
    </row>
    <row r="1313" spans="1:19">
      <c r="A1313" t="s">
        <v>2717</v>
      </c>
      <c r="B1313" t="s">
        <v>2718</v>
      </c>
      <c r="C1313" s="23" t="s">
        <v>4127</v>
      </c>
      <c r="D1313" s="23">
        <v>45003</v>
      </c>
      <c r="E1313" s="22">
        <v>3</v>
      </c>
      <c r="F1313" s="22">
        <v>18</v>
      </c>
      <c r="G1313" s="22">
        <v>2023</v>
      </c>
      <c r="H1313" s="23">
        <f t="shared" si="60"/>
        <v>45003</v>
      </c>
      <c r="I1313" s="25">
        <v>45006</v>
      </c>
      <c r="J1313" s="22">
        <f t="shared" si="61"/>
        <v>3</v>
      </c>
      <c r="K1313" t="s">
        <v>19</v>
      </c>
      <c r="L1313">
        <v>86382</v>
      </c>
      <c r="M1313">
        <v>4125</v>
      </c>
      <c r="N1313" s="26">
        <v>7453.37</v>
      </c>
      <c r="O1313" s="26">
        <f t="shared" si="62"/>
        <v>3632.575</v>
      </c>
      <c r="P1313">
        <v>625</v>
      </c>
      <c r="Q1313" t="b">
        <v>0</v>
      </c>
      <c r="S1313" t="s">
        <v>68</v>
      </c>
    </row>
    <row r="1314" spans="1:19">
      <c r="A1314" t="s">
        <v>2719</v>
      </c>
      <c r="B1314" t="s">
        <v>2720</v>
      </c>
      <c r="C1314" s="23" t="s">
        <v>4131</v>
      </c>
      <c r="D1314" s="23">
        <v>44965</v>
      </c>
      <c r="E1314" s="22">
        <v>2</v>
      </c>
      <c r="F1314" s="22">
        <v>8</v>
      </c>
      <c r="G1314" s="22">
        <v>2023</v>
      </c>
      <c r="H1314" s="23">
        <f t="shared" si="60"/>
        <v>44965</v>
      </c>
      <c r="I1314" s="25">
        <v>44972</v>
      </c>
      <c r="J1314" s="22">
        <f t="shared" si="61"/>
        <v>7</v>
      </c>
      <c r="K1314" t="s">
        <v>23</v>
      </c>
      <c r="L1314">
        <v>82244</v>
      </c>
      <c r="M1314">
        <v>1707</v>
      </c>
      <c r="N1314" s="26">
        <v>1594.61</v>
      </c>
      <c r="O1314" s="26">
        <f t="shared" si="62"/>
        <v>1594.61</v>
      </c>
      <c r="P1314">
        <v>143</v>
      </c>
      <c r="Q1314" t="b">
        <v>1</v>
      </c>
      <c r="S1314" t="s">
        <v>25</v>
      </c>
    </row>
    <row r="1315" spans="1:19">
      <c r="A1315" t="s">
        <v>2721</v>
      </c>
      <c r="B1315" t="s">
        <v>2722</v>
      </c>
      <c r="C1315" s="23" t="s">
        <v>4129</v>
      </c>
      <c r="D1315" s="23">
        <v>45058</v>
      </c>
      <c r="E1315" s="22">
        <v>5</v>
      </c>
      <c r="F1315" s="22">
        <v>12</v>
      </c>
      <c r="G1315" s="22">
        <v>2023</v>
      </c>
      <c r="H1315" s="23">
        <f t="shared" si="60"/>
        <v>45058</v>
      </c>
      <c r="I1315" s="25">
        <v>45084</v>
      </c>
      <c r="J1315" s="22">
        <f t="shared" si="61"/>
        <v>26</v>
      </c>
      <c r="K1315" t="s">
        <v>41</v>
      </c>
      <c r="L1315">
        <v>77534</v>
      </c>
      <c r="M1315">
        <v>2249</v>
      </c>
      <c r="N1315" s="26">
        <v>3766.68</v>
      </c>
      <c r="O1315" s="26">
        <f t="shared" si="62"/>
        <v>3632.575</v>
      </c>
      <c r="P1315">
        <v>315</v>
      </c>
      <c r="Q1315" t="b">
        <v>0</v>
      </c>
      <c r="S1315" t="s">
        <v>42</v>
      </c>
    </row>
    <row r="1316" spans="1:19">
      <c r="A1316" t="s">
        <v>2723</v>
      </c>
      <c r="B1316" t="s">
        <v>2724</v>
      </c>
      <c r="C1316" s="23" t="s">
        <v>4129</v>
      </c>
      <c r="D1316" s="23">
        <v>45078</v>
      </c>
      <c r="E1316" s="22">
        <v>6</v>
      </c>
      <c r="F1316" s="22">
        <v>1</v>
      </c>
      <c r="G1316" s="22">
        <v>2023</v>
      </c>
      <c r="H1316" s="23">
        <f t="shared" si="60"/>
        <v>45078</v>
      </c>
      <c r="I1316" s="25">
        <v>44962</v>
      </c>
      <c r="J1316" s="22">
        <f t="shared" si="61"/>
        <v>-116</v>
      </c>
      <c r="K1316" t="s">
        <v>19</v>
      </c>
      <c r="L1316">
        <v>56106</v>
      </c>
      <c r="M1316">
        <v>1984</v>
      </c>
      <c r="N1316" s="26">
        <v>3382.46</v>
      </c>
      <c r="O1316" s="26">
        <f t="shared" si="62"/>
        <v>3382.46</v>
      </c>
      <c r="P1316">
        <v>306</v>
      </c>
      <c r="Q1316" t="b">
        <v>0</v>
      </c>
      <c r="S1316" t="s">
        <v>20</v>
      </c>
    </row>
    <row r="1317" spans="1:19">
      <c r="A1317" t="s">
        <v>2725</v>
      </c>
      <c r="B1317" t="s">
        <v>2726</v>
      </c>
      <c r="C1317" s="23" t="s">
        <v>4127</v>
      </c>
      <c r="D1317" s="23">
        <v>45016</v>
      </c>
      <c r="E1317" s="22">
        <v>3</v>
      </c>
      <c r="F1317" s="22">
        <v>31</v>
      </c>
      <c r="G1317" s="22">
        <v>2023</v>
      </c>
      <c r="H1317" s="23">
        <f t="shared" si="60"/>
        <v>45016</v>
      </c>
      <c r="I1317" s="25">
        <v>45025</v>
      </c>
      <c r="J1317" s="22">
        <f t="shared" si="61"/>
        <v>9</v>
      </c>
      <c r="K1317" t="s">
        <v>41</v>
      </c>
      <c r="L1317">
        <v>31678</v>
      </c>
      <c r="M1317">
        <v>1583</v>
      </c>
      <c r="N1317" s="26">
        <v>3134.09</v>
      </c>
      <c r="O1317" s="26">
        <f t="shared" si="62"/>
        <v>3134.09</v>
      </c>
      <c r="P1317">
        <v>100</v>
      </c>
      <c r="Q1317" t="b">
        <v>0</v>
      </c>
      <c r="S1317" t="s">
        <v>42</v>
      </c>
    </row>
    <row r="1318" spans="1:19">
      <c r="A1318" t="s">
        <v>2727</v>
      </c>
      <c r="B1318" t="s">
        <v>2728</v>
      </c>
      <c r="C1318" s="23" t="s">
        <v>4129</v>
      </c>
      <c r="D1318" s="23">
        <v>45111</v>
      </c>
      <c r="E1318" s="22">
        <v>7</v>
      </c>
      <c r="F1318" s="22">
        <v>4</v>
      </c>
      <c r="G1318" s="22">
        <v>2023</v>
      </c>
      <c r="H1318" s="23">
        <f t="shared" si="60"/>
        <v>45111</v>
      </c>
      <c r="I1318" s="25">
        <v>45141</v>
      </c>
      <c r="J1318" s="22">
        <f t="shared" si="61"/>
        <v>30</v>
      </c>
      <c r="K1318" t="s">
        <v>138</v>
      </c>
      <c r="L1318">
        <v>77218</v>
      </c>
      <c r="M1318">
        <v>1095</v>
      </c>
      <c r="N1318" s="26">
        <v>1529.45</v>
      </c>
      <c r="O1318" s="26">
        <f t="shared" si="62"/>
        <v>1529.45</v>
      </c>
      <c r="P1318">
        <v>136</v>
      </c>
      <c r="Q1318" t="b">
        <v>0</v>
      </c>
      <c r="S1318" t="s">
        <v>139</v>
      </c>
    </row>
    <row r="1319" spans="1:19">
      <c r="A1319" t="s">
        <v>2729</v>
      </c>
      <c r="B1319" t="s">
        <v>2730</v>
      </c>
      <c r="C1319" s="23" t="s">
        <v>4128</v>
      </c>
      <c r="D1319" s="23">
        <v>44929</v>
      </c>
      <c r="E1319" s="22">
        <v>1</v>
      </c>
      <c r="F1319" s="22">
        <v>3</v>
      </c>
      <c r="G1319" s="22">
        <v>2023</v>
      </c>
      <c r="H1319" s="23">
        <f t="shared" si="60"/>
        <v>44929</v>
      </c>
      <c r="I1319" s="25">
        <v>45002</v>
      </c>
      <c r="J1319" s="22">
        <f t="shared" si="61"/>
        <v>73</v>
      </c>
      <c r="K1319" t="s">
        <v>14</v>
      </c>
      <c r="L1319">
        <v>64230</v>
      </c>
      <c r="M1319">
        <v>1923</v>
      </c>
      <c r="N1319" s="26">
        <v>-1197.93</v>
      </c>
      <c r="O1319" s="26">
        <f t="shared" si="62"/>
        <v>-344.195</v>
      </c>
      <c r="P1319">
        <v>172</v>
      </c>
      <c r="Q1319" t="b">
        <v>1</v>
      </c>
      <c r="S1319" t="s">
        <v>16</v>
      </c>
    </row>
    <row r="1320" spans="1:19">
      <c r="A1320" t="s">
        <v>2731</v>
      </c>
      <c r="B1320" t="s">
        <v>2732</v>
      </c>
      <c r="C1320" s="23" t="s">
        <v>4127</v>
      </c>
      <c r="D1320" s="23" t="s">
        <v>2733</v>
      </c>
      <c r="E1320" s="22">
        <v>24</v>
      </c>
      <c r="F1320" s="22">
        <v>1</v>
      </c>
      <c r="G1320" s="22">
        <v>2023</v>
      </c>
      <c r="H1320" s="23">
        <f t="shared" si="60"/>
        <v>44950</v>
      </c>
      <c r="I1320" s="25">
        <v>44965</v>
      </c>
      <c r="J1320" s="22">
        <f t="shared" si="61"/>
        <v>15</v>
      </c>
      <c r="K1320" t="s">
        <v>23</v>
      </c>
      <c r="L1320">
        <v>75055</v>
      </c>
      <c r="M1320">
        <v>1906</v>
      </c>
      <c r="N1320" s="26">
        <v>2802.31</v>
      </c>
      <c r="O1320" s="26">
        <f t="shared" si="62"/>
        <v>2802.31</v>
      </c>
      <c r="P1320">
        <v>302</v>
      </c>
      <c r="Q1320" t="b">
        <v>1</v>
      </c>
      <c r="S1320" t="s">
        <v>25</v>
      </c>
    </row>
    <row r="1321" spans="1:19">
      <c r="A1321" t="s">
        <v>2734</v>
      </c>
      <c r="B1321" t="s">
        <v>2735</v>
      </c>
      <c r="C1321" s="23" t="s">
        <v>4131</v>
      </c>
      <c r="D1321" s="23">
        <v>44997</v>
      </c>
      <c r="E1321" s="22">
        <v>3</v>
      </c>
      <c r="F1321" s="22">
        <v>12</v>
      </c>
      <c r="G1321" s="22">
        <v>2023</v>
      </c>
      <c r="H1321" s="23">
        <f t="shared" si="60"/>
        <v>44997</v>
      </c>
      <c r="I1321" s="25">
        <v>45027</v>
      </c>
      <c r="J1321" s="22">
        <f t="shared" si="61"/>
        <v>30</v>
      </c>
      <c r="K1321" t="s">
        <v>58</v>
      </c>
      <c r="L1321">
        <v>57373</v>
      </c>
      <c r="M1321">
        <v>2560</v>
      </c>
      <c r="N1321" s="26">
        <v>3679.92</v>
      </c>
      <c r="O1321" s="26">
        <f t="shared" si="62"/>
        <v>3632.575</v>
      </c>
      <c r="P1321">
        <v>200</v>
      </c>
      <c r="Q1321" t="b">
        <v>0</v>
      </c>
      <c r="S1321" t="s">
        <v>59</v>
      </c>
    </row>
    <row r="1322" spans="1:19">
      <c r="A1322" t="s">
        <v>2736</v>
      </c>
      <c r="B1322" t="s">
        <v>2737</v>
      </c>
      <c r="C1322" s="23" t="s">
        <v>4129</v>
      </c>
      <c r="D1322" s="23">
        <v>45110</v>
      </c>
      <c r="E1322" s="22">
        <v>7</v>
      </c>
      <c r="F1322" s="22">
        <v>3</v>
      </c>
      <c r="G1322" s="22">
        <v>2023</v>
      </c>
      <c r="H1322" s="23">
        <f t="shared" si="60"/>
        <v>45110</v>
      </c>
      <c r="I1322" s="25">
        <v>45128</v>
      </c>
      <c r="J1322" s="22">
        <f t="shared" si="61"/>
        <v>18</v>
      </c>
      <c r="K1322" t="s">
        <v>19</v>
      </c>
      <c r="L1322">
        <v>32480</v>
      </c>
      <c r="M1322">
        <v>943</v>
      </c>
      <c r="N1322" s="26">
        <v>1374.45</v>
      </c>
      <c r="O1322" s="26">
        <f t="shared" si="62"/>
        <v>1374.45</v>
      </c>
      <c r="P1322">
        <v>173</v>
      </c>
      <c r="Q1322" t="b">
        <v>1</v>
      </c>
      <c r="S1322" t="s">
        <v>20</v>
      </c>
    </row>
    <row r="1323" spans="1:19">
      <c r="A1323" t="s">
        <v>2738</v>
      </c>
      <c r="B1323" t="s">
        <v>2739</v>
      </c>
      <c r="C1323" s="23" t="s">
        <v>4127</v>
      </c>
      <c r="D1323" s="23">
        <v>45064</v>
      </c>
      <c r="E1323" s="22">
        <v>5</v>
      </c>
      <c r="F1323" s="22">
        <v>18</v>
      </c>
      <c r="G1323" s="22">
        <v>2023</v>
      </c>
      <c r="H1323" s="23">
        <f t="shared" si="60"/>
        <v>45064</v>
      </c>
      <c r="I1323" s="25">
        <v>45083</v>
      </c>
      <c r="J1323" s="22">
        <f t="shared" si="61"/>
        <v>19</v>
      </c>
      <c r="K1323" t="s">
        <v>33</v>
      </c>
      <c r="L1323">
        <v>86230</v>
      </c>
      <c r="M1323">
        <v>1245</v>
      </c>
      <c r="N1323" s="26">
        <v>1196.09</v>
      </c>
      <c r="O1323" s="26">
        <f t="shared" si="62"/>
        <v>1196.09</v>
      </c>
      <c r="P1323">
        <v>142</v>
      </c>
      <c r="Q1323" t="b">
        <v>1</v>
      </c>
      <c r="S1323" t="s">
        <v>34</v>
      </c>
    </row>
    <row r="1324" spans="1:19">
      <c r="A1324" t="s">
        <v>2740</v>
      </c>
      <c r="B1324" t="s">
        <v>2741</v>
      </c>
      <c r="C1324" s="23" t="s">
        <v>4127</v>
      </c>
      <c r="D1324" s="23">
        <v>45102</v>
      </c>
      <c r="E1324" s="22">
        <v>6</v>
      </c>
      <c r="F1324" s="22">
        <v>25</v>
      </c>
      <c r="G1324" s="22">
        <v>2023</v>
      </c>
      <c r="H1324" s="23">
        <f t="shared" si="60"/>
        <v>45102</v>
      </c>
      <c r="I1324" s="25">
        <v>45129</v>
      </c>
      <c r="J1324" s="22">
        <f t="shared" si="61"/>
        <v>27</v>
      </c>
      <c r="K1324" t="s">
        <v>41</v>
      </c>
      <c r="L1324">
        <v>69836</v>
      </c>
      <c r="M1324">
        <v>2470</v>
      </c>
      <c r="N1324" s="26">
        <v>4420.11</v>
      </c>
      <c r="O1324" s="26">
        <f t="shared" si="62"/>
        <v>3632.575</v>
      </c>
      <c r="P1324">
        <v>196</v>
      </c>
      <c r="Q1324" t="b">
        <v>1</v>
      </c>
      <c r="S1324" t="s">
        <v>42</v>
      </c>
    </row>
    <row r="1325" spans="1:19">
      <c r="A1325" t="s">
        <v>2742</v>
      </c>
      <c r="B1325" t="s">
        <v>2743</v>
      </c>
      <c r="C1325" s="23" t="s">
        <v>4129</v>
      </c>
      <c r="D1325" s="23">
        <v>45160</v>
      </c>
      <c r="E1325" s="22">
        <v>8</v>
      </c>
      <c r="F1325" s="22">
        <v>22</v>
      </c>
      <c r="G1325" s="22">
        <v>2023</v>
      </c>
      <c r="H1325" s="23">
        <f t="shared" si="60"/>
        <v>45160</v>
      </c>
      <c r="I1325" s="25">
        <v>45169</v>
      </c>
      <c r="J1325" s="22">
        <f t="shared" si="61"/>
        <v>9</v>
      </c>
      <c r="K1325" t="s">
        <v>23</v>
      </c>
      <c r="L1325">
        <v>73258</v>
      </c>
      <c r="M1325">
        <v>2991</v>
      </c>
      <c r="N1325" s="26">
        <v>5800.17</v>
      </c>
      <c r="O1325" s="26">
        <f t="shared" si="62"/>
        <v>3632.575</v>
      </c>
      <c r="P1325">
        <v>346</v>
      </c>
      <c r="Q1325" t="b">
        <v>1</v>
      </c>
      <c r="S1325" t="s">
        <v>25</v>
      </c>
    </row>
    <row r="1326" spans="1:19">
      <c r="A1326" t="s">
        <v>2744</v>
      </c>
      <c r="B1326" t="s">
        <v>2745</v>
      </c>
      <c r="C1326" s="23" t="s">
        <v>4129</v>
      </c>
      <c r="D1326" s="23">
        <v>45171</v>
      </c>
      <c r="E1326" s="22">
        <v>9</v>
      </c>
      <c r="F1326" s="22">
        <v>2</v>
      </c>
      <c r="G1326" s="22">
        <v>2023</v>
      </c>
      <c r="H1326" s="23">
        <f t="shared" si="60"/>
        <v>45171</v>
      </c>
      <c r="I1326" s="25">
        <v>45188</v>
      </c>
      <c r="J1326" s="22">
        <f t="shared" si="61"/>
        <v>17</v>
      </c>
      <c r="K1326" t="s">
        <v>23</v>
      </c>
      <c r="L1326">
        <v>40986</v>
      </c>
      <c r="M1326">
        <v>414</v>
      </c>
      <c r="N1326" s="26">
        <v>342.2</v>
      </c>
      <c r="O1326" s="26">
        <f t="shared" si="62"/>
        <v>342.2</v>
      </c>
      <c r="P1326">
        <v>46</v>
      </c>
      <c r="Q1326" t="b">
        <v>0</v>
      </c>
      <c r="S1326" t="s">
        <v>25</v>
      </c>
    </row>
    <row r="1327" spans="1:19">
      <c r="A1327" t="s">
        <v>2746</v>
      </c>
      <c r="B1327" t="s">
        <v>2747</v>
      </c>
      <c r="C1327" s="23" t="s">
        <v>4131</v>
      </c>
      <c r="D1327" s="23">
        <v>45012</v>
      </c>
      <c r="E1327" s="22">
        <v>3</v>
      </c>
      <c r="F1327" s="22">
        <v>27</v>
      </c>
      <c r="G1327" s="22">
        <v>2023</v>
      </c>
      <c r="H1327" s="23">
        <f t="shared" si="60"/>
        <v>45012</v>
      </c>
      <c r="I1327" s="25">
        <v>45031</v>
      </c>
      <c r="J1327" s="22">
        <f t="shared" si="61"/>
        <v>19</v>
      </c>
      <c r="K1327" t="s">
        <v>14</v>
      </c>
      <c r="L1327">
        <v>25160</v>
      </c>
      <c r="M1327">
        <v>1116</v>
      </c>
      <c r="N1327" s="26">
        <v>705.57</v>
      </c>
      <c r="O1327" s="26">
        <f t="shared" si="62"/>
        <v>705.57</v>
      </c>
      <c r="P1327">
        <v>127</v>
      </c>
      <c r="Q1327" t="b">
        <v>1</v>
      </c>
      <c r="S1327" t="s">
        <v>16</v>
      </c>
    </row>
    <row r="1328" spans="1:19">
      <c r="A1328" t="s">
        <v>2748</v>
      </c>
      <c r="B1328" t="s">
        <v>2749</v>
      </c>
      <c r="C1328" s="23" t="s">
        <v>4128</v>
      </c>
      <c r="D1328" s="23">
        <v>44957</v>
      </c>
      <c r="E1328" s="22">
        <v>1</v>
      </c>
      <c r="F1328" s="22">
        <v>31</v>
      </c>
      <c r="G1328" s="22">
        <v>2023</v>
      </c>
      <c r="H1328" s="23">
        <f t="shared" si="60"/>
        <v>44957</v>
      </c>
      <c r="I1328" s="25">
        <v>44971</v>
      </c>
      <c r="J1328" s="22">
        <f t="shared" si="61"/>
        <v>14</v>
      </c>
      <c r="K1328" t="s">
        <v>14</v>
      </c>
      <c r="L1328">
        <v>86595</v>
      </c>
      <c r="M1328">
        <v>1510</v>
      </c>
      <c r="N1328" s="26">
        <v>1195.62</v>
      </c>
      <c r="O1328" s="26">
        <f t="shared" si="62"/>
        <v>1195.62</v>
      </c>
      <c r="P1328">
        <v>208</v>
      </c>
      <c r="Q1328" t="b">
        <v>1</v>
      </c>
      <c r="S1328" t="s">
        <v>16</v>
      </c>
    </row>
    <row r="1329" spans="1:19">
      <c r="A1329" t="s">
        <v>2750</v>
      </c>
      <c r="B1329" t="s">
        <v>2751</v>
      </c>
      <c r="C1329" s="23" t="s">
        <v>4128</v>
      </c>
      <c r="D1329" s="23">
        <v>44980</v>
      </c>
      <c r="E1329" s="22">
        <v>2</v>
      </c>
      <c r="F1329" s="22">
        <v>23</v>
      </c>
      <c r="G1329" s="22">
        <v>2023</v>
      </c>
      <c r="H1329" s="23">
        <f t="shared" si="60"/>
        <v>44980</v>
      </c>
      <c r="I1329" s="25">
        <v>44987</v>
      </c>
      <c r="J1329" s="22">
        <f t="shared" si="61"/>
        <v>7</v>
      </c>
      <c r="K1329" t="s">
        <v>14</v>
      </c>
      <c r="L1329">
        <v>80111</v>
      </c>
      <c r="M1329">
        <v>2570</v>
      </c>
      <c r="N1329" s="26">
        <v>4448.23</v>
      </c>
      <c r="O1329" s="26">
        <f t="shared" si="62"/>
        <v>3632.575</v>
      </c>
      <c r="P1329">
        <v>329</v>
      </c>
      <c r="Q1329" t="b">
        <v>1</v>
      </c>
      <c r="S1329" t="s">
        <v>68</v>
      </c>
    </row>
    <row r="1330" spans="1:19">
      <c r="A1330" t="s">
        <v>2752</v>
      </c>
      <c r="B1330" t="s">
        <v>2753</v>
      </c>
      <c r="C1330" s="23" t="s">
        <v>4128</v>
      </c>
      <c r="D1330" s="23">
        <v>45218</v>
      </c>
      <c r="E1330" s="22">
        <v>10</v>
      </c>
      <c r="F1330" s="22">
        <v>19</v>
      </c>
      <c r="G1330" s="22">
        <v>2023</v>
      </c>
      <c r="H1330" s="23">
        <f t="shared" si="60"/>
        <v>45218</v>
      </c>
      <c r="I1330" s="25">
        <v>45227</v>
      </c>
      <c r="J1330" s="22">
        <f t="shared" si="61"/>
        <v>9</v>
      </c>
      <c r="K1330" t="s">
        <v>19</v>
      </c>
      <c r="L1330">
        <v>65929</v>
      </c>
      <c r="M1330">
        <v>1755</v>
      </c>
      <c r="N1330" s="26">
        <v>2658.77</v>
      </c>
      <c r="O1330" s="26">
        <f t="shared" si="62"/>
        <v>2658.77</v>
      </c>
      <c r="P1330">
        <v>0</v>
      </c>
      <c r="Q1330" t="b">
        <v>1</v>
      </c>
      <c r="S1330" t="s">
        <v>20</v>
      </c>
    </row>
    <row r="1331" spans="1:19">
      <c r="A1331" t="s">
        <v>2754</v>
      </c>
      <c r="B1331" t="s">
        <v>2755</v>
      </c>
      <c r="C1331" s="23" t="s">
        <v>4131</v>
      </c>
      <c r="D1331" s="23">
        <v>45121</v>
      </c>
      <c r="E1331" s="22">
        <v>7</v>
      </c>
      <c r="F1331" s="22">
        <v>14</v>
      </c>
      <c r="G1331" s="22">
        <v>2023</v>
      </c>
      <c r="H1331" s="23">
        <f t="shared" si="60"/>
        <v>45121</v>
      </c>
      <c r="I1331" s="25">
        <v>45123</v>
      </c>
      <c r="J1331" s="22">
        <f t="shared" si="61"/>
        <v>2</v>
      </c>
      <c r="K1331" t="s">
        <v>14</v>
      </c>
      <c r="L1331">
        <v>74506</v>
      </c>
      <c r="M1331">
        <v>2889</v>
      </c>
      <c r="N1331" s="26">
        <v>4200.81</v>
      </c>
      <c r="O1331" s="26">
        <f t="shared" si="62"/>
        <v>3632.575</v>
      </c>
      <c r="P1331">
        <v>0</v>
      </c>
      <c r="Q1331" t="b">
        <v>1</v>
      </c>
      <c r="S1331" t="s">
        <v>16</v>
      </c>
    </row>
    <row r="1332" spans="1:19">
      <c r="A1332" t="s">
        <v>2756</v>
      </c>
      <c r="B1332" t="s">
        <v>2757</v>
      </c>
      <c r="C1332" s="23" t="s">
        <v>4131</v>
      </c>
      <c r="D1332" s="23">
        <v>45277</v>
      </c>
      <c r="E1332" s="22">
        <v>12</v>
      </c>
      <c r="F1332" s="22">
        <v>17</v>
      </c>
      <c r="G1332" s="22">
        <v>2023</v>
      </c>
      <c r="H1332" s="23">
        <f t="shared" si="60"/>
        <v>45277</v>
      </c>
      <c r="I1332" s="25">
        <v>45291</v>
      </c>
      <c r="J1332" s="22">
        <f t="shared" si="61"/>
        <v>14</v>
      </c>
      <c r="K1332" t="s">
        <v>41</v>
      </c>
      <c r="L1332">
        <v>35911</v>
      </c>
      <c r="M1332">
        <v>892</v>
      </c>
      <c r="N1332" s="26">
        <v>983.6</v>
      </c>
      <c r="O1332" s="26">
        <f t="shared" si="62"/>
        <v>983.6</v>
      </c>
      <c r="P1332">
        <v>142</v>
      </c>
      <c r="Q1332" t="b">
        <v>0</v>
      </c>
      <c r="S1332" t="s">
        <v>42</v>
      </c>
    </row>
    <row r="1333" spans="1:19">
      <c r="A1333" t="s">
        <v>2758</v>
      </c>
      <c r="B1333" t="s">
        <v>2759</v>
      </c>
      <c r="C1333" s="23" t="s">
        <v>4129</v>
      </c>
      <c r="D1333" s="23">
        <v>44993</v>
      </c>
      <c r="E1333" s="22">
        <v>3</v>
      </c>
      <c r="F1333" s="22">
        <v>8</v>
      </c>
      <c r="G1333" s="22">
        <v>2023</v>
      </c>
      <c r="H1333" s="23">
        <f t="shared" si="60"/>
        <v>44993</v>
      </c>
      <c r="I1333" s="25">
        <v>45014</v>
      </c>
      <c r="J1333" s="22">
        <f t="shared" si="61"/>
        <v>21</v>
      </c>
      <c r="K1333" t="s">
        <v>19</v>
      </c>
      <c r="L1333">
        <v>88127</v>
      </c>
      <c r="M1333">
        <v>3947</v>
      </c>
      <c r="N1333" s="26">
        <v>5394.53</v>
      </c>
      <c r="O1333" s="26">
        <f t="shared" si="62"/>
        <v>3632.575</v>
      </c>
      <c r="P1333">
        <v>528</v>
      </c>
      <c r="Q1333" t="b">
        <v>0</v>
      </c>
      <c r="S1333" t="s">
        <v>20</v>
      </c>
    </row>
    <row r="1334" spans="1:19">
      <c r="A1334" t="s">
        <v>2760</v>
      </c>
      <c r="B1334" t="s">
        <v>2761</v>
      </c>
      <c r="C1334" s="23" t="s">
        <v>4128</v>
      </c>
      <c r="D1334" s="23">
        <v>45137</v>
      </c>
      <c r="E1334" s="22">
        <v>7</v>
      </c>
      <c r="F1334" s="22">
        <v>30</v>
      </c>
      <c r="G1334" s="22">
        <v>2023</v>
      </c>
      <c r="H1334" s="23">
        <f t="shared" si="60"/>
        <v>45137</v>
      </c>
      <c r="I1334" s="25">
        <v>45153</v>
      </c>
      <c r="J1334" s="22">
        <f t="shared" si="61"/>
        <v>16</v>
      </c>
      <c r="K1334" t="s">
        <v>415</v>
      </c>
      <c r="L1334">
        <v>32821</v>
      </c>
      <c r="M1334">
        <v>1287</v>
      </c>
      <c r="N1334" s="26">
        <v>1237.85</v>
      </c>
      <c r="O1334" s="26">
        <f t="shared" si="62"/>
        <v>1237.85</v>
      </c>
      <c r="P1334">
        <v>133</v>
      </c>
      <c r="Q1334" t="b">
        <v>0</v>
      </c>
      <c r="S1334" t="s">
        <v>34</v>
      </c>
    </row>
    <row r="1335" spans="1:19">
      <c r="A1335" t="s">
        <v>2762</v>
      </c>
      <c r="B1335" t="s">
        <v>2763</v>
      </c>
      <c r="C1335" s="23" t="s">
        <v>4131</v>
      </c>
      <c r="D1335" s="23">
        <v>45262</v>
      </c>
      <c r="E1335" s="22">
        <v>12</v>
      </c>
      <c r="F1335" s="22">
        <v>2</v>
      </c>
      <c r="G1335" s="22">
        <v>2023</v>
      </c>
      <c r="H1335" s="23">
        <f t="shared" si="60"/>
        <v>45262</v>
      </c>
      <c r="I1335" s="25">
        <v>45282</v>
      </c>
      <c r="J1335" s="22">
        <f t="shared" si="61"/>
        <v>20</v>
      </c>
      <c r="K1335" t="s">
        <v>23</v>
      </c>
      <c r="L1335">
        <v>76039</v>
      </c>
      <c r="M1335">
        <v>2730</v>
      </c>
      <c r="N1335" s="26">
        <v>3319.13</v>
      </c>
      <c r="O1335" s="26">
        <f t="shared" si="62"/>
        <v>3319.13</v>
      </c>
      <c r="P1335">
        <v>467</v>
      </c>
      <c r="Q1335" t="b">
        <v>0</v>
      </c>
      <c r="S1335" t="s">
        <v>25</v>
      </c>
    </row>
    <row r="1336" spans="1:19">
      <c r="A1336" t="s">
        <v>2764</v>
      </c>
      <c r="B1336" t="s">
        <v>2765</v>
      </c>
      <c r="C1336" s="23" t="s">
        <v>4129</v>
      </c>
      <c r="D1336" s="23">
        <v>45274</v>
      </c>
      <c r="E1336" s="22">
        <v>12</v>
      </c>
      <c r="F1336" s="22">
        <v>14</v>
      </c>
      <c r="G1336" s="22">
        <v>2023</v>
      </c>
      <c r="H1336" s="23">
        <f t="shared" si="60"/>
        <v>45274</v>
      </c>
      <c r="I1336" s="25">
        <v>45278</v>
      </c>
      <c r="J1336" s="22">
        <f t="shared" si="61"/>
        <v>4</v>
      </c>
      <c r="K1336" t="s">
        <v>33</v>
      </c>
      <c r="L1336">
        <v>61535</v>
      </c>
      <c r="M1336">
        <v>2575</v>
      </c>
      <c r="N1336" s="26">
        <v>4350.71</v>
      </c>
      <c r="O1336" s="26">
        <f t="shared" si="62"/>
        <v>3632.575</v>
      </c>
      <c r="P1336">
        <v>278</v>
      </c>
      <c r="Q1336" t="b">
        <v>1</v>
      </c>
      <c r="S1336" t="s">
        <v>34</v>
      </c>
    </row>
    <row r="1337" spans="1:19">
      <c r="A1337" t="s">
        <v>2766</v>
      </c>
      <c r="B1337" t="s">
        <v>2767</v>
      </c>
      <c r="C1337" s="23" t="s">
        <v>4131</v>
      </c>
      <c r="D1337" s="23">
        <v>45216</v>
      </c>
      <c r="E1337" s="22">
        <v>10</v>
      </c>
      <c r="F1337" s="22">
        <v>17</v>
      </c>
      <c r="G1337" s="22">
        <v>2023</v>
      </c>
      <c r="H1337" s="23">
        <f t="shared" si="60"/>
        <v>45216</v>
      </c>
      <c r="I1337" s="25">
        <v>45232</v>
      </c>
      <c r="J1337" s="22">
        <f t="shared" si="61"/>
        <v>16</v>
      </c>
      <c r="K1337" t="s">
        <v>14</v>
      </c>
      <c r="L1337">
        <v>85458</v>
      </c>
      <c r="M1337">
        <v>3432</v>
      </c>
      <c r="N1337" s="26">
        <v>6767.43</v>
      </c>
      <c r="O1337" s="26">
        <f t="shared" si="62"/>
        <v>3632.575</v>
      </c>
      <c r="P1337">
        <v>581</v>
      </c>
      <c r="Q1337" t="b">
        <v>0</v>
      </c>
      <c r="S1337" t="s">
        <v>16</v>
      </c>
    </row>
    <row r="1338" spans="1:19">
      <c r="A1338" t="s">
        <v>2768</v>
      </c>
      <c r="B1338" t="s">
        <v>2769</v>
      </c>
      <c r="C1338" s="23" t="s">
        <v>4128</v>
      </c>
      <c r="D1338" s="23">
        <v>45100</v>
      </c>
      <c r="E1338" s="22">
        <v>6</v>
      </c>
      <c r="F1338" s="22">
        <v>23</v>
      </c>
      <c r="G1338" s="22">
        <v>2023</v>
      </c>
      <c r="H1338" s="23">
        <f t="shared" si="60"/>
        <v>45100</v>
      </c>
      <c r="I1338" s="25">
        <v>45114</v>
      </c>
      <c r="J1338" s="22">
        <f t="shared" si="61"/>
        <v>14</v>
      </c>
      <c r="K1338" t="s">
        <v>33</v>
      </c>
      <c r="L1338">
        <v>13175</v>
      </c>
      <c r="M1338">
        <v>150</v>
      </c>
      <c r="N1338" s="26">
        <v>284.81</v>
      </c>
      <c r="O1338" s="26">
        <f t="shared" si="62"/>
        <v>284.81</v>
      </c>
      <c r="P1338">
        <v>0</v>
      </c>
      <c r="Q1338" t="b">
        <v>0</v>
      </c>
      <c r="S1338" t="s">
        <v>34</v>
      </c>
    </row>
    <row r="1339" spans="1:19">
      <c r="A1339" t="s">
        <v>2770</v>
      </c>
      <c r="B1339" t="s">
        <v>2771</v>
      </c>
      <c r="C1339" s="23" t="s">
        <v>4129</v>
      </c>
      <c r="D1339" s="23" t="s">
        <v>2772</v>
      </c>
      <c r="E1339" s="22">
        <v>13</v>
      </c>
      <c r="F1339" s="22">
        <v>11</v>
      </c>
      <c r="G1339" s="22">
        <v>2023</v>
      </c>
      <c r="H1339" s="23">
        <f t="shared" si="60"/>
        <v>45243</v>
      </c>
      <c r="I1339" s="25">
        <v>45256</v>
      </c>
      <c r="J1339" s="22">
        <f t="shared" si="61"/>
        <v>13</v>
      </c>
      <c r="K1339" t="s">
        <v>23</v>
      </c>
      <c r="L1339">
        <v>55771</v>
      </c>
      <c r="M1339">
        <v>1438</v>
      </c>
      <c r="N1339" s="26">
        <v>2733.35</v>
      </c>
      <c r="O1339" s="26">
        <f t="shared" si="62"/>
        <v>2733.35</v>
      </c>
      <c r="P1339">
        <v>87</v>
      </c>
      <c r="Q1339" t="b">
        <v>1</v>
      </c>
      <c r="S1339" t="s">
        <v>25</v>
      </c>
    </row>
    <row r="1340" spans="1:19">
      <c r="A1340" t="s">
        <v>2773</v>
      </c>
      <c r="B1340" t="s">
        <v>2774</v>
      </c>
      <c r="C1340" s="23" t="s">
        <v>4127</v>
      </c>
      <c r="D1340" s="23">
        <v>45265</v>
      </c>
      <c r="E1340" s="22">
        <v>12</v>
      </c>
      <c r="F1340" s="22">
        <v>5</v>
      </c>
      <c r="G1340" s="22">
        <v>2023</v>
      </c>
      <c r="H1340" s="23">
        <f t="shared" si="60"/>
        <v>45265</v>
      </c>
      <c r="I1340" s="25">
        <v>45276</v>
      </c>
      <c r="J1340" s="22">
        <f t="shared" si="61"/>
        <v>11</v>
      </c>
      <c r="K1340" t="s">
        <v>19</v>
      </c>
      <c r="L1340">
        <v>87925</v>
      </c>
      <c r="M1340">
        <v>4152</v>
      </c>
      <c r="N1340" s="26">
        <v>4581.05</v>
      </c>
      <c r="O1340" s="26">
        <f t="shared" si="62"/>
        <v>3632.575</v>
      </c>
      <c r="P1340">
        <v>788</v>
      </c>
      <c r="Q1340" t="b">
        <v>1</v>
      </c>
      <c r="S1340" t="s">
        <v>20</v>
      </c>
    </row>
    <row r="1341" spans="1:19">
      <c r="A1341" t="s">
        <v>2775</v>
      </c>
      <c r="B1341" t="s">
        <v>2776</v>
      </c>
      <c r="C1341" s="23" t="s">
        <v>4128</v>
      </c>
      <c r="D1341" s="23">
        <v>45266</v>
      </c>
      <c r="E1341" s="22">
        <v>12</v>
      </c>
      <c r="F1341" s="22">
        <v>6</v>
      </c>
      <c r="G1341" s="22">
        <v>2023</v>
      </c>
      <c r="H1341" s="23">
        <f t="shared" si="60"/>
        <v>45266</v>
      </c>
      <c r="I1341" s="25">
        <v>45261</v>
      </c>
      <c r="J1341" s="22">
        <f t="shared" si="61"/>
        <v>-5</v>
      </c>
      <c r="K1341" t="s">
        <v>19</v>
      </c>
      <c r="L1341">
        <v>67358</v>
      </c>
      <c r="M1341">
        <v>1012</v>
      </c>
      <c r="N1341" s="26">
        <v>1217.62</v>
      </c>
      <c r="O1341" s="26">
        <f t="shared" si="62"/>
        <v>1217.62</v>
      </c>
      <c r="P1341">
        <v>110</v>
      </c>
      <c r="Q1341" t="b">
        <v>0</v>
      </c>
      <c r="S1341" t="s">
        <v>20</v>
      </c>
    </row>
    <row r="1342" spans="1:19">
      <c r="A1342" t="s">
        <v>2777</v>
      </c>
      <c r="B1342" t="s">
        <v>2778</v>
      </c>
      <c r="C1342" s="23" t="s">
        <v>4129</v>
      </c>
      <c r="D1342" s="23">
        <v>45212</v>
      </c>
      <c r="E1342" s="22">
        <v>10</v>
      </c>
      <c r="F1342" s="22">
        <v>13</v>
      </c>
      <c r="G1342" s="22">
        <v>2023</v>
      </c>
      <c r="H1342" s="23">
        <f t="shared" si="60"/>
        <v>45212</v>
      </c>
      <c r="I1342" s="25">
        <v>45217</v>
      </c>
      <c r="J1342" s="22">
        <f t="shared" si="61"/>
        <v>5</v>
      </c>
      <c r="K1342" t="s">
        <v>14</v>
      </c>
      <c r="L1342">
        <v>18327</v>
      </c>
      <c r="M1342">
        <v>723</v>
      </c>
      <c r="N1342" s="26">
        <v>1126.76</v>
      </c>
      <c r="O1342" s="26">
        <f t="shared" si="62"/>
        <v>1126.76</v>
      </c>
      <c r="P1342">
        <v>122</v>
      </c>
      <c r="Q1342" t="b">
        <v>1</v>
      </c>
      <c r="S1342" t="s">
        <v>16</v>
      </c>
    </row>
    <row r="1343" spans="1:19">
      <c r="A1343" t="s">
        <v>2779</v>
      </c>
      <c r="B1343" t="s">
        <v>2780</v>
      </c>
      <c r="C1343" s="23" t="s">
        <v>4127</v>
      </c>
      <c r="D1343" s="23">
        <v>44932</v>
      </c>
      <c r="E1343" s="22">
        <v>1</v>
      </c>
      <c r="F1343" s="22">
        <v>6</v>
      </c>
      <c r="G1343" s="22">
        <v>2023</v>
      </c>
      <c r="H1343" s="23">
        <f t="shared" si="60"/>
        <v>44932</v>
      </c>
      <c r="I1343" s="25">
        <v>44938</v>
      </c>
      <c r="J1343" s="22">
        <f t="shared" si="61"/>
        <v>6</v>
      </c>
      <c r="K1343" t="s">
        <v>19</v>
      </c>
      <c r="L1343">
        <v>48057</v>
      </c>
      <c r="M1343">
        <v>2354</v>
      </c>
      <c r="N1343" s="26">
        <v>4433.26</v>
      </c>
      <c r="O1343" s="26">
        <f t="shared" si="62"/>
        <v>3632.575</v>
      </c>
      <c r="P1343">
        <v>216</v>
      </c>
      <c r="Q1343" t="b">
        <v>0</v>
      </c>
      <c r="S1343" t="s">
        <v>20</v>
      </c>
    </row>
    <row r="1344" spans="1:19">
      <c r="A1344" t="s">
        <v>2781</v>
      </c>
      <c r="B1344" t="s">
        <v>2782</v>
      </c>
      <c r="C1344" s="23" t="s">
        <v>4131</v>
      </c>
      <c r="D1344" s="23">
        <v>45167</v>
      </c>
      <c r="E1344" s="22">
        <v>8</v>
      </c>
      <c r="F1344" s="22">
        <v>29</v>
      </c>
      <c r="G1344" s="22">
        <v>2023</v>
      </c>
      <c r="H1344" s="23">
        <f t="shared" si="60"/>
        <v>45167</v>
      </c>
      <c r="I1344" s="25">
        <v>45171</v>
      </c>
      <c r="J1344" s="22">
        <f t="shared" si="61"/>
        <v>4</v>
      </c>
      <c r="K1344" t="s">
        <v>14</v>
      </c>
      <c r="L1344">
        <v>7150</v>
      </c>
      <c r="M1344">
        <v>86</v>
      </c>
      <c r="N1344" s="26">
        <v>61.32</v>
      </c>
      <c r="O1344" s="26">
        <f t="shared" si="62"/>
        <v>61.32</v>
      </c>
      <c r="P1344">
        <v>12</v>
      </c>
      <c r="Q1344" t="b">
        <v>0</v>
      </c>
      <c r="S1344" t="s">
        <v>16</v>
      </c>
    </row>
    <row r="1345" spans="1:19">
      <c r="A1345" t="s">
        <v>2783</v>
      </c>
      <c r="B1345" t="s">
        <v>2784</v>
      </c>
      <c r="C1345" s="23" t="s">
        <v>4128</v>
      </c>
      <c r="D1345" s="23">
        <v>44965</v>
      </c>
      <c r="E1345" s="22">
        <v>2</v>
      </c>
      <c r="F1345" s="22">
        <v>8</v>
      </c>
      <c r="G1345" s="22">
        <v>2023</v>
      </c>
      <c r="H1345" s="23">
        <f t="shared" si="60"/>
        <v>44965</v>
      </c>
      <c r="I1345" s="25">
        <v>44977</v>
      </c>
      <c r="J1345" s="22">
        <f t="shared" si="61"/>
        <v>12</v>
      </c>
      <c r="K1345" t="s">
        <v>19</v>
      </c>
      <c r="L1345">
        <v>5425</v>
      </c>
      <c r="M1345">
        <v>202</v>
      </c>
      <c r="N1345" s="26">
        <v>193.19</v>
      </c>
      <c r="O1345" s="26">
        <f t="shared" si="62"/>
        <v>193.19</v>
      </c>
      <c r="P1345">
        <v>36</v>
      </c>
      <c r="Q1345" t="b">
        <v>1</v>
      </c>
      <c r="S1345" t="s">
        <v>20</v>
      </c>
    </row>
    <row r="1346" spans="1:19">
      <c r="A1346" t="s">
        <v>2785</v>
      </c>
      <c r="B1346" t="s">
        <v>2786</v>
      </c>
      <c r="C1346" s="23" t="s">
        <v>4129</v>
      </c>
      <c r="D1346" s="23">
        <v>45096</v>
      </c>
      <c r="E1346" s="22">
        <v>6</v>
      </c>
      <c r="F1346" s="22">
        <v>19</v>
      </c>
      <c r="G1346" s="22">
        <v>2023</v>
      </c>
      <c r="H1346" s="23">
        <f t="shared" si="60"/>
        <v>45096</v>
      </c>
      <c r="I1346" s="25">
        <v>45121</v>
      </c>
      <c r="J1346" s="22">
        <f t="shared" si="61"/>
        <v>25</v>
      </c>
      <c r="K1346" t="s">
        <v>33</v>
      </c>
      <c r="L1346">
        <v>17032</v>
      </c>
      <c r="M1346">
        <v>489</v>
      </c>
      <c r="N1346" s="26">
        <v>346.64</v>
      </c>
      <c r="O1346" s="26">
        <f t="shared" si="62"/>
        <v>346.64</v>
      </c>
      <c r="P1346">
        <v>27</v>
      </c>
      <c r="Q1346" t="b">
        <v>1</v>
      </c>
      <c r="S1346" t="s">
        <v>34</v>
      </c>
    </row>
    <row r="1347" spans="1:19">
      <c r="A1347" t="s">
        <v>2787</v>
      </c>
      <c r="B1347" t="s">
        <v>2788</v>
      </c>
      <c r="C1347" s="23" t="s">
        <v>4127</v>
      </c>
      <c r="D1347" s="23">
        <v>45041</v>
      </c>
      <c r="E1347" s="22">
        <v>4</v>
      </c>
      <c r="F1347" s="22">
        <v>25</v>
      </c>
      <c r="G1347" s="22">
        <v>2023</v>
      </c>
      <c r="H1347" s="23">
        <f t="shared" ref="H1347:H1410" si="63">IF(E1347&gt;12,DATE(G1347,F1347,E1347),D1347)</f>
        <v>45041</v>
      </c>
      <c r="I1347" s="25">
        <v>45067</v>
      </c>
      <c r="J1347" s="22">
        <f t="shared" ref="J1347:J1410" si="64">DATEDIF(H1347,I1347,"D")</f>
        <v>26</v>
      </c>
      <c r="K1347" t="s">
        <v>33</v>
      </c>
      <c r="L1347">
        <v>3198</v>
      </c>
      <c r="M1347">
        <v>106</v>
      </c>
      <c r="N1347" s="26">
        <v>150.31</v>
      </c>
      <c r="O1347" s="26">
        <f t="shared" ref="O1347:O1410" si="65">IF(N1347&lt;$W$8,$W$8,IF(N1347&gt;$W$9,$W$9,N1347))</f>
        <v>150.31</v>
      </c>
      <c r="P1347">
        <v>18</v>
      </c>
      <c r="Q1347" t="b">
        <v>1</v>
      </c>
      <c r="S1347" t="s">
        <v>34</v>
      </c>
    </row>
    <row r="1348" spans="1:19">
      <c r="A1348" t="s">
        <v>2789</v>
      </c>
      <c r="B1348" t="s">
        <v>2790</v>
      </c>
      <c r="C1348" s="23" t="s">
        <v>4129</v>
      </c>
      <c r="D1348" s="23">
        <v>44931</v>
      </c>
      <c r="E1348" s="22">
        <v>1</v>
      </c>
      <c r="F1348" s="22">
        <v>5</v>
      </c>
      <c r="G1348" s="22">
        <v>2023</v>
      </c>
      <c r="H1348" s="23">
        <f t="shared" si="63"/>
        <v>44931</v>
      </c>
      <c r="I1348" s="25">
        <v>44926</v>
      </c>
      <c r="J1348" s="22">
        <f t="shared" si="64"/>
        <v>-5</v>
      </c>
      <c r="K1348" t="s">
        <v>14</v>
      </c>
      <c r="L1348">
        <v>61500</v>
      </c>
      <c r="M1348">
        <v>824</v>
      </c>
      <c r="N1348" s="26">
        <v>790.59</v>
      </c>
      <c r="O1348" s="26">
        <f t="shared" si="65"/>
        <v>790.59</v>
      </c>
      <c r="P1348">
        <v>111</v>
      </c>
      <c r="Q1348" t="b">
        <v>1</v>
      </c>
      <c r="S1348" t="s">
        <v>16</v>
      </c>
    </row>
    <row r="1349" spans="1:19">
      <c r="A1349" t="s">
        <v>2791</v>
      </c>
      <c r="B1349" t="s">
        <v>2792</v>
      </c>
      <c r="C1349" s="23" t="s">
        <v>4131</v>
      </c>
      <c r="D1349" s="23">
        <v>45154</v>
      </c>
      <c r="E1349" s="22">
        <v>8</v>
      </c>
      <c r="F1349" s="22">
        <v>16</v>
      </c>
      <c r="G1349" s="22">
        <v>2023</v>
      </c>
      <c r="H1349" s="23">
        <f t="shared" si="63"/>
        <v>45154</v>
      </c>
      <c r="I1349" s="25">
        <v>45156</v>
      </c>
      <c r="J1349" s="22">
        <f t="shared" si="64"/>
        <v>2</v>
      </c>
      <c r="K1349" t="s">
        <v>23</v>
      </c>
      <c r="L1349">
        <v>54394</v>
      </c>
      <c r="M1349">
        <v>637</v>
      </c>
      <c r="N1349" s="26">
        <v>630.1</v>
      </c>
      <c r="O1349" s="26">
        <f t="shared" si="65"/>
        <v>630.1</v>
      </c>
      <c r="P1349">
        <v>89</v>
      </c>
      <c r="Q1349" t="b">
        <v>0</v>
      </c>
      <c r="S1349" t="s">
        <v>25</v>
      </c>
    </row>
    <row r="1350" spans="1:19">
      <c r="A1350" t="s">
        <v>2793</v>
      </c>
      <c r="B1350" t="s">
        <v>2794</v>
      </c>
      <c r="C1350" s="23" t="s">
        <v>4128</v>
      </c>
      <c r="D1350" s="23">
        <v>45182</v>
      </c>
      <c r="E1350" s="22">
        <v>9</v>
      </c>
      <c r="F1350" s="22">
        <v>13</v>
      </c>
      <c r="G1350" s="22">
        <v>2023</v>
      </c>
      <c r="H1350" s="23">
        <f t="shared" si="63"/>
        <v>45182</v>
      </c>
      <c r="I1350" s="25">
        <v>45210</v>
      </c>
      <c r="J1350" s="22">
        <f t="shared" si="64"/>
        <v>28</v>
      </c>
      <c r="K1350" t="s">
        <v>23</v>
      </c>
      <c r="L1350">
        <v>21079</v>
      </c>
      <c r="M1350">
        <v>773</v>
      </c>
      <c r="N1350" s="26">
        <v>468.73</v>
      </c>
      <c r="O1350" s="26">
        <f t="shared" si="65"/>
        <v>468.73</v>
      </c>
      <c r="P1350">
        <v>99</v>
      </c>
      <c r="Q1350" t="b">
        <v>1</v>
      </c>
      <c r="S1350" t="s">
        <v>25</v>
      </c>
    </row>
    <row r="1351" spans="1:19">
      <c r="A1351" t="s">
        <v>2795</v>
      </c>
      <c r="B1351" t="s">
        <v>2796</v>
      </c>
      <c r="C1351" s="23" t="s">
        <v>4131</v>
      </c>
      <c r="D1351" s="23">
        <v>45181</v>
      </c>
      <c r="E1351" s="22">
        <v>9</v>
      </c>
      <c r="F1351" s="22">
        <v>12</v>
      </c>
      <c r="G1351" s="22">
        <v>2023</v>
      </c>
      <c r="H1351" s="23">
        <f t="shared" si="63"/>
        <v>45181</v>
      </c>
      <c r="I1351" s="25">
        <v>45272</v>
      </c>
      <c r="J1351" s="22">
        <f t="shared" si="64"/>
        <v>91</v>
      </c>
      <c r="K1351" t="s">
        <v>14</v>
      </c>
      <c r="L1351">
        <v>37220</v>
      </c>
      <c r="M1351">
        <v>1597</v>
      </c>
      <c r="N1351" s="26">
        <v>1636.44</v>
      </c>
      <c r="O1351" s="26">
        <f t="shared" si="65"/>
        <v>1636.44</v>
      </c>
      <c r="P1351">
        <v>289</v>
      </c>
      <c r="Q1351" t="b">
        <v>1</v>
      </c>
      <c r="S1351" t="s">
        <v>16</v>
      </c>
    </row>
    <row r="1352" spans="1:19">
      <c r="A1352" t="s">
        <v>2797</v>
      </c>
      <c r="B1352" t="s">
        <v>2798</v>
      </c>
      <c r="C1352" s="23" t="s">
        <v>4129</v>
      </c>
      <c r="D1352" s="23">
        <v>45133</v>
      </c>
      <c r="E1352" s="22">
        <v>7</v>
      </c>
      <c r="F1352" s="22">
        <v>26</v>
      </c>
      <c r="G1352" s="22">
        <v>2023</v>
      </c>
      <c r="H1352" s="23">
        <f t="shared" si="63"/>
        <v>45133</v>
      </c>
      <c r="I1352" s="25">
        <v>45142</v>
      </c>
      <c r="J1352" s="22">
        <f t="shared" si="64"/>
        <v>9</v>
      </c>
      <c r="K1352" t="s">
        <v>19</v>
      </c>
      <c r="L1352">
        <v>42874</v>
      </c>
      <c r="M1352">
        <v>1769</v>
      </c>
      <c r="N1352" s="26">
        <v>3173.13</v>
      </c>
      <c r="O1352" s="26">
        <f t="shared" si="65"/>
        <v>3173.13</v>
      </c>
      <c r="P1352">
        <v>0</v>
      </c>
      <c r="Q1352" t="b">
        <v>0</v>
      </c>
      <c r="S1352" t="s">
        <v>20</v>
      </c>
    </row>
    <row r="1353" spans="1:19">
      <c r="A1353" t="s">
        <v>2799</v>
      </c>
      <c r="B1353" t="s">
        <v>2800</v>
      </c>
      <c r="C1353" s="23" t="s">
        <v>4129</v>
      </c>
      <c r="D1353" s="23">
        <v>44927</v>
      </c>
      <c r="E1353" s="22">
        <v>1</v>
      </c>
      <c r="F1353" s="22">
        <v>1</v>
      </c>
      <c r="G1353" s="22">
        <v>2023</v>
      </c>
      <c r="H1353" s="23">
        <f t="shared" si="63"/>
        <v>44927</v>
      </c>
      <c r="I1353" s="25">
        <v>44931</v>
      </c>
      <c r="J1353" s="22">
        <f t="shared" si="64"/>
        <v>4</v>
      </c>
      <c r="K1353" t="s">
        <v>14</v>
      </c>
      <c r="L1353">
        <v>14859</v>
      </c>
      <c r="M1353">
        <v>471</v>
      </c>
      <c r="N1353" s="26">
        <v>400.17</v>
      </c>
      <c r="O1353" s="26">
        <f t="shared" si="65"/>
        <v>400.17</v>
      </c>
      <c r="P1353">
        <v>41</v>
      </c>
      <c r="Q1353" t="b">
        <v>0</v>
      </c>
      <c r="S1353" t="s">
        <v>16</v>
      </c>
    </row>
    <row r="1354" spans="1:19">
      <c r="A1354" t="s">
        <v>2801</v>
      </c>
      <c r="B1354" t="s">
        <v>2802</v>
      </c>
      <c r="C1354" s="23" t="s">
        <v>4128</v>
      </c>
      <c r="D1354" s="23">
        <v>45243</v>
      </c>
      <c r="E1354" s="22">
        <v>11</v>
      </c>
      <c r="F1354" s="22">
        <v>13</v>
      </c>
      <c r="G1354" s="22">
        <v>2023</v>
      </c>
      <c r="H1354" s="23">
        <f t="shared" si="63"/>
        <v>45243</v>
      </c>
      <c r="I1354" s="25">
        <v>45261</v>
      </c>
      <c r="J1354" s="22">
        <f t="shared" si="64"/>
        <v>18</v>
      </c>
      <c r="K1354" t="s">
        <v>14</v>
      </c>
      <c r="L1354">
        <v>51460</v>
      </c>
      <c r="M1354">
        <v>720</v>
      </c>
      <c r="N1354" s="26">
        <v>1110.8</v>
      </c>
      <c r="O1354" s="26">
        <f t="shared" si="65"/>
        <v>1110.8</v>
      </c>
      <c r="P1354">
        <v>130</v>
      </c>
      <c r="Q1354" t="b">
        <v>1</v>
      </c>
      <c r="S1354" t="s">
        <v>16</v>
      </c>
    </row>
    <row r="1355" spans="1:19">
      <c r="A1355" t="s">
        <v>2803</v>
      </c>
      <c r="B1355" t="s">
        <v>2804</v>
      </c>
      <c r="C1355" s="23" t="s">
        <v>4129</v>
      </c>
      <c r="D1355" s="23">
        <v>45214</v>
      </c>
      <c r="E1355" s="22">
        <v>10</v>
      </c>
      <c r="F1355" s="22">
        <v>15</v>
      </c>
      <c r="G1355" s="22">
        <v>2023</v>
      </c>
      <c r="H1355" s="23">
        <f t="shared" si="63"/>
        <v>45214</v>
      </c>
      <c r="I1355" s="25">
        <v>45232</v>
      </c>
      <c r="J1355" s="22">
        <f t="shared" si="64"/>
        <v>18</v>
      </c>
      <c r="K1355" t="s">
        <v>33</v>
      </c>
      <c r="L1355">
        <v>32419</v>
      </c>
      <c r="M1355">
        <v>1216</v>
      </c>
      <c r="N1355" s="26">
        <v>1756.44</v>
      </c>
      <c r="O1355" s="26">
        <f t="shared" si="65"/>
        <v>1756.44</v>
      </c>
      <c r="P1355">
        <v>198</v>
      </c>
      <c r="Q1355" t="b">
        <v>1</v>
      </c>
      <c r="S1355" t="s">
        <v>68</v>
      </c>
    </row>
    <row r="1356" spans="1:19">
      <c r="A1356" t="s">
        <v>2805</v>
      </c>
      <c r="B1356" t="s">
        <v>2806</v>
      </c>
      <c r="C1356" s="23" t="s">
        <v>4131</v>
      </c>
      <c r="D1356" s="23">
        <v>45101</v>
      </c>
      <c r="E1356" s="22">
        <v>6</v>
      </c>
      <c r="F1356" s="22">
        <v>24</v>
      </c>
      <c r="G1356" s="22">
        <v>2023</v>
      </c>
      <c r="H1356" s="23">
        <f t="shared" si="63"/>
        <v>45101</v>
      </c>
      <c r="I1356" s="25">
        <v>45110</v>
      </c>
      <c r="J1356" s="22">
        <f t="shared" si="64"/>
        <v>9</v>
      </c>
      <c r="K1356" t="s">
        <v>23</v>
      </c>
      <c r="L1356">
        <v>9705</v>
      </c>
      <c r="M1356">
        <v>190</v>
      </c>
      <c r="N1356" s="26">
        <v>341.09</v>
      </c>
      <c r="O1356" s="26">
        <f t="shared" si="65"/>
        <v>341.09</v>
      </c>
      <c r="P1356">
        <v>10</v>
      </c>
      <c r="Q1356" t="b">
        <v>1</v>
      </c>
      <c r="S1356" t="s">
        <v>25</v>
      </c>
    </row>
    <row r="1357" spans="1:19">
      <c r="A1357" t="s">
        <v>2807</v>
      </c>
      <c r="B1357" t="s">
        <v>2808</v>
      </c>
      <c r="C1357" s="23" t="s">
        <v>4128</v>
      </c>
      <c r="D1357" s="23">
        <v>45041</v>
      </c>
      <c r="E1357" s="22">
        <v>4</v>
      </c>
      <c r="F1357" s="22">
        <v>25</v>
      </c>
      <c r="G1357" s="22">
        <v>2023</v>
      </c>
      <c r="H1357" s="23">
        <f t="shared" si="63"/>
        <v>45041</v>
      </c>
      <c r="I1357" s="25">
        <v>45046</v>
      </c>
      <c r="J1357" s="22">
        <f t="shared" si="64"/>
        <v>5</v>
      </c>
      <c r="K1357" t="s">
        <v>14</v>
      </c>
      <c r="L1357">
        <v>43880</v>
      </c>
      <c r="M1357">
        <v>2037</v>
      </c>
      <c r="N1357" s="26">
        <v>1422.71</v>
      </c>
      <c r="O1357" s="26">
        <f t="shared" si="65"/>
        <v>1422.71</v>
      </c>
      <c r="P1357">
        <v>0</v>
      </c>
      <c r="Q1357" t="b">
        <v>0</v>
      </c>
      <c r="S1357" t="s">
        <v>16</v>
      </c>
    </row>
    <row r="1358" spans="1:19">
      <c r="A1358" t="s">
        <v>2809</v>
      </c>
      <c r="B1358" t="s">
        <v>2810</v>
      </c>
      <c r="C1358" s="23" t="s">
        <v>4129</v>
      </c>
      <c r="D1358" s="23">
        <v>45244</v>
      </c>
      <c r="E1358" s="22">
        <v>11</v>
      </c>
      <c r="F1358" s="22">
        <v>14</v>
      </c>
      <c r="G1358" s="22">
        <v>2023</v>
      </c>
      <c r="H1358" s="23">
        <f t="shared" si="63"/>
        <v>45244</v>
      </c>
      <c r="I1358" s="25">
        <v>45270</v>
      </c>
      <c r="J1358" s="22">
        <f t="shared" si="64"/>
        <v>26</v>
      </c>
      <c r="K1358" t="s">
        <v>19</v>
      </c>
      <c r="L1358">
        <v>24236</v>
      </c>
      <c r="M1358">
        <v>1055</v>
      </c>
      <c r="N1358" s="26">
        <v>2074.54</v>
      </c>
      <c r="O1358" s="26">
        <f t="shared" si="65"/>
        <v>2074.54</v>
      </c>
      <c r="P1358">
        <v>0</v>
      </c>
      <c r="Q1358" t="b">
        <v>0</v>
      </c>
      <c r="S1358" t="s">
        <v>20</v>
      </c>
    </row>
    <row r="1359" spans="1:19">
      <c r="A1359" t="s">
        <v>2811</v>
      </c>
      <c r="B1359" t="s">
        <v>2812</v>
      </c>
      <c r="C1359" s="23" t="s">
        <v>4128</v>
      </c>
      <c r="D1359" s="23">
        <v>45113</v>
      </c>
      <c r="E1359" s="22">
        <v>7</v>
      </c>
      <c r="F1359" s="22">
        <v>6</v>
      </c>
      <c r="G1359" s="22">
        <v>2023</v>
      </c>
      <c r="H1359" s="23">
        <f t="shared" si="63"/>
        <v>45113</v>
      </c>
      <c r="I1359" s="25">
        <v>45117</v>
      </c>
      <c r="J1359" s="22">
        <f t="shared" si="64"/>
        <v>4</v>
      </c>
      <c r="K1359" t="s">
        <v>41</v>
      </c>
      <c r="L1359">
        <v>88955</v>
      </c>
      <c r="M1359">
        <v>3413</v>
      </c>
      <c r="N1359" s="26">
        <v>4689.27</v>
      </c>
      <c r="O1359" s="26">
        <f t="shared" si="65"/>
        <v>3632.575</v>
      </c>
      <c r="P1359">
        <v>375</v>
      </c>
      <c r="Q1359" t="b">
        <v>1</v>
      </c>
      <c r="S1359" t="s">
        <v>42</v>
      </c>
    </row>
    <row r="1360" spans="1:19">
      <c r="A1360" t="s">
        <v>2813</v>
      </c>
      <c r="B1360" t="s">
        <v>2814</v>
      </c>
      <c r="C1360" s="23" t="s">
        <v>4131</v>
      </c>
      <c r="D1360" s="23">
        <v>45264</v>
      </c>
      <c r="E1360" s="22">
        <v>12</v>
      </c>
      <c r="F1360" s="22">
        <v>4</v>
      </c>
      <c r="G1360" s="22">
        <v>2023</v>
      </c>
      <c r="H1360" s="23">
        <f t="shared" si="63"/>
        <v>45264</v>
      </c>
      <c r="I1360" s="25">
        <v>45294</v>
      </c>
      <c r="J1360" s="22">
        <f t="shared" si="64"/>
        <v>30</v>
      </c>
      <c r="K1360" t="s">
        <v>14</v>
      </c>
      <c r="L1360">
        <v>86514</v>
      </c>
      <c r="M1360">
        <v>4148</v>
      </c>
      <c r="N1360" s="26">
        <v>8267.84</v>
      </c>
      <c r="O1360" s="26">
        <f t="shared" si="65"/>
        <v>3632.575</v>
      </c>
      <c r="P1360">
        <v>0</v>
      </c>
      <c r="Q1360" t="b">
        <v>0</v>
      </c>
      <c r="S1360" t="s">
        <v>16</v>
      </c>
    </row>
    <row r="1361" spans="1:19">
      <c r="A1361" t="s">
        <v>2815</v>
      </c>
      <c r="B1361" t="s">
        <v>2816</v>
      </c>
      <c r="C1361" s="23" t="s">
        <v>4131</v>
      </c>
      <c r="D1361" s="23">
        <v>45251</v>
      </c>
      <c r="E1361" s="22">
        <v>11</v>
      </c>
      <c r="F1361" s="22">
        <v>21</v>
      </c>
      <c r="G1361" s="22">
        <v>2023</v>
      </c>
      <c r="H1361" s="23">
        <f t="shared" si="63"/>
        <v>45251</v>
      </c>
      <c r="I1361" s="25">
        <v>45275</v>
      </c>
      <c r="J1361" s="22">
        <f t="shared" si="64"/>
        <v>24</v>
      </c>
      <c r="K1361" t="s">
        <v>41</v>
      </c>
      <c r="L1361">
        <v>16358</v>
      </c>
      <c r="M1361">
        <v>184</v>
      </c>
      <c r="N1361" s="26">
        <v>343.58</v>
      </c>
      <c r="O1361" s="26">
        <f t="shared" si="65"/>
        <v>343.58</v>
      </c>
      <c r="P1361">
        <v>28</v>
      </c>
      <c r="Q1361" t="b">
        <v>1</v>
      </c>
      <c r="S1361" t="s">
        <v>42</v>
      </c>
    </row>
    <row r="1362" spans="1:19">
      <c r="A1362" t="s">
        <v>2817</v>
      </c>
      <c r="B1362" t="s">
        <v>2818</v>
      </c>
      <c r="C1362" s="23" t="s">
        <v>4131</v>
      </c>
      <c r="D1362" s="23">
        <v>45194</v>
      </c>
      <c r="E1362" s="22">
        <v>9</v>
      </c>
      <c r="F1362" s="22">
        <v>25</v>
      </c>
      <c r="G1362" s="22">
        <v>2023</v>
      </c>
      <c r="H1362" s="23">
        <f t="shared" si="63"/>
        <v>45194</v>
      </c>
      <c r="I1362" s="25">
        <v>45189</v>
      </c>
      <c r="J1362" s="22">
        <f t="shared" si="64"/>
        <v>-5</v>
      </c>
      <c r="K1362" t="s">
        <v>33</v>
      </c>
      <c r="L1362">
        <v>95914</v>
      </c>
      <c r="M1362">
        <v>3783</v>
      </c>
      <c r="N1362" s="26">
        <v>3148.5</v>
      </c>
      <c r="O1362" s="26">
        <f t="shared" si="65"/>
        <v>3148.5</v>
      </c>
      <c r="P1362">
        <v>307</v>
      </c>
      <c r="Q1362" t="b">
        <v>1</v>
      </c>
      <c r="S1362" t="s">
        <v>34</v>
      </c>
    </row>
    <row r="1363" spans="1:19">
      <c r="A1363" t="s">
        <v>2819</v>
      </c>
      <c r="B1363" t="s">
        <v>2820</v>
      </c>
      <c r="C1363" s="23" t="s">
        <v>4128</v>
      </c>
      <c r="D1363" s="23">
        <v>45011</v>
      </c>
      <c r="E1363" s="22">
        <v>3</v>
      </c>
      <c r="F1363" s="22">
        <v>26</v>
      </c>
      <c r="G1363" s="22">
        <v>2023</v>
      </c>
      <c r="H1363" s="23">
        <f t="shared" si="63"/>
        <v>45011</v>
      </c>
      <c r="I1363" s="25">
        <v>45025</v>
      </c>
      <c r="J1363" s="22">
        <f t="shared" si="64"/>
        <v>14</v>
      </c>
      <c r="K1363" t="s">
        <v>138</v>
      </c>
      <c r="L1363">
        <v>77918</v>
      </c>
      <c r="M1363">
        <v>1808</v>
      </c>
      <c r="N1363" s="26">
        <v>1056.31</v>
      </c>
      <c r="O1363" s="26">
        <f t="shared" si="65"/>
        <v>1056.31</v>
      </c>
      <c r="P1363">
        <v>307</v>
      </c>
      <c r="Q1363" t="b">
        <v>1</v>
      </c>
      <c r="S1363" t="s">
        <v>139</v>
      </c>
    </row>
    <row r="1364" spans="1:19">
      <c r="A1364" t="s">
        <v>2821</v>
      </c>
      <c r="B1364" t="s">
        <v>2822</v>
      </c>
      <c r="C1364" s="23" t="s">
        <v>4128</v>
      </c>
      <c r="D1364" s="23">
        <v>45136</v>
      </c>
      <c r="E1364" s="22">
        <v>7</v>
      </c>
      <c r="F1364" s="22">
        <v>29</v>
      </c>
      <c r="G1364" s="22">
        <v>2023</v>
      </c>
      <c r="H1364" s="23">
        <f t="shared" si="63"/>
        <v>45136</v>
      </c>
      <c r="I1364" s="25">
        <v>45143</v>
      </c>
      <c r="J1364" s="22">
        <f t="shared" si="64"/>
        <v>7</v>
      </c>
      <c r="K1364" t="s">
        <v>14</v>
      </c>
      <c r="L1364">
        <v>15596</v>
      </c>
      <c r="M1364">
        <v>721</v>
      </c>
      <c r="N1364" s="26">
        <v>636.97</v>
      </c>
      <c r="O1364" s="26">
        <f t="shared" si="65"/>
        <v>636.97</v>
      </c>
      <c r="P1364">
        <v>122</v>
      </c>
      <c r="Q1364" t="b">
        <v>1</v>
      </c>
      <c r="S1364" t="s">
        <v>16</v>
      </c>
    </row>
    <row r="1365" spans="1:19">
      <c r="A1365" t="s">
        <v>2823</v>
      </c>
      <c r="B1365" t="s">
        <v>2824</v>
      </c>
      <c r="C1365" s="23" t="s">
        <v>4128</v>
      </c>
      <c r="D1365" s="23">
        <v>45023</v>
      </c>
      <c r="E1365" s="22">
        <v>4</v>
      </c>
      <c r="F1365" s="22">
        <v>7</v>
      </c>
      <c r="G1365" s="22">
        <v>2023</v>
      </c>
      <c r="H1365" s="23">
        <f t="shared" si="63"/>
        <v>45023</v>
      </c>
      <c r="I1365" s="25">
        <v>45025</v>
      </c>
      <c r="J1365" s="22">
        <f t="shared" si="64"/>
        <v>2</v>
      </c>
      <c r="K1365" t="s">
        <v>33</v>
      </c>
      <c r="L1365">
        <v>34572</v>
      </c>
      <c r="M1365">
        <v>714</v>
      </c>
      <c r="N1365" s="26">
        <v>922.02</v>
      </c>
      <c r="O1365" s="26">
        <f t="shared" si="65"/>
        <v>922.02</v>
      </c>
      <c r="P1365">
        <v>80</v>
      </c>
      <c r="Q1365" t="b">
        <v>0</v>
      </c>
      <c r="S1365" t="s">
        <v>34</v>
      </c>
    </row>
    <row r="1366" spans="1:19">
      <c r="A1366" t="s">
        <v>2825</v>
      </c>
      <c r="B1366" t="s">
        <v>2826</v>
      </c>
      <c r="C1366" s="23" t="s">
        <v>4128</v>
      </c>
      <c r="D1366" s="23">
        <v>45037</v>
      </c>
      <c r="E1366" s="22">
        <v>4</v>
      </c>
      <c r="F1366" s="22">
        <v>21</v>
      </c>
      <c r="G1366" s="22">
        <v>2023</v>
      </c>
      <c r="H1366" s="23">
        <f t="shared" si="63"/>
        <v>45037</v>
      </c>
      <c r="I1366" s="25">
        <v>45066</v>
      </c>
      <c r="J1366" s="22">
        <f t="shared" si="64"/>
        <v>29</v>
      </c>
      <c r="K1366" t="s">
        <v>19</v>
      </c>
      <c r="L1366">
        <v>79757</v>
      </c>
      <c r="M1366">
        <v>3110</v>
      </c>
      <c r="N1366" s="26">
        <v>2355.5</v>
      </c>
      <c r="O1366" s="26">
        <f t="shared" si="65"/>
        <v>2355.5</v>
      </c>
      <c r="P1366">
        <v>287</v>
      </c>
      <c r="Q1366" t="b">
        <v>0</v>
      </c>
      <c r="S1366" t="s">
        <v>20</v>
      </c>
    </row>
    <row r="1367" spans="1:19">
      <c r="A1367" t="s">
        <v>2827</v>
      </c>
      <c r="B1367" t="s">
        <v>2828</v>
      </c>
      <c r="C1367" s="23" t="s">
        <v>4128</v>
      </c>
      <c r="D1367" s="23">
        <v>45100</v>
      </c>
      <c r="E1367" s="22">
        <v>6</v>
      </c>
      <c r="F1367" s="22">
        <v>23</v>
      </c>
      <c r="G1367" s="22">
        <v>2023</v>
      </c>
      <c r="H1367" s="23">
        <f t="shared" si="63"/>
        <v>45100</v>
      </c>
      <c r="I1367" s="25">
        <v>45122</v>
      </c>
      <c r="J1367" s="22">
        <f t="shared" si="64"/>
        <v>22</v>
      </c>
      <c r="K1367" t="s">
        <v>19</v>
      </c>
      <c r="L1367">
        <v>2279</v>
      </c>
      <c r="M1367">
        <v>102</v>
      </c>
      <c r="N1367" s="26">
        <v>76.62</v>
      </c>
      <c r="O1367" s="26">
        <f t="shared" si="65"/>
        <v>76.62</v>
      </c>
      <c r="P1367">
        <v>9</v>
      </c>
      <c r="Q1367" t="b">
        <v>1</v>
      </c>
      <c r="S1367" t="s">
        <v>20</v>
      </c>
    </row>
    <row r="1368" spans="1:19">
      <c r="A1368" t="s">
        <v>2829</v>
      </c>
      <c r="B1368" t="s">
        <v>2830</v>
      </c>
      <c r="C1368" s="23" t="s">
        <v>4129</v>
      </c>
      <c r="D1368" s="23">
        <v>45251</v>
      </c>
      <c r="E1368" s="22">
        <v>11</v>
      </c>
      <c r="F1368" s="22">
        <v>21</v>
      </c>
      <c r="G1368" s="22">
        <v>2023</v>
      </c>
      <c r="H1368" s="23">
        <f t="shared" si="63"/>
        <v>45251</v>
      </c>
      <c r="I1368" s="25">
        <v>45270</v>
      </c>
      <c r="J1368" s="22">
        <f t="shared" si="64"/>
        <v>19</v>
      </c>
      <c r="K1368" t="s">
        <v>138</v>
      </c>
      <c r="L1368">
        <v>64197</v>
      </c>
      <c r="M1368">
        <v>748</v>
      </c>
      <c r="N1368" s="26">
        <v>893.03</v>
      </c>
      <c r="O1368" s="26">
        <f t="shared" si="65"/>
        <v>893.03</v>
      </c>
      <c r="P1368">
        <v>91</v>
      </c>
      <c r="Q1368" t="b">
        <v>1</v>
      </c>
      <c r="S1368" t="s">
        <v>139</v>
      </c>
    </row>
    <row r="1369" spans="1:19">
      <c r="A1369" t="s">
        <v>2831</v>
      </c>
      <c r="B1369" t="s">
        <v>2832</v>
      </c>
      <c r="C1369" s="23" t="s">
        <v>4131</v>
      </c>
      <c r="D1369" s="23">
        <v>45157</v>
      </c>
      <c r="E1369" s="22">
        <v>8</v>
      </c>
      <c r="F1369" s="22">
        <v>19</v>
      </c>
      <c r="G1369" s="22">
        <v>2023</v>
      </c>
      <c r="H1369" s="23">
        <f t="shared" si="63"/>
        <v>45157</v>
      </c>
      <c r="I1369" s="25">
        <v>45159</v>
      </c>
      <c r="J1369" s="22">
        <f t="shared" si="64"/>
        <v>2</v>
      </c>
      <c r="K1369" t="s">
        <v>23</v>
      </c>
      <c r="L1369">
        <v>63516</v>
      </c>
      <c r="M1369">
        <v>1645</v>
      </c>
      <c r="N1369" s="26">
        <v>904.59</v>
      </c>
      <c r="O1369" s="26">
        <f t="shared" si="65"/>
        <v>904.59</v>
      </c>
      <c r="P1369">
        <v>259</v>
      </c>
      <c r="Q1369" t="b">
        <v>0</v>
      </c>
      <c r="S1369" t="s">
        <v>25</v>
      </c>
    </row>
    <row r="1370" spans="1:19">
      <c r="A1370" t="s">
        <v>2833</v>
      </c>
      <c r="B1370" t="s">
        <v>2834</v>
      </c>
      <c r="C1370" s="23" t="s">
        <v>4129</v>
      </c>
      <c r="D1370" s="23">
        <v>45185</v>
      </c>
      <c r="E1370" s="22">
        <v>9</v>
      </c>
      <c r="F1370" s="22">
        <v>16</v>
      </c>
      <c r="G1370" s="22">
        <v>2023</v>
      </c>
      <c r="H1370" s="23">
        <f t="shared" si="63"/>
        <v>45185</v>
      </c>
      <c r="I1370" s="25">
        <v>45186</v>
      </c>
      <c r="J1370" s="22">
        <f t="shared" si="64"/>
        <v>1</v>
      </c>
      <c r="K1370" t="s">
        <v>19</v>
      </c>
      <c r="L1370">
        <v>8083</v>
      </c>
      <c r="M1370">
        <v>327</v>
      </c>
      <c r="N1370" s="26">
        <v>223.29</v>
      </c>
      <c r="O1370" s="26">
        <f t="shared" si="65"/>
        <v>223.29</v>
      </c>
      <c r="P1370">
        <v>33</v>
      </c>
      <c r="Q1370" t="b">
        <v>1</v>
      </c>
      <c r="S1370" t="s">
        <v>20</v>
      </c>
    </row>
    <row r="1371" spans="1:19">
      <c r="A1371" t="s">
        <v>2835</v>
      </c>
      <c r="B1371" t="s">
        <v>2836</v>
      </c>
      <c r="C1371" s="23" t="s">
        <v>4131</v>
      </c>
      <c r="D1371" s="23">
        <v>45198</v>
      </c>
      <c r="E1371" s="22">
        <v>9</v>
      </c>
      <c r="F1371" s="22">
        <v>29</v>
      </c>
      <c r="G1371" s="22">
        <v>2023</v>
      </c>
      <c r="H1371" s="23">
        <f t="shared" si="63"/>
        <v>45198</v>
      </c>
      <c r="I1371" s="25">
        <v>45202</v>
      </c>
      <c r="J1371" s="22">
        <f t="shared" si="64"/>
        <v>4</v>
      </c>
      <c r="K1371" t="s">
        <v>33</v>
      </c>
      <c r="L1371">
        <v>18771</v>
      </c>
      <c r="M1371">
        <v>529</v>
      </c>
      <c r="N1371" s="26">
        <v>594.49</v>
      </c>
      <c r="O1371" s="26">
        <f t="shared" si="65"/>
        <v>594.49</v>
      </c>
      <c r="P1371">
        <v>74</v>
      </c>
      <c r="Q1371" t="b">
        <v>0</v>
      </c>
      <c r="S1371" t="s">
        <v>34</v>
      </c>
    </row>
    <row r="1372" spans="1:19">
      <c r="A1372" t="s">
        <v>2837</v>
      </c>
      <c r="B1372" t="s">
        <v>2838</v>
      </c>
      <c r="C1372" s="23" t="s">
        <v>4131</v>
      </c>
      <c r="D1372" s="23">
        <v>45148</v>
      </c>
      <c r="E1372" s="22">
        <v>8</v>
      </c>
      <c r="F1372" s="22">
        <v>10</v>
      </c>
      <c r="G1372" s="22">
        <v>2023</v>
      </c>
      <c r="H1372" s="23">
        <f t="shared" si="63"/>
        <v>45148</v>
      </c>
      <c r="I1372" s="25">
        <v>45159</v>
      </c>
      <c r="J1372" s="22">
        <f t="shared" si="64"/>
        <v>11</v>
      </c>
      <c r="K1372" t="s">
        <v>14</v>
      </c>
      <c r="L1372">
        <v>30975</v>
      </c>
      <c r="M1372">
        <v>640</v>
      </c>
      <c r="N1372" s="26">
        <v>380.6</v>
      </c>
      <c r="O1372" s="26">
        <f t="shared" si="65"/>
        <v>380.6</v>
      </c>
      <c r="P1372">
        <v>68</v>
      </c>
      <c r="Q1372" t="b">
        <v>0</v>
      </c>
      <c r="S1372" t="s">
        <v>16</v>
      </c>
    </row>
    <row r="1373" spans="1:19">
      <c r="A1373" t="s">
        <v>2839</v>
      </c>
      <c r="B1373" t="s">
        <v>2840</v>
      </c>
      <c r="C1373" s="23" t="s">
        <v>4131</v>
      </c>
      <c r="D1373" s="23">
        <v>45187</v>
      </c>
      <c r="E1373" s="22">
        <v>9</v>
      </c>
      <c r="F1373" s="22">
        <v>18</v>
      </c>
      <c r="G1373" s="22">
        <v>2023</v>
      </c>
      <c r="H1373" s="23">
        <f t="shared" si="63"/>
        <v>45187</v>
      </c>
      <c r="I1373" s="25">
        <v>45207</v>
      </c>
      <c r="J1373" s="22">
        <f t="shared" si="64"/>
        <v>20</v>
      </c>
      <c r="K1373" t="s">
        <v>23</v>
      </c>
      <c r="L1373">
        <v>46648</v>
      </c>
      <c r="M1373">
        <v>876</v>
      </c>
      <c r="N1373" s="26">
        <v>959.34</v>
      </c>
      <c r="O1373" s="26">
        <f t="shared" si="65"/>
        <v>959.34</v>
      </c>
      <c r="P1373">
        <v>83</v>
      </c>
      <c r="Q1373" t="b">
        <v>1</v>
      </c>
      <c r="S1373" t="s">
        <v>25</v>
      </c>
    </row>
    <row r="1374" spans="1:19">
      <c r="A1374" t="s">
        <v>2841</v>
      </c>
      <c r="B1374" t="s">
        <v>2842</v>
      </c>
      <c r="C1374" s="23" t="s">
        <v>4128</v>
      </c>
      <c r="D1374" s="23">
        <v>45281</v>
      </c>
      <c r="E1374" s="22">
        <v>12</v>
      </c>
      <c r="F1374" s="22">
        <v>21</v>
      </c>
      <c r="G1374" s="22">
        <v>2023</v>
      </c>
      <c r="H1374" s="23">
        <f t="shared" si="63"/>
        <v>45281</v>
      </c>
      <c r="I1374" s="25">
        <v>45305</v>
      </c>
      <c r="J1374" s="22">
        <f t="shared" si="64"/>
        <v>24</v>
      </c>
      <c r="K1374" t="s">
        <v>41</v>
      </c>
      <c r="L1374">
        <v>49285</v>
      </c>
      <c r="M1374">
        <v>752</v>
      </c>
      <c r="N1374" s="26">
        <v>910.68</v>
      </c>
      <c r="O1374" s="26">
        <f t="shared" si="65"/>
        <v>910.68</v>
      </c>
      <c r="P1374">
        <v>40</v>
      </c>
      <c r="Q1374" t="b">
        <v>0</v>
      </c>
      <c r="S1374" t="s">
        <v>42</v>
      </c>
    </row>
    <row r="1375" spans="1:19">
      <c r="A1375" t="s">
        <v>2843</v>
      </c>
      <c r="B1375" t="s">
        <v>2844</v>
      </c>
      <c r="C1375" s="23" t="s">
        <v>4129</v>
      </c>
      <c r="D1375" s="23">
        <v>44992</v>
      </c>
      <c r="E1375" s="22">
        <v>3</v>
      </c>
      <c r="F1375" s="22">
        <v>7</v>
      </c>
      <c r="G1375" s="22">
        <v>2023</v>
      </c>
      <c r="H1375" s="23">
        <f t="shared" si="63"/>
        <v>44992</v>
      </c>
      <c r="I1375" s="25">
        <v>45001</v>
      </c>
      <c r="J1375" s="22">
        <f t="shared" si="64"/>
        <v>9</v>
      </c>
      <c r="K1375" t="s">
        <v>19</v>
      </c>
      <c r="L1375">
        <v>20063</v>
      </c>
      <c r="M1375">
        <v>888</v>
      </c>
      <c r="N1375" s="26">
        <v>1045.09</v>
      </c>
      <c r="O1375" s="26">
        <f t="shared" si="65"/>
        <v>1045.09</v>
      </c>
      <c r="P1375">
        <v>44</v>
      </c>
      <c r="Q1375" t="b">
        <v>0</v>
      </c>
      <c r="S1375" t="s">
        <v>20</v>
      </c>
    </row>
    <row r="1376" spans="1:19">
      <c r="A1376" t="s">
        <v>2845</v>
      </c>
      <c r="B1376" t="s">
        <v>2846</v>
      </c>
      <c r="C1376" s="23" t="s">
        <v>4128</v>
      </c>
      <c r="D1376" s="23">
        <v>45237</v>
      </c>
      <c r="E1376" s="22">
        <v>11</v>
      </c>
      <c r="F1376" s="22">
        <v>7</v>
      </c>
      <c r="G1376" s="22">
        <v>2023</v>
      </c>
      <c r="H1376" s="23">
        <f t="shared" si="63"/>
        <v>45237</v>
      </c>
      <c r="I1376" s="25">
        <v>45247</v>
      </c>
      <c r="J1376" s="22">
        <f t="shared" si="64"/>
        <v>10</v>
      </c>
      <c r="K1376" t="s">
        <v>41</v>
      </c>
      <c r="L1376">
        <v>68642</v>
      </c>
      <c r="M1376">
        <v>2266</v>
      </c>
      <c r="N1376" s="26">
        <v>4087.33</v>
      </c>
      <c r="O1376" s="26">
        <f t="shared" si="65"/>
        <v>3632.575</v>
      </c>
      <c r="P1376">
        <v>190</v>
      </c>
      <c r="Q1376" t="b">
        <v>0</v>
      </c>
      <c r="S1376" t="s">
        <v>42</v>
      </c>
    </row>
    <row r="1377" spans="1:19">
      <c r="A1377" t="s">
        <v>2847</v>
      </c>
      <c r="B1377" t="s">
        <v>2848</v>
      </c>
      <c r="C1377" s="23" t="s">
        <v>4127</v>
      </c>
      <c r="D1377" s="23">
        <v>45123</v>
      </c>
      <c r="E1377" s="22">
        <v>7</v>
      </c>
      <c r="F1377" s="22">
        <v>16</v>
      </c>
      <c r="G1377" s="22">
        <v>2023</v>
      </c>
      <c r="H1377" s="23">
        <f t="shared" si="63"/>
        <v>45123</v>
      </c>
      <c r="I1377" s="25">
        <v>45137</v>
      </c>
      <c r="J1377" s="22">
        <f t="shared" si="64"/>
        <v>14</v>
      </c>
      <c r="K1377" t="s">
        <v>33</v>
      </c>
      <c r="L1377">
        <v>91093</v>
      </c>
      <c r="M1377">
        <v>1189</v>
      </c>
      <c r="N1377" s="26">
        <v>1539.87</v>
      </c>
      <c r="O1377" s="26">
        <f t="shared" si="65"/>
        <v>1539.87</v>
      </c>
      <c r="P1377">
        <v>131</v>
      </c>
      <c r="Q1377" t="b">
        <v>0</v>
      </c>
      <c r="S1377" t="s">
        <v>34</v>
      </c>
    </row>
    <row r="1378" spans="1:19">
      <c r="A1378" t="s">
        <v>2849</v>
      </c>
      <c r="B1378" t="s">
        <v>2850</v>
      </c>
      <c r="C1378" s="23" t="s">
        <v>4129</v>
      </c>
      <c r="D1378" s="23">
        <v>45281</v>
      </c>
      <c r="E1378" s="22">
        <v>12</v>
      </c>
      <c r="F1378" s="22">
        <v>21</v>
      </c>
      <c r="G1378" s="22">
        <v>2023</v>
      </c>
      <c r="H1378" s="23">
        <f t="shared" si="63"/>
        <v>45281</v>
      </c>
      <c r="I1378" s="25">
        <v>45289</v>
      </c>
      <c r="J1378" s="22">
        <f t="shared" si="64"/>
        <v>8</v>
      </c>
      <c r="K1378" t="s">
        <v>58</v>
      </c>
      <c r="L1378">
        <v>87143</v>
      </c>
      <c r="M1378">
        <v>2204</v>
      </c>
      <c r="N1378" s="26">
        <v>2649.14</v>
      </c>
      <c r="O1378" s="26">
        <f t="shared" si="65"/>
        <v>2649.14</v>
      </c>
      <c r="P1378">
        <v>391</v>
      </c>
      <c r="Q1378" t="b">
        <v>1</v>
      </c>
      <c r="S1378" t="s">
        <v>68</v>
      </c>
    </row>
    <row r="1379" spans="1:19">
      <c r="A1379" t="s">
        <v>2851</v>
      </c>
      <c r="B1379" t="s">
        <v>2852</v>
      </c>
      <c r="C1379" s="23" t="s">
        <v>4131</v>
      </c>
      <c r="D1379" s="23">
        <v>45102</v>
      </c>
      <c r="E1379" s="22">
        <v>6</v>
      </c>
      <c r="F1379" s="22">
        <v>25</v>
      </c>
      <c r="G1379" s="22">
        <v>2023</v>
      </c>
      <c r="H1379" s="23">
        <f t="shared" si="63"/>
        <v>45102</v>
      </c>
      <c r="I1379" s="25">
        <v>45110</v>
      </c>
      <c r="J1379" s="22">
        <f t="shared" si="64"/>
        <v>8</v>
      </c>
      <c r="K1379" t="s">
        <v>19</v>
      </c>
      <c r="L1379">
        <v>38599</v>
      </c>
      <c r="M1379">
        <v>953</v>
      </c>
      <c r="N1379" s="26">
        <v>1063.61</v>
      </c>
      <c r="O1379" s="26">
        <f t="shared" si="65"/>
        <v>1063.61</v>
      </c>
      <c r="P1379">
        <v>0</v>
      </c>
      <c r="Q1379" t="b">
        <v>0</v>
      </c>
      <c r="S1379" t="s">
        <v>20</v>
      </c>
    </row>
    <row r="1380" spans="1:19">
      <c r="A1380" t="s">
        <v>2853</v>
      </c>
      <c r="B1380" t="s">
        <v>2854</v>
      </c>
      <c r="C1380" s="23" t="s">
        <v>4128</v>
      </c>
      <c r="D1380" s="23">
        <v>44995</v>
      </c>
      <c r="E1380" s="22">
        <v>3</v>
      </c>
      <c r="F1380" s="22">
        <v>10</v>
      </c>
      <c r="G1380" s="22">
        <v>2023</v>
      </c>
      <c r="H1380" s="23">
        <f t="shared" si="63"/>
        <v>44995</v>
      </c>
      <c r="I1380" s="25">
        <v>45003</v>
      </c>
      <c r="J1380" s="22">
        <f t="shared" si="64"/>
        <v>8</v>
      </c>
      <c r="K1380" t="s">
        <v>14</v>
      </c>
      <c r="L1380">
        <v>52920</v>
      </c>
      <c r="M1380">
        <v>913</v>
      </c>
      <c r="N1380" s="26">
        <v>1576.24</v>
      </c>
      <c r="O1380" s="26">
        <f t="shared" si="65"/>
        <v>1576.24</v>
      </c>
      <c r="P1380">
        <v>82</v>
      </c>
      <c r="Q1380" t="b">
        <v>1</v>
      </c>
      <c r="S1380" t="s">
        <v>16</v>
      </c>
    </row>
    <row r="1381" spans="1:19">
      <c r="A1381" t="s">
        <v>2855</v>
      </c>
      <c r="B1381" t="s">
        <v>2856</v>
      </c>
      <c r="C1381" s="23" t="s">
        <v>4128</v>
      </c>
      <c r="D1381" s="23">
        <v>45189</v>
      </c>
      <c r="E1381" s="22">
        <v>9</v>
      </c>
      <c r="F1381" s="22">
        <v>20</v>
      </c>
      <c r="G1381" s="22">
        <v>2023</v>
      </c>
      <c r="H1381" s="23">
        <f t="shared" si="63"/>
        <v>45189</v>
      </c>
      <c r="I1381" s="25">
        <v>45209</v>
      </c>
      <c r="J1381" s="22">
        <f t="shared" si="64"/>
        <v>20</v>
      </c>
      <c r="K1381" t="s">
        <v>14</v>
      </c>
      <c r="L1381">
        <v>29529</v>
      </c>
      <c r="M1381">
        <v>809</v>
      </c>
      <c r="N1381" s="26">
        <v>1490.65</v>
      </c>
      <c r="O1381" s="26">
        <f t="shared" si="65"/>
        <v>1490.65</v>
      </c>
      <c r="P1381">
        <v>70</v>
      </c>
      <c r="Q1381" t="b">
        <v>0</v>
      </c>
      <c r="S1381" t="s">
        <v>16</v>
      </c>
    </row>
    <row r="1382" spans="1:19">
      <c r="A1382" t="s">
        <v>2857</v>
      </c>
      <c r="B1382" t="s">
        <v>2858</v>
      </c>
      <c r="C1382" s="23" t="s">
        <v>4129</v>
      </c>
      <c r="D1382" s="23">
        <v>45087</v>
      </c>
      <c r="E1382" s="22">
        <v>6</v>
      </c>
      <c r="F1382" s="22">
        <v>10</v>
      </c>
      <c r="G1382" s="22">
        <v>2023</v>
      </c>
      <c r="H1382" s="23">
        <f t="shared" si="63"/>
        <v>45087</v>
      </c>
      <c r="I1382" s="25">
        <v>45107</v>
      </c>
      <c r="J1382" s="22">
        <f t="shared" si="64"/>
        <v>20</v>
      </c>
      <c r="K1382" t="s">
        <v>234</v>
      </c>
      <c r="L1382">
        <v>36954</v>
      </c>
      <c r="M1382">
        <v>860</v>
      </c>
      <c r="N1382" s="26">
        <v>1530.68</v>
      </c>
      <c r="O1382" s="26">
        <f t="shared" si="65"/>
        <v>1530.68</v>
      </c>
      <c r="P1382">
        <v>72</v>
      </c>
      <c r="Q1382" t="b">
        <v>0</v>
      </c>
      <c r="R1382">
        <v>37008</v>
      </c>
      <c r="S1382" t="s">
        <v>16</v>
      </c>
    </row>
    <row r="1383" spans="1:19">
      <c r="A1383" t="s">
        <v>2859</v>
      </c>
      <c r="B1383" t="s">
        <v>2860</v>
      </c>
      <c r="C1383" s="23" t="s">
        <v>4128</v>
      </c>
      <c r="D1383" s="23">
        <v>45250</v>
      </c>
      <c r="E1383" s="22">
        <v>11</v>
      </c>
      <c r="F1383" s="22">
        <v>20</v>
      </c>
      <c r="G1383" s="22">
        <v>2023</v>
      </c>
      <c r="H1383" s="23">
        <f t="shared" si="63"/>
        <v>45250</v>
      </c>
      <c r="I1383" s="25">
        <v>45269</v>
      </c>
      <c r="J1383" s="22">
        <f t="shared" si="64"/>
        <v>19</v>
      </c>
      <c r="K1383" t="s">
        <v>41</v>
      </c>
      <c r="L1383">
        <v>28856</v>
      </c>
      <c r="M1383">
        <v>683</v>
      </c>
      <c r="N1383" s="26">
        <v>1031.55</v>
      </c>
      <c r="O1383" s="26">
        <f t="shared" si="65"/>
        <v>1031.55</v>
      </c>
      <c r="P1383">
        <v>68</v>
      </c>
      <c r="Q1383" t="b">
        <v>1</v>
      </c>
      <c r="S1383" t="s">
        <v>42</v>
      </c>
    </row>
    <row r="1384" spans="1:19">
      <c r="A1384" t="s">
        <v>2861</v>
      </c>
      <c r="B1384" t="s">
        <v>2862</v>
      </c>
      <c r="C1384" s="23" t="s">
        <v>4127</v>
      </c>
      <c r="D1384" s="23">
        <v>45292</v>
      </c>
      <c r="E1384" s="22">
        <v>1</v>
      </c>
      <c r="F1384" s="22">
        <v>1</v>
      </c>
      <c r="G1384" s="22">
        <v>2024</v>
      </c>
      <c r="H1384" s="23">
        <f t="shared" si="63"/>
        <v>45292</v>
      </c>
      <c r="I1384" s="25">
        <v>45317</v>
      </c>
      <c r="J1384" s="22">
        <f t="shared" si="64"/>
        <v>25</v>
      </c>
      <c r="K1384" t="s">
        <v>33</v>
      </c>
      <c r="L1384">
        <v>3573</v>
      </c>
      <c r="M1384">
        <v>141</v>
      </c>
      <c r="N1384" s="26">
        <v>99.55</v>
      </c>
      <c r="O1384" s="26">
        <f t="shared" si="65"/>
        <v>99.55</v>
      </c>
      <c r="P1384">
        <v>17</v>
      </c>
      <c r="Q1384" t="b">
        <v>1</v>
      </c>
      <c r="S1384" t="s">
        <v>34</v>
      </c>
    </row>
    <row r="1385" spans="1:19">
      <c r="A1385" t="s">
        <v>2863</v>
      </c>
      <c r="B1385" t="s">
        <v>2864</v>
      </c>
      <c r="C1385" s="23" t="s">
        <v>4131</v>
      </c>
      <c r="D1385" s="23">
        <v>45271</v>
      </c>
      <c r="E1385" s="22">
        <v>12</v>
      </c>
      <c r="F1385" s="22">
        <v>11</v>
      </c>
      <c r="G1385" s="22">
        <v>2023</v>
      </c>
      <c r="H1385" s="23">
        <f t="shared" si="63"/>
        <v>45271</v>
      </c>
      <c r="I1385" s="25">
        <v>45280</v>
      </c>
      <c r="J1385" s="22">
        <f t="shared" si="64"/>
        <v>9</v>
      </c>
      <c r="K1385" t="s">
        <v>14</v>
      </c>
      <c r="L1385">
        <v>79344</v>
      </c>
      <c r="M1385">
        <v>1502</v>
      </c>
      <c r="N1385" s="26">
        <v>1374.79</v>
      </c>
      <c r="O1385" s="26">
        <f t="shared" si="65"/>
        <v>1374.79</v>
      </c>
      <c r="P1385">
        <v>173</v>
      </c>
      <c r="Q1385" t="b">
        <v>0</v>
      </c>
      <c r="S1385" t="s">
        <v>16</v>
      </c>
    </row>
    <row r="1386" spans="1:19">
      <c r="A1386" t="s">
        <v>2865</v>
      </c>
      <c r="B1386" t="s">
        <v>2866</v>
      </c>
      <c r="C1386" s="23" t="s">
        <v>4131</v>
      </c>
      <c r="D1386" s="23">
        <v>45018</v>
      </c>
      <c r="E1386" s="22">
        <v>4</v>
      </c>
      <c r="F1386" s="22">
        <v>2</v>
      </c>
      <c r="G1386" s="22">
        <v>2023</v>
      </c>
      <c r="H1386" s="23">
        <f t="shared" si="63"/>
        <v>45018</v>
      </c>
      <c r="I1386" s="25">
        <v>45048</v>
      </c>
      <c r="J1386" s="22">
        <f t="shared" si="64"/>
        <v>30</v>
      </c>
      <c r="K1386" t="s">
        <v>19</v>
      </c>
      <c r="L1386">
        <v>36367</v>
      </c>
      <c r="M1386">
        <v>1297</v>
      </c>
      <c r="N1386" s="26">
        <v>738.12</v>
      </c>
      <c r="O1386" s="26">
        <f t="shared" si="65"/>
        <v>738.12</v>
      </c>
      <c r="P1386">
        <v>107</v>
      </c>
      <c r="Q1386" t="b">
        <v>0</v>
      </c>
      <c r="S1386" t="s">
        <v>20</v>
      </c>
    </row>
    <row r="1387" spans="1:19">
      <c r="A1387" t="s">
        <v>2867</v>
      </c>
      <c r="B1387" t="s">
        <v>2868</v>
      </c>
      <c r="C1387" s="23" t="s">
        <v>4131</v>
      </c>
      <c r="D1387" s="23">
        <v>45092</v>
      </c>
      <c r="E1387" s="22">
        <v>6</v>
      </c>
      <c r="F1387" s="22">
        <v>15</v>
      </c>
      <c r="G1387" s="22">
        <v>2023</v>
      </c>
      <c r="H1387" s="23">
        <f t="shared" si="63"/>
        <v>45092</v>
      </c>
      <c r="I1387" s="25">
        <v>45110</v>
      </c>
      <c r="J1387" s="22">
        <f t="shared" si="64"/>
        <v>18</v>
      </c>
      <c r="K1387" t="s">
        <v>33</v>
      </c>
      <c r="L1387">
        <v>61774</v>
      </c>
      <c r="M1387">
        <v>2027</v>
      </c>
      <c r="N1387" s="26">
        <v>3843.67</v>
      </c>
      <c r="O1387" s="26">
        <f t="shared" si="65"/>
        <v>3632.575</v>
      </c>
      <c r="P1387">
        <v>141</v>
      </c>
      <c r="Q1387" t="b">
        <v>1</v>
      </c>
      <c r="S1387" t="s">
        <v>34</v>
      </c>
    </row>
    <row r="1388" spans="1:19">
      <c r="A1388" t="s">
        <v>2869</v>
      </c>
      <c r="B1388" t="s">
        <v>2870</v>
      </c>
      <c r="C1388" s="23" t="s">
        <v>4128</v>
      </c>
      <c r="D1388" s="23">
        <v>45214</v>
      </c>
      <c r="E1388" s="22">
        <v>10</v>
      </c>
      <c r="F1388" s="22">
        <v>15</v>
      </c>
      <c r="G1388" s="22">
        <v>2023</v>
      </c>
      <c r="H1388" s="23">
        <f t="shared" si="63"/>
        <v>45214</v>
      </c>
      <c r="I1388" s="25">
        <v>45226</v>
      </c>
      <c r="J1388" s="22">
        <f t="shared" si="64"/>
        <v>12</v>
      </c>
      <c r="K1388" t="s">
        <v>14</v>
      </c>
      <c r="L1388">
        <v>24752</v>
      </c>
      <c r="M1388">
        <v>809</v>
      </c>
      <c r="N1388" s="26">
        <v>1206.38</v>
      </c>
      <c r="O1388" s="26">
        <f t="shared" si="65"/>
        <v>1206.38</v>
      </c>
      <c r="P1388">
        <v>41</v>
      </c>
      <c r="Q1388" t="b">
        <v>1</v>
      </c>
      <c r="S1388" t="s">
        <v>16</v>
      </c>
    </row>
    <row r="1389" spans="1:19">
      <c r="A1389" t="s">
        <v>2871</v>
      </c>
      <c r="B1389" t="s">
        <v>2872</v>
      </c>
      <c r="C1389" s="23" t="s">
        <v>4127</v>
      </c>
      <c r="D1389" s="23">
        <v>45268</v>
      </c>
      <c r="E1389" s="22">
        <v>12</v>
      </c>
      <c r="F1389" s="22">
        <v>8</v>
      </c>
      <c r="G1389" s="22">
        <v>2023</v>
      </c>
      <c r="H1389" s="23">
        <f t="shared" si="63"/>
        <v>45268</v>
      </c>
      <c r="I1389" s="25">
        <v>45295</v>
      </c>
      <c r="J1389" s="22">
        <f t="shared" si="64"/>
        <v>27</v>
      </c>
      <c r="K1389" t="s">
        <v>138</v>
      </c>
      <c r="L1389">
        <v>56029</v>
      </c>
      <c r="M1389">
        <v>2046</v>
      </c>
      <c r="N1389" s="26">
        <v>3313.59</v>
      </c>
      <c r="O1389" s="26">
        <f t="shared" si="65"/>
        <v>3313.59</v>
      </c>
      <c r="P1389">
        <v>149</v>
      </c>
      <c r="Q1389" t="b">
        <v>1</v>
      </c>
      <c r="S1389" t="s">
        <v>139</v>
      </c>
    </row>
    <row r="1390" spans="1:19">
      <c r="A1390" t="s">
        <v>2873</v>
      </c>
      <c r="B1390" t="s">
        <v>2874</v>
      </c>
      <c r="C1390" s="23" t="s">
        <v>4128</v>
      </c>
      <c r="D1390" s="23">
        <v>45200</v>
      </c>
      <c r="E1390" s="22">
        <v>10</v>
      </c>
      <c r="F1390" s="22">
        <v>1</v>
      </c>
      <c r="G1390" s="22">
        <v>2023</v>
      </c>
      <c r="H1390" s="23">
        <f t="shared" si="63"/>
        <v>45200</v>
      </c>
      <c r="I1390" s="25">
        <v>45208</v>
      </c>
      <c r="J1390" s="22">
        <f t="shared" si="64"/>
        <v>8</v>
      </c>
      <c r="K1390" t="s">
        <v>33</v>
      </c>
      <c r="L1390">
        <v>18685</v>
      </c>
      <c r="M1390">
        <v>596</v>
      </c>
      <c r="N1390" s="26">
        <v>576.55</v>
      </c>
      <c r="O1390" s="26">
        <f t="shared" si="65"/>
        <v>576.55</v>
      </c>
      <c r="P1390">
        <v>92</v>
      </c>
      <c r="Q1390" t="b">
        <v>0</v>
      </c>
      <c r="S1390" t="s">
        <v>34</v>
      </c>
    </row>
    <row r="1391" spans="1:19">
      <c r="A1391" t="s">
        <v>2875</v>
      </c>
      <c r="B1391" t="s">
        <v>2876</v>
      </c>
      <c r="C1391" s="23" t="s">
        <v>4129</v>
      </c>
      <c r="D1391" s="23">
        <v>44933</v>
      </c>
      <c r="E1391" s="22">
        <v>1</v>
      </c>
      <c r="F1391" s="22">
        <v>7</v>
      </c>
      <c r="G1391" s="22">
        <v>2023</v>
      </c>
      <c r="H1391" s="23">
        <f t="shared" si="63"/>
        <v>44933</v>
      </c>
      <c r="I1391" s="25">
        <v>45113</v>
      </c>
      <c r="J1391" s="22">
        <f t="shared" si="64"/>
        <v>180</v>
      </c>
      <c r="K1391" t="s">
        <v>23</v>
      </c>
      <c r="L1391">
        <v>52693</v>
      </c>
      <c r="M1391">
        <v>2380</v>
      </c>
      <c r="N1391" s="26">
        <v>4208.98</v>
      </c>
      <c r="O1391" s="26">
        <f t="shared" si="65"/>
        <v>3632.575</v>
      </c>
      <c r="P1391">
        <v>205</v>
      </c>
      <c r="Q1391" t="b">
        <v>1</v>
      </c>
      <c r="S1391" t="s">
        <v>25</v>
      </c>
    </row>
    <row r="1392" spans="1:19">
      <c r="A1392" t="s">
        <v>2877</v>
      </c>
      <c r="B1392" t="s">
        <v>2878</v>
      </c>
      <c r="C1392" s="23" t="s">
        <v>4129</v>
      </c>
      <c r="D1392" s="23" t="s">
        <v>2879</v>
      </c>
      <c r="E1392" s="22">
        <v>16</v>
      </c>
      <c r="F1392" s="22">
        <v>3</v>
      </c>
      <c r="G1392" s="22">
        <v>2023</v>
      </c>
      <c r="H1392" s="23">
        <f t="shared" si="63"/>
        <v>45001</v>
      </c>
      <c r="I1392" s="25">
        <v>45002</v>
      </c>
      <c r="J1392" s="22">
        <f t="shared" si="64"/>
        <v>1</v>
      </c>
      <c r="K1392" t="s">
        <v>41</v>
      </c>
      <c r="L1392">
        <v>56961</v>
      </c>
      <c r="M1392">
        <v>2108</v>
      </c>
      <c r="N1392" s="26">
        <v>1874.87</v>
      </c>
      <c r="O1392" s="26">
        <f t="shared" si="65"/>
        <v>1874.87</v>
      </c>
      <c r="P1392">
        <v>253</v>
      </c>
      <c r="Q1392" t="b">
        <v>0</v>
      </c>
      <c r="S1392" t="s">
        <v>68</v>
      </c>
    </row>
    <row r="1393" spans="1:19">
      <c r="A1393" t="s">
        <v>2880</v>
      </c>
      <c r="B1393" t="s">
        <v>2881</v>
      </c>
      <c r="C1393" s="23" t="s">
        <v>4128</v>
      </c>
      <c r="D1393" s="23">
        <v>44955</v>
      </c>
      <c r="E1393" s="22">
        <v>1</v>
      </c>
      <c r="F1393" s="22">
        <v>29</v>
      </c>
      <c r="G1393" s="22">
        <v>2023</v>
      </c>
      <c r="H1393" s="23">
        <f t="shared" si="63"/>
        <v>44955</v>
      </c>
      <c r="I1393" s="25">
        <v>44973</v>
      </c>
      <c r="J1393" s="22">
        <f t="shared" si="64"/>
        <v>18</v>
      </c>
      <c r="K1393" t="s">
        <v>14</v>
      </c>
      <c r="L1393">
        <v>77908</v>
      </c>
      <c r="M1393">
        <v>2483</v>
      </c>
      <c r="N1393" s="26">
        <v>1247.62</v>
      </c>
      <c r="O1393" s="26">
        <f t="shared" si="65"/>
        <v>1247.62</v>
      </c>
      <c r="P1393">
        <v>0</v>
      </c>
      <c r="Q1393" t="b">
        <v>0</v>
      </c>
      <c r="S1393" t="s">
        <v>16</v>
      </c>
    </row>
    <row r="1394" spans="1:19">
      <c r="A1394" t="s">
        <v>2882</v>
      </c>
      <c r="B1394" t="s">
        <v>2883</v>
      </c>
      <c r="C1394" s="23" t="s">
        <v>4131</v>
      </c>
      <c r="D1394" s="23">
        <v>45009</v>
      </c>
      <c r="E1394" s="22">
        <v>3</v>
      </c>
      <c r="F1394" s="22">
        <v>24</v>
      </c>
      <c r="G1394" s="22">
        <v>2023</v>
      </c>
      <c r="H1394" s="23">
        <f t="shared" si="63"/>
        <v>45009</v>
      </c>
      <c r="I1394" s="25">
        <v>45028</v>
      </c>
      <c r="J1394" s="22">
        <f t="shared" si="64"/>
        <v>19</v>
      </c>
      <c r="K1394" t="s">
        <v>19</v>
      </c>
      <c r="L1394">
        <v>75532</v>
      </c>
      <c r="M1394">
        <v>3262</v>
      </c>
      <c r="N1394" s="26">
        <v>3472.8</v>
      </c>
      <c r="O1394" s="26">
        <f t="shared" si="65"/>
        <v>3472.8</v>
      </c>
      <c r="P1394">
        <v>597</v>
      </c>
      <c r="Q1394" t="b">
        <v>1</v>
      </c>
      <c r="S1394" t="s">
        <v>20</v>
      </c>
    </row>
    <row r="1395" spans="1:19">
      <c r="A1395" t="s">
        <v>2884</v>
      </c>
      <c r="B1395" t="s">
        <v>2885</v>
      </c>
      <c r="C1395" s="23" t="s">
        <v>4131</v>
      </c>
      <c r="D1395" s="23">
        <v>45001</v>
      </c>
      <c r="E1395" s="22">
        <v>3</v>
      </c>
      <c r="F1395" s="22">
        <v>16</v>
      </c>
      <c r="G1395" s="22">
        <v>2023</v>
      </c>
      <c r="H1395" s="23">
        <f t="shared" si="63"/>
        <v>45001</v>
      </c>
      <c r="I1395" s="25">
        <v>45012</v>
      </c>
      <c r="J1395" s="22">
        <f t="shared" si="64"/>
        <v>11</v>
      </c>
      <c r="K1395" t="s">
        <v>33</v>
      </c>
      <c r="L1395">
        <v>82994</v>
      </c>
      <c r="M1395">
        <v>2842</v>
      </c>
      <c r="N1395" s="26">
        <v>3854.16</v>
      </c>
      <c r="O1395" s="26">
        <f t="shared" si="65"/>
        <v>3632.575</v>
      </c>
      <c r="P1395">
        <v>521</v>
      </c>
      <c r="Q1395" t="b">
        <v>1</v>
      </c>
      <c r="S1395" t="s">
        <v>34</v>
      </c>
    </row>
    <row r="1396" spans="1:19">
      <c r="A1396" t="s">
        <v>2886</v>
      </c>
      <c r="B1396" t="s">
        <v>2887</v>
      </c>
      <c r="C1396" s="23" t="s">
        <v>4129</v>
      </c>
      <c r="D1396" s="23">
        <v>45078</v>
      </c>
      <c r="E1396" s="22">
        <v>6</v>
      </c>
      <c r="F1396" s="22">
        <v>1</v>
      </c>
      <c r="G1396" s="22">
        <v>2023</v>
      </c>
      <c r="H1396" s="23">
        <f t="shared" si="63"/>
        <v>45078</v>
      </c>
      <c r="I1396" s="25">
        <v>45103</v>
      </c>
      <c r="J1396" s="22">
        <f t="shared" si="64"/>
        <v>25</v>
      </c>
      <c r="K1396" t="s">
        <v>33</v>
      </c>
      <c r="L1396">
        <v>57133</v>
      </c>
      <c r="M1396">
        <v>1236</v>
      </c>
      <c r="N1396" s="26">
        <v>1505.52</v>
      </c>
      <c r="O1396" s="26">
        <f t="shared" si="65"/>
        <v>1505.52</v>
      </c>
      <c r="P1396">
        <v>200</v>
      </c>
      <c r="Q1396" t="b">
        <v>1</v>
      </c>
      <c r="S1396" t="s">
        <v>34</v>
      </c>
    </row>
    <row r="1397" spans="1:19">
      <c r="A1397" t="s">
        <v>2888</v>
      </c>
      <c r="B1397" t="s">
        <v>2889</v>
      </c>
      <c r="C1397" s="23" t="s">
        <v>4131</v>
      </c>
      <c r="D1397" s="23">
        <v>45110</v>
      </c>
      <c r="E1397" s="22">
        <v>7</v>
      </c>
      <c r="F1397" s="22">
        <v>3</v>
      </c>
      <c r="G1397" s="22">
        <v>2023</v>
      </c>
      <c r="H1397" s="23">
        <f t="shared" si="63"/>
        <v>45110</v>
      </c>
      <c r="I1397" s="25">
        <v>45118</v>
      </c>
      <c r="J1397" s="22">
        <f t="shared" si="64"/>
        <v>8</v>
      </c>
      <c r="K1397" t="s">
        <v>19</v>
      </c>
      <c r="L1397">
        <v>98425</v>
      </c>
      <c r="M1397">
        <v>1799</v>
      </c>
      <c r="N1397" s="26">
        <v>3225.81</v>
      </c>
      <c r="O1397" s="26">
        <f t="shared" si="65"/>
        <v>3225.81</v>
      </c>
      <c r="P1397">
        <v>0</v>
      </c>
      <c r="Q1397" t="b">
        <v>0</v>
      </c>
      <c r="S1397" t="s">
        <v>20</v>
      </c>
    </row>
    <row r="1398" spans="1:19">
      <c r="A1398" t="s">
        <v>2890</v>
      </c>
      <c r="B1398" t="s">
        <v>2891</v>
      </c>
      <c r="C1398" s="23" t="s">
        <v>4128</v>
      </c>
      <c r="D1398" s="23">
        <v>45272</v>
      </c>
      <c r="E1398" s="22">
        <v>12</v>
      </c>
      <c r="F1398" s="22">
        <v>12</v>
      </c>
      <c r="G1398" s="22">
        <v>2023</v>
      </c>
      <c r="H1398" s="23">
        <f t="shared" si="63"/>
        <v>45272</v>
      </c>
      <c r="I1398" s="25">
        <v>45278</v>
      </c>
      <c r="J1398" s="22">
        <f t="shared" si="64"/>
        <v>6</v>
      </c>
      <c r="K1398" t="s">
        <v>23</v>
      </c>
      <c r="L1398">
        <v>62268</v>
      </c>
      <c r="M1398">
        <v>1002</v>
      </c>
      <c r="N1398" s="26">
        <v>659.42</v>
      </c>
      <c r="O1398" s="26">
        <f t="shared" si="65"/>
        <v>659.42</v>
      </c>
      <c r="P1398">
        <v>136</v>
      </c>
      <c r="Q1398" t="b">
        <v>1</v>
      </c>
      <c r="S1398" t="s">
        <v>25</v>
      </c>
    </row>
    <row r="1399" spans="1:19">
      <c r="A1399" t="s">
        <v>2892</v>
      </c>
      <c r="B1399" t="s">
        <v>2893</v>
      </c>
      <c r="C1399" s="23" t="s">
        <v>4129</v>
      </c>
      <c r="D1399" s="23">
        <v>45258</v>
      </c>
      <c r="E1399" s="22">
        <v>11</v>
      </c>
      <c r="F1399" s="22">
        <v>28</v>
      </c>
      <c r="G1399" s="22">
        <v>2023</v>
      </c>
      <c r="H1399" s="23">
        <f t="shared" si="63"/>
        <v>45258</v>
      </c>
      <c r="I1399" s="25">
        <v>45284</v>
      </c>
      <c r="J1399" s="22">
        <f t="shared" si="64"/>
        <v>26</v>
      </c>
      <c r="K1399" t="s">
        <v>19</v>
      </c>
      <c r="L1399">
        <v>93201</v>
      </c>
      <c r="M1399">
        <v>4285</v>
      </c>
      <c r="N1399" s="26">
        <v>5702.2</v>
      </c>
      <c r="O1399" s="26">
        <f t="shared" si="65"/>
        <v>3632.575</v>
      </c>
      <c r="P1399">
        <v>0</v>
      </c>
      <c r="Q1399" t="b">
        <v>1</v>
      </c>
      <c r="S1399" t="s">
        <v>20</v>
      </c>
    </row>
    <row r="1400" spans="1:19">
      <c r="A1400" t="s">
        <v>2894</v>
      </c>
      <c r="B1400" t="s">
        <v>2895</v>
      </c>
      <c r="C1400" s="23" t="s">
        <v>4128</v>
      </c>
      <c r="D1400" s="23">
        <v>45283</v>
      </c>
      <c r="E1400" s="22">
        <v>12</v>
      </c>
      <c r="F1400" s="22">
        <v>23</v>
      </c>
      <c r="G1400" s="22">
        <v>2023</v>
      </c>
      <c r="H1400" s="23">
        <f t="shared" si="63"/>
        <v>45283</v>
      </c>
      <c r="I1400" s="25">
        <v>45310</v>
      </c>
      <c r="J1400" s="22">
        <f t="shared" si="64"/>
        <v>27</v>
      </c>
      <c r="K1400" t="s">
        <v>23</v>
      </c>
      <c r="L1400">
        <v>39243</v>
      </c>
      <c r="M1400">
        <v>1507</v>
      </c>
      <c r="N1400" s="26">
        <v>1913.09</v>
      </c>
      <c r="O1400" s="26">
        <f t="shared" si="65"/>
        <v>1913.09</v>
      </c>
      <c r="P1400">
        <v>79</v>
      </c>
      <c r="Q1400" t="b">
        <v>1</v>
      </c>
      <c r="S1400" t="s">
        <v>68</v>
      </c>
    </row>
    <row r="1401" spans="1:19">
      <c r="A1401" t="s">
        <v>2896</v>
      </c>
      <c r="B1401" t="s">
        <v>2897</v>
      </c>
      <c r="C1401" s="23" t="s">
        <v>4128</v>
      </c>
      <c r="D1401" s="23">
        <v>45122</v>
      </c>
      <c r="E1401" s="22">
        <v>7</v>
      </c>
      <c r="F1401" s="22">
        <v>15</v>
      </c>
      <c r="G1401" s="22">
        <v>2023</v>
      </c>
      <c r="H1401" s="23">
        <f t="shared" si="63"/>
        <v>45122</v>
      </c>
      <c r="I1401" s="25">
        <v>45135</v>
      </c>
      <c r="J1401" s="22">
        <f t="shared" si="64"/>
        <v>13</v>
      </c>
      <c r="K1401" t="s">
        <v>19</v>
      </c>
      <c r="L1401">
        <v>58384</v>
      </c>
      <c r="M1401">
        <v>2772</v>
      </c>
      <c r="N1401" s="26">
        <v>2556.03</v>
      </c>
      <c r="O1401" s="26">
        <f t="shared" si="65"/>
        <v>2556.03</v>
      </c>
      <c r="P1401">
        <v>367</v>
      </c>
      <c r="Q1401" t="b">
        <v>0</v>
      </c>
      <c r="S1401" t="s">
        <v>20</v>
      </c>
    </row>
    <row r="1402" spans="1:19">
      <c r="A1402" t="s">
        <v>2898</v>
      </c>
      <c r="B1402" t="s">
        <v>2899</v>
      </c>
      <c r="C1402" s="23" t="s">
        <v>4131</v>
      </c>
      <c r="D1402" s="23">
        <v>45277</v>
      </c>
      <c r="E1402" s="22">
        <v>12</v>
      </c>
      <c r="F1402" s="22">
        <v>17</v>
      </c>
      <c r="G1402" s="22">
        <v>2023</v>
      </c>
      <c r="H1402" s="23">
        <f t="shared" si="63"/>
        <v>45277</v>
      </c>
      <c r="I1402" s="25">
        <v>45284</v>
      </c>
      <c r="J1402" s="22">
        <f t="shared" si="64"/>
        <v>7</v>
      </c>
      <c r="K1402" t="s">
        <v>41</v>
      </c>
      <c r="L1402">
        <v>32653</v>
      </c>
      <c r="M1402">
        <v>1114</v>
      </c>
      <c r="N1402" s="26">
        <v>1930.94</v>
      </c>
      <c r="O1402" s="26">
        <f t="shared" si="65"/>
        <v>1930.94</v>
      </c>
      <c r="P1402">
        <v>199</v>
      </c>
      <c r="Q1402" t="b">
        <v>0</v>
      </c>
      <c r="S1402" t="s">
        <v>42</v>
      </c>
    </row>
    <row r="1403" spans="1:19">
      <c r="A1403" t="s">
        <v>2900</v>
      </c>
      <c r="B1403" t="s">
        <v>2901</v>
      </c>
      <c r="C1403" s="23" t="s">
        <v>4131</v>
      </c>
      <c r="D1403" s="23">
        <v>44933</v>
      </c>
      <c r="E1403" s="22">
        <v>1</v>
      </c>
      <c r="F1403" s="22">
        <v>7</v>
      </c>
      <c r="G1403" s="22">
        <v>2023</v>
      </c>
      <c r="H1403" s="23">
        <f t="shared" si="63"/>
        <v>44933</v>
      </c>
      <c r="I1403" s="25">
        <v>44951</v>
      </c>
      <c r="J1403" s="22">
        <f t="shared" si="64"/>
        <v>18</v>
      </c>
      <c r="K1403" t="s">
        <v>58</v>
      </c>
      <c r="L1403">
        <v>27657</v>
      </c>
      <c r="M1403">
        <v>800</v>
      </c>
      <c r="N1403" s="26">
        <v>1303.42</v>
      </c>
      <c r="O1403" s="26">
        <f t="shared" si="65"/>
        <v>1303.42</v>
      </c>
      <c r="P1403">
        <v>96</v>
      </c>
      <c r="Q1403" t="b">
        <v>1</v>
      </c>
      <c r="S1403" t="s">
        <v>59</v>
      </c>
    </row>
    <row r="1404" spans="1:19">
      <c r="A1404" t="s">
        <v>2902</v>
      </c>
      <c r="B1404" t="s">
        <v>2903</v>
      </c>
      <c r="C1404" s="23" t="s">
        <v>4127</v>
      </c>
      <c r="D1404" s="23">
        <v>45153</v>
      </c>
      <c r="E1404" s="22">
        <v>8</v>
      </c>
      <c r="F1404" s="22">
        <v>15</v>
      </c>
      <c r="G1404" s="22">
        <v>2023</v>
      </c>
      <c r="H1404" s="23">
        <f t="shared" si="63"/>
        <v>45153</v>
      </c>
      <c r="I1404" s="25">
        <v>45173</v>
      </c>
      <c r="J1404" s="22">
        <f t="shared" si="64"/>
        <v>20</v>
      </c>
      <c r="K1404" t="s">
        <v>14</v>
      </c>
      <c r="L1404">
        <v>40952</v>
      </c>
      <c r="M1404">
        <v>507</v>
      </c>
      <c r="N1404" s="26">
        <v>810.84</v>
      </c>
      <c r="O1404" s="26">
        <f t="shared" si="65"/>
        <v>810.84</v>
      </c>
      <c r="P1404">
        <v>25</v>
      </c>
      <c r="Q1404" t="b">
        <v>1</v>
      </c>
      <c r="S1404" t="s">
        <v>16</v>
      </c>
    </row>
    <row r="1405" spans="1:19">
      <c r="A1405" t="s">
        <v>2904</v>
      </c>
      <c r="B1405" t="s">
        <v>2905</v>
      </c>
      <c r="C1405" s="23" t="s">
        <v>4127</v>
      </c>
      <c r="D1405" s="23">
        <v>45287</v>
      </c>
      <c r="E1405" s="22">
        <v>12</v>
      </c>
      <c r="F1405" s="22">
        <v>27</v>
      </c>
      <c r="G1405" s="22">
        <v>2023</v>
      </c>
      <c r="H1405" s="23">
        <f t="shared" si="63"/>
        <v>45287</v>
      </c>
      <c r="I1405" s="25">
        <v>45288</v>
      </c>
      <c r="J1405" s="22">
        <f t="shared" si="64"/>
        <v>1</v>
      </c>
      <c r="K1405" t="s">
        <v>33</v>
      </c>
      <c r="L1405">
        <v>23180</v>
      </c>
      <c r="M1405">
        <v>854</v>
      </c>
      <c r="N1405" s="26">
        <v>1549.4</v>
      </c>
      <c r="O1405" s="26">
        <f t="shared" si="65"/>
        <v>1549.4</v>
      </c>
      <c r="P1405">
        <v>44</v>
      </c>
      <c r="Q1405" t="b">
        <v>0</v>
      </c>
      <c r="S1405" t="s">
        <v>34</v>
      </c>
    </row>
    <row r="1406" spans="1:19">
      <c r="A1406" t="s">
        <v>2906</v>
      </c>
      <c r="B1406" t="s">
        <v>2907</v>
      </c>
      <c r="C1406" s="23" t="s">
        <v>4128</v>
      </c>
      <c r="D1406" s="23">
        <v>45228</v>
      </c>
      <c r="E1406" s="22">
        <v>10</v>
      </c>
      <c r="F1406" s="22">
        <v>29</v>
      </c>
      <c r="G1406" s="22">
        <v>2023</v>
      </c>
      <c r="H1406" s="23">
        <f t="shared" si="63"/>
        <v>45228</v>
      </c>
      <c r="I1406" s="25">
        <v>45234</v>
      </c>
      <c r="J1406" s="22">
        <f t="shared" si="64"/>
        <v>6</v>
      </c>
      <c r="K1406" t="s">
        <v>33</v>
      </c>
      <c r="L1406">
        <v>98432</v>
      </c>
      <c r="M1406">
        <v>3276</v>
      </c>
      <c r="N1406" s="26">
        <v>5189.76</v>
      </c>
      <c r="O1406" s="26">
        <f t="shared" si="65"/>
        <v>3632.575</v>
      </c>
      <c r="P1406">
        <v>0</v>
      </c>
      <c r="Q1406" t="b">
        <v>1</v>
      </c>
      <c r="S1406" t="s">
        <v>34</v>
      </c>
    </row>
    <row r="1407" spans="1:19">
      <c r="A1407" t="s">
        <v>2908</v>
      </c>
      <c r="B1407" t="s">
        <v>2909</v>
      </c>
      <c r="C1407" s="23" t="s">
        <v>4128</v>
      </c>
      <c r="D1407" s="23">
        <v>45026</v>
      </c>
      <c r="E1407" s="22">
        <v>4</v>
      </c>
      <c r="F1407" s="22">
        <v>10</v>
      </c>
      <c r="G1407" s="22">
        <v>2023</v>
      </c>
      <c r="H1407" s="23">
        <f t="shared" si="63"/>
        <v>45026</v>
      </c>
      <c r="I1407" s="25">
        <v>45029</v>
      </c>
      <c r="J1407" s="22">
        <f t="shared" si="64"/>
        <v>3</v>
      </c>
      <c r="K1407" t="s">
        <v>19</v>
      </c>
      <c r="L1407">
        <v>79411</v>
      </c>
      <c r="M1407">
        <v>3939</v>
      </c>
      <c r="N1407" s="26">
        <v>3339.33</v>
      </c>
      <c r="O1407" s="26">
        <f t="shared" si="65"/>
        <v>3339.33</v>
      </c>
      <c r="P1407">
        <v>288</v>
      </c>
      <c r="Q1407" t="b">
        <v>1</v>
      </c>
      <c r="S1407" t="s">
        <v>20</v>
      </c>
    </row>
    <row r="1408" spans="1:19">
      <c r="A1408" t="s">
        <v>2910</v>
      </c>
      <c r="B1408" t="s">
        <v>2911</v>
      </c>
      <c r="C1408" s="23" t="s">
        <v>4127</v>
      </c>
      <c r="D1408" s="23" t="s">
        <v>2559</v>
      </c>
      <c r="E1408" s="22">
        <v>16</v>
      </c>
      <c r="F1408" s="22">
        <v>12</v>
      </c>
      <c r="G1408" s="22">
        <v>2023</v>
      </c>
      <c r="H1408" s="23">
        <f t="shared" si="63"/>
        <v>45276</v>
      </c>
      <c r="I1408" s="25">
        <v>45295</v>
      </c>
      <c r="J1408" s="22">
        <f t="shared" si="64"/>
        <v>19</v>
      </c>
      <c r="K1408" t="s">
        <v>19</v>
      </c>
      <c r="L1408">
        <v>2622</v>
      </c>
      <c r="M1408">
        <v>51</v>
      </c>
      <c r="N1408" s="26">
        <v>79.48</v>
      </c>
      <c r="O1408" s="26">
        <f t="shared" si="65"/>
        <v>79.48</v>
      </c>
      <c r="P1408">
        <v>7</v>
      </c>
      <c r="Q1408" t="b">
        <v>1</v>
      </c>
      <c r="S1408" t="s">
        <v>20</v>
      </c>
    </row>
    <row r="1409" spans="1:19">
      <c r="A1409" t="s">
        <v>2912</v>
      </c>
      <c r="B1409" t="s">
        <v>2913</v>
      </c>
      <c r="C1409" s="23" t="s">
        <v>4127</v>
      </c>
      <c r="D1409" s="23">
        <v>45015</v>
      </c>
      <c r="E1409" s="22">
        <v>3</v>
      </c>
      <c r="F1409" s="22">
        <v>30</v>
      </c>
      <c r="G1409" s="22">
        <v>2023</v>
      </c>
      <c r="H1409" s="23">
        <f t="shared" si="63"/>
        <v>45015</v>
      </c>
      <c r="I1409" s="25">
        <v>45039</v>
      </c>
      <c r="J1409" s="22">
        <f t="shared" si="64"/>
        <v>24</v>
      </c>
      <c r="K1409" t="s">
        <v>33</v>
      </c>
      <c r="L1409">
        <v>49756</v>
      </c>
      <c r="M1409">
        <v>1553</v>
      </c>
      <c r="N1409" s="26">
        <v>1493.29</v>
      </c>
      <c r="O1409" s="26">
        <f t="shared" si="65"/>
        <v>1493.29</v>
      </c>
      <c r="P1409">
        <v>242</v>
      </c>
      <c r="Q1409" t="b">
        <v>1</v>
      </c>
      <c r="S1409" t="s">
        <v>34</v>
      </c>
    </row>
    <row r="1410" spans="1:19">
      <c r="A1410" t="s">
        <v>2914</v>
      </c>
      <c r="B1410" t="s">
        <v>2915</v>
      </c>
      <c r="C1410" s="23" t="s">
        <v>4127</v>
      </c>
      <c r="D1410" s="23">
        <v>44947</v>
      </c>
      <c r="E1410" s="22">
        <v>1</v>
      </c>
      <c r="F1410" s="22">
        <v>21</v>
      </c>
      <c r="G1410" s="22">
        <v>2023</v>
      </c>
      <c r="H1410" s="23">
        <f t="shared" si="63"/>
        <v>44947</v>
      </c>
      <c r="I1410" s="25">
        <v>44967</v>
      </c>
      <c r="J1410" s="22">
        <f t="shared" si="64"/>
        <v>20</v>
      </c>
      <c r="K1410" t="s">
        <v>19</v>
      </c>
      <c r="L1410">
        <v>41809</v>
      </c>
      <c r="M1410">
        <v>1506</v>
      </c>
      <c r="N1410" s="26">
        <v>1300.07</v>
      </c>
      <c r="O1410" s="26">
        <f t="shared" si="65"/>
        <v>1300.07</v>
      </c>
      <c r="P1410">
        <v>115</v>
      </c>
      <c r="Q1410" t="b">
        <v>0</v>
      </c>
      <c r="S1410" t="s">
        <v>20</v>
      </c>
    </row>
    <row r="1411" spans="1:19">
      <c r="A1411" t="s">
        <v>2916</v>
      </c>
      <c r="B1411" t="s">
        <v>2917</v>
      </c>
      <c r="C1411" s="23" t="s">
        <v>4128</v>
      </c>
      <c r="D1411" s="23">
        <v>44993</v>
      </c>
      <c r="E1411" s="22">
        <v>3</v>
      </c>
      <c r="F1411" s="22">
        <v>8</v>
      </c>
      <c r="G1411" s="22">
        <v>2023</v>
      </c>
      <c r="H1411" s="23">
        <f t="shared" ref="H1411:H1474" si="66">IF(E1411&gt;12,DATE(G1411,F1411,E1411),D1411)</f>
        <v>44993</v>
      </c>
      <c r="I1411" s="25">
        <v>45002</v>
      </c>
      <c r="J1411" s="22">
        <f t="shared" ref="J1411:J1474" si="67">DATEDIF(H1411,I1411,"D")</f>
        <v>9</v>
      </c>
      <c r="K1411" t="s">
        <v>19</v>
      </c>
      <c r="L1411">
        <v>17725</v>
      </c>
      <c r="M1411">
        <v>634</v>
      </c>
      <c r="N1411" s="26">
        <v>-386.43</v>
      </c>
      <c r="O1411" s="26">
        <f t="shared" ref="O1411:O1474" si="68">IF(N1411&lt;$W$8,$W$8,IF(N1411&gt;$W$9,$W$9,N1411))</f>
        <v>-344.195</v>
      </c>
      <c r="P1411">
        <v>116</v>
      </c>
      <c r="Q1411" t="b">
        <v>1</v>
      </c>
      <c r="S1411" t="s">
        <v>20</v>
      </c>
    </row>
    <row r="1412" spans="1:19">
      <c r="A1412" t="s">
        <v>2918</v>
      </c>
      <c r="B1412" t="s">
        <v>2919</v>
      </c>
      <c r="C1412" s="23" t="s">
        <v>4131</v>
      </c>
      <c r="D1412" s="23">
        <v>44929</v>
      </c>
      <c r="E1412" s="22">
        <v>1</v>
      </c>
      <c r="F1412" s="22">
        <v>3</v>
      </c>
      <c r="G1412" s="22">
        <v>2023</v>
      </c>
      <c r="H1412" s="23">
        <f t="shared" si="66"/>
        <v>44929</v>
      </c>
      <c r="I1412" s="25">
        <v>44955</v>
      </c>
      <c r="J1412" s="22">
        <f t="shared" si="67"/>
        <v>26</v>
      </c>
      <c r="K1412" t="s">
        <v>33</v>
      </c>
      <c r="L1412">
        <v>62396</v>
      </c>
      <c r="M1412">
        <v>2024</v>
      </c>
      <c r="N1412" s="26">
        <v>3270.87</v>
      </c>
      <c r="O1412" s="26">
        <f t="shared" si="68"/>
        <v>3270.87</v>
      </c>
      <c r="P1412">
        <v>235</v>
      </c>
      <c r="Q1412" t="b">
        <v>1</v>
      </c>
      <c r="S1412" t="s">
        <v>34</v>
      </c>
    </row>
    <row r="1413" spans="1:19">
      <c r="A1413" t="s">
        <v>2920</v>
      </c>
      <c r="B1413" t="s">
        <v>2921</v>
      </c>
      <c r="C1413" s="23" t="s">
        <v>4127</v>
      </c>
      <c r="D1413" s="23" t="s">
        <v>682</v>
      </c>
      <c r="E1413" s="22">
        <v>21</v>
      </c>
      <c r="F1413" s="22">
        <v>3</v>
      </c>
      <c r="G1413" s="22">
        <v>2023</v>
      </c>
      <c r="H1413" s="23">
        <f t="shared" si="66"/>
        <v>45006</v>
      </c>
      <c r="I1413" s="25">
        <v>45022</v>
      </c>
      <c r="J1413" s="22">
        <f t="shared" si="67"/>
        <v>16</v>
      </c>
      <c r="K1413" t="s">
        <v>19</v>
      </c>
      <c r="L1413">
        <v>52226</v>
      </c>
      <c r="M1413">
        <v>2145</v>
      </c>
      <c r="N1413" s="26">
        <v>3360.15</v>
      </c>
      <c r="O1413" s="26">
        <f t="shared" si="68"/>
        <v>3360.15</v>
      </c>
      <c r="P1413">
        <v>153</v>
      </c>
      <c r="Q1413" t="b">
        <v>0</v>
      </c>
      <c r="S1413" t="s">
        <v>20</v>
      </c>
    </row>
    <row r="1414" spans="1:19">
      <c r="A1414" t="s">
        <v>2922</v>
      </c>
      <c r="B1414" t="s">
        <v>2923</v>
      </c>
      <c r="C1414" s="23" t="s">
        <v>4127</v>
      </c>
      <c r="D1414" s="23">
        <v>45092</v>
      </c>
      <c r="E1414" s="22">
        <v>6</v>
      </c>
      <c r="F1414" s="22">
        <v>15</v>
      </c>
      <c r="G1414" s="22">
        <v>2023</v>
      </c>
      <c r="H1414" s="23">
        <f t="shared" si="66"/>
        <v>45092</v>
      </c>
      <c r="I1414" s="25">
        <v>45096</v>
      </c>
      <c r="J1414" s="22">
        <f t="shared" si="67"/>
        <v>4</v>
      </c>
      <c r="K1414" t="s">
        <v>19</v>
      </c>
      <c r="L1414">
        <v>82182</v>
      </c>
      <c r="M1414">
        <v>1495</v>
      </c>
      <c r="N1414" s="26">
        <v>1273.37</v>
      </c>
      <c r="O1414" s="26">
        <f t="shared" si="68"/>
        <v>1273.37</v>
      </c>
      <c r="P1414">
        <v>246</v>
      </c>
      <c r="Q1414" t="b">
        <v>0</v>
      </c>
      <c r="S1414" t="s">
        <v>20</v>
      </c>
    </row>
    <row r="1415" spans="1:19">
      <c r="A1415" t="s">
        <v>2924</v>
      </c>
      <c r="B1415" t="s">
        <v>2925</v>
      </c>
      <c r="C1415" s="23" t="s">
        <v>4127</v>
      </c>
      <c r="D1415" s="23">
        <v>45247</v>
      </c>
      <c r="E1415" s="22">
        <v>11</v>
      </c>
      <c r="F1415" s="22">
        <v>17</v>
      </c>
      <c r="G1415" s="22">
        <v>2023</v>
      </c>
      <c r="H1415" s="23">
        <f t="shared" si="66"/>
        <v>45247</v>
      </c>
      <c r="I1415" s="25">
        <v>45251</v>
      </c>
      <c r="J1415" s="22">
        <f t="shared" si="67"/>
        <v>4</v>
      </c>
      <c r="K1415" t="s">
        <v>41</v>
      </c>
      <c r="L1415">
        <v>83565</v>
      </c>
      <c r="M1415">
        <v>3261</v>
      </c>
      <c r="N1415" s="26">
        <v>5296.09</v>
      </c>
      <c r="O1415" s="26">
        <f t="shared" si="68"/>
        <v>3632.575</v>
      </c>
      <c r="P1415">
        <v>549</v>
      </c>
      <c r="Q1415" t="b">
        <v>1</v>
      </c>
      <c r="S1415" t="s">
        <v>42</v>
      </c>
    </row>
    <row r="1416" spans="1:19">
      <c r="A1416" t="s">
        <v>2926</v>
      </c>
      <c r="B1416" t="s">
        <v>2927</v>
      </c>
      <c r="C1416" s="23" t="s">
        <v>4129</v>
      </c>
      <c r="D1416" s="23">
        <v>45178</v>
      </c>
      <c r="E1416" s="22">
        <v>9</v>
      </c>
      <c r="F1416" s="22">
        <v>9</v>
      </c>
      <c r="G1416" s="22">
        <v>2023</v>
      </c>
      <c r="H1416" s="23">
        <f t="shared" si="66"/>
        <v>45178</v>
      </c>
      <c r="I1416" s="25">
        <v>45186</v>
      </c>
      <c r="J1416" s="22">
        <f t="shared" si="67"/>
        <v>8</v>
      </c>
      <c r="K1416" t="s">
        <v>33</v>
      </c>
      <c r="L1416">
        <v>30402</v>
      </c>
      <c r="M1416">
        <v>1057</v>
      </c>
      <c r="N1416" s="26">
        <v>1983.74</v>
      </c>
      <c r="O1416" s="26">
        <f t="shared" si="68"/>
        <v>1983.74</v>
      </c>
      <c r="P1416">
        <v>154</v>
      </c>
      <c r="Q1416" t="b">
        <v>0</v>
      </c>
      <c r="S1416" t="s">
        <v>34</v>
      </c>
    </row>
    <row r="1417" spans="1:19">
      <c r="A1417" t="s">
        <v>2928</v>
      </c>
      <c r="B1417" t="s">
        <v>2929</v>
      </c>
      <c r="C1417" s="23" t="s">
        <v>4128</v>
      </c>
      <c r="D1417" s="23">
        <v>44964</v>
      </c>
      <c r="E1417" s="22">
        <v>2</v>
      </c>
      <c r="F1417" s="22">
        <v>7</v>
      </c>
      <c r="G1417" s="22">
        <v>2023</v>
      </c>
      <c r="H1417" s="23">
        <f t="shared" si="66"/>
        <v>44964</v>
      </c>
      <c r="I1417" s="25">
        <v>44992</v>
      </c>
      <c r="J1417" s="22">
        <f t="shared" si="67"/>
        <v>28</v>
      </c>
      <c r="K1417" t="s">
        <v>23</v>
      </c>
      <c r="L1417">
        <v>5263</v>
      </c>
      <c r="M1417">
        <v>241</v>
      </c>
      <c r="N1417" s="26">
        <v>159.55</v>
      </c>
      <c r="O1417" s="26">
        <f t="shared" si="68"/>
        <v>159.55</v>
      </c>
      <c r="P1417">
        <v>42</v>
      </c>
      <c r="Q1417" t="b">
        <v>1</v>
      </c>
      <c r="S1417" t="s">
        <v>25</v>
      </c>
    </row>
    <row r="1418" spans="1:19">
      <c r="A1418" t="s">
        <v>2930</v>
      </c>
      <c r="B1418" t="s">
        <v>2931</v>
      </c>
      <c r="C1418" s="23" t="s">
        <v>4128</v>
      </c>
      <c r="D1418" s="23">
        <v>45039</v>
      </c>
      <c r="E1418" s="22">
        <v>4</v>
      </c>
      <c r="F1418" s="22">
        <v>23</v>
      </c>
      <c r="G1418" s="22">
        <v>2023</v>
      </c>
      <c r="H1418" s="23">
        <f t="shared" si="66"/>
        <v>45039</v>
      </c>
      <c r="I1418" s="25">
        <v>45053</v>
      </c>
      <c r="J1418" s="22">
        <f t="shared" si="67"/>
        <v>14</v>
      </c>
      <c r="K1418" t="s">
        <v>14</v>
      </c>
      <c r="L1418">
        <v>97523</v>
      </c>
      <c r="M1418">
        <v>4280</v>
      </c>
      <c r="N1418" s="26">
        <v>3633.53</v>
      </c>
      <c r="O1418" s="26">
        <f t="shared" si="68"/>
        <v>3632.575</v>
      </c>
      <c r="P1418">
        <v>687</v>
      </c>
      <c r="Q1418" t="b">
        <v>1</v>
      </c>
      <c r="S1418" t="s">
        <v>16</v>
      </c>
    </row>
    <row r="1419" spans="1:19">
      <c r="A1419" t="s">
        <v>2932</v>
      </c>
      <c r="B1419" t="s">
        <v>2933</v>
      </c>
      <c r="C1419" s="23" t="s">
        <v>4129</v>
      </c>
      <c r="D1419" s="23">
        <v>45185</v>
      </c>
      <c r="E1419" s="22">
        <v>9</v>
      </c>
      <c r="F1419" s="22">
        <v>16</v>
      </c>
      <c r="G1419" s="22">
        <v>2023</v>
      </c>
      <c r="H1419" s="23">
        <f t="shared" si="66"/>
        <v>45185</v>
      </c>
      <c r="I1419" s="25">
        <v>45193</v>
      </c>
      <c r="J1419" s="22">
        <f t="shared" si="67"/>
        <v>8</v>
      </c>
      <c r="K1419" t="s">
        <v>33</v>
      </c>
      <c r="L1419">
        <v>47828</v>
      </c>
      <c r="M1419">
        <v>1081</v>
      </c>
      <c r="N1419" s="26">
        <v>1757.05</v>
      </c>
      <c r="O1419" s="26">
        <f t="shared" si="68"/>
        <v>1757.05</v>
      </c>
      <c r="P1419">
        <v>197</v>
      </c>
      <c r="Q1419" t="b">
        <v>0</v>
      </c>
      <c r="S1419" t="s">
        <v>34</v>
      </c>
    </row>
    <row r="1420" spans="1:19">
      <c r="A1420" t="s">
        <v>2934</v>
      </c>
      <c r="B1420" t="s">
        <v>2935</v>
      </c>
      <c r="C1420" s="23" t="s">
        <v>4127</v>
      </c>
      <c r="D1420" s="23" t="s">
        <v>2672</v>
      </c>
      <c r="E1420" s="22">
        <v>26</v>
      </c>
      <c r="F1420" s="22">
        <v>7</v>
      </c>
      <c r="G1420" s="22">
        <v>2023</v>
      </c>
      <c r="H1420" s="23">
        <f t="shared" si="66"/>
        <v>45133</v>
      </c>
      <c r="I1420" s="25">
        <v>45141</v>
      </c>
      <c r="J1420" s="22">
        <f t="shared" si="67"/>
        <v>8</v>
      </c>
      <c r="K1420" t="s">
        <v>41</v>
      </c>
      <c r="L1420">
        <v>48924</v>
      </c>
      <c r="M1420">
        <v>1029</v>
      </c>
      <c r="N1420" s="26">
        <v>-938.2</v>
      </c>
      <c r="O1420" s="26">
        <f t="shared" si="68"/>
        <v>-344.195</v>
      </c>
      <c r="P1420">
        <v>118</v>
      </c>
      <c r="Q1420" t="b">
        <v>1</v>
      </c>
      <c r="S1420" t="s">
        <v>42</v>
      </c>
    </row>
    <row r="1421" spans="1:19">
      <c r="A1421" t="s">
        <v>2936</v>
      </c>
      <c r="B1421" t="s">
        <v>2937</v>
      </c>
      <c r="C1421" s="23" t="s">
        <v>4131</v>
      </c>
      <c r="D1421" s="23">
        <v>45040</v>
      </c>
      <c r="E1421" s="22">
        <v>4</v>
      </c>
      <c r="F1421" s="22">
        <v>24</v>
      </c>
      <c r="G1421" s="22">
        <v>2023</v>
      </c>
      <c r="H1421" s="23">
        <f t="shared" si="66"/>
        <v>45040</v>
      </c>
      <c r="I1421" s="25">
        <v>45055</v>
      </c>
      <c r="J1421" s="22">
        <f t="shared" si="67"/>
        <v>15</v>
      </c>
      <c r="K1421" t="s">
        <v>14</v>
      </c>
      <c r="L1421">
        <v>75182</v>
      </c>
      <c r="M1421">
        <v>3703</v>
      </c>
      <c r="N1421" s="26">
        <v>5321.2</v>
      </c>
      <c r="O1421" s="26">
        <f t="shared" si="68"/>
        <v>3632.575</v>
      </c>
      <c r="P1421">
        <v>600</v>
      </c>
      <c r="Q1421" t="b">
        <v>1</v>
      </c>
      <c r="S1421" t="s">
        <v>16</v>
      </c>
    </row>
    <row r="1422" spans="1:19">
      <c r="A1422" t="s">
        <v>2938</v>
      </c>
      <c r="B1422" t="s">
        <v>2939</v>
      </c>
      <c r="C1422" s="23" t="s">
        <v>4128</v>
      </c>
      <c r="D1422" s="23">
        <v>45096</v>
      </c>
      <c r="E1422" s="22">
        <v>6</v>
      </c>
      <c r="F1422" s="22">
        <v>19</v>
      </c>
      <c r="G1422" s="22">
        <v>2023</v>
      </c>
      <c r="H1422" s="23">
        <f t="shared" si="66"/>
        <v>45096</v>
      </c>
      <c r="I1422" s="25">
        <v>45116</v>
      </c>
      <c r="J1422" s="22">
        <f t="shared" si="67"/>
        <v>20</v>
      </c>
      <c r="K1422" t="s">
        <v>19</v>
      </c>
      <c r="L1422">
        <v>94065</v>
      </c>
      <c r="M1422">
        <v>2924</v>
      </c>
      <c r="N1422" s="26">
        <v>1817.99</v>
      </c>
      <c r="O1422" s="26">
        <f t="shared" si="68"/>
        <v>1817.99</v>
      </c>
      <c r="P1422">
        <v>584</v>
      </c>
      <c r="Q1422" t="b">
        <v>1</v>
      </c>
      <c r="S1422" t="s">
        <v>20</v>
      </c>
    </row>
    <row r="1423" spans="1:19">
      <c r="A1423" t="s">
        <v>2940</v>
      </c>
      <c r="B1423" t="s">
        <v>2941</v>
      </c>
      <c r="C1423" s="23" t="s">
        <v>4128</v>
      </c>
      <c r="D1423" s="23">
        <v>45243</v>
      </c>
      <c r="E1423" s="22">
        <v>11</v>
      </c>
      <c r="F1423" s="22">
        <v>13</v>
      </c>
      <c r="G1423" s="22">
        <v>2023</v>
      </c>
      <c r="H1423" s="23">
        <f t="shared" si="66"/>
        <v>45243</v>
      </c>
      <c r="I1423" s="25">
        <v>45249</v>
      </c>
      <c r="J1423" s="22">
        <f t="shared" si="67"/>
        <v>6</v>
      </c>
      <c r="K1423" t="s">
        <v>14</v>
      </c>
      <c r="L1423">
        <v>60052</v>
      </c>
      <c r="M1423">
        <v>2777</v>
      </c>
      <c r="N1423" s="26">
        <v>3272.15</v>
      </c>
      <c r="O1423" s="26">
        <f t="shared" si="68"/>
        <v>3272.15</v>
      </c>
      <c r="P1423">
        <v>440</v>
      </c>
      <c r="Q1423" t="b">
        <v>1</v>
      </c>
      <c r="S1423" t="s">
        <v>16</v>
      </c>
    </row>
    <row r="1424" spans="1:19">
      <c r="A1424" t="s">
        <v>2942</v>
      </c>
      <c r="B1424" t="s">
        <v>2943</v>
      </c>
      <c r="C1424" s="23" t="s">
        <v>4127</v>
      </c>
      <c r="D1424" s="23" t="s">
        <v>687</v>
      </c>
      <c r="E1424" s="22">
        <v>29</v>
      </c>
      <c r="F1424" s="22">
        <v>11</v>
      </c>
      <c r="G1424" s="22">
        <v>2023</v>
      </c>
      <c r="H1424" s="23">
        <f t="shared" si="66"/>
        <v>45259</v>
      </c>
      <c r="I1424" s="25">
        <v>45288</v>
      </c>
      <c r="J1424" s="22">
        <f t="shared" si="67"/>
        <v>29</v>
      </c>
      <c r="K1424" t="s">
        <v>41</v>
      </c>
      <c r="L1424">
        <v>12664</v>
      </c>
      <c r="M1424">
        <v>209</v>
      </c>
      <c r="N1424" s="26">
        <v>336.21</v>
      </c>
      <c r="O1424" s="26">
        <f t="shared" si="68"/>
        <v>336.21</v>
      </c>
      <c r="P1424">
        <v>14</v>
      </c>
      <c r="Q1424" t="b">
        <v>1</v>
      </c>
      <c r="S1424" t="s">
        <v>42</v>
      </c>
    </row>
    <row r="1425" spans="1:19">
      <c r="A1425" t="s">
        <v>2944</v>
      </c>
      <c r="B1425" t="s">
        <v>2945</v>
      </c>
      <c r="C1425" s="23" t="s">
        <v>4127</v>
      </c>
      <c r="D1425" s="23">
        <v>45269</v>
      </c>
      <c r="E1425" s="22">
        <v>12</v>
      </c>
      <c r="F1425" s="22">
        <v>9</v>
      </c>
      <c r="G1425" s="22">
        <v>2023</v>
      </c>
      <c r="H1425" s="23">
        <f t="shared" si="66"/>
        <v>45269</v>
      </c>
      <c r="I1425" s="25">
        <v>45275</v>
      </c>
      <c r="J1425" s="22">
        <f t="shared" si="67"/>
        <v>6</v>
      </c>
      <c r="K1425" t="s">
        <v>191</v>
      </c>
      <c r="L1425">
        <v>36737</v>
      </c>
      <c r="M1425">
        <v>1311</v>
      </c>
      <c r="N1425" s="26">
        <v>2005.53</v>
      </c>
      <c r="O1425" s="26">
        <f t="shared" si="68"/>
        <v>2005.53</v>
      </c>
      <c r="P1425">
        <v>167</v>
      </c>
      <c r="Q1425" t="b">
        <v>1</v>
      </c>
      <c r="S1425" t="s">
        <v>68</v>
      </c>
    </row>
    <row r="1426" spans="1:19">
      <c r="A1426" t="s">
        <v>2946</v>
      </c>
      <c r="B1426" t="s">
        <v>2947</v>
      </c>
      <c r="C1426" s="23" t="s">
        <v>4129</v>
      </c>
      <c r="D1426" s="23">
        <v>45255</v>
      </c>
      <c r="E1426" s="22">
        <v>11</v>
      </c>
      <c r="F1426" s="22">
        <v>25</v>
      </c>
      <c r="G1426" s="22">
        <v>2023</v>
      </c>
      <c r="H1426" s="23">
        <f t="shared" si="66"/>
        <v>45255</v>
      </c>
      <c r="I1426" s="25">
        <v>45285</v>
      </c>
      <c r="J1426" s="22">
        <f t="shared" si="67"/>
        <v>30</v>
      </c>
      <c r="K1426" t="s">
        <v>33</v>
      </c>
      <c r="L1426">
        <v>90563</v>
      </c>
      <c r="M1426">
        <v>3839</v>
      </c>
      <c r="N1426" s="26">
        <v>6613.09</v>
      </c>
      <c r="O1426" s="26">
        <f t="shared" si="68"/>
        <v>3632.575</v>
      </c>
      <c r="P1426">
        <v>0</v>
      </c>
      <c r="Q1426" t="b">
        <v>0</v>
      </c>
      <c r="S1426" t="s">
        <v>34</v>
      </c>
    </row>
    <row r="1427" spans="1:19">
      <c r="A1427" t="s">
        <v>2948</v>
      </c>
      <c r="B1427" t="s">
        <v>2949</v>
      </c>
      <c r="C1427" s="23" t="s">
        <v>4128</v>
      </c>
      <c r="D1427" s="23">
        <v>44947</v>
      </c>
      <c r="E1427" s="22">
        <v>1</v>
      </c>
      <c r="F1427" s="22">
        <v>21</v>
      </c>
      <c r="G1427" s="22">
        <v>2023</v>
      </c>
      <c r="H1427" s="23">
        <f t="shared" si="66"/>
        <v>44947</v>
      </c>
      <c r="I1427" s="25">
        <v>44955</v>
      </c>
      <c r="J1427" s="22">
        <f t="shared" si="67"/>
        <v>8</v>
      </c>
      <c r="K1427" t="s">
        <v>23</v>
      </c>
      <c r="L1427">
        <v>30373</v>
      </c>
      <c r="M1427">
        <v>1454</v>
      </c>
      <c r="N1427" s="26">
        <v>2640.72</v>
      </c>
      <c r="O1427" s="26">
        <f t="shared" si="68"/>
        <v>2640.72</v>
      </c>
      <c r="P1427">
        <v>110</v>
      </c>
      <c r="Q1427" t="b">
        <v>1</v>
      </c>
      <c r="S1427" t="s">
        <v>25</v>
      </c>
    </row>
    <row r="1428" spans="1:19">
      <c r="A1428" t="s">
        <v>2950</v>
      </c>
      <c r="B1428" t="s">
        <v>2951</v>
      </c>
      <c r="C1428" s="23" t="s">
        <v>4131</v>
      </c>
      <c r="D1428" s="23">
        <v>44985</v>
      </c>
      <c r="E1428" s="22">
        <v>2</v>
      </c>
      <c r="F1428" s="22">
        <v>28</v>
      </c>
      <c r="G1428" s="22">
        <v>2023</v>
      </c>
      <c r="H1428" s="23">
        <f t="shared" si="66"/>
        <v>44985</v>
      </c>
      <c r="I1428" s="25">
        <v>44994</v>
      </c>
      <c r="J1428" s="22">
        <f t="shared" si="67"/>
        <v>9</v>
      </c>
      <c r="K1428" t="s">
        <v>19</v>
      </c>
      <c r="L1428">
        <v>37397</v>
      </c>
      <c r="M1428">
        <v>878</v>
      </c>
      <c r="N1428" s="26">
        <v>1457.28</v>
      </c>
      <c r="O1428" s="26">
        <f t="shared" si="68"/>
        <v>1457.28</v>
      </c>
      <c r="P1428">
        <v>170</v>
      </c>
      <c r="Q1428" t="b">
        <v>0</v>
      </c>
      <c r="S1428" t="s">
        <v>20</v>
      </c>
    </row>
    <row r="1429" spans="1:19">
      <c r="A1429" t="s">
        <v>2952</v>
      </c>
      <c r="B1429" t="s">
        <v>2953</v>
      </c>
      <c r="C1429" s="23" t="s">
        <v>4131</v>
      </c>
      <c r="D1429" s="23" t="s">
        <v>2954</v>
      </c>
      <c r="E1429" s="22">
        <v>25</v>
      </c>
      <c r="F1429" s="22">
        <v>5</v>
      </c>
      <c r="G1429" s="22">
        <v>2023</v>
      </c>
      <c r="H1429" s="23">
        <f t="shared" si="66"/>
        <v>45071</v>
      </c>
      <c r="I1429" s="25">
        <v>45075</v>
      </c>
      <c r="J1429" s="22">
        <f t="shared" si="67"/>
        <v>4</v>
      </c>
      <c r="K1429" t="s">
        <v>23</v>
      </c>
      <c r="L1429">
        <v>87145</v>
      </c>
      <c r="M1429">
        <v>3398</v>
      </c>
      <c r="N1429" s="26">
        <v>5122.08</v>
      </c>
      <c r="O1429" s="26">
        <f t="shared" si="68"/>
        <v>3632.575</v>
      </c>
      <c r="P1429">
        <v>259</v>
      </c>
      <c r="Q1429" t="b">
        <v>0</v>
      </c>
      <c r="S1429" t="s">
        <v>25</v>
      </c>
    </row>
    <row r="1430" spans="1:19">
      <c r="A1430" t="s">
        <v>2955</v>
      </c>
      <c r="B1430" t="s">
        <v>2956</v>
      </c>
      <c r="C1430" s="23" t="s">
        <v>4129</v>
      </c>
      <c r="D1430" s="23">
        <v>45191</v>
      </c>
      <c r="E1430" s="22">
        <v>9</v>
      </c>
      <c r="F1430" s="22">
        <v>22</v>
      </c>
      <c r="G1430" s="22">
        <v>2023</v>
      </c>
      <c r="H1430" s="23">
        <f t="shared" si="66"/>
        <v>45191</v>
      </c>
      <c r="I1430" s="25">
        <v>45192</v>
      </c>
      <c r="J1430" s="22">
        <f t="shared" si="67"/>
        <v>1</v>
      </c>
      <c r="K1430" t="s">
        <v>19</v>
      </c>
      <c r="L1430">
        <v>39709</v>
      </c>
      <c r="M1430">
        <v>1252</v>
      </c>
      <c r="N1430" s="26">
        <v>685.57</v>
      </c>
      <c r="O1430" s="26">
        <f t="shared" si="68"/>
        <v>685.57</v>
      </c>
      <c r="P1430">
        <v>0</v>
      </c>
      <c r="Q1430" t="b">
        <v>1</v>
      </c>
      <c r="S1430" t="s">
        <v>20</v>
      </c>
    </row>
    <row r="1431" spans="1:19">
      <c r="A1431" t="s">
        <v>2957</v>
      </c>
      <c r="B1431" t="s">
        <v>2958</v>
      </c>
      <c r="C1431" s="23" t="s">
        <v>4129</v>
      </c>
      <c r="D1431" s="23">
        <v>45187</v>
      </c>
      <c r="E1431" s="22">
        <v>9</v>
      </c>
      <c r="F1431" s="22">
        <v>18</v>
      </c>
      <c r="G1431" s="22">
        <v>2023</v>
      </c>
      <c r="H1431" s="23">
        <f t="shared" si="66"/>
        <v>45187</v>
      </c>
      <c r="I1431" s="25">
        <v>45195</v>
      </c>
      <c r="J1431" s="22">
        <f t="shared" si="67"/>
        <v>8</v>
      </c>
      <c r="K1431" t="s">
        <v>14</v>
      </c>
      <c r="L1431">
        <v>62120</v>
      </c>
      <c r="M1431">
        <v>771</v>
      </c>
      <c r="N1431" s="26">
        <v>1004.19</v>
      </c>
      <c r="O1431" s="26">
        <f t="shared" si="68"/>
        <v>1004.19</v>
      </c>
      <c r="P1431">
        <v>144</v>
      </c>
      <c r="Q1431" t="b">
        <v>0</v>
      </c>
      <c r="S1431" t="s">
        <v>68</v>
      </c>
    </row>
    <row r="1432" spans="1:19">
      <c r="A1432" t="s">
        <v>2959</v>
      </c>
      <c r="B1432" t="s">
        <v>2960</v>
      </c>
      <c r="C1432" s="23" t="s">
        <v>4129</v>
      </c>
      <c r="D1432" s="23">
        <v>45260</v>
      </c>
      <c r="E1432" s="22">
        <v>11</v>
      </c>
      <c r="F1432" s="22">
        <v>30</v>
      </c>
      <c r="G1432" s="22">
        <v>2023</v>
      </c>
      <c r="H1432" s="23">
        <f t="shared" si="66"/>
        <v>45260</v>
      </c>
      <c r="I1432" s="25">
        <v>45282</v>
      </c>
      <c r="J1432" s="22">
        <f t="shared" si="67"/>
        <v>22</v>
      </c>
      <c r="K1432" t="s">
        <v>33</v>
      </c>
      <c r="L1432">
        <v>20250</v>
      </c>
      <c r="M1432">
        <v>761</v>
      </c>
      <c r="N1432" s="26">
        <v>423.53</v>
      </c>
      <c r="O1432" s="26">
        <f t="shared" si="68"/>
        <v>423.53</v>
      </c>
      <c r="P1432">
        <v>91</v>
      </c>
      <c r="Q1432" t="b">
        <v>1</v>
      </c>
      <c r="S1432" t="s">
        <v>34</v>
      </c>
    </row>
    <row r="1433" spans="1:19">
      <c r="A1433" t="s">
        <v>2961</v>
      </c>
      <c r="B1433" t="s">
        <v>2962</v>
      </c>
      <c r="C1433" s="23" t="s">
        <v>4131</v>
      </c>
      <c r="D1433" s="23">
        <v>44976</v>
      </c>
      <c r="E1433" s="22">
        <v>2</v>
      </c>
      <c r="F1433" s="22">
        <v>19</v>
      </c>
      <c r="G1433" s="22">
        <v>2023</v>
      </c>
      <c r="H1433" s="23">
        <f t="shared" si="66"/>
        <v>44976</v>
      </c>
      <c r="I1433" s="25">
        <v>44986</v>
      </c>
      <c r="J1433" s="22">
        <f t="shared" si="67"/>
        <v>10</v>
      </c>
      <c r="K1433" t="s">
        <v>41</v>
      </c>
      <c r="L1433">
        <v>22172</v>
      </c>
      <c r="M1433">
        <v>833</v>
      </c>
      <c r="N1433" s="26">
        <v>1426.18</v>
      </c>
      <c r="O1433" s="26">
        <f t="shared" si="68"/>
        <v>1426.18</v>
      </c>
      <c r="P1433">
        <v>0</v>
      </c>
      <c r="Q1433" t="b">
        <v>1</v>
      </c>
      <c r="S1433" t="s">
        <v>42</v>
      </c>
    </row>
    <row r="1434" spans="1:19">
      <c r="A1434" t="s">
        <v>2963</v>
      </c>
      <c r="B1434" t="s">
        <v>2964</v>
      </c>
      <c r="C1434" s="23" t="s">
        <v>4127</v>
      </c>
      <c r="D1434" s="23">
        <v>45202</v>
      </c>
      <c r="E1434" s="22">
        <v>10</v>
      </c>
      <c r="F1434" s="22">
        <v>3</v>
      </c>
      <c r="G1434" s="22">
        <v>2023</v>
      </c>
      <c r="H1434" s="23">
        <f t="shared" si="66"/>
        <v>45202</v>
      </c>
      <c r="I1434" s="25">
        <v>45216</v>
      </c>
      <c r="J1434" s="22">
        <f t="shared" si="67"/>
        <v>14</v>
      </c>
      <c r="K1434" t="s">
        <v>138</v>
      </c>
      <c r="L1434">
        <v>12555</v>
      </c>
      <c r="M1434">
        <v>592</v>
      </c>
      <c r="N1434" s="26">
        <v>580.8</v>
      </c>
      <c r="O1434" s="26">
        <f t="shared" si="68"/>
        <v>580.8</v>
      </c>
      <c r="P1434">
        <v>82</v>
      </c>
      <c r="Q1434" t="b">
        <v>0</v>
      </c>
      <c r="S1434" t="s">
        <v>139</v>
      </c>
    </row>
    <row r="1435" spans="1:19">
      <c r="A1435" t="s">
        <v>2965</v>
      </c>
      <c r="B1435" t="s">
        <v>2966</v>
      </c>
      <c r="C1435" s="23" t="s">
        <v>4127</v>
      </c>
      <c r="D1435" s="23">
        <v>45034</v>
      </c>
      <c r="E1435" s="22">
        <v>4</v>
      </c>
      <c r="F1435" s="22">
        <v>18</v>
      </c>
      <c r="G1435" s="22">
        <v>2023</v>
      </c>
      <c r="H1435" s="23">
        <f t="shared" si="66"/>
        <v>45034</v>
      </c>
      <c r="I1435" s="25">
        <v>45053</v>
      </c>
      <c r="J1435" s="22">
        <f t="shared" si="67"/>
        <v>19</v>
      </c>
      <c r="K1435" t="s">
        <v>19</v>
      </c>
      <c r="L1435">
        <v>88410</v>
      </c>
      <c r="M1435">
        <v>2642</v>
      </c>
      <c r="N1435" s="26">
        <v>3549.91</v>
      </c>
      <c r="O1435" s="26">
        <f t="shared" si="68"/>
        <v>3549.91</v>
      </c>
      <c r="P1435">
        <v>370</v>
      </c>
      <c r="Q1435" t="b">
        <v>0</v>
      </c>
      <c r="S1435" t="s">
        <v>20</v>
      </c>
    </row>
    <row r="1436" spans="1:19">
      <c r="A1436" t="s">
        <v>2967</v>
      </c>
      <c r="B1436" t="s">
        <v>2968</v>
      </c>
      <c r="C1436" s="23" t="s">
        <v>4131</v>
      </c>
      <c r="D1436" s="23">
        <v>45277</v>
      </c>
      <c r="E1436" s="22">
        <v>12</v>
      </c>
      <c r="F1436" s="22">
        <v>17</v>
      </c>
      <c r="G1436" s="22">
        <v>2023</v>
      </c>
      <c r="H1436" s="23">
        <f t="shared" si="66"/>
        <v>45277</v>
      </c>
      <c r="I1436" s="25">
        <v>45305</v>
      </c>
      <c r="J1436" s="22">
        <f t="shared" si="67"/>
        <v>28</v>
      </c>
      <c r="K1436" t="s">
        <v>23</v>
      </c>
      <c r="L1436">
        <v>79617</v>
      </c>
      <c r="M1436">
        <v>1529</v>
      </c>
      <c r="N1436" s="26">
        <v>1405.41</v>
      </c>
      <c r="O1436" s="26">
        <f t="shared" si="68"/>
        <v>1405.41</v>
      </c>
      <c r="P1436">
        <v>91</v>
      </c>
      <c r="Q1436" t="b">
        <v>0</v>
      </c>
      <c r="S1436" t="s">
        <v>25</v>
      </c>
    </row>
    <row r="1437" spans="1:19">
      <c r="A1437" t="s">
        <v>2969</v>
      </c>
      <c r="B1437" t="s">
        <v>2970</v>
      </c>
      <c r="C1437" s="23" t="s">
        <v>4131</v>
      </c>
      <c r="D1437" s="23">
        <v>45202</v>
      </c>
      <c r="E1437" s="22">
        <v>10</v>
      </c>
      <c r="F1437" s="22">
        <v>3</v>
      </c>
      <c r="G1437" s="22">
        <v>2023</v>
      </c>
      <c r="H1437" s="23">
        <f t="shared" si="66"/>
        <v>45202</v>
      </c>
      <c r="I1437" s="25">
        <v>45222</v>
      </c>
      <c r="J1437" s="22">
        <f t="shared" si="67"/>
        <v>20</v>
      </c>
      <c r="K1437" t="s">
        <v>23</v>
      </c>
      <c r="L1437">
        <v>54276</v>
      </c>
      <c r="M1437">
        <v>639</v>
      </c>
      <c r="N1437" s="26">
        <v>1069.53</v>
      </c>
      <c r="O1437" s="26">
        <f t="shared" si="68"/>
        <v>1069.53</v>
      </c>
      <c r="P1437">
        <v>125</v>
      </c>
      <c r="Q1437" t="b">
        <v>1</v>
      </c>
      <c r="S1437" t="s">
        <v>25</v>
      </c>
    </row>
    <row r="1438" spans="1:19">
      <c r="A1438" t="s">
        <v>2971</v>
      </c>
      <c r="B1438" t="s">
        <v>2972</v>
      </c>
      <c r="C1438" s="23" t="s">
        <v>4129</v>
      </c>
      <c r="D1438" s="23">
        <v>45149</v>
      </c>
      <c r="E1438" s="22">
        <v>8</v>
      </c>
      <c r="F1438" s="22">
        <v>11</v>
      </c>
      <c r="G1438" s="22">
        <v>2023</v>
      </c>
      <c r="H1438" s="23">
        <f t="shared" si="66"/>
        <v>45149</v>
      </c>
      <c r="I1438" s="25">
        <v>45177</v>
      </c>
      <c r="J1438" s="22">
        <f t="shared" si="67"/>
        <v>28</v>
      </c>
      <c r="K1438" t="s">
        <v>33</v>
      </c>
      <c r="L1438">
        <v>58492</v>
      </c>
      <c r="M1438">
        <v>1557</v>
      </c>
      <c r="N1438" s="26">
        <v>2848.93</v>
      </c>
      <c r="O1438" s="26">
        <f t="shared" si="68"/>
        <v>2848.93</v>
      </c>
      <c r="P1438">
        <v>204</v>
      </c>
      <c r="Q1438" t="b">
        <v>1</v>
      </c>
      <c r="S1438" t="s">
        <v>34</v>
      </c>
    </row>
    <row r="1439" spans="1:19">
      <c r="A1439" t="s">
        <v>2973</v>
      </c>
      <c r="B1439" t="s">
        <v>2974</v>
      </c>
      <c r="C1439" s="23" t="s">
        <v>4129</v>
      </c>
      <c r="D1439" s="23">
        <v>45278</v>
      </c>
      <c r="E1439" s="22">
        <v>12</v>
      </c>
      <c r="F1439" s="22">
        <v>18</v>
      </c>
      <c r="G1439" s="22">
        <v>2023</v>
      </c>
      <c r="H1439" s="23">
        <f t="shared" si="66"/>
        <v>45278</v>
      </c>
      <c r="I1439" s="25">
        <v>45291</v>
      </c>
      <c r="J1439" s="22">
        <f t="shared" si="67"/>
        <v>13</v>
      </c>
      <c r="K1439" t="s">
        <v>19</v>
      </c>
      <c r="L1439">
        <v>54002</v>
      </c>
      <c r="M1439">
        <v>1192</v>
      </c>
      <c r="N1439" s="26">
        <v>1308.77</v>
      </c>
      <c r="O1439" s="26">
        <f t="shared" si="68"/>
        <v>1308.77</v>
      </c>
      <c r="P1439">
        <v>159</v>
      </c>
      <c r="Q1439" t="b">
        <v>0</v>
      </c>
      <c r="S1439" t="s">
        <v>20</v>
      </c>
    </row>
    <row r="1440" spans="1:19">
      <c r="A1440" t="s">
        <v>2975</v>
      </c>
      <c r="B1440" t="s">
        <v>2976</v>
      </c>
      <c r="C1440" s="23" t="s">
        <v>4129</v>
      </c>
      <c r="D1440" s="23" t="s">
        <v>2977</v>
      </c>
      <c r="E1440" s="22">
        <v>19</v>
      </c>
      <c r="F1440" s="22">
        <v>6</v>
      </c>
      <c r="G1440" s="22">
        <v>2023</v>
      </c>
      <c r="H1440" s="23">
        <f t="shared" si="66"/>
        <v>45096</v>
      </c>
      <c r="I1440" s="25">
        <v>45111</v>
      </c>
      <c r="J1440" s="22">
        <f t="shared" si="67"/>
        <v>15</v>
      </c>
      <c r="K1440" t="s">
        <v>23</v>
      </c>
      <c r="L1440">
        <v>90599</v>
      </c>
      <c r="M1440">
        <v>3664</v>
      </c>
      <c r="N1440" s="26">
        <v>6574.62</v>
      </c>
      <c r="O1440" s="26">
        <f t="shared" si="68"/>
        <v>3632.575</v>
      </c>
      <c r="P1440">
        <v>469</v>
      </c>
      <c r="Q1440" t="b">
        <v>0</v>
      </c>
      <c r="S1440" t="s">
        <v>25</v>
      </c>
    </row>
    <row r="1441" spans="1:19">
      <c r="A1441" t="s">
        <v>2978</v>
      </c>
      <c r="B1441" t="s">
        <v>2979</v>
      </c>
      <c r="C1441" s="23" t="s">
        <v>4131</v>
      </c>
      <c r="D1441" s="23">
        <v>45109</v>
      </c>
      <c r="E1441" s="22">
        <v>7</v>
      </c>
      <c r="F1441" s="22">
        <v>2</v>
      </c>
      <c r="G1441" s="22">
        <v>2023</v>
      </c>
      <c r="H1441" s="23">
        <f t="shared" si="66"/>
        <v>45109</v>
      </c>
      <c r="I1441" s="25">
        <v>44971</v>
      </c>
      <c r="J1441" s="22">
        <f t="shared" si="67"/>
        <v>-138</v>
      </c>
      <c r="K1441" t="s">
        <v>19</v>
      </c>
      <c r="L1441">
        <v>73355</v>
      </c>
      <c r="M1441">
        <v>1773</v>
      </c>
      <c r="N1441" s="26">
        <v>1596.79</v>
      </c>
      <c r="O1441" s="26">
        <f t="shared" si="68"/>
        <v>1596.79</v>
      </c>
      <c r="P1441">
        <v>251</v>
      </c>
      <c r="Q1441" t="b">
        <v>0</v>
      </c>
      <c r="S1441" t="s">
        <v>20</v>
      </c>
    </row>
    <row r="1442" spans="1:19">
      <c r="A1442" t="s">
        <v>2980</v>
      </c>
      <c r="B1442" t="s">
        <v>2981</v>
      </c>
      <c r="C1442" s="23" t="s">
        <v>4129</v>
      </c>
      <c r="D1442" s="23">
        <v>45055</v>
      </c>
      <c r="E1442" s="22">
        <v>5</v>
      </c>
      <c r="F1442" s="22">
        <v>9</v>
      </c>
      <c r="G1442" s="22">
        <v>2023</v>
      </c>
      <c r="H1442" s="23">
        <f t="shared" si="66"/>
        <v>45055</v>
      </c>
      <c r="I1442" s="25">
        <v>45063</v>
      </c>
      <c r="J1442" s="22">
        <f t="shared" si="67"/>
        <v>8</v>
      </c>
      <c r="K1442" t="s">
        <v>14</v>
      </c>
      <c r="L1442">
        <v>92248</v>
      </c>
      <c r="M1442">
        <v>4424</v>
      </c>
      <c r="N1442" s="26">
        <v>5760.01</v>
      </c>
      <c r="O1442" s="26">
        <f t="shared" si="68"/>
        <v>3632.575</v>
      </c>
      <c r="P1442">
        <v>396</v>
      </c>
      <c r="Q1442" t="b">
        <v>1</v>
      </c>
      <c r="S1442" t="s">
        <v>16</v>
      </c>
    </row>
    <row r="1443" spans="1:19">
      <c r="A1443" t="s">
        <v>2982</v>
      </c>
      <c r="B1443" t="s">
        <v>2983</v>
      </c>
      <c r="C1443" s="23" t="s">
        <v>4127</v>
      </c>
      <c r="D1443" s="23">
        <v>45043</v>
      </c>
      <c r="E1443" s="22">
        <v>4</v>
      </c>
      <c r="F1443" s="22">
        <v>27</v>
      </c>
      <c r="G1443" s="22">
        <v>2023</v>
      </c>
      <c r="H1443" s="23">
        <f t="shared" si="66"/>
        <v>45043</v>
      </c>
      <c r="I1443" s="25">
        <v>45047</v>
      </c>
      <c r="J1443" s="22">
        <f t="shared" si="67"/>
        <v>4</v>
      </c>
      <c r="K1443" t="s">
        <v>23</v>
      </c>
      <c r="L1443">
        <v>25762</v>
      </c>
      <c r="M1443">
        <v>1249</v>
      </c>
      <c r="N1443" s="26">
        <v>2233.39</v>
      </c>
      <c r="O1443" s="26">
        <f t="shared" si="68"/>
        <v>2233.39</v>
      </c>
      <c r="P1443">
        <v>116</v>
      </c>
      <c r="Q1443" t="b">
        <v>1</v>
      </c>
      <c r="S1443" t="s">
        <v>25</v>
      </c>
    </row>
    <row r="1444" spans="1:19">
      <c r="A1444" t="s">
        <v>2984</v>
      </c>
      <c r="B1444" t="s">
        <v>2985</v>
      </c>
      <c r="C1444" s="23" t="s">
        <v>4128</v>
      </c>
      <c r="D1444" s="23">
        <v>45157</v>
      </c>
      <c r="E1444" s="22">
        <v>8</v>
      </c>
      <c r="F1444" s="22">
        <v>19</v>
      </c>
      <c r="G1444" s="22">
        <v>2023</v>
      </c>
      <c r="H1444" s="23">
        <f t="shared" si="66"/>
        <v>45157</v>
      </c>
      <c r="I1444" s="25">
        <v>45185</v>
      </c>
      <c r="J1444" s="22">
        <f t="shared" si="67"/>
        <v>28</v>
      </c>
      <c r="K1444" t="s">
        <v>33</v>
      </c>
      <c r="L1444">
        <v>12046</v>
      </c>
      <c r="M1444">
        <v>419</v>
      </c>
      <c r="N1444" s="26">
        <v>414.32</v>
      </c>
      <c r="O1444" s="26">
        <f t="shared" si="68"/>
        <v>414.32</v>
      </c>
      <c r="P1444">
        <v>53</v>
      </c>
      <c r="Q1444" t="b">
        <v>0</v>
      </c>
      <c r="S1444" t="s">
        <v>34</v>
      </c>
    </row>
    <row r="1445" spans="1:19">
      <c r="A1445" t="s">
        <v>2986</v>
      </c>
      <c r="B1445" t="s">
        <v>2987</v>
      </c>
      <c r="C1445" s="23" t="s">
        <v>4128</v>
      </c>
      <c r="D1445" s="23">
        <v>44935</v>
      </c>
      <c r="E1445" s="22">
        <v>1</v>
      </c>
      <c r="F1445" s="22">
        <v>9</v>
      </c>
      <c r="G1445" s="22">
        <v>2023</v>
      </c>
      <c r="H1445" s="23">
        <f t="shared" si="66"/>
        <v>44935</v>
      </c>
      <c r="I1445" s="25">
        <v>44938</v>
      </c>
      <c r="J1445" s="22">
        <f t="shared" si="67"/>
        <v>3</v>
      </c>
      <c r="K1445" t="s">
        <v>41</v>
      </c>
      <c r="L1445">
        <v>97999</v>
      </c>
      <c r="M1445">
        <v>4620</v>
      </c>
      <c r="N1445" s="26">
        <v>8921.51</v>
      </c>
      <c r="O1445" s="26">
        <f t="shared" si="68"/>
        <v>3632.575</v>
      </c>
      <c r="P1445">
        <v>790</v>
      </c>
      <c r="Q1445" t="b">
        <v>0</v>
      </c>
      <c r="S1445" t="s">
        <v>42</v>
      </c>
    </row>
    <row r="1446" spans="1:19">
      <c r="A1446" t="s">
        <v>2988</v>
      </c>
      <c r="B1446" t="s">
        <v>2989</v>
      </c>
      <c r="C1446" s="23" t="s">
        <v>4128</v>
      </c>
      <c r="D1446" s="23">
        <v>44930</v>
      </c>
      <c r="E1446" s="22">
        <v>1</v>
      </c>
      <c r="F1446" s="22">
        <v>4</v>
      </c>
      <c r="G1446" s="22">
        <v>2023</v>
      </c>
      <c r="H1446" s="23">
        <f t="shared" si="66"/>
        <v>44930</v>
      </c>
      <c r="I1446" s="25">
        <v>44944</v>
      </c>
      <c r="J1446" s="22">
        <f t="shared" si="67"/>
        <v>14</v>
      </c>
      <c r="K1446" t="s">
        <v>14</v>
      </c>
      <c r="L1446">
        <v>29769</v>
      </c>
      <c r="M1446">
        <v>1203</v>
      </c>
      <c r="N1446" s="26">
        <v>821.43</v>
      </c>
      <c r="O1446" s="26">
        <f t="shared" si="68"/>
        <v>821.43</v>
      </c>
      <c r="P1446">
        <v>69</v>
      </c>
      <c r="Q1446" t="b">
        <v>1</v>
      </c>
      <c r="S1446" t="s">
        <v>16</v>
      </c>
    </row>
    <row r="1447" spans="1:19">
      <c r="A1447" t="s">
        <v>2990</v>
      </c>
      <c r="B1447" t="s">
        <v>2991</v>
      </c>
      <c r="C1447" s="23" t="s">
        <v>4128</v>
      </c>
      <c r="D1447" s="23" t="s">
        <v>2992</v>
      </c>
      <c r="E1447" s="22">
        <v>27</v>
      </c>
      <c r="F1447" s="22">
        <v>10</v>
      </c>
      <c r="G1447" s="22">
        <v>2023</v>
      </c>
      <c r="H1447" s="23">
        <f t="shared" si="66"/>
        <v>45226</v>
      </c>
      <c r="I1447" s="25">
        <v>45249</v>
      </c>
      <c r="J1447" s="22">
        <f t="shared" si="67"/>
        <v>23</v>
      </c>
      <c r="K1447" t="s">
        <v>19</v>
      </c>
      <c r="L1447">
        <v>54302</v>
      </c>
      <c r="M1447">
        <v>1730</v>
      </c>
      <c r="N1447" s="26">
        <v>912.42</v>
      </c>
      <c r="O1447" s="26">
        <f t="shared" si="68"/>
        <v>912.42</v>
      </c>
      <c r="P1447">
        <v>243</v>
      </c>
      <c r="Q1447" t="b">
        <v>1</v>
      </c>
      <c r="S1447" t="s">
        <v>20</v>
      </c>
    </row>
    <row r="1448" spans="1:19">
      <c r="A1448" t="s">
        <v>2993</v>
      </c>
      <c r="B1448" t="s">
        <v>2994</v>
      </c>
      <c r="C1448" s="23" t="s">
        <v>4128</v>
      </c>
      <c r="D1448" s="23">
        <v>44964</v>
      </c>
      <c r="E1448" s="22">
        <v>2</v>
      </c>
      <c r="F1448" s="22">
        <v>7</v>
      </c>
      <c r="G1448" s="22">
        <v>2023</v>
      </c>
      <c r="H1448" s="23">
        <f t="shared" si="66"/>
        <v>44964</v>
      </c>
      <c r="I1448" s="25">
        <v>44979</v>
      </c>
      <c r="J1448" s="22">
        <f t="shared" si="67"/>
        <v>15</v>
      </c>
      <c r="K1448" t="s">
        <v>23</v>
      </c>
      <c r="L1448">
        <v>24150</v>
      </c>
      <c r="M1448">
        <v>415</v>
      </c>
      <c r="N1448" s="26">
        <v>770.32</v>
      </c>
      <c r="O1448" s="26">
        <f t="shared" si="68"/>
        <v>770.32</v>
      </c>
      <c r="P1448">
        <v>70</v>
      </c>
      <c r="Q1448" t="b">
        <v>1</v>
      </c>
      <c r="S1448" t="s">
        <v>25</v>
      </c>
    </row>
    <row r="1449" spans="1:19">
      <c r="A1449" t="s">
        <v>2995</v>
      </c>
      <c r="B1449" t="s">
        <v>2996</v>
      </c>
      <c r="C1449" s="23" t="s">
        <v>4128</v>
      </c>
      <c r="D1449" s="23">
        <v>45075</v>
      </c>
      <c r="E1449" s="22">
        <v>5</v>
      </c>
      <c r="F1449" s="22">
        <v>29</v>
      </c>
      <c r="G1449" s="22">
        <v>2023</v>
      </c>
      <c r="H1449" s="23">
        <f t="shared" si="66"/>
        <v>45075</v>
      </c>
      <c r="I1449" s="25">
        <v>45090</v>
      </c>
      <c r="J1449" s="22">
        <f t="shared" si="67"/>
        <v>15</v>
      </c>
      <c r="K1449" t="s">
        <v>14</v>
      </c>
      <c r="L1449">
        <v>69247</v>
      </c>
      <c r="M1449">
        <v>1962</v>
      </c>
      <c r="N1449" s="26">
        <v>1183.03</v>
      </c>
      <c r="O1449" s="26">
        <f t="shared" si="68"/>
        <v>1183.03</v>
      </c>
      <c r="P1449">
        <v>144</v>
      </c>
      <c r="Q1449" t="b">
        <v>0</v>
      </c>
      <c r="S1449" t="s">
        <v>16</v>
      </c>
    </row>
    <row r="1450" spans="1:19">
      <c r="A1450" t="s">
        <v>2997</v>
      </c>
      <c r="B1450" t="s">
        <v>2998</v>
      </c>
      <c r="C1450" s="23" t="s">
        <v>4129</v>
      </c>
      <c r="D1450" s="23">
        <v>44971</v>
      </c>
      <c r="E1450" s="22">
        <v>2</v>
      </c>
      <c r="F1450" s="22">
        <v>14</v>
      </c>
      <c r="G1450" s="22">
        <v>2023</v>
      </c>
      <c r="H1450" s="23">
        <f t="shared" si="66"/>
        <v>44971</v>
      </c>
      <c r="I1450" s="25">
        <v>44976</v>
      </c>
      <c r="J1450" s="22">
        <f t="shared" si="67"/>
        <v>5</v>
      </c>
      <c r="K1450" t="s">
        <v>41</v>
      </c>
      <c r="L1450">
        <v>5853</v>
      </c>
      <c r="M1450">
        <v>189</v>
      </c>
      <c r="N1450" s="26">
        <v>375.7</v>
      </c>
      <c r="O1450" s="26">
        <f t="shared" si="68"/>
        <v>375.7</v>
      </c>
      <c r="P1450">
        <v>9</v>
      </c>
      <c r="Q1450" t="b">
        <v>1</v>
      </c>
      <c r="S1450" t="s">
        <v>42</v>
      </c>
    </row>
    <row r="1451" spans="1:19">
      <c r="A1451" t="s">
        <v>2999</v>
      </c>
      <c r="B1451" t="s">
        <v>3000</v>
      </c>
      <c r="C1451" s="23" t="s">
        <v>4127</v>
      </c>
      <c r="D1451" s="23">
        <v>45122</v>
      </c>
      <c r="E1451" s="22">
        <v>7</v>
      </c>
      <c r="F1451" s="22">
        <v>15</v>
      </c>
      <c r="G1451" s="22">
        <v>2023</v>
      </c>
      <c r="H1451" s="23">
        <f t="shared" si="66"/>
        <v>45122</v>
      </c>
      <c r="I1451" s="25">
        <v>45146</v>
      </c>
      <c r="J1451" s="22">
        <f t="shared" si="67"/>
        <v>24</v>
      </c>
      <c r="K1451" t="s">
        <v>41</v>
      </c>
      <c r="L1451">
        <v>95613</v>
      </c>
      <c r="M1451">
        <v>4260</v>
      </c>
      <c r="N1451" s="26">
        <v>8209.43</v>
      </c>
      <c r="O1451" s="26">
        <f t="shared" si="68"/>
        <v>3632.575</v>
      </c>
      <c r="P1451">
        <v>412</v>
      </c>
      <c r="Q1451" t="b">
        <v>1</v>
      </c>
      <c r="S1451" t="s">
        <v>42</v>
      </c>
    </row>
    <row r="1452" spans="1:19">
      <c r="A1452" t="s">
        <v>3001</v>
      </c>
      <c r="B1452" t="s">
        <v>3002</v>
      </c>
      <c r="C1452" s="23" t="s">
        <v>4129</v>
      </c>
      <c r="D1452" s="23">
        <v>45169</v>
      </c>
      <c r="E1452" s="22">
        <v>8</v>
      </c>
      <c r="F1452" s="22">
        <v>31</v>
      </c>
      <c r="G1452" s="22">
        <v>2023</v>
      </c>
      <c r="H1452" s="23">
        <f t="shared" si="66"/>
        <v>45169</v>
      </c>
      <c r="I1452" s="25">
        <v>45198</v>
      </c>
      <c r="J1452" s="22">
        <f t="shared" si="67"/>
        <v>29</v>
      </c>
      <c r="K1452" t="s">
        <v>19</v>
      </c>
      <c r="L1452">
        <v>90399</v>
      </c>
      <c r="M1452">
        <v>2644</v>
      </c>
      <c r="N1452" s="26">
        <v>1865.42</v>
      </c>
      <c r="O1452" s="26">
        <f t="shared" si="68"/>
        <v>1865.42</v>
      </c>
      <c r="P1452">
        <v>365</v>
      </c>
      <c r="Q1452" t="b">
        <v>1</v>
      </c>
      <c r="S1452" t="s">
        <v>20</v>
      </c>
    </row>
    <row r="1453" spans="1:19">
      <c r="A1453" t="s">
        <v>3003</v>
      </c>
      <c r="B1453" t="s">
        <v>3004</v>
      </c>
      <c r="C1453" s="23" t="s">
        <v>4129</v>
      </c>
      <c r="D1453" s="23">
        <v>45127</v>
      </c>
      <c r="E1453" s="22">
        <v>7</v>
      </c>
      <c r="F1453" s="22">
        <v>20</v>
      </c>
      <c r="G1453" s="22">
        <v>2023</v>
      </c>
      <c r="H1453" s="23">
        <f t="shared" si="66"/>
        <v>45127</v>
      </c>
      <c r="I1453" s="25">
        <v>45140</v>
      </c>
      <c r="J1453" s="22">
        <f t="shared" si="67"/>
        <v>13</v>
      </c>
      <c r="K1453" t="s">
        <v>14</v>
      </c>
      <c r="L1453">
        <v>22792</v>
      </c>
      <c r="M1453">
        <v>1046</v>
      </c>
      <c r="N1453" s="26">
        <v>1366.47</v>
      </c>
      <c r="O1453" s="26">
        <f t="shared" si="68"/>
        <v>1366.47</v>
      </c>
      <c r="P1453">
        <v>73</v>
      </c>
      <c r="Q1453" t="b">
        <v>1</v>
      </c>
      <c r="S1453" t="s">
        <v>16</v>
      </c>
    </row>
    <row r="1454" spans="1:19">
      <c r="A1454" t="s">
        <v>3005</v>
      </c>
      <c r="B1454" t="s">
        <v>3006</v>
      </c>
      <c r="C1454" s="23" t="s">
        <v>4127</v>
      </c>
      <c r="D1454" s="23">
        <v>45078</v>
      </c>
      <c r="E1454" s="22">
        <v>6</v>
      </c>
      <c r="F1454" s="22">
        <v>1</v>
      </c>
      <c r="G1454" s="22">
        <v>2023</v>
      </c>
      <c r="H1454" s="23">
        <f t="shared" si="66"/>
        <v>45078</v>
      </c>
      <c r="I1454" s="25">
        <v>45106</v>
      </c>
      <c r="J1454" s="22">
        <f t="shared" si="67"/>
        <v>28</v>
      </c>
      <c r="K1454" t="s">
        <v>41</v>
      </c>
      <c r="L1454">
        <v>60129</v>
      </c>
      <c r="M1454">
        <v>2223</v>
      </c>
      <c r="N1454" s="26">
        <v>1728.12</v>
      </c>
      <c r="O1454" s="26">
        <f t="shared" si="68"/>
        <v>1728.12</v>
      </c>
      <c r="P1454">
        <v>253</v>
      </c>
      <c r="Q1454" t="b">
        <v>1</v>
      </c>
      <c r="S1454" t="s">
        <v>42</v>
      </c>
    </row>
    <row r="1455" spans="1:19">
      <c r="A1455" t="s">
        <v>3007</v>
      </c>
      <c r="B1455" t="s">
        <v>3008</v>
      </c>
      <c r="C1455" s="23" t="s">
        <v>4131</v>
      </c>
      <c r="D1455" s="23">
        <v>45273</v>
      </c>
      <c r="E1455" s="22">
        <v>12</v>
      </c>
      <c r="F1455" s="22">
        <v>13</v>
      </c>
      <c r="G1455" s="22">
        <v>2023</v>
      </c>
      <c r="H1455" s="23">
        <f t="shared" si="66"/>
        <v>45273</v>
      </c>
      <c r="I1455" s="25">
        <v>45293</v>
      </c>
      <c r="J1455" s="22">
        <f t="shared" si="67"/>
        <v>20</v>
      </c>
      <c r="K1455" t="s">
        <v>33</v>
      </c>
      <c r="L1455">
        <v>75478</v>
      </c>
      <c r="M1455">
        <v>1168</v>
      </c>
      <c r="N1455" s="26">
        <v>1334.13</v>
      </c>
      <c r="O1455" s="26">
        <f t="shared" si="68"/>
        <v>1334.13</v>
      </c>
      <c r="P1455">
        <v>155</v>
      </c>
      <c r="Q1455" t="b">
        <v>1</v>
      </c>
      <c r="S1455" t="s">
        <v>34</v>
      </c>
    </row>
    <row r="1456" spans="1:19">
      <c r="A1456" t="s">
        <v>3009</v>
      </c>
      <c r="B1456" t="s">
        <v>3010</v>
      </c>
      <c r="C1456" s="23" t="s">
        <v>4128</v>
      </c>
      <c r="D1456" s="23">
        <v>45258</v>
      </c>
      <c r="E1456" s="22">
        <v>11</v>
      </c>
      <c r="F1456" s="22">
        <v>28</v>
      </c>
      <c r="G1456" s="22">
        <v>2023</v>
      </c>
      <c r="H1456" s="23">
        <f t="shared" si="66"/>
        <v>45258</v>
      </c>
      <c r="I1456" s="25">
        <v>45283</v>
      </c>
      <c r="J1456" s="22">
        <f t="shared" si="67"/>
        <v>25</v>
      </c>
      <c r="K1456" t="s">
        <v>41</v>
      </c>
      <c r="L1456">
        <v>68298</v>
      </c>
      <c r="M1456">
        <v>3401</v>
      </c>
      <c r="N1456" s="26">
        <v>2013.86</v>
      </c>
      <c r="O1456" s="26">
        <f t="shared" si="68"/>
        <v>2013.86</v>
      </c>
      <c r="P1456">
        <v>475</v>
      </c>
      <c r="Q1456" t="b">
        <v>0</v>
      </c>
      <c r="S1456" t="s">
        <v>68</v>
      </c>
    </row>
    <row r="1457" spans="1:19">
      <c r="A1457" t="s">
        <v>3011</v>
      </c>
      <c r="B1457" t="s">
        <v>3012</v>
      </c>
      <c r="C1457" s="23" t="s">
        <v>4129</v>
      </c>
      <c r="D1457" s="23">
        <v>45210</v>
      </c>
      <c r="E1457" s="22">
        <v>10</v>
      </c>
      <c r="F1457" s="22">
        <v>11</v>
      </c>
      <c r="G1457" s="22">
        <v>2023</v>
      </c>
      <c r="H1457" s="23">
        <f t="shared" si="66"/>
        <v>45210</v>
      </c>
      <c r="I1457" s="25">
        <v>45223</v>
      </c>
      <c r="J1457" s="22">
        <f t="shared" si="67"/>
        <v>13</v>
      </c>
      <c r="K1457" t="s">
        <v>33</v>
      </c>
      <c r="L1457">
        <v>32987</v>
      </c>
      <c r="M1457">
        <v>1025</v>
      </c>
      <c r="N1457" s="26">
        <v>856.78</v>
      </c>
      <c r="O1457" s="26">
        <f t="shared" si="68"/>
        <v>856.78</v>
      </c>
      <c r="P1457">
        <v>93</v>
      </c>
      <c r="Q1457" t="b">
        <v>0</v>
      </c>
      <c r="S1457" t="s">
        <v>34</v>
      </c>
    </row>
    <row r="1458" spans="1:19">
      <c r="A1458" t="s">
        <v>3013</v>
      </c>
      <c r="B1458" t="s">
        <v>3014</v>
      </c>
      <c r="C1458" s="23" t="s">
        <v>4131</v>
      </c>
      <c r="D1458" s="23" t="s">
        <v>3015</v>
      </c>
      <c r="E1458" s="22">
        <v>22</v>
      </c>
      <c r="F1458" s="22">
        <v>1</v>
      </c>
      <c r="G1458" s="22">
        <v>2023</v>
      </c>
      <c r="H1458" s="23">
        <f t="shared" si="66"/>
        <v>44948</v>
      </c>
      <c r="I1458" s="25">
        <v>44949</v>
      </c>
      <c r="J1458" s="22">
        <f t="shared" si="67"/>
        <v>1</v>
      </c>
      <c r="K1458" t="s">
        <v>33</v>
      </c>
      <c r="L1458">
        <v>16850</v>
      </c>
      <c r="M1458">
        <v>432</v>
      </c>
      <c r="N1458" s="26">
        <v>451.4</v>
      </c>
      <c r="O1458" s="26">
        <f t="shared" si="68"/>
        <v>451.4</v>
      </c>
      <c r="P1458">
        <v>0</v>
      </c>
      <c r="Q1458" t="b">
        <v>1</v>
      </c>
      <c r="S1458" t="s">
        <v>34</v>
      </c>
    </row>
    <row r="1459" spans="1:19">
      <c r="A1459" t="s">
        <v>3016</v>
      </c>
      <c r="B1459" t="s">
        <v>3017</v>
      </c>
      <c r="C1459" s="23" t="s">
        <v>4131</v>
      </c>
      <c r="D1459" s="23">
        <v>45232</v>
      </c>
      <c r="E1459" s="22">
        <v>11</v>
      </c>
      <c r="F1459" s="22">
        <v>2</v>
      </c>
      <c r="G1459" s="22">
        <v>2023</v>
      </c>
      <c r="H1459" s="23">
        <f t="shared" si="66"/>
        <v>45232</v>
      </c>
      <c r="I1459" s="25">
        <v>45250</v>
      </c>
      <c r="J1459" s="22">
        <f t="shared" si="67"/>
        <v>18</v>
      </c>
      <c r="K1459" t="s">
        <v>33</v>
      </c>
      <c r="L1459">
        <v>13112</v>
      </c>
      <c r="M1459">
        <v>476</v>
      </c>
      <c r="N1459" s="26">
        <v>-551.19</v>
      </c>
      <c r="O1459" s="26">
        <f t="shared" si="68"/>
        <v>-344.195</v>
      </c>
      <c r="P1459">
        <v>79</v>
      </c>
      <c r="Q1459" t="b">
        <v>0</v>
      </c>
      <c r="S1459" t="s">
        <v>34</v>
      </c>
    </row>
    <row r="1460" spans="1:19">
      <c r="A1460" t="s">
        <v>3018</v>
      </c>
      <c r="B1460" t="s">
        <v>3019</v>
      </c>
      <c r="C1460" s="23" t="s">
        <v>4128</v>
      </c>
      <c r="D1460" s="23">
        <v>44970</v>
      </c>
      <c r="E1460" s="22">
        <v>2</v>
      </c>
      <c r="F1460" s="22">
        <v>13</v>
      </c>
      <c r="G1460" s="22">
        <v>2023</v>
      </c>
      <c r="H1460" s="23">
        <f t="shared" si="66"/>
        <v>44970</v>
      </c>
      <c r="I1460" s="25">
        <v>44995</v>
      </c>
      <c r="J1460" s="22">
        <f t="shared" si="67"/>
        <v>25</v>
      </c>
      <c r="K1460" t="s">
        <v>14</v>
      </c>
      <c r="L1460">
        <v>25058</v>
      </c>
      <c r="M1460">
        <v>359</v>
      </c>
      <c r="N1460" s="26">
        <v>705.88</v>
      </c>
      <c r="O1460" s="26">
        <f t="shared" si="68"/>
        <v>705.88</v>
      </c>
      <c r="P1460">
        <v>68</v>
      </c>
      <c r="Q1460" t="b">
        <v>1</v>
      </c>
      <c r="S1460" t="s">
        <v>16</v>
      </c>
    </row>
    <row r="1461" spans="1:19">
      <c r="A1461" t="s">
        <v>3020</v>
      </c>
      <c r="B1461" t="s">
        <v>3021</v>
      </c>
      <c r="C1461" s="23" t="s">
        <v>4127</v>
      </c>
      <c r="D1461" s="23">
        <v>45103</v>
      </c>
      <c r="E1461" s="22">
        <v>6</v>
      </c>
      <c r="F1461" s="22">
        <v>26</v>
      </c>
      <c r="G1461" s="22">
        <v>2023</v>
      </c>
      <c r="H1461" s="23">
        <f t="shared" si="66"/>
        <v>45103</v>
      </c>
      <c r="I1461" s="25">
        <v>45112</v>
      </c>
      <c r="J1461" s="22">
        <f t="shared" si="67"/>
        <v>9</v>
      </c>
      <c r="K1461" t="s">
        <v>33</v>
      </c>
      <c r="L1461">
        <v>46420</v>
      </c>
      <c r="M1461">
        <v>1646</v>
      </c>
      <c r="N1461" s="26">
        <v>2817.62</v>
      </c>
      <c r="O1461" s="26">
        <f t="shared" si="68"/>
        <v>2817.62</v>
      </c>
      <c r="P1461">
        <v>0</v>
      </c>
      <c r="Q1461" t="b">
        <v>0</v>
      </c>
      <c r="R1461">
        <v>46444</v>
      </c>
      <c r="S1461" t="s">
        <v>34</v>
      </c>
    </row>
    <row r="1462" spans="1:19">
      <c r="A1462" t="s">
        <v>3022</v>
      </c>
      <c r="B1462" t="s">
        <v>3023</v>
      </c>
      <c r="C1462" s="23" t="s">
        <v>4128</v>
      </c>
      <c r="D1462" s="23">
        <v>45189</v>
      </c>
      <c r="E1462" s="22">
        <v>9</v>
      </c>
      <c r="F1462" s="22">
        <v>20</v>
      </c>
      <c r="G1462" s="22">
        <v>2023</v>
      </c>
      <c r="H1462" s="23">
        <f t="shared" si="66"/>
        <v>45189</v>
      </c>
      <c r="I1462" s="25">
        <v>45196</v>
      </c>
      <c r="J1462" s="22">
        <f t="shared" si="67"/>
        <v>7</v>
      </c>
      <c r="K1462" t="s">
        <v>19</v>
      </c>
      <c r="L1462">
        <v>39890</v>
      </c>
      <c r="M1462">
        <v>1193</v>
      </c>
      <c r="N1462" s="26">
        <v>500000</v>
      </c>
      <c r="O1462" s="26">
        <f t="shared" si="68"/>
        <v>3632.575</v>
      </c>
      <c r="P1462">
        <v>160</v>
      </c>
      <c r="Q1462" t="b">
        <v>1</v>
      </c>
      <c r="S1462" t="s">
        <v>20</v>
      </c>
    </row>
    <row r="1463" spans="1:19">
      <c r="A1463" t="s">
        <v>3024</v>
      </c>
      <c r="B1463" t="s">
        <v>3025</v>
      </c>
      <c r="C1463" s="23" t="s">
        <v>4127</v>
      </c>
      <c r="D1463" s="23">
        <v>45242</v>
      </c>
      <c r="E1463" s="22">
        <v>11</v>
      </c>
      <c r="F1463" s="22">
        <v>12</v>
      </c>
      <c r="G1463" s="22">
        <v>2023</v>
      </c>
      <c r="H1463" s="23">
        <f t="shared" si="66"/>
        <v>45242</v>
      </c>
      <c r="I1463" s="25">
        <v>45271</v>
      </c>
      <c r="J1463" s="22">
        <f t="shared" si="67"/>
        <v>29</v>
      </c>
      <c r="K1463" t="s">
        <v>14</v>
      </c>
      <c r="L1463">
        <v>67017</v>
      </c>
      <c r="M1463">
        <v>1760</v>
      </c>
      <c r="N1463" s="26">
        <v>2297.79</v>
      </c>
      <c r="O1463" s="26">
        <f t="shared" si="68"/>
        <v>2297.79</v>
      </c>
      <c r="P1463">
        <v>0</v>
      </c>
      <c r="Q1463" t="b">
        <v>1</v>
      </c>
      <c r="S1463" t="s">
        <v>16</v>
      </c>
    </row>
    <row r="1464" spans="1:19">
      <c r="A1464" t="s">
        <v>3026</v>
      </c>
      <c r="B1464" t="s">
        <v>3027</v>
      </c>
      <c r="C1464" s="23" t="s">
        <v>4131</v>
      </c>
      <c r="D1464" s="23">
        <v>45019</v>
      </c>
      <c r="E1464" s="22">
        <v>4</v>
      </c>
      <c r="F1464" s="22">
        <v>3</v>
      </c>
      <c r="G1464" s="22">
        <v>2023</v>
      </c>
      <c r="H1464" s="23">
        <f t="shared" si="66"/>
        <v>45019</v>
      </c>
      <c r="I1464" s="25">
        <v>45014</v>
      </c>
      <c r="J1464" s="22">
        <f t="shared" si="67"/>
        <v>-5</v>
      </c>
      <c r="K1464" t="s">
        <v>33</v>
      </c>
      <c r="L1464">
        <v>48304</v>
      </c>
      <c r="M1464">
        <v>2324</v>
      </c>
      <c r="N1464" s="26">
        <v>4090.23</v>
      </c>
      <c r="O1464" s="26">
        <f t="shared" si="68"/>
        <v>3632.575</v>
      </c>
      <c r="P1464">
        <v>0</v>
      </c>
      <c r="Q1464" t="b">
        <v>1</v>
      </c>
      <c r="S1464" t="s">
        <v>34</v>
      </c>
    </row>
    <row r="1465" spans="1:19">
      <c r="A1465" t="s">
        <v>3028</v>
      </c>
      <c r="B1465" t="s">
        <v>3029</v>
      </c>
      <c r="C1465" s="23" t="s">
        <v>4127</v>
      </c>
      <c r="D1465" s="23">
        <v>44954</v>
      </c>
      <c r="E1465" s="22">
        <v>1</v>
      </c>
      <c r="F1465" s="22">
        <v>28</v>
      </c>
      <c r="G1465" s="22">
        <v>2023</v>
      </c>
      <c r="H1465" s="23">
        <f t="shared" si="66"/>
        <v>44954</v>
      </c>
      <c r="I1465" s="25">
        <v>44970</v>
      </c>
      <c r="J1465" s="22">
        <f t="shared" si="67"/>
        <v>16</v>
      </c>
      <c r="K1465" t="s">
        <v>33</v>
      </c>
      <c r="L1465">
        <v>33921</v>
      </c>
      <c r="M1465">
        <v>1048</v>
      </c>
      <c r="N1465" s="26">
        <v>1057.42</v>
      </c>
      <c r="O1465" s="26">
        <f t="shared" si="68"/>
        <v>1057.42</v>
      </c>
      <c r="P1465">
        <v>72</v>
      </c>
      <c r="Q1465" t="b">
        <v>0</v>
      </c>
      <c r="S1465" t="s">
        <v>34</v>
      </c>
    </row>
    <row r="1466" spans="1:19">
      <c r="A1466" t="s">
        <v>3030</v>
      </c>
      <c r="B1466" t="s">
        <v>3031</v>
      </c>
      <c r="C1466" s="23" t="s">
        <v>4131</v>
      </c>
      <c r="D1466" s="23">
        <v>45208</v>
      </c>
      <c r="E1466" s="22">
        <v>10</v>
      </c>
      <c r="F1466" s="22">
        <v>9</v>
      </c>
      <c r="G1466" s="22">
        <v>2023</v>
      </c>
      <c r="H1466" s="23">
        <f t="shared" si="66"/>
        <v>45208</v>
      </c>
      <c r="I1466" s="25">
        <v>45222</v>
      </c>
      <c r="J1466" s="22">
        <f t="shared" si="67"/>
        <v>14</v>
      </c>
      <c r="K1466" t="s">
        <v>33</v>
      </c>
      <c r="L1466">
        <v>2524</v>
      </c>
      <c r="M1466">
        <v>47</v>
      </c>
      <c r="N1466" s="26">
        <v>73.48</v>
      </c>
      <c r="O1466" s="26">
        <f t="shared" si="68"/>
        <v>73.48</v>
      </c>
      <c r="P1466">
        <v>3</v>
      </c>
      <c r="Q1466" t="b">
        <v>1</v>
      </c>
      <c r="S1466" t="s">
        <v>34</v>
      </c>
    </row>
    <row r="1467" spans="1:19">
      <c r="A1467" t="s">
        <v>3032</v>
      </c>
      <c r="B1467" t="s">
        <v>3033</v>
      </c>
      <c r="C1467" s="23" t="s">
        <v>4127</v>
      </c>
      <c r="D1467" s="23">
        <v>45075</v>
      </c>
      <c r="E1467" s="22">
        <v>5</v>
      </c>
      <c r="F1467" s="22">
        <v>29</v>
      </c>
      <c r="G1467" s="22">
        <v>2023</v>
      </c>
      <c r="H1467" s="23">
        <f t="shared" si="66"/>
        <v>45075</v>
      </c>
      <c r="I1467" s="25">
        <v>45101</v>
      </c>
      <c r="J1467" s="22">
        <f t="shared" si="67"/>
        <v>26</v>
      </c>
      <c r="K1467" t="s">
        <v>23</v>
      </c>
      <c r="L1467">
        <v>16048</v>
      </c>
      <c r="M1467">
        <v>455</v>
      </c>
      <c r="N1467" s="26">
        <v>905.76</v>
      </c>
      <c r="O1467" s="26">
        <f t="shared" si="68"/>
        <v>905.76</v>
      </c>
      <c r="P1467">
        <v>69</v>
      </c>
      <c r="Q1467" t="b">
        <v>0</v>
      </c>
      <c r="S1467" t="s">
        <v>25</v>
      </c>
    </row>
    <row r="1468" spans="1:19">
      <c r="A1468" t="s">
        <v>3034</v>
      </c>
      <c r="B1468" t="s">
        <v>3035</v>
      </c>
      <c r="C1468" s="23" t="s">
        <v>4128</v>
      </c>
      <c r="D1468" s="23">
        <v>45028</v>
      </c>
      <c r="E1468" s="22">
        <v>4</v>
      </c>
      <c r="F1468" s="22">
        <v>12</v>
      </c>
      <c r="G1468" s="22">
        <v>2023</v>
      </c>
      <c r="H1468" s="23">
        <f t="shared" si="66"/>
        <v>45028</v>
      </c>
      <c r="I1468" s="25">
        <v>45057</v>
      </c>
      <c r="J1468" s="22">
        <f t="shared" si="67"/>
        <v>29</v>
      </c>
      <c r="K1468" t="s">
        <v>33</v>
      </c>
      <c r="L1468">
        <v>36111</v>
      </c>
      <c r="M1468">
        <v>1689</v>
      </c>
      <c r="N1468" s="26">
        <v>1641.61</v>
      </c>
      <c r="O1468" s="26">
        <f t="shared" si="68"/>
        <v>1641.61</v>
      </c>
      <c r="P1468">
        <v>150</v>
      </c>
      <c r="Q1468" t="b">
        <v>1</v>
      </c>
      <c r="S1468" t="s">
        <v>34</v>
      </c>
    </row>
    <row r="1469" spans="1:19">
      <c r="A1469" t="s">
        <v>3036</v>
      </c>
      <c r="B1469" t="s">
        <v>3037</v>
      </c>
      <c r="C1469" s="23" t="s">
        <v>4131</v>
      </c>
      <c r="D1469" s="23">
        <v>45096</v>
      </c>
      <c r="E1469" s="22">
        <v>6</v>
      </c>
      <c r="F1469" s="22">
        <v>19</v>
      </c>
      <c r="G1469" s="22">
        <v>2023</v>
      </c>
      <c r="H1469" s="23">
        <f t="shared" si="66"/>
        <v>45096</v>
      </c>
      <c r="I1469" s="25">
        <v>45113</v>
      </c>
      <c r="J1469" s="22">
        <f t="shared" si="67"/>
        <v>17</v>
      </c>
      <c r="K1469" t="s">
        <v>19</v>
      </c>
      <c r="L1469">
        <v>38904</v>
      </c>
      <c r="M1469">
        <v>663</v>
      </c>
      <c r="N1469" s="26">
        <v>1001.81</v>
      </c>
      <c r="O1469" s="26">
        <f t="shared" si="68"/>
        <v>1001.81</v>
      </c>
      <c r="P1469">
        <v>58</v>
      </c>
      <c r="Q1469" t="b">
        <v>1</v>
      </c>
      <c r="S1469" t="s">
        <v>20</v>
      </c>
    </row>
    <row r="1470" spans="1:19">
      <c r="A1470" t="s">
        <v>3038</v>
      </c>
      <c r="B1470" t="s">
        <v>3039</v>
      </c>
      <c r="C1470" s="23" t="s">
        <v>4127</v>
      </c>
      <c r="D1470" s="23">
        <v>45047</v>
      </c>
      <c r="E1470" s="22">
        <v>5</v>
      </c>
      <c r="F1470" s="22">
        <v>1</v>
      </c>
      <c r="G1470" s="22">
        <v>2023</v>
      </c>
      <c r="H1470" s="23">
        <f t="shared" si="66"/>
        <v>45047</v>
      </c>
      <c r="I1470" s="25">
        <v>45058</v>
      </c>
      <c r="J1470" s="22">
        <f t="shared" si="67"/>
        <v>11</v>
      </c>
      <c r="K1470" t="s">
        <v>138</v>
      </c>
      <c r="L1470">
        <v>55912</v>
      </c>
      <c r="M1470">
        <v>1037</v>
      </c>
      <c r="N1470" s="26">
        <v>1831.83</v>
      </c>
      <c r="O1470" s="26">
        <f t="shared" si="68"/>
        <v>1831.83</v>
      </c>
      <c r="P1470">
        <v>207</v>
      </c>
      <c r="Q1470" t="b">
        <v>1</v>
      </c>
      <c r="S1470" t="s">
        <v>139</v>
      </c>
    </row>
    <row r="1471" spans="1:19">
      <c r="A1471" t="s">
        <v>3040</v>
      </c>
      <c r="B1471" t="s">
        <v>3041</v>
      </c>
      <c r="C1471" s="23" t="s">
        <v>4129</v>
      </c>
      <c r="D1471" s="23">
        <v>45026</v>
      </c>
      <c r="E1471" s="22">
        <v>4</v>
      </c>
      <c r="F1471" s="22">
        <v>10</v>
      </c>
      <c r="G1471" s="22">
        <v>2023</v>
      </c>
      <c r="H1471" s="23">
        <f t="shared" si="66"/>
        <v>45026</v>
      </c>
      <c r="I1471" s="25">
        <v>45037</v>
      </c>
      <c r="J1471" s="22">
        <f t="shared" si="67"/>
        <v>11</v>
      </c>
      <c r="K1471" t="s">
        <v>33</v>
      </c>
      <c r="L1471">
        <v>35008</v>
      </c>
      <c r="M1471">
        <v>368</v>
      </c>
      <c r="N1471" s="26">
        <v>689.53</v>
      </c>
      <c r="O1471" s="26">
        <f t="shared" si="68"/>
        <v>689.53</v>
      </c>
      <c r="P1471">
        <v>28</v>
      </c>
      <c r="Q1471" t="b">
        <v>0</v>
      </c>
      <c r="S1471" t="s">
        <v>34</v>
      </c>
    </row>
    <row r="1472" spans="1:19">
      <c r="A1472" t="s">
        <v>3042</v>
      </c>
      <c r="B1472" t="s">
        <v>3043</v>
      </c>
      <c r="C1472" s="23" t="s">
        <v>4127</v>
      </c>
      <c r="D1472" s="23">
        <v>45242</v>
      </c>
      <c r="E1472" s="22">
        <v>11</v>
      </c>
      <c r="F1472" s="22">
        <v>12</v>
      </c>
      <c r="G1472" s="22">
        <v>2023</v>
      </c>
      <c r="H1472" s="23">
        <f t="shared" si="66"/>
        <v>45242</v>
      </c>
      <c r="I1472" s="25">
        <v>45243</v>
      </c>
      <c r="J1472" s="22">
        <f t="shared" si="67"/>
        <v>1</v>
      </c>
      <c r="K1472" t="s">
        <v>138</v>
      </c>
      <c r="L1472">
        <v>1060</v>
      </c>
      <c r="M1472">
        <v>11</v>
      </c>
      <c r="N1472" s="26">
        <v>17.35</v>
      </c>
      <c r="O1472" s="26">
        <f t="shared" si="68"/>
        <v>17.35</v>
      </c>
      <c r="P1472">
        <v>0</v>
      </c>
      <c r="Q1472" t="b">
        <v>0</v>
      </c>
      <c r="S1472" t="s">
        <v>139</v>
      </c>
    </row>
    <row r="1473" spans="1:19">
      <c r="A1473" t="s">
        <v>3044</v>
      </c>
      <c r="B1473" t="s">
        <v>3045</v>
      </c>
      <c r="C1473" s="23" t="s">
        <v>4129</v>
      </c>
      <c r="D1473" s="23">
        <v>45005</v>
      </c>
      <c r="E1473" s="22">
        <v>3</v>
      </c>
      <c r="F1473" s="22">
        <v>20</v>
      </c>
      <c r="G1473" s="22">
        <v>2023</v>
      </c>
      <c r="H1473" s="23">
        <f t="shared" si="66"/>
        <v>45005</v>
      </c>
      <c r="I1473" s="25">
        <v>45021</v>
      </c>
      <c r="J1473" s="22">
        <f t="shared" si="67"/>
        <v>16</v>
      </c>
      <c r="K1473" t="s">
        <v>41</v>
      </c>
      <c r="L1473">
        <v>75666</v>
      </c>
      <c r="M1473">
        <v>3266</v>
      </c>
      <c r="N1473" s="26">
        <v>3022.4</v>
      </c>
      <c r="O1473" s="26">
        <f t="shared" si="68"/>
        <v>3022.4</v>
      </c>
      <c r="P1473">
        <v>211</v>
      </c>
      <c r="Q1473" t="b">
        <v>0</v>
      </c>
      <c r="S1473" t="s">
        <v>42</v>
      </c>
    </row>
    <row r="1474" spans="1:19">
      <c r="A1474" t="s">
        <v>3046</v>
      </c>
      <c r="B1474" t="s">
        <v>3047</v>
      </c>
      <c r="C1474" s="23" t="s">
        <v>4128</v>
      </c>
      <c r="D1474" s="23">
        <v>45088</v>
      </c>
      <c r="E1474" s="22">
        <v>6</v>
      </c>
      <c r="F1474" s="22">
        <v>11</v>
      </c>
      <c r="G1474" s="22">
        <v>2023</v>
      </c>
      <c r="H1474" s="23">
        <f t="shared" si="66"/>
        <v>45088</v>
      </c>
      <c r="I1474" s="25">
        <v>45105</v>
      </c>
      <c r="J1474" s="22">
        <f t="shared" si="67"/>
        <v>17</v>
      </c>
      <c r="K1474" t="s">
        <v>14</v>
      </c>
      <c r="L1474">
        <v>84559</v>
      </c>
      <c r="M1474">
        <v>3321</v>
      </c>
      <c r="N1474" s="26">
        <v>3285.87</v>
      </c>
      <c r="O1474" s="26">
        <f t="shared" si="68"/>
        <v>3285.87</v>
      </c>
      <c r="P1474">
        <v>454</v>
      </c>
      <c r="Q1474" t="b">
        <v>0</v>
      </c>
      <c r="S1474" t="s">
        <v>16</v>
      </c>
    </row>
    <row r="1475" spans="1:19">
      <c r="A1475" t="s">
        <v>3048</v>
      </c>
      <c r="B1475" t="s">
        <v>3049</v>
      </c>
      <c r="C1475" s="23" t="s">
        <v>4127</v>
      </c>
      <c r="D1475" s="23">
        <v>45087</v>
      </c>
      <c r="E1475" s="22">
        <v>6</v>
      </c>
      <c r="F1475" s="22">
        <v>10</v>
      </c>
      <c r="G1475" s="22">
        <v>2023</v>
      </c>
      <c r="H1475" s="23">
        <f t="shared" ref="H1475:H1538" si="69">IF(E1475&gt;12,DATE(G1475,F1475,E1475),D1475)</f>
        <v>45087</v>
      </c>
      <c r="I1475" s="25">
        <v>45107</v>
      </c>
      <c r="J1475" s="22">
        <f t="shared" ref="J1475:J1538" si="70">DATEDIF(H1475,I1475,"D")</f>
        <v>20</v>
      </c>
      <c r="K1475" t="s">
        <v>33</v>
      </c>
      <c r="L1475">
        <v>56337</v>
      </c>
      <c r="M1475">
        <v>1363</v>
      </c>
      <c r="N1475" s="26">
        <v>723.94</v>
      </c>
      <c r="O1475" s="26">
        <f t="shared" ref="O1475:O1538" si="71">IF(N1475&lt;$W$8,$W$8,IF(N1475&gt;$W$9,$W$9,N1475))</f>
        <v>723.94</v>
      </c>
      <c r="P1475">
        <v>196</v>
      </c>
      <c r="Q1475" t="b">
        <v>0</v>
      </c>
      <c r="S1475" t="s">
        <v>34</v>
      </c>
    </row>
    <row r="1476" spans="1:19">
      <c r="A1476" t="s">
        <v>3050</v>
      </c>
      <c r="B1476" t="s">
        <v>3051</v>
      </c>
      <c r="C1476" s="23" t="s">
        <v>4131</v>
      </c>
      <c r="D1476" s="23">
        <v>45255</v>
      </c>
      <c r="E1476" s="22">
        <v>11</v>
      </c>
      <c r="F1476" s="22">
        <v>25</v>
      </c>
      <c r="G1476" s="22">
        <v>2023</v>
      </c>
      <c r="H1476" s="23">
        <f t="shared" si="69"/>
        <v>45255</v>
      </c>
      <c r="I1476" s="25">
        <v>45268</v>
      </c>
      <c r="J1476" s="22">
        <f t="shared" si="70"/>
        <v>13</v>
      </c>
      <c r="K1476" t="s">
        <v>138</v>
      </c>
      <c r="L1476">
        <v>14350</v>
      </c>
      <c r="M1476">
        <v>544</v>
      </c>
      <c r="N1476" s="26">
        <v>892.88</v>
      </c>
      <c r="O1476" s="26">
        <f t="shared" si="71"/>
        <v>892.88</v>
      </c>
      <c r="P1476">
        <v>57</v>
      </c>
      <c r="Q1476" t="b">
        <v>0</v>
      </c>
      <c r="S1476" t="s">
        <v>139</v>
      </c>
    </row>
    <row r="1477" spans="1:19">
      <c r="A1477" t="s">
        <v>3052</v>
      </c>
      <c r="B1477" t="s">
        <v>3053</v>
      </c>
      <c r="C1477" s="23" t="s">
        <v>4128</v>
      </c>
      <c r="D1477" s="23">
        <v>44995</v>
      </c>
      <c r="E1477" s="22">
        <v>3</v>
      </c>
      <c r="F1477" s="22">
        <v>10</v>
      </c>
      <c r="G1477" s="22">
        <v>2023</v>
      </c>
      <c r="H1477" s="23">
        <f t="shared" si="69"/>
        <v>44995</v>
      </c>
      <c r="I1477" s="25">
        <v>45022</v>
      </c>
      <c r="J1477" s="22">
        <f t="shared" si="70"/>
        <v>27</v>
      </c>
      <c r="K1477" t="s">
        <v>41</v>
      </c>
      <c r="L1477">
        <v>25354</v>
      </c>
      <c r="M1477">
        <v>654</v>
      </c>
      <c r="N1477" s="26">
        <v>368.93</v>
      </c>
      <c r="O1477" s="26">
        <f t="shared" si="71"/>
        <v>368.93</v>
      </c>
      <c r="P1477">
        <v>85</v>
      </c>
      <c r="Q1477" t="b">
        <v>1</v>
      </c>
      <c r="S1477" t="s">
        <v>42</v>
      </c>
    </row>
    <row r="1478" spans="1:19">
      <c r="A1478" t="s">
        <v>3054</v>
      </c>
      <c r="B1478" t="s">
        <v>3055</v>
      </c>
      <c r="C1478" s="23" t="s">
        <v>4128</v>
      </c>
      <c r="D1478" s="23">
        <v>45172</v>
      </c>
      <c r="E1478" s="22">
        <v>9</v>
      </c>
      <c r="F1478" s="22">
        <v>3</v>
      </c>
      <c r="G1478" s="22">
        <v>2023</v>
      </c>
      <c r="H1478" s="23">
        <f t="shared" si="69"/>
        <v>45172</v>
      </c>
      <c r="I1478" s="25">
        <v>45187</v>
      </c>
      <c r="J1478" s="22">
        <f t="shared" si="70"/>
        <v>15</v>
      </c>
      <c r="K1478" t="s">
        <v>33</v>
      </c>
      <c r="L1478">
        <v>46186</v>
      </c>
      <c r="M1478">
        <v>2222</v>
      </c>
      <c r="N1478" s="26">
        <v>3992.89</v>
      </c>
      <c r="O1478" s="26">
        <f t="shared" si="71"/>
        <v>3632.575</v>
      </c>
      <c r="P1478">
        <v>373</v>
      </c>
      <c r="Q1478" t="b">
        <v>0</v>
      </c>
      <c r="S1478" t="s">
        <v>34</v>
      </c>
    </row>
    <row r="1479" spans="1:19">
      <c r="A1479" t="s">
        <v>3056</v>
      </c>
      <c r="B1479" t="s">
        <v>3057</v>
      </c>
      <c r="C1479" s="23" t="s">
        <v>4129</v>
      </c>
      <c r="D1479" s="23">
        <v>45083</v>
      </c>
      <c r="E1479" s="22">
        <v>6</v>
      </c>
      <c r="F1479" s="22">
        <v>6</v>
      </c>
      <c r="G1479" s="22">
        <v>2023</v>
      </c>
      <c r="H1479" s="23">
        <f t="shared" si="69"/>
        <v>45083</v>
      </c>
      <c r="I1479" s="25">
        <v>45103</v>
      </c>
      <c r="J1479" s="22">
        <f t="shared" si="70"/>
        <v>20</v>
      </c>
      <c r="K1479" t="s">
        <v>14</v>
      </c>
      <c r="L1479">
        <v>29145</v>
      </c>
      <c r="M1479">
        <v>1418</v>
      </c>
      <c r="N1479" s="26">
        <v>961.39</v>
      </c>
      <c r="O1479" s="26">
        <f t="shared" si="71"/>
        <v>961.39</v>
      </c>
      <c r="P1479">
        <v>0</v>
      </c>
      <c r="Q1479" t="b">
        <v>1</v>
      </c>
      <c r="S1479" t="s">
        <v>16</v>
      </c>
    </row>
    <row r="1480" spans="1:19">
      <c r="A1480" t="s">
        <v>3058</v>
      </c>
      <c r="B1480" t="s">
        <v>3059</v>
      </c>
      <c r="C1480" s="23" t="s">
        <v>4129</v>
      </c>
      <c r="D1480" s="23">
        <v>45257</v>
      </c>
      <c r="E1480" s="22">
        <v>11</v>
      </c>
      <c r="F1480" s="22">
        <v>27</v>
      </c>
      <c r="G1480" s="22">
        <v>2023</v>
      </c>
      <c r="H1480" s="23">
        <f t="shared" si="69"/>
        <v>45257</v>
      </c>
      <c r="I1480" s="25">
        <v>45264</v>
      </c>
      <c r="J1480" s="22">
        <f t="shared" si="70"/>
        <v>7</v>
      </c>
      <c r="K1480" t="s">
        <v>14</v>
      </c>
      <c r="L1480">
        <v>35020</v>
      </c>
      <c r="M1480">
        <v>900</v>
      </c>
      <c r="N1480" s="26">
        <v>682.03</v>
      </c>
      <c r="O1480" s="26">
        <f t="shared" si="71"/>
        <v>682.03</v>
      </c>
      <c r="P1480">
        <v>0</v>
      </c>
      <c r="Q1480" t="b">
        <v>1</v>
      </c>
      <c r="S1480" t="s">
        <v>16</v>
      </c>
    </row>
    <row r="1481" spans="1:19">
      <c r="A1481" t="s">
        <v>3060</v>
      </c>
      <c r="B1481" t="s">
        <v>3061</v>
      </c>
      <c r="C1481" s="23" t="s">
        <v>4127</v>
      </c>
      <c r="D1481" s="23">
        <v>44998</v>
      </c>
      <c r="E1481" s="22">
        <v>3</v>
      </c>
      <c r="F1481" s="22">
        <v>13</v>
      </c>
      <c r="G1481" s="22">
        <v>2023</v>
      </c>
      <c r="H1481" s="23">
        <f t="shared" si="69"/>
        <v>44998</v>
      </c>
      <c r="I1481" s="25">
        <v>45010</v>
      </c>
      <c r="J1481" s="22">
        <f t="shared" si="70"/>
        <v>12</v>
      </c>
      <c r="K1481" t="s">
        <v>234</v>
      </c>
      <c r="L1481">
        <v>87123</v>
      </c>
      <c r="M1481">
        <v>3848</v>
      </c>
      <c r="N1481" s="26">
        <v>4674.51</v>
      </c>
      <c r="O1481" s="26">
        <f t="shared" si="71"/>
        <v>3632.575</v>
      </c>
      <c r="P1481">
        <v>668</v>
      </c>
      <c r="Q1481" t="b">
        <v>1</v>
      </c>
      <c r="S1481" t="s">
        <v>16</v>
      </c>
    </row>
    <row r="1482" spans="1:19">
      <c r="A1482" t="s">
        <v>3062</v>
      </c>
      <c r="B1482" t="s">
        <v>3063</v>
      </c>
      <c r="C1482" s="23" t="s">
        <v>4127</v>
      </c>
      <c r="D1482" s="23" t="s">
        <v>3064</v>
      </c>
      <c r="E1482" s="22">
        <v>17</v>
      </c>
      <c r="F1482" s="22">
        <v>11</v>
      </c>
      <c r="G1482" s="22">
        <v>2023</v>
      </c>
      <c r="H1482" s="23">
        <f t="shared" si="69"/>
        <v>45247</v>
      </c>
      <c r="I1482" s="25">
        <v>45252</v>
      </c>
      <c r="J1482" s="22">
        <f t="shared" si="70"/>
        <v>5</v>
      </c>
      <c r="K1482" t="s">
        <v>14</v>
      </c>
      <c r="L1482">
        <v>76186</v>
      </c>
      <c r="M1482">
        <v>3117</v>
      </c>
      <c r="N1482" s="26">
        <v>5008.46</v>
      </c>
      <c r="O1482" s="26">
        <f t="shared" si="71"/>
        <v>3632.575</v>
      </c>
      <c r="P1482">
        <v>419</v>
      </c>
      <c r="Q1482" t="b">
        <v>1</v>
      </c>
      <c r="S1482" t="s">
        <v>68</v>
      </c>
    </row>
    <row r="1483" spans="1:19">
      <c r="A1483" t="s">
        <v>3065</v>
      </c>
      <c r="B1483" t="s">
        <v>3066</v>
      </c>
      <c r="C1483" s="23" t="s">
        <v>4129</v>
      </c>
      <c r="D1483" s="23">
        <v>44965</v>
      </c>
      <c r="E1483" s="22">
        <v>2</v>
      </c>
      <c r="F1483" s="22">
        <v>8</v>
      </c>
      <c r="G1483" s="22">
        <v>2023</v>
      </c>
      <c r="H1483" s="23">
        <f t="shared" si="69"/>
        <v>44965</v>
      </c>
      <c r="I1483" s="25">
        <v>44988</v>
      </c>
      <c r="J1483" s="22">
        <f t="shared" si="70"/>
        <v>23</v>
      </c>
      <c r="K1483" t="s">
        <v>19</v>
      </c>
      <c r="L1483">
        <v>86469</v>
      </c>
      <c r="M1483">
        <v>1936</v>
      </c>
      <c r="N1483" s="26">
        <v>1371.66</v>
      </c>
      <c r="O1483" s="26">
        <f t="shared" si="71"/>
        <v>1371.66</v>
      </c>
      <c r="P1483">
        <v>148</v>
      </c>
      <c r="Q1483" t="b">
        <v>1</v>
      </c>
      <c r="S1483" t="s">
        <v>20</v>
      </c>
    </row>
    <row r="1484" spans="1:19">
      <c r="A1484" t="s">
        <v>3067</v>
      </c>
      <c r="B1484" t="s">
        <v>3068</v>
      </c>
      <c r="C1484" s="23" t="s">
        <v>4128</v>
      </c>
      <c r="D1484" s="23" t="s">
        <v>3069</v>
      </c>
      <c r="E1484" s="22">
        <v>20</v>
      </c>
      <c r="F1484" s="22">
        <v>11</v>
      </c>
      <c r="G1484" s="22">
        <v>2023</v>
      </c>
      <c r="H1484" s="23">
        <f t="shared" si="69"/>
        <v>45250</v>
      </c>
      <c r="I1484" s="25">
        <v>45253</v>
      </c>
      <c r="J1484" s="22">
        <f t="shared" si="70"/>
        <v>3</v>
      </c>
      <c r="K1484" t="s">
        <v>41</v>
      </c>
      <c r="L1484">
        <v>21581</v>
      </c>
      <c r="M1484">
        <v>416</v>
      </c>
      <c r="N1484" s="26">
        <v>482.6</v>
      </c>
      <c r="O1484" s="26">
        <f t="shared" si="71"/>
        <v>482.6</v>
      </c>
      <c r="P1484">
        <v>27</v>
      </c>
      <c r="Q1484" t="b">
        <v>1</v>
      </c>
      <c r="S1484" t="s">
        <v>42</v>
      </c>
    </row>
    <row r="1485" spans="1:19">
      <c r="A1485" t="s">
        <v>3070</v>
      </c>
      <c r="B1485" t="s">
        <v>3071</v>
      </c>
      <c r="C1485" s="23" t="s">
        <v>4131</v>
      </c>
      <c r="D1485" s="23">
        <v>45224</v>
      </c>
      <c r="E1485" s="22">
        <v>10</v>
      </c>
      <c r="F1485" s="22">
        <v>25</v>
      </c>
      <c r="G1485" s="22">
        <v>2023</v>
      </c>
      <c r="H1485" s="23">
        <f t="shared" si="69"/>
        <v>45224</v>
      </c>
      <c r="I1485" s="25">
        <v>45244</v>
      </c>
      <c r="J1485" s="22">
        <f t="shared" si="70"/>
        <v>20</v>
      </c>
      <c r="K1485" t="s">
        <v>33</v>
      </c>
      <c r="L1485">
        <v>89929</v>
      </c>
      <c r="M1485">
        <v>2547</v>
      </c>
      <c r="N1485" s="26">
        <v>3118.23</v>
      </c>
      <c r="O1485" s="26">
        <f t="shared" si="71"/>
        <v>3118.23</v>
      </c>
      <c r="P1485">
        <v>148</v>
      </c>
      <c r="Q1485" t="b">
        <v>0</v>
      </c>
      <c r="S1485" t="s">
        <v>34</v>
      </c>
    </row>
    <row r="1486" spans="1:19">
      <c r="A1486" t="s">
        <v>3072</v>
      </c>
      <c r="B1486" t="s">
        <v>3073</v>
      </c>
      <c r="C1486" s="23" t="s">
        <v>4127</v>
      </c>
      <c r="D1486" s="23">
        <v>45035</v>
      </c>
      <c r="E1486" s="22">
        <v>4</v>
      </c>
      <c r="F1486" s="22">
        <v>19</v>
      </c>
      <c r="G1486" s="22">
        <v>2023</v>
      </c>
      <c r="H1486" s="23">
        <f t="shared" si="69"/>
        <v>45035</v>
      </c>
      <c r="I1486" s="25">
        <v>45062</v>
      </c>
      <c r="J1486" s="22">
        <f t="shared" si="70"/>
        <v>27</v>
      </c>
      <c r="K1486" t="s">
        <v>33</v>
      </c>
      <c r="L1486">
        <v>24051</v>
      </c>
      <c r="M1486">
        <v>992</v>
      </c>
      <c r="N1486" s="26">
        <v>811.88</v>
      </c>
      <c r="O1486" s="26">
        <f t="shared" si="71"/>
        <v>811.88</v>
      </c>
      <c r="P1486">
        <v>148</v>
      </c>
      <c r="Q1486" t="b">
        <v>0</v>
      </c>
      <c r="S1486" t="s">
        <v>34</v>
      </c>
    </row>
    <row r="1487" spans="1:19">
      <c r="A1487" t="s">
        <v>3074</v>
      </c>
      <c r="B1487" t="s">
        <v>3075</v>
      </c>
      <c r="C1487" s="23" t="s">
        <v>4131</v>
      </c>
      <c r="D1487" s="23">
        <v>45205</v>
      </c>
      <c r="E1487" s="22">
        <v>10</v>
      </c>
      <c r="F1487" s="22">
        <v>6</v>
      </c>
      <c r="G1487" s="22">
        <v>2023</v>
      </c>
      <c r="H1487" s="23">
        <f t="shared" si="69"/>
        <v>45205</v>
      </c>
      <c r="I1487" s="25">
        <v>45228</v>
      </c>
      <c r="J1487" s="22">
        <f t="shared" si="70"/>
        <v>23</v>
      </c>
      <c r="K1487" t="s">
        <v>14</v>
      </c>
      <c r="L1487">
        <v>52474</v>
      </c>
      <c r="M1487">
        <v>2540</v>
      </c>
      <c r="N1487" s="26">
        <v>1710.28</v>
      </c>
      <c r="O1487" s="26">
        <f t="shared" si="71"/>
        <v>1710.28</v>
      </c>
      <c r="P1487">
        <v>434</v>
      </c>
      <c r="Q1487" t="b">
        <v>1</v>
      </c>
      <c r="S1487" t="s">
        <v>16</v>
      </c>
    </row>
    <row r="1488" spans="1:19">
      <c r="A1488" t="s">
        <v>3076</v>
      </c>
      <c r="B1488" t="s">
        <v>3077</v>
      </c>
      <c r="C1488" s="23" t="s">
        <v>4128</v>
      </c>
      <c r="D1488" s="23">
        <v>45261</v>
      </c>
      <c r="E1488" s="22">
        <v>12</v>
      </c>
      <c r="F1488" s="22">
        <v>1</v>
      </c>
      <c r="G1488" s="22">
        <v>2023</v>
      </c>
      <c r="H1488" s="23">
        <f t="shared" si="69"/>
        <v>45261</v>
      </c>
      <c r="I1488" s="25">
        <v>45283</v>
      </c>
      <c r="J1488" s="22">
        <f t="shared" si="70"/>
        <v>22</v>
      </c>
      <c r="K1488" t="s">
        <v>41</v>
      </c>
      <c r="L1488">
        <v>92748</v>
      </c>
      <c r="M1488">
        <v>3760</v>
      </c>
      <c r="N1488" s="26">
        <v>6597.41</v>
      </c>
      <c r="O1488" s="26">
        <f t="shared" si="71"/>
        <v>3632.575</v>
      </c>
      <c r="P1488">
        <v>474</v>
      </c>
      <c r="Q1488" t="b">
        <v>0</v>
      </c>
      <c r="S1488" t="s">
        <v>42</v>
      </c>
    </row>
    <row r="1489" spans="1:19">
      <c r="A1489" t="s">
        <v>3078</v>
      </c>
      <c r="B1489" t="s">
        <v>3079</v>
      </c>
      <c r="C1489" s="23" t="s">
        <v>4129</v>
      </c>
      <c r="D1489" s="23">
        <v>45041</v>
      </c>
      <c r="E1489" s="22">
        <v>4</v>
      </c>
      <c r="F1489" s="22">
        <v>25</v>
      </c>
      <c r="G1489" s="22">
        <v>2023</v>
      </c>
      <c r="H1489" s="23">
        <f t="shared" si="69"/>
        <v>45041</v>
      </c>
      <c r="I1489" s="25">
        <v>45054</v>
      </c>
      <c r="J1489" s="22">
        <f t="shared" si="70"/>
        <v>13</v>
      </c>
      <c r="K1489" t="s">
        <v>23</v>
      </c>
      <c r="L1489">
        <v>70626</v>
      </c>
      <c r="M1489">
        <v>3122</v>
      </c>
      <c r="N1489" s="26">
        <v>3914.05</v>
      </c>
      <c r="O1489" s="26">
        <f t="shared" si="71"/>
        <v>3632.575</v>
      </c>
      <c r="P1489">
        <v>181</v>
      </c>
      <c r="Q1489" t="b">
        <v>0</v>
      </c>
      <c r="S1489" t="s">
        <v>25</v>
      </c>
    </row>
    <row r="1490" spans="1:19">
      <c r="A1490" t="s">
        <v>3080</v>
      </c>
      <c r="B1490" t="s">
        <v>3081</v>
      </c>
      <c r="C1490" s="23" t="s">
        <v>4127</v>
      </c>
      <c r="D1490" s="23">
        <v>45075</v>
      </c>
      <c r="E1490" s="22">
        <v>5</v>
      </c>
      <c r="F1490" s="22">
        <v>29</v>
      </c>
      <c r="G1490" s="22">
        <v>2023</v>
      </c>
      <c r="H1490" s="23">
        <f t="shared" si="69"/>
        <v>45075</v>
      </c>
      <c r="I1490" s="25">
        <v>45081</v>
      </c>
      <c r="J1490" s="22">
        <f t="shared" si="70"/>
        <v>6</v>
      </c>
      <c r="K1490" t="s">
        <v>138</v>
      </c>
      <c r="L1490">
        <v>7960</v>
      </c>
      <c r="M1490">
        <v>271</v>
      </c>
      <c r="N1490" s="26">
        <v>141.35</v>
      </c>
      <c r="O1490" s="26">
        <f t="shared" si="71"/>
        <v>141.35</v>
      </c>
      <c r="P1490">
        <v>35</v>
      </c>
      <c r="Q1490" t="b">
        <v>1</v>
      </c>
      <c r="S1490" t="s">
        <v>139</v>
      </c>
    </row>
    <row r="1491" spans="1:19">
      <c r="A1491" t="s">
        <v>3082</v>
      </c>
      <c r="B1491" t="s">
        <v>3083</v>
      </c>
      <c r="C1491" s="23" t="s">
        <v>4129</v>
      </c>
      <c r="D1491" s="23">
        <v>44973</v>
      </c>
      <c r="E1491" s="22">
        <v>2</v>
      </c>
      <c r="F1491" s="22">
        <v>16</v>
      </c>
      <c r="G1491" s="22">
        <v>2023</v>
      </c>
      <c r="H1491" s="23">
        <f t="shared" si="69"/>
        <v>44973</v>
      </c>
      <c r="I1491" s="25">
        <v>44999</v>
      </c>
      <c r="J1491" s="22">
        <f t="shared" si="70"/>
        <v>26</v>
      </c>
      <c r="K1491" t="s">
        <v>14</v>
      </c>
      <c r="L1491">
        <v>36772</v>
      </c>
      <c r="M1491">
        <v>1596</v>
      </c>
      <c r="N1491" s="26">
        <v>2720.34</v>
      </c>
      <c r="O1491" s="26">
        <f t="shared" si="71"/>
        <v>2720.34</v>
      </c>
      <c r="P1491">
        <v>0</v>
      </c>
      <c r="Q1491" t="b">
        <v>1</v>
      </c>
      <c r="S1491" t="s">
        <v>16</v>
      </c>
    </row>
    <row r="1492" spans="1:19">
      <c r="A1492" t="s">
        <v>3084</v>
      </c>
      <c r="B1492" t="s">
        <v>3085</v>
      </c>
      <c r="C1492" s="23" t="s">
        <v>4127</v>
      </c>
      <c r="D1492" s="23">
        <v>45266</v>
      </c>
      <c r="E1492" s="22">
        <v>12</v>
      </c>
      <c r="F1492" s="22">
        <v>6</v>
      </c>
      <c r="G1492" s="22">
        <v>2023</v>
      </c>
      <c r="H1492" s="23">
        <f t="shared" si="69"/>
        <v>45266</v>
      </c>
      <c r="I1492" s="25">
        <v>45279</v>
      </c>
      <c r="J1492" s="22">
        <f t="shared" si="70"/>
        <v>13</v>
      </c>
      <c r="K1492" t="s">
        <v>415</v>
      </c>
      <c r="L1492">
        <v>22520</v>
      </c>
      <c r="M1492">
        <v>931</v>
      </c>
      <c r="N1492" s="26">
        <v>1835.18</v>
      </c>
      <c r="O1492" s="26">
        <f t="shared" si="71"/>
        <v>1835.18</v>
      </c>
      <c r="P1492">
        <v>130</v>
      </c>
      <c r="Q1492" t="b">
        <v>0</v>
      </c>
      <c r="S1492" t="s">
        <v>34</v>
      </c>
    </row>
    <row r="1493" spans="1:19">
      <c r="A1493" t="s">
        <v>3086</v>
      </c>
      <c r="B1493" t="s">
        <v>3087</v>
      </c>
      <c r="C1493" s="23" t="s">
        <v>4131</v>
      </c>
      <c r="D1493" s="23">
        <v>45241</v>
      </c>
      <c r="E1493" s="22">
        <v>11</v>
      </c>
      <c r="F1493" s="22">
        <v>11</v>
      </c>
      <c r="G1493" s="22">
        <v>2023</v>
      </c>
      <c r="H1493" s="23">
        <f t="shared" si="69"/>
        <v>45241</v>
      </c>
      <c r="I1493" s="25">
        <v>45248</v>
      </c>
      <c r="J1493" s="22">
        <f t="shared" si="70"/>
        <v>7</v>
      </c>
      <c r="K1493" t="s">
        <v>23</v>
      </c>
      <c r="L1493">
        <v>50481</v>
      </c>
      <c r="M1493">
        <v>1266</v>
      </c>
      <c r="N1493" s="26">
        <v>1783.65</v>
      </c>
      <c r="O1493" s="26">
        <f t="shared" si="71"/>
        <v>1783.65</v>
      </c>
      <c r="P1493">
        <v>217</v>
      </c>
      <c r="Q1493" t="b">
        <v>1</v>
      </c>
      <c r="S1493" t="s">
        <v>25</v>
      </c>
    </row>
    <row r="1494" spans="1:19">
      <c r="A1494" t="s">
        <v>3088</v>
      </c>
      <c r="B1494" t="s">
        <v>3089</v>
      </c>
      <c r="C1494" s="23" t="s">
        <v>4127</v>
      </c>
      <c r="D1494" s="23">
        <v>44998</v>
      </c>
      <c r="E1494" s="22">
        <v>3</v>
      </c>
      <c r="F1494" s="22">
        <v>13</v>
      </c>
      <c r="G1494" s="22">
        <v>2023</v>
      </c>
      <c r="H1494" s="23">
        <f t="shared" si="69"/>
        <v>44998</v>
      </c>
      <c r="I1494" s="25">
        <v>45005</v>
      </c>
      <c r="J1494" s="22">
        <f t="shared" si="70"/>
        <v>7</v>
      </c>
      <c r="K1494" t="s">
        <v>41</v>
      </c>
      <c r="L1494">
        <v>37408</v>
      </c>
      <c r="M1494">
        <v>1200</v>
      </c>
      <c r="N1494" s="26">
        <v>1506.68</v>
      </c>
      <c r="O1494" s="26">
        <f t="shared" si="71"/>
        <v>1506.68</v>
      </c>
      <c r="P1494">
        <v>204</v>
      </c>
      <c r="Q1494" t="b">
        <v>1</v>
      </c>
      <c r="S1494" t="s">
        <v>42</v>
      </c>
    </row>
    <row r="1495" spans="1:19">
      <c r="A1495" t="s">
        <v>3090</v>
      </c>
      <c r="B1495" t="s">
        <v>3091</v>
      </c>
      <c r="C1495" s="23" t="s">
        <v>4127</v>
      </c>
      <c r="D1495" s="23">
        <v>45216</v>
      </c>
      <c r="E1495" s="22">
        <v>10</v>
      </c>
      <c r="F1495" s="22">
        <v>17</v>
      </c>
      <c r="G1495" s="22">
        <v>2023</v>
      </c>
      <c r="H1495" s="23">
        <f t="shared" si="69"/>
        <v>45216</v>
      </c>
      <c r="I1495" s="25">
        <v>45227</v>
      </c>
      <c r="J1495" s="22">
        <f t="shared" si="70"/>
        <v>11</v>
      </c>
      <c r="K1495" t="s">
        <v>14</v>
      </c>
      <c r="L1495">
        <v>95006</v>
      </c>
      <c r="M1495">
        <v>4008</v>
      </c>
      <c r="N1495" s="26">
        <v>7285.04</v>
      </c>
      <c r="O1495" s="26">
        <f t="shared" si="71"/>
        <v>3632.575</v>
      </c>
      <c r="P1495">
        <v>760</v>
      </c>
      <c r="Q1495" t="b">
        <v>1</v>
      </c>
      <c r="S1495" t="s">
        <v>16</v>
      </c>
    </row>
    <row r="1496" spans="1:19">
      <c r="A1496" t="s">
        <v>3092</v>
      </c>
      <c r="B1496" t="s">
        <v>3093</v>
      </c>
      <c r="C1496" s="23" t="s">
        <v>4128</v>
      </c>
      <c r="D1496" s="23">
        <v>45174</v>
      </c>
      <c r="E1496" s="22">
        <v>9</v>
      </c>
      <c r="F1496" s="22">
        <v>5</v>
      </c>
      <c r="G1496" s="22">
        <v>2023</v>
      </c>
      <c r="H1496" s="23">
        <f t="shared" si="69"/>
        <v>45174</v>
      </c>
      <c r="I1496" s="25">
        <v>45067</v>
      </c>
      <c r="J1496" s="22">
        <f t="shared" si="70"/>
        <v>-107</v>
      </c>
      <c r="K1496" t="s">
        <v>41</v>
      </c>
      <c r="L1496">
        <v>58134</v>
      </c>
      <c r="M1496">
        <v>688</v>
      </c>
      <c r="N1496" s="26">
        <v>1327</v>
      </c>
      <c r="O1496" s="26">
        <f t="shared" si="71"/>
        <v>1327</v>
      </c>
      <c r="P1496">
        <v>113</v>
      </c>
      <c r="Q1496" t="b">
        <v>1</v>
      </c>
      <c r="S1496" t="s">
        <v>42</v>
      </c>
    </row>
    <row r="1497" spans="1:19">
      <c r="A1497" t="s">
        <v>3094</v>
      </c>
      <c r="B1497" t="s">
        <v>3095</v>
      </c>
      <c r="C1497" s="23" t="s">
        <v>4128</v>
      </c>
      <c r="D1497" s="23">
        <v>45176</v>
      </c>
      <c r="E1497" s="22">
        <v>9</v>
      </c>
      <c r="F1497" s="22">
        <v>7</v>
      </c>
      <c r="G1497" s="22">
        <v>2023</v>
      </c>
      <c r="H1497" s="23">
        <f t="shared" si="69"/>
        <v>45176</v>
      </c>
      <c r="I1497" s="25">
        <v>45189</v>
      </c>
      <c r="J1497" s="22">
        <f t="shared" si="70"/>
        <v>13</v>
      </c>
      <c r="K1497" t="s">
        <v>41</v>
      </c>
      <c r="L1497">
        <v>21491</v>
      </c>
      <c r="M1497">
        <v>909</v>
      </c>
      <c r="N1497" s="26">
        <v>1483.31</v>
      </c>
      <c r="O1497" s="26">
        <f t="shared" si="71"/>
        <v>1483.31</v>
      </c>
      <c r="P1497">
        <v>0</v>
      </c>
      <c r="Q1497" t="b">
        <v>1</v>
      </c>
      <c r="S1497" t="s">
        <v>68</v>
      </c>
    </row>
    <row r="1498" spans="1:19">
      <c r="A1498" t="s">
        <v>3096</v>
      </c>
      <c r="B1498" t="s">
        <v>3097</v>
      </c>
      <c r="C1498" s="23" t="s">
        <v>4129</v>
      </c>
      <c r="D1498" s="23" t="s">
        <v>3098</v>
      </c>
      <c r="E1498" s="22">
        <v>30</v>
      </c>
      <c r="F1498" s="22">
        <v>4</v>
      </c>
      <c r="G1498" s="22">
        <v>2023</v>
      </c>
      <c r="H1498" s="23">
        <f t="shared" si="69"/>
        <v>45046</v>
      </c>
      <c r="I1498" s="25">
        <v>45055</v>
      </c>
      <c r="J1498" s="22">
        <f t="shared" si="70"/>
        <v>9</v>
      </c>
      <c r="K1498" t="s">
        <v>23</v>
      </c>
      <c r="L1498">
        <v>2341</v>
      </c>
      <c r="M1498">
        <v>40</v>
      </c>
      <c r="N1498" s="26">
        <v>46.73</v>
      </c>
      <c r="O1498" s="26">
        <f t="shared" si="71"/>
        <v>46.73</v>
      </c>
      <c r="P1498">
        <v>3</v>
      </c>
      <c r="Q1498" t="b">
        <v>1</v>
      </c>
      <c r="S1498" t="s">
        <v>25</v>
      </c>
    </row>
    <row r="1499" spans="1:19">
      <c r="A1499" t="s">
        <v>3099</v>
      </c>
      <c r="B1499" t="s">
        <v>3100</v>
      </c>
      <c r="C1499" s="23" t="s">
        <v>4131</v>
      </c>
      <c r="D1499" s="23">
        <v>45032</v>
      </c>
      <c r="E1499" s="22">
        <v>4</v>
      </c>
      <c r="F1499" s="22">
        <v>16</v>
      </c>
      <c r="G1499" s="22">
        <v>2023</v>
      </c>
      <c r="H1499" s="23">
        <f t="shared" si="69"/>
        <v>45032</v>
      </c>
      <c r="I1499" s="25">
        <v>45027</v>
      </c>
      <c r="J1499" s="22">
        <f t="shared" si="70"/>
        <v>-5</v>
      </c>
      <c r="K1499" t="s">
        <v>19</v>
      </c>
      <c r="L1499">
        <v>45623</v>
      </c>
      <c r="M1499">
        <v>1395</v>
      </c>
      <c r="N1499" s="26">
        <v>1936.72</v>
      </c>
      <c r="O1499" s="26">
        <f t="shared" si="71"/>
        <v>1936.72</v>
      </c>
      <c r="P1499">
        <v>82</v>
      </c>
      <c r="Q1499" t="b">
        <v>0</v>
      </c>
      <c r="S1499" t="s">
        <v>20</v>
      </c>
    </row>
    <row r="1500" spans="1:19">
      <c r="A1500" t="s">
        <v>3101</v>
      </c>
      <c r="B1500" t="s">
        <v>3102</v>
      </c>
      <c r="C1500" s="23" t="s">
        <v>4128</v>
      </c>
      <c r="D1500" s="23">
        <v>45125</v>
      </c>
      <c r="E1500" s="22">
        <v>7</v>
      </c>
      <c r="F1500" s="22">
        <v>18</v>
      </c>
      <c r="G1500" s="22">
        <v>2023</v>
      </c>
      <c r="H1500" s="23">
        <f t="shared" si="69"/>
        <v>45125</v>
      </c>
      <c r="I1500" s="25">
        <v>45148</v>
      </c>
      <c r="J1500" s="22">
        <f t="shared" si="70"/>
        <v>23</v>
      </c>
      <c r="K1500" t="s">
        <v>19</v>
      </c>
      <c r="L1500">
        <v>91327</v>
      </c>
      <c r="M1500">
        <v>3865</v>
      </c>
      <c r="N1500" s="26">
        <v>5996.17</v>
      </c>
      <c r="O1500" s="26">
        <f t="shared" si="71"/>
        <v>3632.575</v>
      </c>
      <c r="P1500">
        <v>493</v>
      </c>
      <c r="Q1500" t="b">
        <v>0</v>
      </c>
      <c r="S1500" t="s">
        <v>20</v>
      </c>
    </row>
    <row r="1501" spans="1:19">
      <c r="A1501" t="s">
        <v>3103</v>
      </c>
      <c r="B1501" t="s">
        <v>3104</v>
      </c>
      <c r="C1501" s="23" t="s">
        <v>4129</v>
      </c>
      <c r="D1501" s="23" t="s">
        <v>2733</v>
      </c>
      <c r="E1501" s="22">
        <v>24</v>
      </c>
      <c r="F1501" s="22">
        <v>1</v>
      </c>
      <c r="G1501" s="22">
        <v>2023</v>
      </c>
      <c r="H1501" s="23">
        <f t="shared" si="69"/>
        <v>44950</v>
      </c>
      <c r="I1501" s="25">
        <v>44960</v>
      </c>
      <c r="J1501" s="22">
        <f t="shared" si="70"/>
        <v>10</v>
      </c>
      <c r="K1501" t="s">
        <v>23</v>
      </c>
      <c r="L1501">
        <v>1338</v>
      </c>
      <c r="M1501">
        <v>26</v>
      </c>
      <c r="N1501" s="26">
        <v>20.58</v>
      </c>
      <c r="O1501" s="26">
        <f t="shared" si="71"/>
        <v>20.58</v>
      </c>
      <c r="P1501">
        <v>0</v>
      </c>
      <c r="Q1501" t="b">
        <v>1</v>
      </c>
      <c r="S1501" t="s">
        <v>25</v>
      </c>
    </row>
    <row r="1502" spans="1:19">
      <c r="A1502" t="s">
        <v>3105</v>
      </c>
      <c r="B1502" t="s">
        <v>3106</v>
      </c>
      <c r="C1502" s="23" t="s">
        <v>4131</v>
      </c>
      <c r="D1502" s="23">
        <v>45259</v>
      </c>
      <c r="E1502" s="22">
        <v>11</v>
      </c>
      <c r="F1502" s="22">
        <v>29</v>
      </c>
      <c r="G1502" s="22">
        <v>2023</v>
      </c>
      <c r="H1502" s="23">
        <f t="shared" si="69"/>
        <v>45259</v>
      </c>
      <c r="I1502" s="25">
        <v>45288</v>
      </c>
      <c r="J1502" s="22">
        <f t="shared" si="70"/>
        <v>29</v>
      </c>
      <c r="K1502" t="s">
        <v>14</v>
      </c>
      <c r="L1502">
        <v>72431</v>
      </c>
      <c r="M1502">
        <v>1436</v>
      </c>
      <c r="N1502" s="26">
        <v>1681.27</v>
      </c>
      <c r="O1502" s="26">
        <f t="shared" si="71"/>
        <v>1681.27</v>
      </c>
      <c r="P1502">
        <v>279</v>
      </c>
      <c r="Q1502" t="b">
        <v>1</v>
      </c>
      <c r="S1502" t="s">
        <v>16</v>
      </c>
    </row>
    <row r="1503" spans="1:19">
      <c r="A1503" t="s">
        <v>3107</v>
      </c>
      <c r="B1503" t="s">
        <v>3108</v>
      </c>
      <c r="C1503" s="23" t="s">
        <v>4128</v>
      </c>
      <c r="D1503" s="23">
        <v>45193</v>
      </c>
      <c r="E1503" s="22">
        <v>9</v>
      </c>
      <c r="F1503" s="22">
        <v>24</v>
      </c>
      <c r="G1503" s="22">
        <v>2023</v>
      </c>
      <c r="H1503" s="23">
        <f t="shared" si="69"/>
        <v>45193</v>
      </c>
      <c r="I1503" s="25">
        <v>45201</v>
      </c>
      <c r="J1503" s="22">
        <f t="shared" si="70"/>
        <v>8</v>
      </c>
      <c r="K1503" t="s">
        <v>138</v>
      </c>
      <c r="L1503">
        <v>13254</v>
      </c>
      <c r="M1503">
        <v>346</v>
      </c>
      <c r="N1503" s="26">
        <v>603.68</v>
      </c>
      <c r="O1503" s="26">
        <f t="shared" si="71"/>
        <v>603.68</v>
      </c>
      <c r="P1503">
        <v>32</v>
      </c>
      <c r="Q1503" t="b">
        <v>1</v>
      </c>
      <c r="S1503" t="s">
        <v>139</v>
      </c>
    </row>
    <row r="1504" spans="1:19">
      <c r="A1504" t="s">
        <v>3109</v>
      </c>
      <c r="B1504" t="s">
        <v>3110</v>
      </c>
      <c r="C1504" s="23" t="s">
        <v>4129</v>
      </c>
      <c r="D1504" s="23">
        <v>45061</v>
      </c>
      <c r="E1504" s="22">
        <v>5</v>
      </c>
      <c r="F1504" s="22">
        <v>15</v>
      </c>
      <c r="G1504" s="22">
        <v>2023</v>
      </c>
      <c r="H1504" s="23">
        <f t="shared" si="69"/>
        <v>45061</v>
      </c>
      <c r="I1504" s="25">
        <v>45074</v>
      </c>
      <c r="J1504" s="22">
        <f t="shared" si="70"/>
        <v>13</v>
      </c>
      <c r="K1504" t="s">
        <v>14</v>
      </c>
      <c r="L1504">
        <v>52860</v>
      </c>
      <c r="M1504">
        <v>2420</v>
      </c>
      <c r="N1504" s="26">
        <v>3586.65</v>
      </c>
      <c r="O1504" s="26">
        <f t="shared" si="71"/>
        <v>3586.65</v>
      </c>
      <c r="P1504">
        <v>430</v>
      </c>
      <c r="Q1504" t="b">
        <v>1</v>
      </c>
      <c r="S1504" t="s">
        <v>16</v>
      </c>
    </row>
    <row r="1505" spans="1:19">
      <c r="A1505" t="s">
        <v>3111</v>
      </c>
      <c r="B1505" t="s">
        <v>3112</v>
      </c>
      <c r="C1505" s="23" t="s">
        <v>4129</v>
      </c>
      <c r="D1505" s="23">
        <v>45119</v>
      </c>
      <c r="E1505" s="22">
        <v>7</v>
      </c>
      <c r="F1505" s="22">
        <v>12</v>
      </c>
      <c r="G1505" s="22">
        <v>2023</v>
      </c>
      <c r="H1505" s="23">
        <f t="shared" si="69"/>
        <v>45119</v>
      </c>
      <c r="I1505" s="25">
        <v>45139</v>
      </c>
      <c r="J1505" s="22">
        <f t="shared" si="70"/>
        <v>20</v>
      </c>
      <c r="K1505" t="s">
        <v>41</v>
      </c>
      <c r="L1505">
        <v>12344</v>
      </c>
      <c r="M1505">
        <v>123</v>
      </c>
      <c r="N1505" s="26">
        <v>137.37</v>
      </c>
      <c r="O1505" s="26">
        <f t="shared" si="71"/>
        <v>137.37</v>
      </c>
      <c r="P1505">
        <v>13</v>
      </c>
      <c r="Q1505" t="b">
        <v>1</v>
      </c>
      <c r="S1505" t="s">
        <v>42</v>
      </c>
    </row>
    <row r="1506" spans="1:19">
      <c r="A1506" t="s">
        <v>3113</v>
      </c>
      <c r="B1506" t="s">
        <v>3114</v>
      </c>
      <c r="C1506" s="23" t="s">
        <v>4129</v>
      </c>
      <c r="D1506" s="23">
        <v>45261</v>
      </c>
      <c r="E1506" s="22">
        <v>12</v>
      </c>
      <c r="F1506" s="22">
        <v>1</v>
      </c>
      <c r="G1506" s="22">
        <v>2023</v>
      </c>
      <c r="H1506" s="23">
        <f t="shared" si="69"/>
        <v>45261</v>
      </c>
      <c r="I1506" s="25">
        <v>44967</v>
      </c>
      <c r="J1506" s="22">
        <f t="shared" si="70"/>
        <v>-294</v>
      </c>
      <c r="K1506" t="s">
        <v>14</v>
      </c>
      <c r="L1506">
        <v>2750</v>
      </c>
      <c r="M1506">
        <v>126</v>
      </c>
      <c r="N1506" s="26">
        <v>188.38</v>
      </c>
      <c r="O1506" s="26">
        <f t="shared" si="71"/>
        <v>188.38</v>
      </c>
      <c r="P1506">
        <v>12</v>
      </c>
      <c r="Q1506" t="b">
        <v>0</v>
      </c>
      <c r="S1506" t="s">
        <v>16</v>
      </c>
    </row>
    <row r="1507" spans="1:19">
      <c r="A1507" t="s">
        <v>3115</v>
      </c>
      <c r="B1507" t="s">
        <v>3116</v>
      </c>
      <c r="C1507" s="23" t="s">
        <v>4127</v>
      </c>
      <c r="D1507" s="23">
        <v>45055</v>
      </c>
      <c r="E1507" s="22">
        <v>5</v>
      </c>
      <c r="F1507" s="22">
        <v>9</v>
      </c>
      <c r="G1507" s="22">
        <v>2023</v>
      </c>
      <c r="H1507" s="23">
        <f t="shared" si="69"/>
        <v>45055</v>
      </c>
      <c r="I1507" s="25">
        <v>45071</v>
      </c>
      <c r="J1507" s="22">
        <f t="shared" si="70"/>
        <v>16</v>
      </c>
      <c r="K1507" t="s">
        <v>33</v>
      </c>
      <c r="L1507">
        <v>55756</v>
      </c>
      <c r="M1507">
        <v>900</v>
      </c>
      <c r="N1507" s="26">
        <v>609.6</v>
      </c>
      <c r="O1507" s="26">
        <f t="shared" si="71"/>
        <v>609.6</v>
      </c>
      <c r="P1507">
        <v>171</v>
      </c>
      <c r="Q1507" t="b">
        <v>1</v>
      </c>
      <c r="S1507" t="s">
        <v>68</v>
      </c>
    </row>
    <row r="1508" spans="1:19">
      <c r="A1508" t="s">
        <v>3117</v>
      </c>
      <c r="B1508" t="s">
        <v>3118</v>
      </c>
      <c r="C1508" s="23" t="s">
        <v>4128</v>
      </c>
      <c r="D1508" s="23">
        <v>45191</v>
      </c>
      <c r="E1508" s="22">
        <v>9</v>
      </c>
      <c r="F1508" s="22">
        <v>22</v>
      </c>
      <c r="G1508" s="22">
        <v>2023</v>
      </c>
      <c r="H1508" s="23">
        <f t="shared" si="69"/>
        <v>45191</v>
      </c>
      <c r="I1508" s="25">
        <v>45192</v>
      </c>
      <c r="J1508" s="22">
        <f t="shared" si="70"/>
        <v>1</v>
      </c>
      <c r="K1508" t="s">
        <v>19</v>
      </c>
      <c r="L1508">
        <v>68957</v>
      </c>
      <c r="M1508">
        <v>3420</v>
      </c>
      <c r="N1508" s="26">
        <v>3769.68</v>
      </c>
      <c r="O1508" s="26">
        <f t="shared" si="71"/>
        <v>3632.575</v>
      </c>
      <c r="P1508">
        <v>357</v>
      </c>
      <c r="Q1508" t="b">
        <v>1</v>
      </c>
      <c r="S1508" t="s">
        <v>20</v>
      </c>
    </row>
    <row r="1509" spans="1:19">
      <c r="A1509" t="s">
        <v>3119</v>
      </c>
      <c r="B1509" t="s">
        <v>3120</v>
      </c>
      <c r="C1509" s="23" t="s">
        <v>4127</v>
      </c>
      <c r="D1509" s="23">
        <v>45103</v>
      </c>
      <c r="E1509" s="22">
        <v>6</v>
      </c>
      <c r="F1509" s="22">
        <v>26</v>
      </c>
      <c r="G1509" s="22">
        <v>2023</v>
      </c>
      <c r="H1509" s="23">
        <f t="shared" si="69"/>
        <v>45103</v>
      </c>
      <c r="I1509" s="25">
        <v>45125</v>
      </c>
      <c r="J1509" s="22">
        <f t="shared" si="70"/>
        <v>22</v>
      </c>
      <c r="K1509" t="s">
        <v>41</v>
      </c>
      <c r="L1509">
        <v>59053</v>
      </c>
      <c r="M1509">
        <v>2845</v>
      </c>
      <c r="N1509" s="26">
        <v>4807.18</v>
      </c>
      <c r="O1509" s="26">
        <f t="shared" si="71"/>
        <v>3632.575</v>
      </c>
      <c r="P1509">
        <v>308</v>
      </c>
      <c r="Q1509" t="b">
        <v>0</v>
      </c>
      <c r="S1509" t="s">
        <v>42</v>
      </c>
    </row>
    <row r="1510" spans="1:19">
      <c r="A1510" t="s">
        <v>3121</v>
      </c>
      <c r="B1510" t="s">
        <v>3122</v>
      </c>
      <c r="C1510" s="23" t="s">
        <v>4129</v>
      </c>
      <c r="D1510" s="23">
        <v>45088</v>
      </c>
      <c r="E1510" s="22">
        <v>6</v>
      </c>
      <c r="F1510" s="22">
        <v>11</v>
      </c>
      <c r="G1510" s="22">
        <v>2023</v>
      </c>
      <c r="H1510" s="23">
        <f t="shared" si="69"/>
        <v>45088</v>
      </c>
      <c r="I1510" s="25">
        <v>45266</v>
      </c>
      <c r="J1510" s="22">
        <f t="shared" si="70"/>
        <v>178</v>
      </c>
      <c r="K1510" t="s">
        <v>19</v>
      </c>
      <c r="L1510">
        <v>71855</v>
      </c>
      <c r="M1510">
        <v>2140</v>
      </c>
      <c r="N1510" s="26">
        <v>1777.83</v>
      </c>
      <c r="O1510" s="26">
        <f t="shared" si="71"/>
        <v>1777.83</v>
      </c>
      <c r="P1510">
        <v>141</v>
      </c>
      <c r="Q1510" t="b">
        <v>1</v>
      </c>
      <c r="S1510" t="s">
        <v>20</v>
      </c>
    </row>
    <row r="1511" spans="1:19">
      <c r="A1511" t="s">
        <v>3123</v>
      </c>
      <c r="B1511" t="s">
        <v>3124</v>
      </c>
      <c r="C1511" s="23" t="s">
        <v>4129</v>
      </c>
      <c r="D1511" s="23">
        <v>44998</v>
      </c>
      <c r="E1511" s="22">
        <v>3</v>
      </c>
      <c r="F1511" s="22">
        <v>13</v>
      </c>
      <c r="G1511" s="22">
        <v>2023</v>
      </c>
      <c r="H1511" s="23">
        <f t="shared" si="69"/>
        <v>44998</v>
      </c>
      <c r="I1511" s="25">
        <v>45017</v>
      </c>
      <c r="J1511" s="22">
        <f t="shared" si="70"/>
        <v>19</v>
      </c>
      <c r="K1511" t="s">
        <v>138</v>
      </c>
      <c r="L1511">
        <v>16896</v>
      </c>
      <c r="M1511">
        <v>515</v>
      </c>
      <c r="N1511" s="26">
        <v>401.16</v>
      </c>
      <c r="O1511" s="26">
        <f t="shared" si="71"/>
        <v>401.16</v>
      </c>
      <c r="P1511">
        <v>77</v>
      </c>
      <c r="Q1511" t="b">
        <v>1</v>
      </c>
      <c r="S1511" t="s">
        <v>139</v>
      </c>
    </row>
    <row r="1512" spans="1:19">
      <c r="A1512" t="s">
        <v>3125</v>
      </c>
      <c r="B1512" t="s">
        <v>3126</v>
      </c>
      <c r="C1512" s="23" t="s">
        <v>4131</v>
      </c>
      <c r="D1512" s="23">
        <v>45190</v>
      </c>
      <c r="E1512" s="22">
        <v>9</v>
      </c>
      <c r="F1512" s="22">
        <v>21</v>
      </c>
      <c r="G1512" s="22">
        <v>2023</v>
      </c>
      <c r="H1512" s="23">
        <f t="shared" si="69"/>
        <v>45190</v>
      </c>
      <c r="I1512" s="25">
        <v>45198</v>
      </c>
      <c r="J1512" s="22">
        <f t="shared" si="70"/>
        <v>8</v>
      </c>
      <c r="K1512" t="s">
        <v>138</v>
      </c>
      <c r="L1512">
        <v>56761</v>
      </c>
      <c r="M1512">
        <v>1660</v>
      </c>
      <c r="N1512" s="26">
        <v>3197.54</v>
      </c>
      <c r="O1512" s="26">
        <f t="shared" si="71"/>
        <v>3197.54</v>
      </c>
      <c r="P1512">
        <v>154</v>
      </c>
      <c r="Q1512" t="b">
        <v>1</v>
      </c>
      <c r="S1512" t="s">
        <v>139</v>
      </c>
    </row>
    <row r="1513" spans="1:19">
      <c r="A1513" t="s">
        <v>3127</v>
      </c>
      <c r="B1513" t="s">
        <v>3128</v>
      </c>
      <c r="C1513" s="23" t="s">
        <v>4131</v>
      </c>
      <c r="D1513" s="23">
        <v>45022</v>
      </c>
      <c r="E1513" s="22">
        <v>4</v>
      </c>
      <c r="F1513" s="22">
        <v>6</v>
      </c>
      <c r="G1513" s="22">
        <v>2023</v>
      </c>
      <c r="H1513" s="23">
        <f t="shared" si="69"/>
        <v>45022</v>
      </c>
      <c r="I1513" s="25">
        <v>45043</v>
      </c>
      <c r="J1513" s="22">
        <f t="shared" si="70"/>
        <v>21</v>
      </c>
      <c r="K1513" t="s">
        <v>33</v>
      </c>
      <c r="L1513">
        <v>63552</v>
      </c>
      <c r="M1513">
        <v>2250</v>
      </c>
      <c r="N1513" s="26">
        <v>1833.4</v>
      </c>
      <c r="O1513" s="26">
        <f t="shared" si="71"/>
        <v>1833.4</v>
      </c>
      <c r="P1513">
        <v>310</v>
      </c>
      <c r="Q1513" t="b">
        <v>0</v>
      </c>
      <c r="S1513" t="s">
        <v>34</v>
      </c>
    </row>
    <row r="1514" spans="1:19">
      <c r="A1514" t="s">
        <v>3129</v>
      </c>
      <c r="B1514" t="s">
        <v>3130</v>
      </c>
      <c r="C1514" s="23" t="s">
        <v>4131</v>
      </c>
      <c r="D1514" s="23">
        <v>44987</v>
      </c>
      <c r="E1514" s="22">
        <v>3</v>
      </c>
      <c r="F1514" s="22">
        <v>2</v>
      </c>
      <c r="G1514" s="22">
        <v>2023</v>
      </c>
      <c r="H1514" s="23">
        <f t="shared" si="69"/>
        <v>44987</v>
      </c>
      <c r="I1514" s="25">
        <v>45010</v>
      </c>
      <c r="J1514" s="22">
        <f t="shared" si="70"/>
        <v>23</v>
      </c>
      <c r="K1514" t="s">
        <v>23</v>
      </c>
      <c r="L1514">
        <v>78454</v>
      </c>
      <c r="M1514">
        <v>1069</v>
      </c>
      <c r="N1514" s="26">
        <v>952.88</v>
      </c>
      <c r="O1514" s="26">
        <f t="shared" si="71"/>
        <v>952.88</v>
      </c>
      <c r="P1514">
        <v>148</v>
      </c>
      <c r="Q1514" t="b">
        <v>1</v>
      </c>
      <c r="S1514" t="s">
        <v>25</v>
      </c>
    </row>
    <row r="1515" spans="1:19">
      <c r="A1515" t="s">
        <v>3131</v>
      </c>
      <c r="B1515" t="s">
        <v>3132</v>
      </c>
      <c r="C1515" s="23" t="s">
        <v>4131</v>
      </c>
      <c r="D1515" s="23">
        <v>45096</v>
      </c>
      <c r="E1515" s="22">
        <v>6</v>
      </c>
      <c r="F1515" s="22">
        <v>19</v>
      </c>
      <c r="G1515" s="22">
        <v>2023</v>
      </c>
      <c r="H1515" s="23">
        <f t="shared" si="69"/>
        <v>45096</v>
      </c>
      <c r="I1515" s="25">
        <v>45099</v>
      </c>
      <c r="J1515" s="22">
        <f t="shared" si="70"/>
        <v>3</v>
      </c>
      <c r="K1515" t="s">
        <v>415</v>
      </c>
      <c r="L1515">
        <v>91600</v>
      </c>
      <c r="M1515">
        <v>1035</v>
      </c>
      <c r="N1515" s="26">
        <v>2022.83</v>
      </c>
      <c r="O1515" s="26">
        <f t="shared" si="71"/>
        <v>2022.83</v>
      </c>
      <c r="P1515">
        <v>163</v>
      </c>
      <c r="Q1515" t="b">
        <v>0</v>
      </c>
      <c r="S1515" t="s">
        <v>34</v>
      </c>
    </row>
    <row r="1516" spans="1:19">
      <c r="A1516" t="s">
        <v>3133</v>
      </c>
      <c r="B1516" t="s">
        <v>3134</v>
      </c>
      <c r="C1516" s="23" t="s">
        <v>4127</v>
      </c>
      <c r="D1516" s="23">
        <v>45172</v>
      </c>
      <c r="E1516" s="22">
        <v>9</v>
      </c>
      <c r="F1516" s="22">
        <v>3</v>
      </c>
      <c r="G1516" s="22">
        <v>2023</v>
      </c>
      <c r="H1516" s="23">
        <f t="shared" si="69"/>
        <v>45172</v>
      </c>
      <c r="I1516" s="25">
        <v>45187</v>
      </c>
      <c r="J1516" s="22">
        <f t="shared" si="70"/>
        <v>15</v>
      </c>
      <c r="K1516" t="s">
        <v>19</v>
      </c>
      <c r="L1516">
        <v>28935</v>
      </c>
      <c r="M1516">
        <v>356</v>
      </c>
      <c r="N1516" s="26">
        <v>570.33</v>
      </c>
      <c r="O1516" s="26">
        <f t="shared" si="71"/>
        <v>570.33</v>
      </c>
      <c r="P1516">
        <v>57</v>
      </c>
      <c r="Q1516" t="b">
        <v>0</v>
      </c>
      <c r="S1516" t="s">
        <v>20</v>
      </c>
    </row>
    <row r="1517" spans="1:19">
      <c r="A1517" t="s">
        <v>3135</v>
      </c>
      <c r="B1517" t="s">
        <v>3136</v>
      </c>
      <c r="C1517" s="23" t="s">
        <v>4127</v>
      </c>
      <c r="D1517" s="23">
        <v>45258</v>
      </c>
      <c r="E1517" s="22">
        <v>11</v>
      </c>
      <c r="F1517" s="22">
        <v>28</v>
      </c>
      <c r="G1517" s="22">
        <v>2023</v>
      </c>
      <c r="H1517" s="23">
        <f t="shared" si="69"/>
        <v>45258</v>
      </c>
      <c r="I1517" s="25">
        <v>45281</v>
      </c>
      <c r="J1517" s="22">
        <f t="shared" si="70"/>
        <v>23</v>
      </c>
      <c r="K1517" t="s">
        <v>14</v>
      </c>
      <c r="L1517">
        <v>38641</v>
      </c>
      <c r="M1517">
        <v>1073</v>
      </c>
      <c r="N1517" s="26">
        <v>1662.5</v>
      </c>
      <c r="O1517" s="26">
        <f t="shared" si="71"/>
        <v>1662.5</v>
      </c>
      <c r="P1517">
        <v>136</v>
      </c>
      <c r="Q1517" t="b">
        <v>1</v>
      </c>
      <c r="S1517" t="s">
        <v>16</v>
      </c>
    </row>
    <row r="1518" spans="1:19">
      <c r="A1518" t="s">
        <v>3137</v>
      </c>
      <c r="B1518" t="s">
        <v>3138</v>
      </c>
      <c r="C1518" s="23" t="s">
        <v>4129</v>
      </c>
      <c r="D1518" s="23">
        <v>44949</v>
      </c>
      <c r="E1518" s="22">
        <v>1</v>
      </c>
      <c r="F1518" s="22">
        <v>23</v>
      </c>
      <c r="G1518" s="22">
        <v>2023</v>
      </c>
      <c r="H1518" s="23">
        <f t="shared" si="69"/>
        <v>44949</v>
      </c>
      <c r="I1518" s="25">
        <v>44975</v>
      </c>
      <c r="J1518" s="22">
        <f t="shared" si="70"/>
        <v>26</v>
      </c>
      <c r="K1518" t="s">
        <v>23</v>
      </c>
      <c r="L1518">
        <v>30711</v>
      </c>
      <c r="M1518">
        <v>645</v>
      </c>
      <c r="N1518" s="26">
        <v>1147.71</v>
      </c>
      <c r="O1518" s="26">
        <f t="shared" si="71"/>
        <v>1147.71</v>
      </c>
      <c r="P1518">
        <v>64</v>
      </c>
      <c r="Q1518" t="b">
        <v>0</v>
      </c>
      <c r="S1518" t="s">
        <v>25</v>
      </c>
    </row>
    <row r="1519" spans="1:19">
      <c r="A1519" t="s">
        <v>3139</v>
      </c>
      <c r="B1519" t="s">
        <v>3140</v>
      </c>
      <c r="C1519" s="23" t="s">
        <v>4129</v>
      </c>
      <c r="D1519" s="23">
        <v>44995</v>
      </c>
      <c r="E1519" s="22">
        <v>3</v>
      </c>
      <c r="F1519" s="22">
        <v>10</v>
      </c>
      <c r="G1519" s="22">
        <v>2023</v>
      </c>
      <c r="H1519" s="23">
        <f t="shared" si="69"/>
        <v>44995</v>
      </c>
      <c r="I1519" s="25">
        <v>45203</v>
      </c>
      <c r="J1519" s="22">
        <f t="shared" si="70"/>
        <v>208</v>
      </c>
      <c r="K1519" t="s">
        <v>19</v>
      </c>
      <c r="L1519">
        <v>71342</v>
      </c>
      <c r="M1519">
        <v>2488</v>
      </c>
      <c r="N1519" s="26">
        <v>1676.25</v>
      </c>
      <c r="O1519" s="26">
        <f t="shared" si="71"/>
        <v>1676.25</v>
      </c>
      <c r="P1519">
        <v>436</v>
      </c>
      <c r="Q1519" t="b">
        <v>1</v>
      </c>
      <c r="S1519" t="s">
        <v>20</v>
      </c>
    </row>
    <row r="1520" spans="1:19">
      <c r="A1520" t="s">
        <v>3141</v>
      </c>
      <c r="B1520" t="s">
        <v>3142</v>
      </c>
      <c r="C1520" s="23" t="s">
        <v>4129</v>
      </c>
      <c r="D1520" s="23">
        <v>45220</v>
      </c>
      <c r="E1520" s="22">
        <v>10</v>
      </c>
      <c r="F1520" s="22">
        <v>21</v>
      </c>
      <c r="G1520" s="22">
        <v>2023</v>
      </c>
      <c r="H1520" s="23">
        <f t="shared" si="69"/>
        <v>45220</v>
      </c>
      <c r="I1520" s="25">
        <v>45233</v>
      </c>
      <c r="J1520" s="22">
        <f t="shared" si="70"/>
        <v>13</v>
      </c>
      <c r="K1520" t="s">
        <v>138</v>
      </c>
      <c r="L1520">
        <v>13182</v>
      </c>
      <c r="M1520">
        <v>655</v>
      </c>
      <c r="N1520" s="26">
        <v>1021.1</v>
      </c>
      <c r="O1520" s="26">
        <f t="shared" si="71"/>
        <v>1021.1</v>
      </c>
      <c r="P1520">
        <v>63</v>
      </c>
      <c r="Q1520" t="b">
        <v>0</v>
      </c>
      <c r="S1520" t="s">
        <v>139</v>
      </c>
    </row>
    <row r="1521" spans="1:19">
      <c r="A1521" t="s">
        <v>3143</v>
      </c>
      <c r="B1521" t="s">
        <v>3144</v>
      </c>
      <c r="C1521" s="23" t="s">
        <v>4128</v>
      </c>
      <c r="D1521" s="23">
        <v>45019</v>
      </c>
      <c r="E1521" s="22">
        <v>4</v>
      </c>
      <c r="F1521" s="22">
        <v>3</v>
      </c>
      <c r="G1521" s="22">
        <v>2023</v>
      </c>
      <c r="H1521" s="23">
        <f t="shared" si="69"/>
        <v>45019</v>
      </c>
      <c r="I1521" s="25">
        <v>45038</v>
      </c>
      <c r="J1521" s="22">
        <f t="shared" si="70"/>
        <v>19</v>
      </c>
      <c r="K1521" t="s">
        <v>33</v>
      </c>
      <c r="L1521">
        <v>88833</v>
      </c>
      <c r="M1521">
        <v>2261</v>
      </c>
      <c r="N1521" s="26">
        <v>2838.76</v>
      </c>
      <c r="O1521" s="26">
        <f t="shared" si="71"/>
        <v>2838.76</v>
      </c>
      <c r="P1521">
        <v>285</v>
      </c>
      <c r="Q1521" t="b">
        <v>1</v>
      </c>
      <c r="S1521" t="s">
        <v>34</v>
      </c>
    </row>
    <row r="1522" spans="1:19">
      <c r="A1522" t="s">
        <v>3145</v>
      </c>
      <c r="B1522" t="s">
        <v>3146</v>
      </c>
      <c r="C1522" s="23" t="s">
        <v>4127</v>
      </c>
      <c r="D1522" s="23">
        <v>45215</v>
      </c>
      <c r="E1522" s="22">
        <v>10</v>
      </c>
      <c r="F1522" s="22">
        <v>16</v>
      </c>
      <c r="G1522" s="22">
        <v>2023</v>
      </c>
      <c r="H1522" s="23">
        <f t="shared" si="69"/>
        <v>45215</v>
      </c>
      <c r="I1522" s="25">
        <v>45227</v>
      </c>
      <c r="J1522" s="22">
        <f t="shared" si="70"/>
        <v>12</v>
      </c>
      <c r="K1522" t="s">
        <v>41</v>
      </c>
      <c r="L1522">
        <v>57276</v>
      </c>
      <c r="M1522">
        <v>1887</v>
      </c>
      <c r="N1522" s="26">
        <v>3290.41</v>
      </c>
      <c r="O1522" s="26">
        <f t="shared" si="71"/>
        <v>3290.41</v>
      </c>
      <c r="P1522">
        <v>207</v>
      </c>
      <c r="Q1522" t="b">
        <v>0</v>
      </c>
      <c r="S1522" t="s">
        <v>42</v>
      </c>
    </row>
    <row r="1523" spans="1:19">
      <c r="A1523" t="s">
        <v>3147</v>
      </c>
      <c r="B1523" t="s">
        <v>3148</v>
      </c>
      <c r="C1523" s="23" t="s">
        <v>4128</v>
      </c>
      <c r="D1523" s="23">
        <v>45265</v>
      </c>
      <c r="E1523" s="22">
        <v>12</v>
      </c>
      <c r="F1523" s="22">
        <v>5</v>
      </c>
      <c r="G1523" s="22">
        <v>2023</v>
      </c>
      <c r="H1523" s="23">
        <f t="shared" si="69"/>
        <v>45265</v>
      </c>
      <c r="I1523" s="25">
        <v>45277</v>
      </c>
      <c r="J1523" s="22">
        <f t="shared" si="70"/>
        <v>12</v>
      </c>
      <c r="K1523" t="s">
        <v>23</v>
      </c>
      <c r="L1523">
        <v>20541</v>
      </c>
      <c r="M1523">
        <v>546</v>
      </c>
      <c r="N1523" s="26">
        <v>689.17</v>
      </c>
      <c r="O1523" s="26">
        <f t="shared" si="71"/>
        <v>689.17</v>
      </c>
      <c r="P1523">
        <v>97</v>
      </c>
      <c r="Q1523" t="b">
        <v>0</v>
      </c>
      <c r="S1523" t="s">
        <v>25</v>
      </c>
    </row>
    <row r="1524" spans="1:19">
      <c r="A1524" t="s">
        <v>3149</v>
      </c>
      <c r="B1524" t="s">
        <v>3150</v>
      </c>
      <c r="C1524" s="23" t="s">
        <v>4129</v>
      </c>
      <c r="D1524" s="23">
        <v>45037</v>
      </c>
      <c r="E1524" s="22">
        <v>4</v>
      </c>
      <c r="F1524" s="22">
        <v>21</v>
      </c>
      <c r="G1524" s="22">
        <v>2023</v>
      </c>
      <c r="H1524" s="23">
        <f t="shared" si="69"/>
        <v>45037</v>
      </c>
      <c r="I1524" s="25">
        <v>45050</v>
      </c>
      <c r="J1524" s="22">
        <f t="shared" si="70"/>
        <v>13</v>
      </c>
      <c r="K1524" t="s">
        <v>14</v>
      </c>
      <c r="L1524">
        <v>95457</v>
      </c>
      <c r="M1524">
        <v>4189</v>
      </c>
      <c r="N1524" s="26">
        <v>5991.79</v>
      </c>
      <c r="O1524" s="26">
        <f t="shared" si="71"/>
        <v>3632.575</v>
      </c>
      <c r="P1524">
        <v>480</v>
      </c>
      <c r="Q1524" t="b">
        <v>0</v>
      </c>
      <c r="S1524" t="s">
        <v>16</v>
      </c>
    </row>
    <row r="1525" spans="1:19">
      <c r="A1525" t="s">
        <v>3151</v>
      </c>
      <c r="B1525" t="s">
        <v>3152</v>
      </c>
      <c r="C1525" s="23" t="s">
        <v>4128</v>
      </c>
      <c r="D1525" s="23">
        <v>45173</v>
      </c>
      <c r="E1525" s="22">
        <v>9</v>
      </c>
      <c r="F1525" s="22">
        <v>4</v>
      </c>
      <c r="G1525" s="22">
        <v>2023</v>
      </c>
      <c r="H1525" s="23">
        <f t="shared" si="69"/>
        <v>45173</v>
      </c>
      <c r="I1525" s="25">
        <v>45174</v>
      </c>
      <c r="J1525" s="22">
        <f t="shared" si="70"/>
        <v>1</v>
      </c>
      <c r="K1525" t="s">
        <v>14</v>
      </c>
      <c r="L1525">
        <v>83310</v>
      </c>
      <c r="M1525">
        <v>3839</v>
      </c>
      <c r="N1525" s="26">
        <v>4670.58</v>
      </c>
      <c r="O1525" s="26">
        <f t="shared" si="71"/>
        <v>3632.575</v>
      </c>
      <c r="P1525">
        <v>414</v>
      </c>
      <c r="Q1525" t="b">
        <v>1</v>
      </c>
      <c r="S1525" t="s">
        <v>16</v>
      </c>
    </row>
    <row r="1526" spans="1:19">
      <c r="A1526" t="s">
        <v>3153</v>
      </c>
      <c r="B1526" t="s">
        <v>3154</v>
      </c>
      <c r="C1526" s="23" t="s">
        <v>4128</v>
      </c>
      <c r="D1526" s="23">
        <v>45234</v>
      </c>
      <c r="E1526" s="22">
        <v>11</v>
      </c>
      <c r="F1526" s="22">
        <v>4</v>
      </c>
      <c r="G1526" s="22">
        <v>2023</v>
      </c>
      <c r="H1526" s="23">
        <f t="shared" si="69"/>
        <v>45234</v>
      </c>
      <c r="I1526" s="25">
        <v>45250</v>
      </c>
      <c r="J1526" s="22">
        <f t="shared" si="70"/>
        <v>16</v>
      </c>
      <c r="K1526" t="s">
        <v>19</v>
      </c>
      <c r="L1526">
        <v>45813</v>
      </c>
      <c r="M1526">
        <v>2065</v>
      </c>
      <c r="N1526" s="26">
        <v>2513.6</v>
      </c>
      <c r="O1526" s="26">
        <f t="shared" si="71"/>
        <v>2513.6</v>
      </c>
      <c r="P1526">
        <v>316</v>
      </c>
      <c r="Q1526" t="b">
        <v>0</v>
      </c>
      <c r="S1526" t="s">
        <v>20</v>
      </c>
    </row>
    <row r="1527" spans="1:19">
      <c r="A1527" t="s">
        <v>3155</v>
      </c>
      <c r="B1527" t="s">
        <v>3156</v>
      </c>
      <c r="C1527" s="23" t="s">
        <v>4128</v>
      </c>
      <c r="D1527" s="23">
        <v>45020</v>
      </c>
      <c r="E1527" s="22">
        <v>4</v>
      </c>
      <c r="F1527" s="22">
        <v>4</v>
      </c>
      <c r="G1527" s="22">
        <v>2023</v>
      </c>
      <c r="H1527" s="23">
        <f t="shared" si="69"/>
        <v>45020</v>
      </c>
      <c r="I1527" s="25">
        <v>45034</v>
      </c>
      <c r="J1527" s="22">
        <f t="shared" si="70"/>
        <v>14</v>
      </c>
      <c r="K1527" t="s">
        <v>23</v>
      </c>
      <c r="L1527">
        <v>38198</v>
      </c>
      <c r="M1527">
        <v>1870</v>
      </c>
      <c r="N1527" s="26">
        <v>3089.16</v>
      </c>
      <c r="O1527" s="26">
        <f t="shared" si="71"/>
        <v>3089.16</v>
      </c>
      <c r="P1527">
        <v>262</v>
      </c>
      <c r="Q1527" t="b">
        <v>1</v>
      </c>
      <c r="S1527" t="s">
        <v>25</v>
      </c>
    </row>
    <row r="1528" spans="1:19">
      <c r="A1528" t="s">
        <v>3157</v>
      </c>
      <c r="B1528" t="s">
        <v>3158</v>
      </c>
      <c r="C1528" s="23" t="s">
        <v>4131</v>
      </c>
      <c r="D1528" s="23">
        <v>45012</v>
      </c>
      <c r="E1528" s="22">
        <v>3</v>
      </c>
      <c r="F1528" s="22">
        <v>27</v>
      </c>
      <c r="G1528" s="22">
        <v>2023</v>
      </c>
      <c r="H1528" s="23">
        <f t="shared" si="69"/>
        <v>45012</v>
      </c>
      <c r="I1528" s="25">
        <v>45036</v>
      </c>
      <c r="J1528" s="22">
        <f t="shared" si="70"/>
        <v>24</v>
      </c>
      <c r="K1528" t="s">
        <v>41</v>
      </c>
      <c r="L1528">
        <v>9820</v>
      </c>
      <c r="M1528">
        <v>109</v>
      </c>
      <c r="N1528" s="26">
        <v>157.27</v>
      </c>
      <c r="O1528" s="26">
        <f t="shared" si="71"/>
        <v>157.27</v>
      </c>
      <c r="P1528">
        <v>7</v>
      </c>
      <c r="Q1528" t="b">
        <v>1</v>
      </c>
      <c r="S1528" t="s">
        <v>42</v>
      </c>
    </row>
    <row r="1529" spans="1:19">
      <c r="A1529" t="s">
        <v>3159</v>
      </c>
      <c r="B1529" t="s">
        <v>3160</v>
      </c>
      <c r="C1529" s="23" t="s">
        <v>4131</v>
      </c>
      <c r="D1529" s="23">
        <v>45159</v>
      </c>
      <c r="E1529" s="22">
        <v>8</v>
      </c>
      <c r="F1529" s="22">
        <v>21</v>
      </c>
      <c r="G1529" s="22">
        <v>2023</v>
      </c>
      <c r="H1529" s="23">
        <f t="shared" si="69"/>
        <v>45159</v>
      </c>
      <c r="I1529" s="25">
        <v>45174</v>
      </c>
      <c r="J1529" s="22">
        <f t="shared" si="70"/>
        <v>15</v>
      </c>
      <c r="K1529" t="s">
        <v>41</v>
      </c>
      <c r="L1529">
        <v>25070</v>
      </c>
      <c r="M1529">
        <v>1092</v>
      </c>
      <c r="N1529" s="26">
        <v>1583.29</v>
      </c>
      <c r="O1529" s="26">
        <f t="shared" si="71"/>
        <v>1583.29</v>
      </c>
      <c r="P1529">
        <v>137</v>
      </c>
      <c r="Q1529" t="b">
        <v>1</v>
      </c>
      <c r="S1529" t="s">
        <v>42</v>
      </c>
    </row>
    <row r="1530" spans="1:19">
      <c r="A1530" t="s">
        <v>3161</v>
      </c>
      <c r="B1530" t="s">
        <v>3162</v>
      </c>
      <c r="C1530" s="23" t="s">
        <v>4131</v>
      </c>
      <c r="D1530" s="23">
        <v>45120</v>
      </c>
      <c r="E1530" s="22">
        <v>7</v>
      </c>
      <c r="F1530" s="22">
        <v>13</v>
      </c>
      <c r="G1530" s="22">
        <v>2023</v>
      </c>
      <c r="H1530" s="23">
        <f t="shared" si="69"/>
        <v>45120</v>
      </c>
      <c r="I1530" s="25">
        <v>45150</v>
      </c>
      <c r="J1530" s="22">
        <f t="shared" si="70"/>
        <v>30</v>
      </c>
      <c r="K1530" t="s">
        <v>14</v>
      </c>
      <c r="L1530">
        <v>70768</v>
      </c>
      <c r="M1530">
        <v>2835</v>
      </c>
      <c r="N1530" s="26">
        <v>3332.33</v>
      </c>
      <c r="O1530" s="26">
        <f t="shared" si="71"/>
        <v>3332.33</v>
      </c>
      <c r="P1530">
        <v>454</v>
      </c>
      <c r="Q1530" t="b">
        <v>0</v>
      </c>
      <c r="S1530" t="s">
        <v>16</v>
      </c>
    </row>
    <row r="1531" spans="1:19">
      <c r="A1531" t="s">
        <v>3163</v>
      </c>
      <c r="B1531" t="s">
        <v>3164</v>
      </c>
      <c r="C1531" s="23" t="s">
        <v>4128</v>
      </c>
      <c r="D1531" s="23">
        <v>45030</v>
      </c>
      <c r="E1531" s="22">
        <v>4</v>
      </c>
      <c r="F1531" s="22">
        <v>14</v>
      </c>
      <c r="G1531" s="22">
        <v>2023</v>
      </c>
      <c r="H1531" s="23">
        <f t="shared" si="69"/>
        <v>45030</v>
      </c>
      <c r="I1531" s="25">
        <v>45044</v>
      </c>
      <c r="J1531" s="22">
        <f t="shared" si="70"/>
        <v>14</v>
      </c>
      <c r="K1531" t="s">
        <v>19</v>
      </c>
      <c r="L1531">
        <v>12122</v>
      </c>
      <c r="M1531">
        <v>232</v>
      </c>
      <c r="N1531" s="26">
        <v>300.83</v>
      </c>
      <c r="O1531" s="26">
        <f t="shared" si="71"/>
        <v>300.83</v>
      </c>
      <c r="P1531">
        <v>46</v>
      </c>
      <c r="Q1531" t="b">
        <v>1</v>
      </c>
      <c r="S1531" t="s">
        <v>20</v>
      </c>
    </row>
    <row r="1532" spans="1:19">
      <c r="A1532" t="s">
        <v>3165</v>
      </c>
      <c r="B1532" t="s">
        <v>3166</v>
      </c>
      <c r="C1532" s="23" t="s">
        <v>4127</v>
      </c>
      <c r="D1532" s="23">
        <v>45277</v>
      </c>
      <c r="E1532" s="22">
        <v>12</v>
      </c>
      <c r="F1532" s="22">
        <v>17</v>
      </c>
      <c r="G1532" s="22">
        <v>2023</v>
      </c>
      <c r="H1532" s="23">
        <f t="shared" si="69"/>
        <v>45277</v>
      </c>
      <c r="I1532" s="25">
        <v>45280</v>
      </c>
      <c r="J1532" s="22">
        <f t="shared" si="70"/>
        <v>3</v>
      </c>
      <c r="K1532" t="s">
        <v>234</v>
      </c>
      <c r="L1532">
        <v>81559</v>
      </c>
      <c r="M1532">
        <v>3935</v>
      </c>
      <c r="N1532" s="26">
        <v>6369.1</v>
      </c>
      <c r="O1532" s="26">
        <f t="shared" si="71"/>
        <v>3632.575</v>
      </c>
      <c r="P1532">
        <v>568</v>
      </c>
      <c r="Q1532" t="b">
        <v>1</v>
      </c>
      <c r="S1532" t="s">
        <v>16</v>
      </c>
    </row>
    <row r="1533" spans="1:19">
      <c r="A1533" t="s">
        <v>3167</v>
      </c>
      <c r="B1533" t="s">
        <v>3168</v>
      </c>
      <c r="C1533" s="23" t="s">
        <v>4131</v>
      </c>
      <c r="D1533" s="23">
        <v>44976</v>
      </c>
      <c r="E1533" s="22">
        <v>2</v>
      </c>
      <c r="F1533" s="22">
        <v>19</v>
      </c>
      <c r="G1533" s="22">
        <v>2023</v>
      </c>
      <c r="H1533" s="23">
        <f t="shared" si="69"/>
        <v>44976</v>
      </c>
      <c r="I1533" s="25">
        <v>44990</v>
      </c>
      <c r="J1533" s="22">
        <f t="shared" si="70"/>
        <v>14</v>
      </c>
      <c r="K1533" t="s">
        <v>19</v>
      </c>
      <c r="L1533">
        <v>74543</v>
      </c>
      <c r="M1533">
        <v>1187</v>
      </c>
      <c r="N1533" s="26">
        <v>2064.09</v>
      </c>
      <c r="O1533" s="26">
        <f t="shared" si="71"/>
        <v>2064.09</v>
      </c>
      <c r="P1533">
        <v>125</v>
      </c>
      <c r="Q1533" t="b">
        <v>1</v>
      </c>
      <c r="S1533" t="s">
        <v>20</v>
      </c>
    </row>
    <row r="1534" spans="1:19">
      <c r="A1534" t="s">
        <v>3169</v>
      </c>
      <c r="B1534" t="s">
        <v>3170</v>
      </c>
      <c r="C1534" s="23" t="s">
        <v>4131</v>
      </c>
      <c r="D1534" s="23">
        <v>45027</v>
      </c>
      <c r="E1534" s="22">
        <v>4</v>
      </c>
      <c r="F1534" s="22">
        <v>11</v>
      </c>
      <c r="G1534" s="22">
        <v>2023</v>
      </c>
      <c r="H1534" s="23">
        <f t="shared" si="69"/>
        <v>45027</v>
      </c>
      <c r="I1534" s="25">
        <v>45243</v>
      </c>
      <c r="J1534" s="22">
        <f t="shared" si="70"/>
        <v>216</v>
      </c>
      <c r="K1534" t="s">
        <v>14</v>
      </c>
      <c r="L1534">
        <v>84441</v>
      </c>
      <c r="M1534">
        <v>3139</v>
      </c>
      <c r="N1534" s="26">
        <v>4849.26</v>
      </c>
      <c r="O1534" s="26">
        <f t="shared" si="71"/>
        <v>3632.575</v>
      </c>
      <c r="P1534">
        <v>263</v>
      </c>
      <c r="Q1534" t="b">
        <v>0</v>
      </c>
      <c r="S1534" t="s">
        <v>16</v>
      </c>
    </row>
    <row r="1535" spans="1:19">
      <c r="A1535" t="s">
        <v>3171</v>
      </c>
      <c r="B1535" t="s">
        <v>3172</v>
      </c>
      <c r="C1535" s="23" t="s">
        <v>4127</v>
      </c>
      <c r="D1535" s="23">
        <v>45199</v>
      </c>
      <c r="E1535" s="22">
        <v>9</v>
      </c>
      <c r="F1535" s="22">
        <v>30</v>
      </c>
      <c r="G1535" s="22">
        <v>2023</v>
      </c>
      <c r="H1535" s="23">
        <f t="shared" si="69"/>
        <v>45199</v>
      </c>
      <c r="I1535" s="25">
        <v>45211</v>
      </c>
      <c r="J1535" s="22">
        <f t="shared" si="70"/>
        <v>12</v>
      </c>
      <c r="K1535" t="s">
        <v>41</v>
      </c>
      <c r="L1535">
        <v>42786</v>
      </c>
      <c r="M1535">
        <v>812</v>
      </c>
      <c r="N1535" s="26">
        <v>1531.52</v>
      </c>
      <c r="O1535" s="26">
        <f t="shared" si="71"/>
        <v>1531.52</v>
      </c>
      <c r="P1535">
        <v>146</v>
      </c>
      <c r="Q1535" t="b">
        <v>1</v>
      </c>
      <c r="R1535">
        <v>42843</v>
      </c>
      <c r="S1535" t="s">
        <v>42</v>
      </c>
    </row>
    <row r="1536" spans="1:19">
      <c r="A1536" t="s">
        <v>3173</v>
      </c>
      <c r="B1536" t="s">
        <v>3174</v>
      </c>
      <c r="C1536" s="23" t="s">
        <v>4127</v>
      </c>
      <c r="D1536" s="23">
        <v>45173</v>
      </c>
      <c r="E1536" s="22">
        <v>9</v>
      </c>
      <c r="F1536" s="22">
        <v>4</v>
      </c>
      <c r="G1536" s="22">
        <v>2023</v>
      </c>
      <c r="H1536" s="23">
        <f t="shared" si="69"/>
        <v>45173</v>
      </c>
      <c r="I1536" s="25">
        <v>45181</v>
      </c>
      <c r="J1536" s="22">
        <f t="shared" si="70"/>
        <v>8</v>
      </c>
      <c r="K1536" t="s">
        <v>33</v>
      </c>
      <c r="L1536">
        <v>95934</v>
      </c>
      <c r="M1536">
        <v>2614</v>
      </c>
      <c r="N1536" s="26">
        <v>4523.49</v>
      </c>
      <c r="O1536" s="26">
        <f t="shared" si="71"/>
        <v>3632.575</v>
      </c>
      <c r="P1536">
        <v>450</v>
      </c>
      <c r="Q1536" t="b">
        <v>1</v>
      </c>
      <c r="S1536" t="s">
        <v>34</v>
      </c>
    </row>
    <row r="1537" spans="1:19">
      <c r="A1537" t="s">
        <v>3175</v>
      </c>
      <c r="B1537" t="s">
        <v>3176</v>
      </c>
      <c r="C1537" s="23" t="s">
        <v>4128</v>
      </c>
      <c r="D1537" s="23">
        <v>45203</v>
      </c>
      <c r="E1537" s="22">
        <v>10</v>
      </c>
      <c r="F1537" s="22">
        <v>4</v>
      </c>
      <c r="G1537" s="22">
        <v>2023</v>
      </c>
      <c r="H1537" s="23">
        <f t="shared" si="69"/>
        <v>45203</v>
      </c>
      <c r="I1537" s="25">
        <v>45212</v>
      </c>
      <c r="J1537" s="22">
        <f t="shared" si="70"/>
        <v>9</v>
      </c>
      <c r="K1537" t="s">
        <v>33</v>
      </c>
      <c r="L1537">
        <v>7737</v>
      </c>
      <c r="M1537">
        <v>299</v>
      </c>
      <c r="N1537" s="26">
        <v>401.5</v>
      </c>
      <c r="O1537" s="26">
        <f t="shared" si="71"/>
        <v>401.5</v>
      </c>
      <c r="P1537">
        <v>25</v>
      </c>
      <c r="Q1537" t="b">
        <v>0</v>
      </c>
      <c r="S1537" t="s">
        <v>34</v>
      </c>
    </row>
    <row r="1538" spans="1:19">
      <c r="A1538" t="s">
        <v>3177</v>
      </c>
      <c r="B1538" t="s">
        <v>3178</v>
      </c>
      <c r="C1538" s="23" t="s">
        <v>4127</v>
      </c>
      <c r="D1538" s="23">
        <v>45274</v>
      </c>
      <c r="E1538" s="22">
        <v>12</v>
      </c>
      <c r="F1538" s="22">
        <v>14</v>
      </c>
      <c r="G1538" s="22">
        <v>2023</v>
      </c>
      <c r="H1538" s="23">
        <f t="shared" si="69"/>
        <v>45274</v>
      </c>
      <c r="I1538" s="25">
        <v>45286</v>
      </c>
      <c r="J1538" s="22">
        <f t="shared" si="70"/>
        <v>12</v>
      </c>
      <c r="K1538" t="s">
        <v>33</v>
      </c>
      <c r="L1538">
        <v>37062</v>
      </c>
      <c r="M1538">
        <v>1205</v>
      </c>
      <c r="N1538" s="26">
        <v>1816.07</v>
      </c>
      <c r="O1538" s="26">
        <f t="shared" si="71"/>
        <v>1816.07</v>
      </c>
      <c r="P1538">
        <v>96</v>
      </c>
      <c r="Q1538" t="b">
        <v>1</v>
      </c>
      <c r="S1538" t="s">
        <v>34</v>
      </c>
    </row>
    <row r="1539" spans="1:19">
      <c r="A1539" t="s">
        <v>3179</v>
      </c>
      <c r="B1539" t="s">
        <v>3180</v>
      </c>
      <c r="C1539" s="23" t="s">
        <v>4129</v>
      </c>
      <c r="D1539" s="23">
        <v>45116</v>
      </c>
      <c r="E1539" s="22">
        <v>7</v>
      </c>
      <c r="F1539" s="22">
        <v>9</v>
      </c>
      <c r="G1539" s="22">
        <v>2023</v>
      </c>
      <c r="H1539" s="23">
        <f t="shared" ref="H1539:H1602" si="72">IF(E1539&gt;12,DATE(G1539,F1539,E1539),D1539)</f>
        <v>45116</v>
      </c>
      <c r="I1539" s="25">
        <v>45146</v>
      </c>
      <c r="J1539" s="22">
        <f t="shared" ref="J1539:J1602" si="73">DATEDIF(H1539,I1539,"D")</f>
        <v>30</v>
      </c>
      <c r="K1539" t="s">
        <v>23</v>
      </c>
      <c r="L1539">
        <v>55237</v>
      </c>
      <c r="M1539">
        <v>1496</v>
      </c>
      <c r="N1539" s="26">
        <v>2826.64</v>
      </c>
      <c r="O1539" s="26">
        <f t="shared" ref="O1539:O1602" si="74">IF(N1539&lt;$W$8,$W$8,IF(N1539&gt;$W$9,$W$9,N1539))</f>
        <v>2826.64</v>
      </c>
      <c r="P1539">
        <v>235</v>
      </c>
      <c r="Q1539" t="b">
        <v>0</v>
      </c>
      <c r="S1539" t="s">
        <v>25</v>
      </c>
    </row>
    <row r="1540" spans="1:19">
      <c r="A1540" t="s">
        <v>3181</v>
      </c>
      <c r="B1540" t="s">
        <v>3182</v>
      </c>
      <c r="C1540" s="23" t="s">
        <v>4131</v>
      </c>
      <c r="D1540" s="23">
        <v>45146</v>
      </c>
      <c r="E1540" s="22">
        <v>8</v>
      </c>
      <c r="F1540" s="22">
        <v>8</v>
      </c>
      <c r="G1540" s="22">
        <v>2023</v>
      </c>
      <c r="H1540" s="23">
        <f t="shared" si="72"/>
        <v>45146</v>
      </c>
      <c r="I1540" s="25">
        <v>45155</v>
      </c>
      <c r="J1540" s="22">
        <f t="shared" si="73"/>
        <v>9</v>
      </c>
      <c r="K1540" t="s">
        <v>14</v>
      </c>
      <c r="L1540">
        <v>52571</v>
      </c>
      <c r="M1540">
        <v>1211</v>
      </c>
      <c r="N1540" s="26">
        <v>1730.22</v>
      </c>
      <c r="O1540" s="26">
        <f t="shared" si="74"/>
        <v>1730.22</v>
      </c>
      <c r="P1540">
        <v>117</v>
      </c>
      <c r="Q1540" t="b">
        <v>0</v>
      </c>
      <c r="S1540" t="s">
        <v>16</v>
      </c>
    </row>
    <row r="1541" spans="1:19">
      <c r="A1541" t="s">
        <v>3183</v>
      </c>
      <c r="B1541" t="s">
        <v>3184</v>
      </c>
      <c r="C1541" s="23" t="s">
        <v>4128</v>
      </c>
      <c r="D1541" s="23">
        <v>45122</v>
      </c>
      <c r="E1541" s="22">
        <v>7</v>
      </c>
      <c r="F1541" s="22">
        <v>15</v>
      </c>
      <c r="G1541" s="22">
        <v>2023</v>
      </c>
      <c r="H1541" s="23">
        <f t="shared" si="72"/>
        <v>45122</v>
      </c>
      <c r="I1541" s="25">
        <v>45138</v>
      </c>
      <c r="J1541" s="22">
        <f t="shared" si="73"/>
        <v>16</v>
      </c>
      <c r="K1541" t="s">
        <v>33</v>
      </c>
      <c r="L1541">
        <v>26510</v>
      </c>
      <c r="M1541">
        <v>1155</v>
      </c>
      <c r="N1541" s="26">
        <v>2006.48</v>
      </c>
      <c r="O1541" s="26">
        <f t="shared" si="74"/>
        <v>2006.48</v>
      </c>
      <c r="P1541">
        <v>110</v>
      </c>
      <c r="Q1541" t="b">
        <v>1</v>
      </c>
      <c r="S1541" t="s">
        <v>34</v>
      </c>
    </row>
    <row r="1542" spans="1:19">
      <c r="A1542" t="s">
        <v>3185</v>
      </c>
      <c r="B1542" t="s">
        <v>3186</v>
      </c>
      <c r="C1542" s="23" t="s">
        <v>4129</v>
      </c>
      <c r="D1542" s="23">
        <v>45283</v>
      </c>
      <c r="E1542" s="22">
        <v>12</v>
      </c>
      <c r="F1542" s="22">
        <v>23</v>
      </c>
      <c r="G1542" s="22">
        <v>2023</v>
      </c>
      <c r="H1542" s="23">
        <f t="shared" si="72"/>
        <v>45283</v>
      </c>
      <c r="I1542" s="25">
        <v>45289</v>
      </c>
      <c r="J1542" s="22">
        <f t="shared" si="73"/>
        <v>6</v>
      </c>
      <c r="K1542" t="s">
        <v>19</v>
      </c>
      <c r="L1542">
        <v>20426</v>
      </c>
      <c r="M1542">
        <v>321</v>
      </c>
      <c r="N1542" s="26">
        <v>492.16</v>
      </c>
      <c r="O1542" s="26">
        <f t="shared" si="74"/>
        <v>492.16</v>
      </c>
      <c r="P1542">
        <v>23</v>
      </c>
      <c r="Q1542" t="b">
        <v>1</v>
      </c>
      <c r="S1542" t="s">
        <v>20</v>
      </c>
    </row>
    <row r="1543" spans="1:19">
      <c r="A1543" t="s">
        <v>3187</v>
      </c>
      <c r="B1543" t="s">
        <v>3188</v>
      </c>
      <c r="C1543" s="23" t="s">
        <v>4129</v>
      </c>
      <c r="D1543" s="23">
        <v>45057</v>
      </c>
      <c r="E1543" s="22">
        <v>5</v>
      </c>
      <c r="F1543" s="22">
        <v>11</v>
      </c>
      <c r="G1543" s="22">
        <v>2023</v>
      </c>
      <c r="H1543" s="23">
        <f t="shared" si="72"/>
        <v>45057</v>
      </c>
      <c r="I1543" s="25">
        <v>45063</v>
      </c>
      <c r="J1543" s="22">
        <f t="shared" si="73"/>
        <v>6</v>
      </c>
      <c r="K1543" t="s">
        <v>33</v>
      </c>
      <c r="L1543">
        <v>38265</v>
      </c>
      <c r="M1543">
        <v>1040</v>
      </c>
      <c r="N1543" s="26">
        <v>1381.02</v>
      </c>
      <c r="O1543" s="26">
        <f t="shared" si="74"/>
        <v>1381.02</v>
      </c>
      <c r="P1543">
        <v>93</v>
      </c>
      <c r="Q1543" t="b">
        <v>0</v>
      </c>
      <c r="S1543" t="s">
        <v>34</v>
      </c>
    </row>
    <row r="1544" spans="1:19">
      <c r="A1544" t="s">
        <v>3189</v>
      </c>
      <c r="B1544" t="s">
        <v>3190</v>
      </c>
      <c r="C1544" s="23" t="s">
        <v>4129</v>
      </c>
      <c r="D1544" s="23">
        <v>44969</v>
      </c>
      <c r="E1544" s="22">
        <v>2</v>
      </c>
      <c r="F1544" s="22">
        <v>12</v>
      </c>
      <c r="G1544" s="22">
        <v>2023</v>
      </c>
      <c r="H1544" s="23">
        <f t="shared" si="72"/>
        <v>44969</v>
      </c>
      <c r="I1544" s="25">
        <v>44977</v>
      </c>
      <c r="J1544" s="22">
        <f t="shared" si="73"/>
        <v>8</v>
      </c>
      <c r="K1544" t="s">
        <v>14</v>
      </c>
      <c r="L1544">
        <v>18850</v>
      </c>
      <c r="M1544">
        <v>869</v>
      </c>
      <c r="N1544" s="26">
        <v>749.74</v>
      </c>
      <c r="O1544" s="26">
        <f t="shared" si="74"/>
        <v>749.74</v>
      </c>
      <c r="P1544">
        <v>99</v>
      </c>
      <c r="Q1544" t="b">
        <v>1</v>
      </c>
      <c r="S1544" t="s">
        <v>16</v>
      </c>
    </row>
    <row r="1545" spans="1:19">
      <c r="A1545" t="s">
        <v>3191</v>
      </c>
      <c r="B1545" t="s">
        <v>3192</v>
      </c>
      <c r="C1545" s="23" t="s">
        <v>4129</v>
      </c>
      <c r="D1545" s="23">
        <v>45136</v>
      </c>
      <c r="E1545" s="22">
        <v>7</v>
      </c>
      <c r="F1545" s="22">
        <v>29</v>
      </c>
      <c r="G1545" s="22">
        <v>2023</v>
      </c>
      <c r="H1545" s="23">
        <f t="shared" si="72"/>
        <v>45136</v>
      </c>
      <c r="I1545" s="25">
        <v>45164</v>
      </c>
      <c r="J1545" s="22">
        <f t="shared" si="73"/>
        <v>28</v>
      </c>
      <c r="K1545" t="s">
        <v>23</v>
      </c>
      <c r="L1545">
        <v>67150</v>
      </c>
      <c r="M1545">
        <v>2943</v>
      </c>
      <c r="N1545" s="26">
        <v>3352.07</v>
      </c>
      <c r="O1545" s="26">
        <f t="shared" si="74"/>
        <v>3352.07</v>
      </c>
      <c r="P1545">
        <v>470</v>
      </c>
      <c r="Q1545" t="b">
        <v>0</v>
      </c>
      <c r="S1545" t="s">
        <v>25</v>
      </c>
    </row>
    <row r="1546" spans="1:19">
      <c r="A1546" t="s">
        <v>3193</v>
      </c>
      <c r="B1546" t="s">
        <v>3194</v>
      </c>
      <c r="C1546" s="23" t="s">
        <v>4129</v>
      </c>
      <c r="D1546" s="23">
        <v>44930</v>
      </c>
      <c r="E1546" s="22">
        <v>1</v>
      </c>
      <c r="F1546" s="22">
        <v>4</v>
      </c>
      <c r="G1546" s="22">
        <v>2023</v>
      </c>
      <c r="H1546" s="23">
        <f t="shared" si="72"/>
        <v>44930</v>
      </c>
      <c r="I1546" s="25">
        <v>44949</v>
      </c>
      <c r="J1546" s="22">
        <f t="shared" si="73"/>
        <v>19</v>
      </c>
      <c r="K1546" t="s">
        <v>33</v>
      </c>
      <c r="L1546">
        <v>88312</v>
      </c>
      <c r="M1546">
        <v>2299</v>
      </c>
      <c r="N1546" s="26">
        <v>4486.76</v>
      </c>
      <c r="O1546" s="26">
        <f t="shared" si="74"/>
        <v>3632.575</v>
      </c>
      <c r="P1546">
        <v>0</v>
      </c>
      <c r="Q1546" t="b">
        <v>0</v>
      </c>
      <c r="S1546" t="s">
        <v>34</v>
      </c>
    </row>
    <row r="1547" spans="1:19">
      <c r="A1547" t="s">
        <v>3195</v>
      </c>
      <c r="B1547" t="s">
        <v>3196</v>
      </c>
      <c r="C1547" s="23" t="s">
        <v>4131</v>
      </c>
      <c r="D1547" s="23">
        <v>44930</v>
      </c>
      <c r="E1547" s="22">
        <v>1</v>
      </c>
      <c r="F1547" s="22">
        <v>4</v>
      </c>
      <c r="G1547" s="22">
        <v>2023</v>
      </c>
      <c r="H1547" s="23">
        <f t="shared" si="72"/>
        <v>44930</v>
      </c>
      <c r="I1547" s="25">
        <v>44951</v>
      </c>
      <c r="J1547" s="22">
        <f t="shared" si="73"/>
        <v>21</v>
      </c>
      <c r="K1547" t="s">
        <v>19</v>
      </c>
      <c r="L1547">
        <v>90613</v>
      </c>
      <c r="M1547">
        <v>3672</v>
      </c>
      <c r="N1547" s="26">
        <v>5458.97</v>
      </c>
      <c r="O1547" s="26">
        <f t="shared" si="74"/>
        <v>3632.575</v>
      </c>
      <c r="P1547">
        <v>364</v>
      </c>
      <c r="Q1547" t="b">
        <v>0</v>
      </c>
      <c r="S1547" t="s">
        <v>20</v>
      </c>
    </row>
    <row r="1548" spans="1:19">
      <c r="A1548" t="s">
        <v>3197</v>
      </c>
      <c r="B1548" t="s">
        <v>3198</v>
      </c>
      <c r="C1548" s="23" t="s">
        <v>4129</v>
      </c>
      <c r="D1548" s="23">
        <v>45088</v>
      </c>
      <c r="E1548" s="22">
        <v>6</v>
      </c>
      <c r="F1548" s="22">
        <v>11</v>
      </c>
      <c r="G1548" s="22">
        <v>2023</v>
      </c>
      <c r="H1548" s="23">
        <f t="shared" si="72"/>
        <v>45088</v>
      </c>
      <c r="I1548" s="25">
        <v>45105</v>
      </c>
      <c r="J1548" s="22">
        <f t="shared" si="73"/>
        <v>17</v>
      </c>
      <c r="K1548" t="s">
        <v>138</v>
      </c>
      <c r="L1548">
        <v>75910</v>
      </c>
      <c r="M1548">
        <v>3258</v>
      </c>
      <c r="N1548" s="26">
        <v>4387.2</v>
      </c>
      <c r="O1548" s="26">
        <f t="shared" si="74"/>
        <v>3632.575</v>
      </c>
      <c r="P1548">
        <v>302</v>
      </c>
      <c r="Q1548" t="b">
        <v>1</v>
      </c>
      <c r="S1548" t="s">
        <v>139</v>
      </c>
    </row>
    <row r="1549" spans="1:19">
      <c r="A1549" t="s">
        <v>3199</v>
      </c>
      <c r="B1549" t="s">
        <v>3200</v>
      </c>
      <c r="C1549" s="23" t="s">
        <v>4129</v>
      </c>
      <c r="D1549" s="23">
        <v>45145</v>
      </c>
      <c r="E1549" s="22">
        <v>8</v>
      </c>
      <c r="F1549" s="22">
        <v>7</v>
      </c>
      <c r="G1549" s="22">
        <v>2023</v>
      </c>
      <c r="H1549" s="23">
        <f t="shared" si="72"/>
        <v>45145</v>
      </c>
      <c r="I1549" s="25">
        <v>45165</v>
      </c>
      <c r="J1549" s="22">
        <f t="shared" si="73"/>
        <v>20</v>
      </c>
      <c r="K1549" t="s">
        <v>19</v>
      </c>
      <c r="L1549">
        <v>53375</v>
      </c>
      <c r="M1549">
        <v>2431</v>
      </c>
      <c r="N1549" s="26">
        <v>4617.53</v>
      </c>
      <c r="O1549" s="26">
        <f t="shared" si="74"/>
        <v>3632.575</v>
      </c>
      <c r="P1549">
        <v>295</v>
      </c>
      <c r="Q1549" t="b">
        <v>0</v>
      </c>
      <c r="S1549" t="s">
        <v>20</v>
      </c>
    </row>
    <row r="1550" spans="1:19">
      <c r="A1550" t="s">
        <v>3201</v>
      </c>
      <c r="B1550" t="s">
        <v>3202</v>
      </c>
      <c r="C1550" s="23" t="s">
        <v>4129</v>
      </c>
      <c r="D1550" s="23">
        <v>45201</v>
      </c>
      <c r="E1550" s="22">
        <v>10</v>
      </c>
      <c r="F1550" s="22">
        <v>2</v>
      </c>
      <c r="G1550" s="22">
        <v>2023</v>
      </c>
      <c r="H1550" s="23">
        <f t="shared" si="72"/>
        <v>45201</v>
      </c>
      <c r="I1550" s="25">
        <v>45218</v>
      </c>
      <c r="J1550" s="22">
        <f t="shared" si="73"/>
        <v>17</v>
      </c>
      <c r="K1550" t="s">
        <v>14</v>
      </c>
      <c r="L1550">
        <v>36435</v>
      </c>
      <c r="M1550">
        <v>1157</v>
      </c>
      <c r="N1550" s="26">
        <v>1596.39</v>
      </c>
      <c r="O1550" s="26">
        <f t="shared" si="74"/>
        <v>1596.39</v>
      </c>
      <c r="P1550">
        <v>89</v>
      </c>
      <c r="Q1550" t="b">
        <v>1</v>
      </c>
      <c r="S1550" t="s">
        <v>16</v>
      </c>
    </row>
    <row r="1551" spans="1:19">
      <c r="A1551" t="s">
        <v>3203</v>
      </c>
      <c r="B1551" t="s">
        <v>3204</v>
      </c>
      <c r="C1551" s="23" t="s">
        <v>4129</v>
      </c>
      <c r="D1551" s="23">
        <v>45068</v>
      </c>
      <c r="E1551" s="22">
        <v>5</v>
      </c>
      <c r="F1551" s="22">
        <v>22</v>
      </c>
      <c r="G1551" s="22">
        <v>2023</v>
      </c>
      <c r="H1551" s="23">
        <f t="shared" si="72"/>
        <v>45068</v>
      </c>
      <c r="I1551" s="25">
        <v>45094</v>
      </c>
      <c r="J1551" s="22">
        <f t="shared" si="73"/>
        <v>26</v>
      </c>
      <c r="K1551" t="s">
        <v>266</v>
      </c>
      <c r="L1551">
        <v>97443</v>
      </c>
      <c r="M1551">
        <v>1771</v>
      </c>
      <c r="N1551" s="26">
        <v>2283.04</v>
      </c>
      <c r="O1551" s="26">
        <f t="shared" si="74"/>
        <v>2283.04</v>
      </c>
      <c r="P1551">
        <v>217</v>
      </c>
      <c r="Q1551" t="b">
        <v>1</v>
      </c>
      <c r="S1551" t="s">
        <v>20</v>
      </c>
    </row>
    <row r="1552" spans="1:19">
      <c r="A1552" t="s">
        <v>3205</v>
      </c>
      <c r="B1552" t="s">
        <v>3206</v>
      </c>
      <c r="C1552" s="23" t="s">
        <v>4129</v>
      </c>
      <c r="D1552" s="23">
        <v>45031</v>
      </c>
      <c r="E1552" s="22">
        <v>4</v>
      </c>
      <c r="F1552" s="22">
        <v>15</v>
      </c>
      <c r="G1552" s="22">
        <v>2023</v>
      </c>
      <c r="H1552" s="23">
        <f t="shared" si="72"/>
        <v>45031</v>
      </c>
      <c r="I1552" s="25">
        <v>45038</v>
      </c>
      <c r="J1552" s="22">
        <f t="shared" si="73"/>
        <v>7</v>
      </c>
      <c r="K1552" t="s">
        <v>41</v>
      </c>
      <c r="L1552">
        <v>58132</v>
      </c>
      <c r="M1552">
        <v>1174</v>
      </c>
      <c r="N1552" s="26">
        <v>1924.15</v>
      </c>
      <c r="O1552" s="26">
        <f t="shared" si="74"/>
        <v>1924.15</v>
      </c>
      <c r="P1552">
        <v>182</v>
      </c>
      <c r="Q1552" t="b">
        <v>1</v>
      </c>
      <c r="S1552" t="s">
        <v>68</v>
      </c>
    </row>
    <row r="1553" spans="1:19">
      <c r="A1553" t="s">
        <v>3207</v>
      </c>
      <c r="B1553" t="s">
        <v>3208</v>
      </c>
      <c r="C1553" s="23" t="s">
        <v>4127</v>
      </c>
      <c r="D1553" s="23">
        <v>45174</v>
      </c>
      <c r="E1553" s="22">
        <v>9</v>
      </c>
      <c r="F1553" s="22">
        <v>5</v>
      </c>
      <c r="G1553" s="22">
        <v>2023</v>
      </c>
      <c r="H1553" s="23">
        <f t="shared" si="72"/>
        <v>45174</v>
      </c>
      <c r="I1553" s="25">
        <v>45202</v>
      </c>
      <c r="J1553" s="22">
        <f t="shared" si="73"/>
        <v>28</v>
      </c>
      <c r="K1553" t="s">
        <v>19</v>
      </c>
      <c r="L1553">
        <v>79945</v>
      </c>
      <c r="M1553">
        <v>1745</v>
      </c>
      <c r="N1553" s="26">
        <v>2737.9</v>
      </c>
      <c r="O1553" s="26">
        <f t="shared" si="74"/>
        <v>2737.9</v>
      </c>
      <c r="P1553">
        <v>95</v>
      </c>
      <c r="Q1553" t="b">
        <v>1</v>
      </c>
      <c r="S1553" t="s">
        <v>20</v>
      </c>
    </row>
    <row r="1554" spans="1:19">
      <c r="A1554" t="s">
        <v>3209</v>
      </c>
      <c r="B1554" t="s">
        <v>3210</v>
      </c>
      <c r="C1554" s="23" t="s">
        <v>4131</v>
      </c>
      <c r="D1554" s="23">
        <v>45174</v>
      </c>
      <c r="E1554" s="22">
        <v>9</v>
      </c>
      <c r="F1554" s="22">
        <v>5</v>
      </c>
      <c r="G1554" s="22">
        <v>2023</v>
      </c>
      <c r="H1554" s="23">
        <f t="shared" si="72"/>
        <v>45174</v>
      </c>
      <c r="I1554" s="25">
        <v>45176</v>
      </c>
      <c r="J1554" s="22">
        <f t="shared" si="73"/>
        <v>2</v>
      </c>
      <c r="K1554" t="s">
        <v>19</v>
      </c>
      <c r="L1554">
        <v>83050</v>
      </c>
      <c r="M1554">
        <v>2803</v>
      </c>
      <c r="N1554" s="26">
        <v>2213.64</v>
      </c>
      <c r="O1554" s="26">
        <f t="shared" si="74"/>
        <v>2213.64</v>
      </c>
      <c r="P1554">
        <v>144</v>
      </c>
      <c r="Q1554" t="b">
        <v>1</v>
      </c>
      <c r="S1554" t="s">
        <v>20</v>
      </c>
    </row>
    <row r="1555" spans="1:19">
      <c r="A1555" t="s">
        <v>3211</v>
      </c>
      <c r="B1555" t="s">
        <v>3212</v>
      </c>
      <c r="C1555" s="23" t="s">
        <v>4128</v>
      </c>
      <c r="D1555" s="23">
        <v>45103</v>
      </c>
      <c r="E1555" s="22">
        <v>6</v>
      </c>
      <c r="F1555" s="22">
        <v>26</v>
      </c>
      <c r="G1555" s="22">
        <v>2023</v>
      </c>
      <c r="H1555" s="23">
        <f t="shared" si="72"/>
        <v>45103</v>
      </c>
      <c r="I1555" s="25">
        <v>45116</v>
      </c>
      <c r="J1555" s="22">
        <f t="shared" si="73"/>
        <v>13</v>
      </c>
      <c r="K1555" t="s">
        <v>23</v>
      </c>
      <c r="L1555">
        <v>96402</v>
      </c>
      <c r="M1555">
        <v>1090</v>
      </c>
      <c r="N1555" s="26">
        <v>1315.59</v>
      </c>
      <c r="O1555" s="26">
        <f t="shared" si="74"/>
        <v>1315.59</v>
      </c>
      <c r="P1555">
        <v>66</v>
      </c>
      <c r="Q1555" t="b">
        <v>1</v>
      </c>
      <c r="S1555" t="s">
        <v>25</v>
      </c>
    </row>
    <row r="1556" spans="1:19">
      <c r="A1556" t="s">
        <v>3213</v>
      </c>
      <c r="B1556" t="s">
        <v>3214</v>
      </c>
      <c r="C1556" s="23" t="s">
        <v>4128</v>
      </c>
      <c r="D1556" s="23">
        <v>44997</v>
      </c>
      <c r="E1556" s="22">
        <v>3</v>
      </c>
      <c r="F1556" s="22">
        <v>12</v>
      </c>
      <c r="G1556" s="22">
        <v>2023</v>
      </c>
      <c r="H1556" s="23">
        <f t="shared" si="72"/>
        <v>44997</v>
      </c>
      <c r="I1556" s="25">
        <v>45009</v>
      </c>
      <c r="J1556" s="22">
        <f t="shared" si="73"/>
        <v>12</v>
      </c>
      <c r="K1556" t="s">
        <v>14</v>
      </c>
      <c r="L1556">
        <v>3983</v>
      </c>
      <c r="M1556">
        <v>141</v>
      </c>
      <c r="N1556" s="26">
        <v>170.44</v>
      </c>
      <c r="O1556" s="26">
        <f t="shared" si="74"/>
        <v>170.44</v>
      </c>
      <c r="P1556">
        <v>18</v>
      </c>
      <c r="Q1556" t="b">
        <v>0</v>
      </c>
      <c r="S1556" t="s">
        <v>16</v>
      </c>
    </row>
    <row r="1557" spans="1:19">
      <c r="A1557" t="s">
        <v>3215</v>
      </c>
      <c r="B1557" t="s">
        <v>3216</v>
      </c>
      <c r="C1557" s="23" t="s">
        <v>4129</v>
      </c>
      <c r="D1557" s="23">
        <v>45044</v>
      </c>
      <c r="E1557" s="22">
        <v>4</v>
      </c>
      <c r="F1557" s="22">
        <v>28</v>
      </c>
      <c r="G1557" s="22">
        <v>2023</v>
      </c>
      <c r="H1557" s="23">
        <f t="shared" si="72"/>
        <v>45044</v>
      </c>
      <c r="I1557" s="25">
        <v>45046</v>
      </c>
      <c r="J1557" s="22">
        <f t="shared" si="73"/>
        <v>2</v>
      </c>
      <c r="K1557" t="s">
        <v>41</v>
      </c>
      <c r="L1557">
        <v>98241</v>
      </c>
      <c r="M1557">
        <v>2414</v>
      </c>
      <c r="N1557" s="26">
        <v>2576.55</v>
      </c>
      <c r="O1557" s="26">
        <f t="shared" si="74"/>
        <v>2576.55</v>
      </c>
      <c r="P1557">
        <v>430</v>
      </c>
      <c r="Q1557" t="b">
        <v>1</v>
      </c>
      <c r="S1557" t="s">
        <v>42</v>
      </c>
    </row>
    <row r="1558" spans="1:19">
      <c r="A1558" t="s">
        <v>3217</v>
      </c>
      <c r="B1558" t="s">
        <v>3218</v>
      </c>
      <c r="C1558" s="23" t="s">
        <v>4127</v>
      </c>
      <c r="D1558" s="23">
        <v>45009</v>
      </c>
      <c r="E1558" s="22">
        <v>3</v>
      </c>
      <c r="F1558" s="22">
        <v>24</v>
      </c>
      <c r="G1558" s="22">
        <v>2023</v>
      </c>
      <c r="H1558" s="23">
        <f t="shared" si="72"/>
        <v>45009</v>
      </c>
      <c r="I1558" s="25">
        <v>45034</v>
      </c>
      <c r="J1558" s="22">
        <f t="shared" si="73"/>
        <v>25</v>
      </c>
      <c r="K1558" t="s">
        <v>14</v>
      </c>
      <c r="L1558">
        <v>21662</v>
      </c>
      <c r="M1558">
        <v>472</v>
      </c>
      <c r="N1558" s="26">
        <v>602.24</v>
      </c>
      <c r="O1558" s="26">
        <f t="shared" si="74"/>
        <v>602.24</v>
      </c>
      <c r="P1558">
        <v>23</v>
      </c>
      <c r="Q1558" t="b">
        <v>0</v>
      </c>
      <c r="S1558" t="s">
        <v>16</v>
      </c>
    </row>
    <row r="1559" spans="1:19">
      <c r="A1559" t="s">
        <v>3219</v>
      </c>
      <c r="B1559" t="s">
        <v>3220</v>
      </c>
      <c r="C1559" s="23" t="s">
        <v>4131</v>
      </c>
      <c r="D1559" s="23">
        <v>45100</v>
      </c>
      <c r="E1559" s="22">
        <v>6</v>
      </c>
      <c r="F1559" s="22">
        <v>23</v>
      </c>
      <c r="G1559" s="22">
        <v>2023</v>
      </c>
      <c r="H1559" s="23">
        <f t="shared" si="72"/>
        <v>45100</v>
      </c>
      <c r="I1559" s="25">
        <v>45108</v>
      </c>
      <c r="J1559" s="22">
        <f t="shared" si="73"/>
        <v>8</v>
      </c>
      <c r="K1559" t="s">
        <v>23</v>
      </c>
      <c r="L1559">
        <v>24510</v>
      </c>
      <c r="M1559">
        <v>1107</v>
      </c>
      <c r="N1559" s="26">
        <v>1239.46</v>
      </c>
      <c r="O1559" s="26">
        <f t="shared" si="74"/>
        <v>1239.46</v>
      </c>
      <c r="P1559">
        <v>0</v>
      </c>
      <c r="Q1559" t="b">
        <v>0</v>
      </c>
      <c r="S1559" t="s">
        <v>25</v>
      </c>
    </row>
    <row r="1560" spans="1:19">
      <c r="A1560" t="s">
        <v>3221</v>
      </c>
      <c r="B1560" t="s">
        <v>3222</v>
      </c>
      <c r="C1560" s="23" t="s">
        <v>4129</v>
      </c>
      <c r="D1560" s="23">
        <v>45277</v>
      </c>
      <c r="E1560" s="22">
        <v>12</v>
      </c>
      <c r="F1560" s="22">
        <v>17</v>
      </c>
      <c r="G1560" s="22">
        <v>2023</v>
      </c>
      <c r="H1560" s="23">
        <f t="shared" si="72"/>
        <v>45277</v>
      </c>
      <c r="I1560" s="25">
        <v>45280</v>
      </c>
      <c r="J1560" s="22">
        <f t="shared" si="73"/>
        <v>3</v>
      </c>
      <c r="K1560" t="s">
        <v>41</v>
      </c>
      <c r="L1560">
        <v>79187</v>
      </c>
      <c r="M1560">
        <v>2248</v>
      </c>
      <c r="N1560" s="26">
        <v>1796.19</v>
      </c>
      <c r="O1560" s="26">
        <f t="shared" si="74"/>
        <v>1796.19</v>
      </c>
      <c r="P1560">
        <v>148</v>
      </c>
      <c r="Q1560" t="b">
        <v>1</v>
      </c>
      <c r="S1560" t="s">
        <v>42</v>
      </c>
    </row>
    <row r="1561" spans="1:19">
      <c r="A1561" t="s">
        <v>3223</v>
      </c>
      <c r="B1561" t="s">
        <v>3224</v>
      </c>
      <c r="C1561" s="23" t="s">
        <v>4127</v>
      </c>
      <c r="D1561" s="23" t="s">
        <v>3225</v>
      </c>
      <c r="E1561" s="22">
        <v>22</v>
      </c>
      <c r="F1561" s="22">
        <v>11</v>
      </c>
      <c r="G1561" s="22">
        <v>2023</v>
      </c>
      <c r="H1561" s="23">
        <f t="shared" si="72"/>
        <v>45252</v>
      </c>
      <c r="I1561" s="25">
        <v>45275</v>
      </c>
      <c r="J1561" s="22">
        <f t="shared" si="73"/>
        <v>23</v>
      </c>
      <c r="K1561" t="s">
        <v>41</v>
      </c>
      <c r="L1561">
        <v>41998</v>
      </c>
      <c r="M1561">
        <v>579</v>
      </c>
      <c r="N1561" s="26">
        <v>-647.64</v>
      </c>
      <c r="O1561" s="26">
        <f t="shared" si="74"/>
        <v>-344.195</v>
      </c>
      <c r="P1561">
        <v>102</v>
      </c>
      <c r="Q1561" t="b">
        <v>1</v>
      </c>
      <c r="S1561" t="s">
        <v>42</v>
      </c>
    </row>
    <row r="1562" spans="1:19">
      <c r="A1562" t="s">
        <v>3226</v>
      </c>
      <c r="B1562" t="s">
        <v>3227</v>
      </c>
      <c r="C1562" s="23" t="s">
        <v>4129</v>
      </c>
      <c r="D1562" s="23">
        <v>44973</v>
      </c>
      <c r="E1562" s="22">
        <v>2</v>
      </c>
      <c r="F1562" s="22">
        <v>16</v>
      </c>
      <c r="G1562" s="22">
        <v>2023</v>
      </c>
      <c r="H1562" s="23">
        <f t="shared" si="72"/>
        <v>44973</v>
      </c>
      <c r="I1562" s="25">
        <v>45003</v>
      </c>
      <c r="J1562" s="22">
        <f t="shared" si="73"/>
        <v>30</v>
      </c>
      <c r="K1562" t="s">
        <v>33</v>
      </c>
      <c r="L1562">
        <v>57846</v>
      </c>
      <c r="M1562">
        <v>2491</v>
      </c>
      <c r="N1562" s="26">
        <v>1515.56</v>
      </c>
      <c r="O1562" s="26">
        <f t="shared" si="74"/>
        <v>1515.56</v>
      </c>
      <c r="P1562">
        <v>304</v>
      </c>
      <c r="Q1562" t="b">
        <v>0</v>
      </c>
      <c r="S1562" t="s">
        <v>34</v>
      </c>
    </row>
    <row r="1563" spans="1:19">
      <c r="A1563" t="s">
        <v>3228</v>
      </c>
      <c r="B1563" t="s">
        <v>3229</v>
      </c>
      <c r="C1563" s="23" t="s">
        <v>4128</v>
      </c>
      <c r="D1563" s="23">
        <v>45234</v>
      </c>
      <c r="E1563" s="22">
        <v>11</v>
      </c>
      <c r="F1563" s="22">
        <v>4</v>
      </c>
      <c r="G1563" s="22">
        <v>2023</v>
      </c>
      <c r="H1563" s="23">
        <f t="shared" si="72"/>
        <v>45234</v>
      </c>
      <c r="I1563" s="25">
        <v>45033</v>
      </c>
      <c r="J1563" s="22">
        <f t="shared" si="73"/>
        <v>-201</v>
      </c>
      <c r="K1563" t="s">
        <v>14</v>
      </c>
      <c r="L1563">
        <v>95071</v>
      </c>
      <c r="M1563">
        <v>1131</v>
      </c>
      <c r="N1563" s="26">
        <v>1542.32</v>
      </c>
      <c r="O1563" s="26">
        <f t="shared" si="74"/>
        <v>1542.32</v>
      </c>
      <c r="P1563">
        <v>168</v>
      </c>
      <c r="Q1563" t="b">
        <v>1</v>
      </c>
      <c r="S1563" t="s">
        <v>16</v>
      </c>
    </row>
    <row r="1564" spans="1:19">
      <c r="A1564" t="s">
        <v>3230</v>
      </c>
      <c r="B1564" t="s">
        <v>3231</v>
      </c>
      <c r="C1564" s="23" t="s">
        <v>4129</v>
      </c>
      <c r="D1564" s="23">
        <v>45040</v>
      </c>
      <c r="E1564" s="22">
        <v>4</v>
      </c>
      <c r="F1564" s="22">
        <v>24</v>
      </c>
      <c r="G1564" s="22">
        <v>2023</v>
      </c>
      <c r="H1564" s="23">
        <f t="shared" si="72"/>
        <v>45040</v>
      </c>
      <c r="I1564" s="25">
        <v>45043</v>
      </c>
      <c r="J1564" s="22">
        <f t="shared" si="73"/>
        <v>3</v>
      </c>
      <c r="K1564" t="s">
        <v>19</v>
      </c>
      <c r="L1564">
        <v>7640</v>
      </c>
      <c r="M1564">
        <v>298</v>
      </c>
      <c r="N1564" s="26">
        <v>530.58</v>
      </c>
      <c r="O1564" s="26">
        <f t="shared" si="74"/>
        <v>530.58</v>
      </c>
      <c r="P1564">
        <v>37</v>
      </c>
      <c r="Q1564" t="b">
        <v>0</v>
      </c>
      <c r="S1564" t="s">
        <v>20</v>
      </c>
    </row>
    <row r="1565" spans="1:19">
      <c r="A1565" t="s">
        <v>3232</v>
      </c>
      <c r="B1565" t="s">
        <v>3233</v>
      </c>
      <c r="C1565" s="23" t="s">
        <v>4129</v>
      </c>
      <c r="D1565" s="23">
        <v>45123</v>
      </c>
      <c r="E1565" s="22">
        <v>7</v>
      </c>
      <c r="F1565" s="22">
        <v>16</v>
      </c>
      <c r="G1565" s="22">
        <v>2023</v>
      </c>
      <c r="H1565" s="23">
        <f t="shared" si="72"/>
        <v>45123</v>
      </c>
      <c r="I1565" s="25">
        <v>45143</v>
      </c>
      <c r="J1565" s="22">
        <f t="shared" si="73"/>
        <v>20</v>
      </c>
      <c r="K1565" t="s">
        <v>41</v>
      </c>
      <c r="L1565">
        <v>45547</v>
      </c>
      <c r="M1565">
        <v>1865</v>
      </c>
      <c r="N1565" s="26">
        <v>2961.49</v>
      </c>
      <c r="O1565" s="26">
        <f t="shared" si="74"/>
        <v>2961.49</v>
      </c>
      <c r="P1565">
        <v>226</v>
      </c>
      <c r="Q1565" t="b">
        <v>1</v>
      </c>
      <c r="S1565" t="s">
        <v>42</v>
      </c>
    </row>
    <row r="1566" spans="1:19">
      <c r="A1566" t="s">
        <v>3234</v>
      </c>
      <c r="B1566" t="s">
        <v>3235</v>
      </c>
      <c r="C1566" s="23" t="s">
        <v>4128</v>
      </c>
      <c r="D1566" s="23">
        <v>45262</v>
      </c>
      <c r="E1566" s="22">
        <v>12</v>
      </c>
      <c r="F1566" s="22">
        <v>2</v>
      </c>
      <c r="G1566" s="22">
        <v>2023</v>
      </c>
      <c r="H1566" s="23">
        <f t="shared" si="72"/>
        <v>45262</v>
      </c>
      <c r="I1566" s="25">
        <v>45285</v>
      </c>
      <c r="J1566" s="22">
        <f t="shared" si="73"/>
        <v>23</v>
      </c>
      <c r="K1566" t="s">
        <v>19</v>
      </c>
      <c r="L1566">
        <v>55620</v>
      </c>
      <c r="M1566">
        <v>1340</v>
      </c>
      <c r="N1566" s="26">
        <v>1394.39</v>
      </c>
      <c r="O1566" s="26">
        <f t="shared" si="74"/>
        <v>1394.39</v>
      </c>
      <c r="P1566">
        <v>234</v>
      </c>
      <c r="Q1566" t="b">
        <v>0</v>
      </c>
      <c r="S1566" t="s">
        <v>20</v>
      </c>
    </row>
    <row r="1567" spans="1:19">
      <c r="A1567" t="s">
        <v>3236</v>
      </c>
      <c r="B1567" t="s">
        <v>3237</v>
      </c>
      <c r="C1567" s="23" t="s">
        <v>4129</v>
      </c>
      <c r="D1567" s="23">
        <v>44968</v>
      </c>
      <c r="E1567" s="22">
        <v>2</v>
      </c>
      <c r="F1567" s="22">
        <v>11</v>
      </c>
      <c r="G1567" s="22">
        <v>2023</v>
      </c>
      <c r="H1567" s="23">
        <f t="shared" si="72"/>
        <v>44968</v>
      </c>
      <c r="I1567" s="25">
        <v>45250</v>
      </c>
      <c r="J1567" s="22">
        <f t="shared" si="73"/>
        <v>282</v>
      </c>
      <c r="K1567" t="s">
        <v>14</v>
      </c>
      <c r="L1567">
        <v>16317</v>
      </c>
      <c r="M1567">
        <v>701</v>
      </c>
      <c r="N1567" s="26">
        <v>442.06</v>
      </c>
      <c r="O1567" s="26">
        <f t="shared" si="74"/>
        <v>442.06</v>
      </c>
      <c r="P1567">
        <v>114</v>
      </c>
      <c r="Q1567" t="b">
        <v>0</v>
      </c>
      <c r="S1567" t="s">
        <v>16</v>
      </c>
    </row>
    <row r="1568" spans="1:19">
      <c r="A1568" t="s">
        <v>3238</v>
      </c>
      <c r="B1568" t="s">
        <v>3239</v>
      </c>
      <c r="C1568" s="23" t="s">
        <v>4127</v>
      </c>
      <c r="D1568" s="23">
        <v>45016</v>
      </c>
      <c r="E1568" s="22">
        <v>3</v>
      </c>
      <c r="F1568" s="22">
        <v>31</v>
      </c>
      <c r="G1568" s="22">
        <v>2023</v>
      </c>
      <c r="H1568" s="23">
        <f t="shared" si="72"/>
        <v>45016</v>
      </c>
      <c r="I1568" s="25">
        <v>45018</v>
      </c>
      <c r="J1568" s="22">
        <f t="shared" si="73"/>
        <v>2</v>
      </c>
      <c r="K1568" t="s">
        <v>415</v>
      </c>
      <c r="L1568">
        <v>8564</v>
      </c>
      <c r="M1568">
        <v>262</v>
      </c>
      <c r="N1568" s="26">
        <v>210.44</v>
      </c>
      <c r="O1568" s="26">
        <f t="shared" si="74"/>
        <v>210.44</v>
      </c>
      <c r="P1568">
        <v>32</v>
      </c>
      <c r="Q1568" t="b">
        <v>0</v>
      </c>
      <c r="S1568" t="s">
        <v>34</v>
      </c>
    </row>
    <row r="1569" spans="1:19">
      <c r="A1569" t="s">
        <v>3240</v>
      </c>
      <c r="B1569" t="s">
        <v>3241</v>
      </c>
      <c r="C1569" s="23" t="s">
        <v>4131</v>
      </c>
      <c r="D1569" s="23">
        <v>45030</v>
      </c>
      <c r="E1569" s="22">
        <v>4</v>
      </c>
      <c r="F1569" s="22">
        <v>14</v>
      </c>
      <c r="G1569" s="22">
        <v>2023</v>
      </c>
      <c r="H1569" s="23">
        <f t="shared" si="72"/>
        <v>45030</v>
      </c>
      <c r="I1569" s="25">
        <v>45039</v>
      </c>
      <c r="J1569" s="22">
        <f t="shared" si="73"/>
        <v>9</v>
      </c>
      <c r="K1569" t="s">
        <v>19</v>
      </c>
      <c r="L1569">
        <v>28345</v>
      </c>
      <c r="M1569">
        <v>808</v>
      </c>
      <c r="N1569" s="26">
        <v>1065.13</v>
      </c>
      <c r="O1569" s="26">
        <f t="shared" si="74"/>
        <v>1065.13</v>
      </c>
      <c r="P1569">
        <v>53</v>
      </c>
      <c r="Q1569" t="b">
        <v>1</v>
      </c>
      <c r="S1569" t="s">
        <v>20</v>
      </c>
    </row>
    <row r="1570" spans="1:19">
      <c r="A1570" t="s">
        <v>3242</v>
      </c>
      <c r="B1570" t="s">
        <v>3243</v>
      </c>
      <c r="C1570" s="23" t="s">
        <v>4128</v>
      </c>
      <c r="D1570" s="23">
        <v>45192</v>
      </c>
      <c r="E1570" s="22">
        <v>9</v>
      </c>
      <c r="F1570" s="22">
        <v>23</v>
      </c>
      <c r="G1570" s="22">
        <v>2023</v>
      </c>
      <c r="H1570" s="23">
        <f t="shared" si="72"/>
        <v>45192</v>
      </c>
      <c r="I1570" s="25">
        <v>45195</v>
      </c>
      <c r="J1570" s="22">
        <f t="shared" si="73"/>
        <v>3</v>
      </c>
      <c r="K1570" t="s">
        <v>41</v>
      </c>
      <c r="L1570">
        <v>95223</v>
      </c>
      <c r="M1570">
        <v>1125</v>
      </c>
      <c r="N1570" s="26">
        <v>911.91</v>
      </c>
      <c r="O1570" s="26">
        <f t="shared" si="74"/>
        <v>911.91</v>
      </c>
      <c r="P1570">
        <v>75</v>
      </c>
      <c r="Q1570" t="b">
        <v>1</v>
      </c>
      <c r="S1570" t="s">
        <v>42</v>
      </c>
    </row>
    <row r="1571" spans="1:19">
      <c r="A1571" t="s">
        <v>3244</v>
      </c>
      <c r="B1571" t="s">
        <v>3245</v>
      </c>
      <c r="C1571" s="23" t="s">
        <v>4129</v>
      </c>
      <c r="D1571" s="23">
        <v>45233</v>
      </c>
      <c r="E1571" s="22">
        <v>11</v>
      </c>
      <c r="F1571" s="22">
        <v>3</v>
      </c>
      <c r="G1571" s="22">
        <v>2023</v>
      </c>
      <c r="H1571" s="23">
        <f t="shared" si="72"/>
        <v>45233</v>
      </c>
      <c r="I1571" s="25">
        <v>45250</v>
      </c>
      <c r="J1571" s="22">
        <f t="shared" si="73"/>
        <v>17</v>
      </c>
      <c r="K1571" t="s">
        <v>33</v>
      </c>
      <c r="L1571">
        <v>80273</v>
      </c>
      <c r="M1571">
        <v>1733</v>
      </c>
      <c r="N1571" s="26">
        <v>2280.56</v>
      </c>
      <c r="O1571" s="26">
        <f t="shared" si="74"/>
        <v>2280.56</v>
      </c>
      <c r="P1571">
        <v>295</v>
      </c>
      <c r="Q1571" t="b">
        <v>0</v>
      </c>
      <c r="S1571" t="s">
        <v>34</v>
      </c>
    </row>
    <row r="1572" spans="1:19">
      <c r="A1572" t="s">
        <v>3246</v>
      </c>
      <c r="B1572" t="s">
        <v>3247</v>
      </c>
      <c r="C1572" s="23" t="s">
        <v>4128</v>
      </c>
      <c r="D1572" s="23">
        <v>45241</v>
      </c>
      <c r="E1572" s="22">
        <v>11</v>
      </c>
      <c r="F1572" s="22">
        <v>11</v>
      </c>
      <c r="G1572" s="22">
        <v>2023</v>
      </c>
      <c r="H1572" s="23">
        <f t="shared" si="72"/>
        <v>45241</v>
      </c>
      <c r="I1572" s="25">
        <v>45271</v>
      </c>
      <c r="J1572" s="22">
        <f t="shared" si="73"/>
        <v>30</v>
      </c>
      <c r="K1572" t="s">
        <v>23</v>
      </c>
      <c r="L1572">
        <v>75859</v>
      </c>
      <c r="M1572">
        <v>3583</v>
      </c>
      <c r="N1572" s="26">
        <v>3036.23</v>
      </c>
      <c r="O1572" s="26">
        <f t="shared" si="74"/>
        <v>3036.23</v>
      </c>
      <c r="P1572">
        <v>0</v>
      </c>
      <c r="Q1572" t="b">
        <v>1</v>
      </c>
      <c r="S1572" t="s">
        <v>25</v>
      </c>
    </row>
    <row r="1573" spans="1:19">
      <c r="A1573" t="s">
        <v>3248</v>
      </c>
      <c r="B1573" t="s">
        <v>3249</v>
      </c>
      <c r="C1573" s="23" t="s">
        <v>4131</v>
      </c>
      <c r="D1573" s="23">
        <v>45049</v>
      </c>
      <c r="E1573" s="22">
        <v>5</v>
      </c>
      <c r="F1573" s="22">
        <v>3</v>
      </c>
      <c r="G1573" s="22">
        <v>2023</v>
      </c>
      <c r="H1573" s="23">
        <f t="shared" si="72"/>
        <v>45049</v>
      </c>
      <c r="I1573" s="25">
        <v>45058</v>
      </c>
      <c r="J1573" s="22">
        <f t="shared" si="73"/>
        <v>9</v>
      </c>
      <c r="K1573" t="s">
        <v>14</v>
      </c>
      <c r="L1573">
        <v>81765</v>
      </c>
      <c r="M1573">
        <v>2099</v>
      </c>
      <c r="N1573" s="26">
        <v>3722.34</v>
      </c>
      <c r="O1573" s="26">
        <f t="shared" si="74"/>
        <v>3632.575</v>
      </c>
      <c r="P1573">
        <v>0</v>
      </c>
      <c r="Q1573" t="b">
        <v>0</v>
      </c>
      <c r="S1573" t="s">
        <v>16</v>
      </c>
    </row>
    <row r="1574" spans="1:19">
      <c r="A1574" t="s">
        <v>3250</v>
      </c>
      <c r="B1574" t="s">
        <v>3251</v>
      </c>
      <c r="C1574" s="23" t="s">
        <v>4127</v>
      </c>
      <c r="D1574" s="23">
        <v>44971</v>
      </c>
      <c r="E1574" s="22">
        <v>2</v>
      </c>
      <c r="F1574" s="22">
        <v>14</v>
      </c>
      <c r="G1574" s="22">
        <v>2023</v>
      </c>
      <c r="H1574" s="23">
        <f t="shared" si="72"/>
        <v>44971</v>
      </c>
      <c r="I1574" s="25">
        <v>44986</v>
      </c>
      <c r="J1574" s="22">
        <f t="shared" si="73"/>
        <v>15</v>
      </c>
      <c r="K1574" t="s">
        <v>415</v>
      </c>
      <c r="L1574">
        <v>75038</v>
      </c>
      <c r="M1574">
        <v>2391</v>
      </c>
      <c r="N1574" s="26">
        <v>2620.31</v>
      </c>
      <c r="O1574" s="26">
        <f t="shared" si="74"/>
        <v>2620.31</v>
      </c>
      <c r="P1574">
        <v>363</v>
      </c>
      <c r="Q1574" t="b">
        <v>1</v>
      </c>
      <c r="R1574">
        <v>75079</v>
      </c>
      <c r="S1574" t="s">
        <v>34</v>
      </c>
    </row>
    <row r="1575" spans="1:19">
      <c r="A1575" t="s">
        <v>3252</v>
      </c>
      <c r="B1575" t="s">
        <v>3253</v>
      </c>
      <c r="C1575" s="23" t="s">
        <v>4131</v>
      </c>
      <c r="D1575" s="23">
        <v>45107</v>
      </c>
      <c r="E1575" s="22">
        <v>6</v>
      </c>
      <c r="F1575" s="22">
        <v>30</v>
      </c>
      <c r="G1575" s="22">
        <v>2023</v>
      </c>
      <c r="H1575" s="23">
        <f t="shared" si="72"/>
        <v>45107</v>
      </c>
      <c r="I1575" s="25">
        <v>45112</v>
      </c>
      <c r="J1575" s="22">
        <f t="shared" si="73"/>
        <v>5</v>
      </c>
      <c r="K1575" t="s">
        <v>191</v>
      </c>
      <c r="L1575">
        <v>53393</v>
      </c>
      <c r="M1575">
        <v>1670</v>
      </c>
      <c r="N1575" s="26">
        <v>1450.1</v>
      </c>
      <c r="O1575" s="26">
        <f t="shared" si="74"/>
        <v>1450.1</v>
      </c>
      <c r="P1575">
        <v>0</v>
      </c>
      <c r="Q1575" t="b">
        <v>1</v>
      </c>
      <c r="S1575" t="s">
        <v>42</v>
      </c>
    </row>
    <row r="1576" spans="1:19">
      <c r="A1576" t="s">
        <v>3254</v>
      </c>
      <c r="B1576" t="s">
        <v>3255</v>
      </c>
      <c r="C1576" s="23" t="s">
        <v>4128</v>
      </c>
      <c r="D1576" s="23">
        <v>45029</v>
      </c>
      <c r="E1576" s="22">
        <v>4</v>
      </c>
      <c r="F1576" s="22">
        <v>13</v>
      </c>
      <c r="G1576" s="22">
        <v>2023</v>
      </c>
      <c r="H1576" s="23">
        <f t="shared" si="72"/>
        <v>45029</v>
      </c>
      <c r="I1576" s="25">
        <v>45039</v>
      </c>
      <c r="J1576" s="22">
        <f t="shared" si="73"/>
        <v>10</v>
      </c>
      <c r="K1576" t="s">
        <v>41</v>
      </c>
      <c r="L1576">
        <v>67081</v>
      </c>
      <c r="M1576">
        <v>2255</v>
      </c>
      <c r="N1576" s="26">
        <v>3875.19</v>
      </c>
      <c r="O1576" s="26">
        <f t="shared" si="74"/>
        <v>3632.575</v>
      </c>
      <c r="P1576">
        <v>325</v>
      </c>
      <c r="Q1576" t="b">
        <v>0</v>
      </c>
      <c r="S1576" t="s">
        <v>42</v>
      </c>
    </row>
    <row r="1577" spans="1:19">
      <c r="A1577" t="s">
        <v>3256</v>
      </c>
      <c r="B1577" t="s">
        <v>3257</v>
      </c>
      <c r="C1577" s="23" t="s">
        <v>4128</v>
      </c>
      <c r="D1577" s="23">
        <v>44962</v>
      </c>
      <c r="E1577" s="22">
        <v>2</v>
      </c>
      <c r="F1577" s="22">
        <v>5</v>
      </c>
      <c r="G1577" s="22">
        <v>2023</v>
      </c>
      <c r="H1577" s="23">
        <f t="shared" si="72"/>
        <v>44962</v>
      </c>
      <c r="I1577" s="25">
        <v>44967</v>
      </c>
      <c r="J1577" s="22">
        <f t="shared" si="73"/>
        <v>5</v>
      </c>
      <c r="K1577" t="s">
        <v>41</v>
      </c>
      <c r="L1577">
        <v>30430</v>
      </c>
      <c r="M1577">
        <v>378</v>
      </c>
      <c r="N1577" s="26">
        <v>383.39</v>
      </c>
      <c r="O1577" s="26">
        <f t="shared" si="74"/>
        <v>383.39</v>
      </c>
      <c r="P1577">
        <v>62</v>
      </c>
      <c r="Q1577" t="b">
        <v>1</v>
      </c>
      <c r="S1577" t="s">
        <v>42</v>
      </c>
    </row>
    <row r="1578" spans="1:19">
      <c r="A1578" t="s">
        <v>3258</v>
      </c>
      <c r="B1578" t="s">
        <v>3259</v>
      </c>
      <c r="C1578" s="23" t="s">
        <v>4127</v>
      </c>
      <c r="D1578" s="23">
        <v>45213</v>
      </c>
      <c r="E1578" s="22">
        <v>10</v>
      </c>
      <c r="F1578" s="22">
        <v>14</v>
      </c>
      <c r="G1578" s="22">
        <v>2023</v>
      </c>
      <c r="H1578" s="23">
        <f t="shared" si="72"/>
        <v>45213</v>
      </c>
      <c r="I1578" s="25">
        <v>45241</v>
      </c>
      <c r="J1578" s="22">
        <f t="shared" si="73"/>
        <v>28</v>
      </c>
      <c r="K1578" t="s">
        <v>33</v>
      </c>
      <c r="L1578">
        <v>76532</v>
      </c>
      <c r="M1578">
        <v>1874</v>
      </c>
      <c r="N1578" s="26">
        <v>1250.39</v>
      </c>
      <c r="O1578" s="26">
        <f t="shared" si="74"/>
        <v>1250.39</v>
      </c>
      <c r="P1578">
        <v>308</v>
      </c>
      <c r="Q1578" t="b">
        <v>1</v>
      </c>
      <c r="S1578" t="s">
        <v>34</v>
      </c>
    </row>
    <row r="1579" spans="1:19">
      <c r="A1579" t="s">
        <v>3260</v>
      </c>
      <c r="B1579" t="s">
        <v>3261</v>
      </c>
      <c r="C1579" s="23" t="s">
        <v>4129</v>
      </c>
      <c r="D1579" s="23">
        <v>45068</v>
      </c>
      <c r="E1579" s="22">
        <v>5</v>
      </c>
      <c r="F1579" s="22">
        <v>22</v>
      </c>
      <c r="G1579" s="22">
        <v>2023</v>
      </c>
      <c r="H1579" s="23">
        <f t="shared" si="72"/>
        <v>45068</v>
      </c>
      <c r="I1579" s="25">
        <v>45082</v>
      </c>
      <c r="J1579" s="22">
        <f t="shared" si="73"/>
        <v>14</v>
      </c>
      <c r="K1579" t="s">
        <v>14</v>
      </c>
      <c r="L1579">
        <v>28788</v>
      </c>
      <c r="M1579">
        <v>1120</v>
      </c>
      <c r="N1579" s="26">
        <v>1518.29</v>
      </c>
      <c r="O1579" s="26">
        <f t="shared" si="74"/>
        <v>1518.29</v>
      </c>
      <c r="P1579">
        <v>115</v>
      </c>
      <c r="Q1579" t="b">
        <v>0</v>
      </c>
      <c r="S1579" t="s">
        <v>16</v>
      </c>
    </row>
    <row r="1580" spans="1:19">
      <c r="A1580" t="s">
        <v>3262</v>
      </c>
      <c r="B1580" t="s">
        <v>3263</v>
      </c>
      <c r="C1580" s="23" t="s">
        <v>4131</v>
      </c>
      <c r="D1580" s="23">
        <v>45159</v>
      </c>
      <c r="E1580" s="22">
        <v>8</v>
      </c>
      <c r="F1580" s="22">
        <v>21</v>
      </c>
      <c r="G1580" s="22">
        <v>2023</v>
      </c>
      <c r="H1580" s="23">
        <f t="shared" si="72"/>
        <v>45159</v>
      </c>
      <c r="I1580" s="25">
        <v>45168</v>
      </c>
      <c r="J1580" s="22">
        <f t="shared" si="73"/>
        <v>9</v>
      </c>
      <c r="K1580" t="s">
        <v>19</v>
      </c>
      <c r="L1580">
        <v>96505</v>
      </c>
      <c r="M1580">
        <v>1739</v>
      </c>
      <c r="N1580" s="26">
        <v>2386.51</v>
      </c>
      <c r="O1580" s="26">
        <f t="shared" si="74"/>
        <v>2386.51</v>
      </c>
      <c r="P1580">
        <v>158</v>
      </c>
      <c r="Q1580" t="b">
        <v>0</v>
      </c>
      <c r="S1580" t="s">
        <v>20</v>
      </c>
    </row>
    <row r="1581" spans="1:19">
      <c r="A1581" t="s">
        <v>3264</v>
      </c>
      <c r="B1581" t="s">
        <v>3265</v>
      </c>
      <c r="C1581" s="23" t="s">
        <v>4127</v>
      </c>
      <c r="D1581" s="23">
        <v>45060</v>
      </c>
      <c r="E1581" s="22">
        <v>5</v>
      </c>
      <c r="F1581" s="22">
        <v>14</v>
      </c>
      <c r="G1581" s="22">
        <v>2023</v>
      </c>
      <c r="H1581" s="23">
        <f t="shared" si="72"/>
        <v>45060</v>
      </c>
      <c r="I1581" s="25">
        <v>45088</v>
      </c>
      <c r="J1581" s="22">
        <f t="shared" si="73"/>
        <v>28</v>
      </c>
      <c r="K1581" t="s">
        <v>14</v>
      </c>
      <c r="L1581">
        <v>49543</v>
      </c>
      <c r="M1581">
        <v>898</v>
      </c>
      <c r="N1581" s="26">
        <v>1411.7</v>
      </c>
      <c r="O1581" s="26">
        <f t="shared" si="74"/>
        <v>1411.7</v>
      </c>
      <c r="P1581">
        <v>0</v>
      </c>
      <c r="Q1581" t="b">
        <v>1</v>
      </c>
      <c r="S1581" t="s">
        <v>16</v>
      </c>
    </row>
    <row r="1582" spans="1:19">
      <c r="A1582" t="s">
        <v>3266</v>
      </c>
      <c r="B1582" t="s">
        <v>3267</v>
      </c>
      <c r="C1582" s="23" t="s">
        <v>4131</v>
      </c>
      <c r="D1582" s="23" t="s">
        <v>3268</v>
      </c>
      <c r="E1582" s="22">
        <v>14</v>
      </c>
      <c r="F1582" s="22">
        <v>10</v>
      </c>
      <c r="G1582" s="22">
        <v>2023</v>
      </c>
      <c r="H1582" s="23">
        <f t="shared" si="72"/>
        <v>45213</v>
      </c>
      <c r="I1582" s="25">
        <v>45243</v>
      </c>
      <c r="J1582" s="22">
        <f t="shared" si="73"/>
        <v>30</v>
      </c>
      <c r="K1582" t="s">
        <v>19</v>
      </c>
      <c r="L1582">
        <v>14919</v>
      </c>
      <c r="M1582">
        <v>155</v>
      </c>
      <c r="N1582" s="26">
        <v>133.35</v>
      </c>
      <c r="O1582" s="26">
        <f t="shared" si="74"/>
        <v>133.35</v>
      </c>
      <c r="P1582">
        <v>16</v>
      </c>
      <c r="Q1582" t="b">
        <v>0</v>
      </c>
      <c r="S1582" t="s">
        <v>20</v>
      </c>
    </row>
    <row r="1583" spans="1:19">
      <c r="A1583" t="s">
        <v>3269</v>
      </c>
      <c r="B1583" t="s">
        <v>3270</v>
      </c>
      <c r="C1583" s="23" t="s">
        <v>4128</v>
      </c>
      <c r="D1583" s="23">
        <v>45077</v>
      </c>
      <c r="E1583" s="22">
        <v>5</v>
      </c>
      <c r="F1583" s="22">
        <v>31</v>
      </c>
      <c r="G1583" s="22">
        <v>2023</v>
      </c>
      <c r="H1583" s="23">
        <f t="shared" si="72"/>
        <v>45077</v>
      </c>
      <c r="I1583" s="25">
        <v>45083</v>
      </c>
      <c r="J1583" s="22">
        <f t="shared" si="73"/>
        <v>6</v>
      </c>
      <c r="K1583" t="s">
        <v>41</v>
      </c>
      <c r="L1583">
        <v>70346</v>
      </c>
      <c r="M1583">
        <v>1934</v>
      </c>
      <c r="N1583" s="26">
        <v>2254.38</v>
      </c>
      <c r="O1583" s="26">
        <f t="shared" si="74"/>
        <v>2254.38</v>
      </c>
      <c r="P1583">
        <v>358</v>
      </c>
      <c r="Q1583" t="b">
        <v>1</v>
      </c>
      <c r="S1583" t="s">
        <v>42</v>
      </c>
    </row>
    <row r="1584" spans="1:19">
      <c r="A1584" t="s">
        <v>3271</v>
      </c>
      <c r="B1584" t="s">
        <v>3272</v>
      </c>
      <c r="C1584" s="23" t="s">
        <v>4129</v>
      </c>
      <c r="D1584" s="23">
        <v>45189</v>
      </c>
      <c r="E1584" s="22">
        <v>9</v>
      </c>
      <c r="F1584" s="22">
        <v>20</v>
      </c>
      <c r="G1584" s="22">
        <v>2023</v>
      </c>
      <c r="H1584" s="23">
        <f t="shared" si="72"/>
        <v>45189</v>
      </c>
      <c r="I1584" s="25">
        <v>45197</v>
      </c>
      <c r="J1584" s="22">
        <f t="shared" si="73"/>
        <v>8</v>
      </c>
      <c r="K1584" t="s">
        <v>33</v>
      </c>
      <c r="L1584">
        <v>97122</v>
      </c>
      <c r="M1584">
        <v>4400</v>
      </c>
      <c r="N1584" s="26">
        <v>4063.63</v>
      </c>
      <c r="O1584" s="26">
        <f t="shared" si="74"/>
        <v>3632.575</v>
      </c>
      <c r="P1584">
        <v>265</v>
      </c>
      <c r="Q1584" t="b">
        <v>0</v>
      </c>
      <c r="S1584" t="s">
        <v>34</v>
      </c>
    </row>
    <row r="1585" spans="1:19">
      <c r="A1585" t="s">
        <v>3273</v>
      </c>
      <c r="B1585" t="s">
        <v>3274</v>
      </c>
      <c r="C1585" s="23" t="s">
        <v>4131</v>
      </c>
      <c r="D1585" s="23">
        <v>45221</v>
      </c>
      <c r="E1585" s="22">
        <v>10</v>
      </c>
      <c r="F1585" s="22">
        <v>22</v>
      </c>
      <c r="G1585" s="22">
        <v>2023</v>
      </c>
      <c r="H1585" s="23">
        <f t="shared" si="72"/>
        <v>45221</v>
      </c>
      <c r="I1585" s="25">
        <v>45235</v>
      </c>
      <c r="J1585" s="22">
        <f t="shared" si="73"/>
        <v>14</v>
      </c>
      <c r="K1585" t="s">
        <v>23</v>
      </c>
      <c r="L1585">
        <v>40974</v>
      </c>
      <c r="M1585">
        <v>494</v>
      </c>
      <c r="N1585" s="26">
        <v>306.99</v>
      </c>
      <c r="O1585" s="26">
        <f t="shared" si="74"/>
        <v>306.99</v>
      </c>
      <c r="P1585">
        <v>29</v>
      </c>
      <c r="Q1585" t="b">
        <v>1</v>
      </c>
      <c r="S1585" t="s">
        <v>25</v>
      </c>
    </row>
    <row r="1586" spans="1:19">
      <c r="A1586" t="s">
        <v>3275</v>
      </c>
      <c r="B1586" t="s">
        <v>3276</v>
      </c>
      <c r="C1586" s="23" t="s">
        <v>4127</v>
      </c>
      <c r="D1586" s="23">
        <v>45120</v>
      </c>
      <c r="E1586" s="22">
        <v>7</v>
      </c>
      <c r="F1586" s="22">
        <v>13</v>
      </c>
      <c r="G1586" s="22">
        <v>2023</v>
      </c>
      <c r="H1586" s="23">
        <f t="shared" si="72"/>
        <v>45120</v>
      </c>
      <c r="I1586" s="25">
        <v>45130</v>
      </c>
      <c r="J1586" s="22">
        <f t="shared" si="73"/>
        <v>10</v>
      </c>
      <c r="K1586" t="s">
        <v>58</v>
      </c>
      <c r="L1586">
        <v>17371</v>
      </c>
      <c r="M1586">
        <v>306</v>
      </c>
      <c r="N1586" s="26">
        <v>555.37</v>
      </c>
      <c r="O1586" s="26">
        <f t="shared" si="74"/>
        <v>555.37</v>
      </c>
      <c r="P1586">
        <v>57</v>
      </c>
      <c r="Q1586" t="b">
        <v>0</v>
      </c>
      <c r="S1586" t="s">
        <v>59</v>
      </c>
    </row>
    <row r="1587" spans="1:19">
      <c r="A1587" t="s">
        <v>3277</v>
      </c>
      <c r="B1587" t="s">
        <v>3278</v>
      </c>
      <c r="C1587" s="23" t="s">
        <v>4131</v>
      </c>
      <c r="D1587" s="23">
        <v>45100</v>
      </c>
      <c r="E1587" s="22">
        <v>6</v>
      </c>
      <c r="F1587" s="22">
        <v>23</v>
      </c>
      <c r="G1587" s="22">
        <v>2023</v>
      </c>
      <c r="H1587" s="23">
        <f t="shared" si="72"/>
        <v>45100</v>
      </c>
      <c r="I1587" s="25">
        <v>45106</v>
      </c>
      <c r="J1587" s="22">
        <f t="shared" si="73"/>
        <v>6</v>
      </c>
      <c r="K1587" t="s">
        <v>14</v>
      </c>
      <c r="L1587">
        <v>46084</v>
      </c>
      <c r="M1587">
        <v>1032</v>
      </c>
      <c r="N1587" s="26">
        <v>1644.29</v>
      </c>
      <c r="O1587" s="26">
        <f t="shared" si="74"/>
        <v>1644.29</v>
      </c>
      <c r="P1587">
        <v>151</v>
      </c>
      <c r="Q1587" t="b">
        <v>1</v>
      </c>
      <c r="S1587" t="s">
        <v>16</v>
      </c>
    </row>
    <row r="1588" spans="1:19">
      <c r="A1588" t="s">
        <v>3279</v>
      </c>
      <c r="B1588" t="s">
        <v>3280</v>
      </c>
      <c r="C1588" s="23" t="s">
        <v>4128</v>
      </c>
      <c r="D1588" s="23">
        <v>45162</v>
      </c>
      <c r="E1588" s="22">
        <v>8</v>
      </c>
      <c r="F1588" s="22">
        <v>24</v>
      </c>
      <c r="G1588" s="22">
        <v>2023</v>
      </c>
      <c r="H1588" s="23">
        <f t="shared" si="72"/>
        <v>45162</v>
      </c>
      <c r="I1588" s="25">
        <v>45179</v>
      </c>
      <c r="J1588" s="22">
        <f t="shared" si="73"/>
        <v>17</v>
      </c>
      <c r="K1588" t="s">
        <v>41</v>
      </c>
      <c r="L1588">
        <v>30629</v>
      </c>
      <c r="M1588">
        <v>1202</v>
      </c>
      <c r="N1588" s="26">
        <v>1144.54</v>
      </c>
      <c r="O1588" s="26">
        <f t="shared" si="74"/>
        <v>1144.54</v>
      </c>
      <c r="P1588">
        <v>0</v>
      </c>
      <c r="Q1588" t="b">
        <v>1</v>
      </c>
      <c r="S1588" t="s">
        <v>42</v>
      </c>
    </row>
    <row r="1589" spans="1:19">
      <c r="A1589" t="s">
        <v>3281</v>
      </c>
      <c r="B1589" t="s">
        <v>3282</v>
      </c>
      <c r="C1589" s="23" t="s">
        <v>4128</v>
      </c>
      <c r="D1589" s="23">
        <v>45173</v>
      </c>
      <c r="E1589" s="22">
        <v>9</v>
      </c>
      <c r="F1589" s="22">
        <v>4</v>
      </c>
      <c r="G1589" s="22">
        <v>2023</v>
      </c>
      <c r="H1589" s="23">
        <f t="shared" si="72"/>
        <v>45173</v>
      </c>
      <c r="I1589" s="25">
        <v>45028</v>
      </c>
      <c r="J1589" s="22">
        <f t="shared" si="73"/>
        <v>-145</v>
      </c>
      <c r="K1589" t="s">
        <v>23</v>
      </c>
      <c r="L1589">
        <v>52184</v>
      </c>
      <c r="M1589">
        <v>1859</v>
      </c>
      <c r="N1589" s="26">
        <v>2600.85</v>
      </c>
      <c r="O1589" s="26">
        <f t="shared" si="74"/>
        <v>2600.85</v>
      </c>
      <c r="P1589">
        <v>303</v>
      </c>
      <c r="Q1589" t="b">
        <v>1</v>
      </c>
      <c r="S1589" t="s">
        <v>25</v>
      </c>
    </row>
    <row r="1590" spans="1:19">
      <c r="A1590" t="s">
        <v>3283</v>
      </c>
      <c r="B1590" t="s">
        <v>3284</v>
      </c>
      <c r="C1590" s="23" t="s">
        <v>4127</v>
      </c>
      <c r="D1590" s="23">
        <v>45251</v>
      </c>
      <c r="E1590" s="22">
        <v>11</v>
      </c>
      <c r="F1590" s="22">
        <v>21</v>
      </c>
      <c r="G1590" s="22">
        <v>2023</v>
      </c>
      <c r="H1590" s="23">
        <f t="shared" si="72"/>
        <v>45251</v>
      </c>
      <c r="I1590" s="25">
        <v>45259</v>
      </c>
      <c r="J1590" s="22">
        <f t="shared" si="73"/>
        <v>8</v>
      </c>
      <c r="K1590" t="s">
        <v>14</v>
      </c>
      <c r="L1590">
        <v>62916</v>
      </c>
      <c r="M1590">
        <v>1675</v>
      </c>
      <c r="N1590" s="26">
        <v>1343.18</v>
      </c>
      <c r="O1590" s="26">
        <f t="shared" si="74"/>
        <v>1343.18</v>
      </c>
      <c r="P1590">
        <v>252</v>
      </c>
      <c r="Q1590" t="b">
        <v>0</v>
      </c>
      <c r="S1590" t="s">
        <v>16</v>
      </c>
    </row>
    <row r="1591" spans="1:19">
      <c r="A1591" t="s">
        <v>3285</v>
      </c>
      <c r="B1591" t="s">
        <v>3286</v>
      </c>
      <c r="C1591" s="23" t="s">
        <v>4131</v>
      </c>
      <c r="D1591" s="23">
        <v>45286</v>
      </c>
      <c r="E1591" s="22">
        <v>12</v>
      </c>
      <c r="F1591" s="22">
        <v>26</v>
      </c>
      <c r="G1591" s="22">
        <v>2023</v>
      </c>
      <c r="H1591" s="23">
        <f t="shared" si="72"/>
        <v>45286</v>
      </c>
      <c r="I1591" s="25">
        <v>45314</v>
      </c>
      <c r="J1591" s="22">
        <f t="shared" si="73"/>
        <v>28</v>
      </c>
      <c r="K1591" t="s">
        <v>14</v>
      </c>
      <c r="L1591">
        <v>74972</v>
      </c>
      <c r="M1591">
        <v>3026</v>
      </c>
      <c r="N1591" s="26">
        <v>5553.78</v>
      </c>
      <c r="O1591" s="26">
        <f t="shared" si="74"/>
        <v>3632.575</v>
      </c>
      <c r="P1591">
        <v>392</v>
      </c>
      <c r="Q1591" t="b">
        <v>1</v>
      </c>
      <c r="S1591" t="s">
        <v>16</v>
      </c>
    </row>
    <row r="1592" spans="1:19">
      <c r="A1592" t="s">
        <v>3287</v>
      </c>
      <c r="B1592" t="s">
        <v>3288</v>
      </c>
      <c r="C1592" s="23" t="s">
        <v>4131</v>
      </c>
      <c r="D1592" s="23">
        <v>45107</v>
      </c>
      <c r="E1592" s="22">
        <v>6</v>
      </c>
      <c r="F1592" s="22">
        <v>30</v>
      </c>
      <c r="G1592" s="22">
        <v>2023</v>
      </c>
      <c r="H1592" s="23">
        <f t="shared" si="72"/>
        <v>45107</v>
      </c>
      <c r="I1592" s="25">
        <v>45110</v>
      </c>
      <c r="J1592" s="22">
        <f t="shared" si="73"/>
        <v>3</v>
      </c>
      <c r="K1592" t="s">
        <v>14</v>
      </c>
      <c r="L1592">
        <v>63187</v>
      </c>
      <c r="M1592">
        <v>2172</v>
      </c>
      <c r="N1592" s="26">
        <v>1460.36</v>
      </c>
      <c r="O1592" s="26">
        <f t="shared" si="74"/>
        <v>1460.36</v>
      </c>
      <c r="P1592">
        <v>140</v>
      </c>
      <c r="Q1592" t="b">
        <v>1</v>
      </c>
      <c r="S1592" t="s">
        <v>16</v>
      </c>
    </row>
    <row r="1593" spans="1:19">
      <c r="A1593" t="s">
        <v>3289</v>
      </c>
      <c r="B1593" t="s">
        <v>3290</v>
      </c>
      <c r="C1593" s="23" t="s">
        <v>4131</v>
      </c>
      <c r="D1593" s="23">
        <v>45061</v>
      </c>
      <c r="E1593" s="22">
        <v>5</v>
      </c>
      <c r="F1593" s="22">
        <v>15</v>
      </c>
      <c r="G1593" s="22">
        <v>2023</v>
      </c>
      <c r="H1593" s="23">
        <f t="shared" si="72"/>
        <v>45061</v>
      </c>
      <c r="I1593" s="25">
        <v>45081</v>
      </c>
      <c r="J1593" s="22">
        <f t="shared" si="73"/>
        <v>20</v>
      </c>
      <c r="K1593" t="s">
        <v>138</v>
      </c>
      <c r="L1593">
        <v>13984</v>
      </c>
      <c r="M1593">
        <v>641</v>
      </c>
      <c r="N1593" s="26">
        <v>324.19</v>
      </c>
      <c r="O1593" s="26">
        <f t="shared" si="74"/>
        <v>324.19</v>
      </c>
      <c r="P1593">
        <v>110</v>
      </c>
      <c r="Q1593" t="b">
        <v>0</v>
      </c>
      <c r="S1593" t="s">
        <v>139</v>
      </c>
    </row>
    <row r="1594" spans="1:19">
      <c r="A1594" t="s">
        <v>3291</v>
      </c>
      <c r="B1594" t="s">
        <v>3292</v>
      </c>
      <c r="C1594" s="23" t="s">
        <v>4127</v>
      </c>
      <c r="D1594" s="23">
        <v>45271</v>
      </c>
      <c r="E1594" s="22">
        <v>12</v>
      </c>
      <c r="F1594" s="22">
        <v>11</v>
      </c>
      <c r="G1594" s="22">
        <v>2023</v>
      </c>
      <c r="H1594" s="23">
        <f t="shared" si="72"/>
        <v>45271</v>
      </c>
      <c r="I1594" s="25">
        <v>45273</v>
      </c>
      <c r="J1594" s="22">
        <f t="shared" si="73"/>
        <v>2</v>
      </c>
      <c r="K1594" t="s">
        <v>33</v>
      </c>
      <c r="L1594">
        <v>34039</v>
      </c>
      <c r="M1594">
        <v>1454</v>
      </c>
      <c r="N1594" s="26">
        <v>1821.88</v>
      </c>
      <c r="O1594" s="26">
        <f t="shared" si="74"/>
        <v>1821.88</v>
      </c>
      <c r="P1594">
        <v>261</v>
      </c>
      <c r="Q1594" t="b">
        <v>1</v>
      </c>
      <c r="S1594" t="s">
        <v>34</v>
      </c>
    </row>
    <row r="1595" spans="1:19">
      <c r="A1595" t="s">
        <v>3293</v>
      </c>
      <c r="B1595" t="s">
        <v>3294</v>
      </c>
      <c r="C1595" s="23" t="s">
        <v>4127</v>
      </c>
      <c r="D1595" s="23">
        <v>45210</v>
      </c>
      <c r="E1595" s="22">
        <v>10</v>
      </c>
      <c r="F1595" s="22">
        <v>11</v>
      </c>
      <c r="G1595" s="22">
        <v>2023</v>
      </c>
      <c r="H1595" s="23">
        <f t="shared" si="72"/>
        <v>45210</v>
      </c>
      <c r="I1595" s="25">
        <v>45229</v>
      </c>
      <c r="J1595" s="22">
        <f t="shared" si="73"/>
        <v>19</v>
      </c>
      <c r="K1595" t="s">
        <v>19</v>
      </c>
      <c r="L1595">
        <v>86431</v>
      </c>
      <c r="M1595">
        <v>1738</v>
      </c>
      <c r="N1595" s="26">
        <v>2389.21</v>
      </c>
      <c r="O1595" s="26">
        <f t="shared" si="74"/>
        <v>2389.21</v>
      </c>
      <c r="P1595">
        <v>0</v>
      </c>
      <c r="Q1595" t="b">
        <v>0</v>
      </c>
      <c r="S1595" t="s">
        <v>20</v>
      </c>
    </row>
    <row r="1596" spans="1:19">
      <c r="A1596" t="s">
        <v>3295</v>
      </c>
      <c r="B1596" t="s">
        <v>3296</v>
      </c>
      <c r="C1596" s="23" t="s">
        <v>4129</v>
      </c>
      <c r="D1596" s="23">
        <v>45108</v>
      </c>
      <c r="E1596" s="22">
        <v>7</v>
      </c>
      <c r="F1596" s="22">
        <v>1</v>
      </c>
      <c r="G1596" s="22">
        <v>2023</v>
      </c>
      <c r="H1596" s="23">
        <f t="shared" si="72"/>
        <v>45108</v>
      </c>
      <c r="I1596" s="25">
        <v>45129</v>
      </c>
      <c r="J1596" s="22">
        <f t="shared" si="73"/>
        <v>21</v>
      </c>
      <c r="K1596" t="s">
        <v>19</v>
      </c>
      <c r="L1596">
        <v>84691</v>
      </c>
      <c r="M1596">
        <v>1766</v>
      </c>
      <c r="N1596" s="26">
        <v>2416.68</v>
      </c>
      <c r="O1596" s="26">
        <f t="shared" si="74"/>
        <v>2416.68</v>
      </c>
      <c r="P1596">
        <v>313</v>
      </c>
      <c r="Q1596" t="b">
        <v>1</v>
      </c>
      <c r="S1596" t="s">
        <v>20</v>
      </c>
    </row>
    <row r="1597" spans="1:19">
      <c r="A1597" t="s">
        <v>3297</v>
      </c>
      <c r="B1597" t="s">
        <v>3298</v>
      </c>
      <c r="C1597" s="23" t="s">
        <v>4129</v>
      </c>
      <c r="D1597" s="23">
        <v>45020</v>
      </c>
      <c r="E1597" s="22">
        <v>4</v>
      </c>
      <c r="F1597" s="22">
        <v>4</v>
      </c>
      <c r="G1597" s="22">
        <v>2023</v>
      </c>
      <c r="H1597" s="23">
        <f t="shared" si="72"/>
        <v>45020</v>
      </c>
      <c r="I1597" s="25">
        <v>45046</v>
      </c>
      <c r="J1597" s="22">
        <f t="shared" si="73"/>
        <v>26</v>
      </c>
      <c r="K1597" t="s">
        <v>41</v>
      </c>
      <c r="L1597">
        <v>59606</v>
      </c>
      <c r="M1597">
        <v>894</v>
      </c>
      <c r="N1597" s="26">
        <v>520.1</v>
      </c>
      <c r="O1597" s="26">
        <f t="shared" si="74"/>
        <v>520.1</v>
      </c>
      <c r="P1597">
        <v>162</v>
      </c>
      <c r="Q1597" t="b">
        <v>0</v>
      </c>
      <c r="S1597" t="s">
        <v>42</v>
      </c>
    </row>
    <row r="1598" spans="1:19">
      <c r="A1598" t="s">
        <v>3299</v>
      </c>
      <c r="B1598" t="s">
        <v>3300</v>
      </c>
      <c r="C1598" s="23" t="s">
        <v>4131</v>
      </c>
      <c r="D1598" s="23">
        <v>45024</v>
      </c>
      <c r="E1598" s="22">
        <v>4</v>
      </c>
      <c r="F1598" s="22">
        <v>8</v>
      </c>
      <c r="G1598" s="22">
        <v>2023</v>
      </c>
      <c r="H1598" s="23">
        <f t="shared" si="72"/>
        <v>45024</v>
      </c>
      <c r="I1598" s="25">
        <v>45050</v>
      </c>
      <c r="J1598" s="22">
        <f t="shared" si="73"/>
        <v>26</v>
      </c>
      <c r="K1598" t="s">
        <v>41</v>
      </c>
      <c r="L1598">
        <v>11616</v>
      </c>
      <c r="M1598">
        <v>272</v>
      </c>
      <c r="N1598" s="26">
        <v>264.13</v>
      </c>
      <c r="O1598" s="26">
        <f t="shared" si="74"/>
        <v>264.13</v>
      </c>
      <c r="P1598">
        <v>36</v>
      </c>
      <c r="Q1598" t="b">
        <v>0</v>
      </c>
      <c r="S1598" t="s">
        <v>42</v>
      </c>
    </row>
    <row r="1599" spans="1:19">
      <c r="A1599" t="s">
        <v>3301</v>
      </c>
      <c r="B1599" t="s">
        <v>3302</v>
      </c>
      <c r="C1599" s="23" t="s">
        <v>4128</v>
      </c>
      <c r="D1599" s="23">
        <v>45050</v>
      </c>
      <c r="E1599" s="22">
        <v>5</v>
      </c>
      <c r="F1599" s="22">
        <v>4</v>
      </c>
      <c r="G1599" s="22">
        <v>2023</v>
      </c>
      <c r="H1599" s="23">
        <f t="shared" si="72"/>
        <v>45050</v>
      </c>
      <c r="I1599" s="25">
        <v>45078</v>
      </c>
      <c r="J1599" s="22">
        <f t="shared" si="73"/>
        <v>28</v>
      </c>
      <c r="K1599" t="s">
        <v>41</v>
      </c>
      <c r="L1599">
        <v>51072</v>
      </c>
      <c r="M1599">
        <v>2552</v>
      </c>
      <c r="N1599" s="26">
        <v>3186.93</v>
      </c>
      <c r="O1599" s="26">
        <f t="shared" si="74"/>
        <v>3186.93</v>
      </c>
      <c r="P1599">
        <v>378</v>
      </c>
      <c r="Q1599" t="b">
        <v>1</v>
      </c>
      <c r="S1599" t="s">
        <v>42</v>
      </c>
    </row>
    <row r="1600" spans="1:19">
      <c r="A1600" t="s">
        <v>3303</v>
      </c>
      <c r="B1600" t="s">
        <v>3304</v>
      </c>
      <c r="C1600" s="23" t="s">
        <v>4128</v>
      </c>
      <c r="D1600" s="23">
        <v>45030</v>
      </c>
      <c r="E1600" s="22">
        <v>4</v>
      </c>
      <c r="F1600" s="22">
        <v>14</v>
      </c>
      <c r="G1600" s="22">
        <v>2023</v>
      </c>
      <c r="H1600" s="23">
        <f t="shared" si="72"/>
        <v>45030</v>
      </c>
      <c r="I1600" s="25">
        <v>45058</v>
      </c>
      <c r="J1600" s="22">
        <f t="shared" si="73"/>
        <v>28</v>
      </c>
      <c r="K1600" t="s">
        <v>19</v>
      </c>
      <c r="L1600">
        <v>25574</v>
      </c>
      <c r="M1600">
        <v>670</v>
      </c>
      <c r="N1600" s="26">
        <v>552.66</v>
      </c>
      <c r="O1600" s="26">
        <f t="shared" si="74"/>
        <v>552.66</v>
      </c>
      <c r="P1600">
        <v>0</v>
      </c>
      <c r="Q1600" t="b">
        <v>1</v>
      </c>
      <c r="S1600" t="s">
        <v>20</v>
      </c>
    </row>
    <row r="1601" spans="1:19">
      <c r="A1601" t="s">
        <v>3305</v>
      </c>
      <c r="B1601" t="s">
        <v>3306</v>
      </c>
      <c r="C1601" s="23" t="s">
        <v>4127</v>
      </c>
      <c r="D1601" s="23">
        <v>45109</v>
      </c>
      <c r="E1601" s="22">
        <v>7</v>
      </c>
      <c r="F1601" s="22">
        <v>2</v>
      </c>
      <c r="G1601" s="22">
        <v>2023</v>
      </c>
      <c r="H1601" s="23">
        <f t="shared" si="72"/>
        <v>45109</v>
      </c>
      <c r="I1601" s="25">
        <v>45133</v>
      </c>
      <c r="J1601" s="22">
        <f t="shared" si="73"/>
        <v>24</v>
      </c>
      <c r="K1601" t="s">
        <v>23</v>
      </c>
      <c r="L1601">
        <v>4430</v>
      </c>
      <c r="M1601">
        <v>83</v>
      </c>
      <c r="N1601" s="26">
        <v>150.14</v>
      </c>
      <c r="O1601" s="26">
        <f t="shared" si="74"/>
        <v>150.14</v>
      </c>
      <c r="P1601">
        <v>7</v>
      </c>
      <c r="Q1601" t="b">
        <v>0</v>
      </c>
      <c r="S1601" t="s">
        <v>25</v>
      </c>
    </row>
    <row r="1602" spans="1:19">
      <c r="A1602" t="s">
        <v>3307</v>
      </c>
      <c r="B1602" t="s">
        <v>3308</v>
      </c>
      <c r="C1602" s="23" t="s">
        <v>4127</v>
      </c>
      <c r="D1602" s="23">
        <v>44967</v>
      </c>
      <c r="E1602" s="22">
        <v>2</v>
      </c>
      <c r="F1602" s="22">
        <v>10</v>
      </c>
      <c r="G1602" s="22">
        <v>2023</v>
      </c>
      <c r="H1602" s="23">
        <f t="shared" si="72"/>
        <v>44967</v>
      </c>
      <c r="I1602" s="25">
        <v>44973</v>
      </c>
      <c r="J1602" s="22">
        <f t="shared" si="73"/>
        <v>6</v>
      </c>
      <c r="K1602" t="s">
        <v>14</v>
      </c>
      <c r="L1602">
        <v>13676</v>
      </c>
      <c r="M1602">
        <v>553</v>
      </c>
      <c r="N1602" s="26">
        <v>348.76</v>
      </c>
      <c r="O1602" s="26">
        <f t="shared" si="74"/>
        <v>348.76</v>
      </c>
      <c r="P1602">
        <v>87</v>
      </c>
      <c r="Q1602" t="b">
        <v>0</v>
      </c>
      <c r="S1602" t="s">
        <v>16</v>
      </c>
    </row>
    <row r="1603" spans="1:19">
      <c r="A1603" t="s">
        <v>3309</v>
      </c>
      <c r="B1603" t="s">
        <v>3310</v>
      </c>
      <c r="C1603" s="23" t="s">
        <v>4129</v>
      </c>
      <c r="D1603" s="23">
        <v>45241</v>
      </c>
      <c r="E1603" s="22">
        <v>11</v>
      </c>
      <c r="F1603" s="22">
        <v>11</v>
      </c>
      <c r="G1603" s="22">
        <v>2023</v>
      </c>
      <c r="H1603" s="23">
        <f t="shared" ref="H1603:H1666" si="75">IF(E1603&gt;12,DATE(G1603,F1603,E1603),D1603)</f>
        <v>45241</v>
      </c>
      <c r="I1603" s="25">
        <v>45251</v>
      </c>
      <c r="J1603" s="22">
        <f t="shared" ref="J1603:J1666" si="76">DATEDIF(H1603,I1603,"D")</f>
        <v>10</v>
      </c>
      <c r="K1603" t="s">
        <v>41</v>
      </c>
      <c r="L1603">
        <v>11816</v>
      </c>
      <c r="M1603">
        <v>374</v>
      </c>
      <c r="N1603" s="26">
        <v>460.42</v>
      </c>
      <c r="O1603" s="26">
        <f t="shared" ref="O1603:O1666" si="77">IF(N1603&lt;$W$8,$W$8,IF(N1603&gt;$W$9,$W$9,N1603))</f>
        <v>460.42</v>
      </c>
      <c r="P1603">
        <v>67</v>
      </c>
      <c r="Q1603" t="b">
        <v>0</v>
      </c>
      <c r="S1603" t="s">
        <v>42</v>
      </c>
    </row>
    <row r="1604" spans="1:19">
      <c r="A1604" t="s">
        <v>3311</v>
      </c>
      <c r="B1604" t="s">
        <v>3312</v>
      </c>
      <c r="C1604" s="23" t="s">
        <v>4128</v>
      </c>
      <c r="D1604" s="23">
        <v>45204</v>
      </c>
      <c r="E1604" s="22">
        <v>10</v>
      </c>
      <c r="F1604" s="22">
        <v>5</v>
      </c>
      <c r="G1604" s="22">
        <v>2023</v>
      </c>
      <c r="H1604" s="23">
        <f t="shared" si="75"/>
        <v>45204</v>
      </c>
      <c r="I1604" s="25">
        <v>45222</v>
      </c>
      <c r="J1604" s="22">
        <f t="shared" si="76"/>
        <v>18</v>
      </c>
      <c r="K1604" t="s">
        <v>23</v>
      </c>
      <c r="L1604">
        <v>33733</v>
      </c>
      <c r="M1604">
        <v>539</v>
      </c>
      <c r="N1604" s="26">
        <v>828.51</v>
      </c>
      <c r="O1604" s="26">
        <f t="shared" si="77"/>
        <v>828.51</v>
      </c>
      <c r="P1604">
        <v>79</v>
      </c>
      <c r="Q1604" t="b">
        <v>1</v>
      </c>
      <c r="S1604" t="s">
        <v>25</v>
      </c>
    </row>
    <row r="1605" spans="1:19">
      <c r="A1605" t="s">
        <v>3313</v>
      </c>
      <c r="B1605" t="s">
        <v>3314</v>
      </c>
      <c r="C1605" s="23" t="s">
        <v>4127</v>
      </c>
      <c r="D1605" s="23">
        <v>45117</v>
      </c>
      <c r="E1605" s="22">
        <v>7</v>
      </c>
      <c r="F1605" s="22">
        <v>10</v>
      </c>
      <c r="G1605" s="22">
        <v>2023</v>
      </c>
      <c r="H1605" s="23">
        <f t="shared" si="75"/>
        <v>45117</v>
      </c>
      <c r="I1605" s="25">
        <v>45133</v>
      </c>
      <c r="J1605" s="22">
        <f t="shared" si="76"/>
        <v>16</v>
      </c>
      <c r="K1605" t="s">
        <v>23</v>
      </c>
      <c r="L1605">
        <v>86680</v>
      </c>
      <c r="M1605">
        <v>2186</v>
      </c>
      <c r="N1605" s="26">
        <v>1951.28</v>
      </c>
      <c r="O1605" s="26">
        <f t="shared" si="77"/>
        <v>1951.28</v>
      </c>
      <c r="P1605">
        <v>277</v>
      </c>
      <c r="Q1605" t="b">
        <v>0</v>
      </c>
      <c r="S1605" t="s">
        <v>25</v>
      </c>
    </row>
    <row r="1606" spans="1:19">
      <c r="A1606" t="s">
        <v>3315</v>
      </c>
      <c r="B1606" t="s">
        <v>3316</v>
      </c>
      <c r="C1606" s="23" t="s">
        <v>4128</v>
      </c>
      <c r="D1606" s="23">
        <v>45221</v>
      </c>
      <c r="E1606" s="22">
        <v>10</v>
      </c>
      <c r="F1606" s="22">
        <v>22</v>
      </c>
      <c r="G1606" s="22">
        <v>2023</v>
      </c>
      <c r="H1606" s="23">
        <f t="shared" si="75"/>
        <v>45221</v>
      </c>
      <c r="I1606" s="25">
        <v>45235</v>
      </c>
      <c r="J1606" s="22">
        <f t="shared" si="76"/>
        <v>14</v>
      </c>
      <c r="K1606" t="s">
        <v>41</v>
      </c>
      <c r="L1606">
        <v>3050</v>
      </c>
      <c r="M1606">
        <v>81</v>
      </c>
      <c r="N1606" s="26">
        <v>116.35</v>
      </c>
      <c r="O1606" s="26">
        <f t="shared" si="77"/>
        <v>116.35</v>
      </c>
      <c r="P1606">
        <v>0</v>
      </c>
      <c r="Q1606" t="b">
        <v>0</v>
      </c>
      <c r="S1606" t="s">
        <v>42</v>
      </c>
    </row>
    <row r="1607" spans="1:19">
      <c r="A1607" t="s">
        <v>3317</v>
      </c>
      <c r="B1607" t="s">
        <v>3318</v>
      </c>
      <c r="C1607" s="23" t="s">
        <v>4127</v>
      </c>
      <c r="D1607" s="23">
        <v>45188</v>
      </c>
      <c r="E1607" s="22">
        <v>9</v>
      </c>
      <c r="F1607" s="22">
        <v>19</v>
      </c>
      <c r="G1607" s="22">
        <v>2023</v>
      </c>
      <c r="H1607" s="23">
        <f t="shared" si="75"/>
        <v>45188</v>
      </c>
      <c r="I1607" s="25">
        <v>45217</v>
      </c>
      <c r="J1607" s="22">
        <f t="shared" si="76"/>
        <v>29</v>
      </c>
      <c r="K1607" t="s">
        <v>14</v>
      </c>
      <c r="L1607">
        <v>34933</v>
      </c>
      <c r="M1607">
        <v>1402</v>
      </c>
      <c r="N1607" s="26">
        <v>2445.2</v>
      </c>
      <c r="O1607" s="26">
        <f t="shared" si="77"/>
        <v>2445.2</v>
      </c>
      <c r="P1607">
        <v>81</v>
      </c>
      <c r="Q1607" t="b">
        <v>0</v>
      </c>
      <c r="S1607" t="s">
        <v>16</v>
      </c>
    </row>
    <row r="1608" spans="1:19">
      <c r="A1608" t="s">
        <v>3319</v>
      </c>
      <c r="B1608" t="s">
        <v>3320</v>
      </c>
      <c r="C1608" s="23" t="s">
        <v>4128</v>
      </c>
      <c r="D1608" s="23">
        <v>45222</v>
      </c>
      <c r="E1608" s="22">
        <v>10</v>
      </c>
      <c r="F1608" s="22">
        <v>23</v>
      </c>
      <c r="G1608" s="22">
        <v>2023</v>
      </c>
      <c r="H1608" s="23">
        <f t="shared" si="75"/>
        <v>45222</v>
      </c>
      <c r="I1608" s="25">
        <v>45228</v>
      </c>
      <c r="J1608" s="22">
        <f t="shared" si="76"/>
        <v>6</v>
      </c>
      <c r="K1608" t="s">
        <v>23</v>
      </c>
      <c r="L1608">
        <v>25951</v>
      </c>
      <c r="M1608">
        <v>280</v>
      </c>
      <c r="N1608" s="26">
        <v>219.94</v>
      </c>
      <c r="O1608" s="26">
        <f t="shared" si="77"/>
        <v>219.94</v>
      </c>
      <c r="P1608">
        <v>32</v>
      </c>
      <c r="Q1608" t="b">
        <v>1</v>
      </c>
      <c r="S1608" t="s">
        <v>25</v>
      </c>
    </row>
    <row r="1609" spans="1:19">
      <c r="A1609" t="s">
        <v>3321</v>
      </c>
      <c r="B1609" t="s">
        <v>3322</v>
      </c>
      <c r="C1609" s="23" t="s">
        <v>4129</v>
      </c>
      <c r="D1609" s="23">
        <v>45143</v>
      </c>
      <c r="E1609" s="22">
        <v>8</v>
      </c>
      <c r="F1609" s="22">
        <v>5</v>
      </c>
      <c r="G1609" s="22">
        <v>2023</v>
      </c>
      <c r="H1609" s="23">
        <f t="shared" si="75"/>
        <v>45143</v>
      </c>
      <c r="I1609" s="25">
        <v>45151</v>
      </c>
      <c r="J1609" s="22">
        <f t="shared" si="76"/>
        <v>8</v>
      </c>
      <c r="K1609" t="s">
        <v>14</v>
      </c>
      <c r="L1609">
        <v>33413</v>
      </c>
      <c r="M1609">
        <v>693</v>
      </c>
      <c r="N1609" s="26">
        <v>1299.95</v>
      </c>
      <c r="O1609" s="26">
        <f t="shared" si="77"/>
        <v>1299.95</v>
      </c>
      <c r="P1609">
        <v>39</v>
      </c>
      <c r="Q1609" t="b">
        <v>1</v>
      </c>
      <c r="S1609" t="s">
        <v>16</v>
      </c>
    </row>
    <row r="1610" spans="1:19">
      <c r="A1610" t="s">
        <v>3323</v>
      </c>
      <c r="B1610" t="s">
        <v>3324</v>
      </c>
      <c r="C1610" s="23" t="s">
        <v>4127</v>
      </c>
      <c r="D1610" s="23">
        <v>45184</v>
      </c>
      <c r="E1610" s="22">
        <v>9</v>
      </c>
      <c r="F1610" s="22">
        <v>15</v>
      </c>
      <c r="G1610" s="22">
        <v>2023</v>
      </c>
      <c r="H1610" s="23">
        <f t="shared" si="75"/>
        <v>45184</v>
      </c>
      <c r="I1610" s="25">
        <v>45185</v>
      </c>
      <c r="J1610" s="22">
        <f t="shared" si="76"/>
        <v>1</v>
      </c>
      <c r="K1610" t="s">
        <v>33</v>
      </c>
      <c r="L1610">
        <v>35801</v>
      </c>
      <c r="M1610">
        <v>1099</v>
      </c>
      <c r="N1610" s="26">
        <v>1462.04</v>
      </c>
      <c r="O1610" s="26">
        <f t="shared" si="77"/>
        <v>1462.04</v>
      </c>
      <c r="P1610">
        <v>148</v>
      </c>
      <c r="Q1610" t="b">
        <v>1</v>
      </c>
      <c r="S1610" t="s">
        <v>34</v>
      </c>
    </row>
    <row r="1611" spans="1:19">
      <c r="A1611" t="s">
        <v>3325</v>
      </c>
      <c r="B1611" t="s">
        <v>3326</v>
      </c>
      <c r="C1611" s="23" t="s">
        <v>4127</v>
      </c>
      <c r="D1611" s="23">
        <v>45016</v>
      </c>
      <c r="E1611" s="22">
        <v>3</v>
      </c>
      <c r="F1611" s="22">
        <v>31</v>
      </c>
      <c r="G1611" s="22">
        <v>2023</v>
      </c>
      <c r="H1611" s="23">
        <f t="shared" si="75"/>
        <v>45016</v>
      </c>
      <c r="I1611" s="25">
        <v>45042</v>
      </c>
      <c r="J1611" s="22">
        <f t="shared" si="76"/>
        <v>26</v>
      </c>
      <c r="K1611" t="s">
        <v>41</v>
      </c>
      <c r="L1611">
        <v>56619</v>
      </c>
      <c r="M1611">
        <v>1175</v>
      </c>
      <c r="N1611" s="26">
        <v>1114.9</v>
      </c>
      <c r="O1611" s="26">
        <f t="shared" si="77"/>
        <v>1114.9</v>
      </c>
      <c r="P1611">
        <v>126</v>
      </c>
      <c r="Q1611" t="b">
        <v>1</v>
      </c>
      <c r="S1611" t="s">
        <v>42</v>
      </c>
    </row>
    <row r="1612" spans="1:19">
      <c r="A1612" t="s">
        <v>3327</v>
      </c>
      <c r="B1612" t="s">
        <v>3328</v>
      </c>
      <c r="C1612" s="23" t="s">
        <v>4128</v>
      </c>
      <c r="D1612" s="23">
        <v>45192</v>
      </c>
      <c r="E1612" s="22">
        <v>9</v>
      </c>
      <c r="F1612" s="22">
        <v>23</v>
      </c>
      <c r="G1612" s="22">
        <v>2023</v>
      </c>
      <c r="H1612" s="23">
        <f t="shared" si="75"/>
        <v>45192</v>
      </c>
      <c r="I1612" s="25">
        <v>45199</v>
      </c>
      <c r="J1612" s="22">
        <f t="shared" si="76"/>
        <v>7</v>
      </c>
      <c r="K1612" t="s">
        <v>19</v>
      </c>
      <c r="L1612">
        <v>33913</v>
      </c>
      <c r="M1612">
        <v>1191</v>
      </c>
      <c r="N1612" s="26">
        <v>1365.23</v>
      </c>
      <c r="O1612" s="26">
        <f t="shared" si="77"/>
        <v>1365.23</v>
      </c>
      <c r="P1612">
        <v>194</v>
      </c>
      <c r="Q1612" t="b">
        <v>1</v>
      </c>
      <c r="S1612" t="s">
        <v>20</v>
      </c>
    </row>
    <row r="1613" spans="1:19">
      <c r="A1613" t="s">
        <v>3329</v>
      </c>
      <c r="B1613" t="s">
        <v>3330</v>
      </c>
      <c r="C1613" s="23" t="s">
        <v>4128</v>
      </c>
      <c r="D1613" s="23">
        <v>44933</v>
      </c>
      <c r="E1613" s="22">
        <v>1</v>
      </c>
      <c r="F1613" s="22">
        <v>7</v>
      </c>
      <c r="G1613" s="22">
        <v>2023</v>
      </c>
      <c r="H1613" s="23">
        <f t="shared" si="75"/>
        <v>44933</v>
      </c>
      <c r="I1613" s="25">
        <v>44953</v>
      </c>
      <c r="J1613" s="22">
        <f t="shared" si="76"/>
        <v>20</v>
      </c>
      <c r="K1613" t="s">
        <v>23</v>
      </c>
      <c r="L1613">
        <v>41600</v>
      </c>
      <c r="M1613">
        <v>1217</v>
      </c>
      <c r="N1613" s="26">
        <v>1178.41</v>
      </c>
      <c r="O1613" s="26">
        <f t="shared" si="77"/>
        <v>1178.41</v>
      </c>
      <c r="P1613">
        <v>116</v>
      </c>
      <c r="Q1613" t="b">
        <v>1</v>
      </c>
      <c r="S1613" t="s">
        <v>25</v>
      </c>
    </row>
    <row r="1614" spans="1:19">
      <c r="A1614" t="s">
        <v>3331</v>
      </c>
      <c r="B1614" t="s">
        <v>3332</v>
      </c>
      <c r="C1614" s="23" t="s">
        <v>4131</v>
      </c>
      <c r="D1614" s="23">
        <v>44978</v>
      </c>
      <c r="E1614" s="22">
        <v>2</v>
      </c>
      <c r="F1614" s="22">
        <v>21</v>
      </c>
      <c r="G1614" s="22">
        <v>2023</v>
      </c>
      <c r="H1614" s="23">
        <f t="shared" si="75"/>
        <v>44978</v>
      </c>
      <c r="I1614" s="25">
        <v>45001</v>
      </c>
      <c r="J1614" s="22">
        <f t="shared" si="76"/>
        <v>23</v>
      </c>
      <c r="K1614" t="s">
        <v>19</v>
      </c>
      <c r="L1614">
        <v>58775</v>
      </c>
      <c r="M1614">
        <v>1438</v>
      </c>
      <c r="N1614" s="26">
        <v>2283.06</v>
      </c>
      <c r="O1614" s="26">
        <f t="shared" si="77"/>
        <v>2283.06</v>
      </c>
      <c r="P1614">
        <v>199</v>
      </c>
      <c r="Q1614" t="b">
        <v>0</v>
      </c>
      <c r="S1614" t="s">
        <v>20</v>
      </c>
    </row>
    <row r="1615" spans="1:19">
      <c r="A1615" t="s">
        <v>3333</v>
      </c>
      <c r="B1615" t="s">
        <v>3334</v>
      </c>
      <c r="C1615" s="23" t="s">
        <v>4131</v>
      </c>
      <c r="D1615" s="23">
        <v>45059</v>
      </c>
      <c r="E1615" s="22">
        <v>5</v>
      </c>
      <c r="F1615" s="22">
        <v>13</v>
      </c>
      <c r="G1615" s="22">
        <v>2023</v>
      </c>
      <c r="H1615" s="23">
        <f t="shared" si="75"/>
        <v>45059</v>
      </c>
      <c r="I1615" s="25">
        <v>45062</v>
      </c>
      <c r="J1615" s="22">
        <f t="shared" si="76"/>
        <v>3</v>
      </c>
      <c r="K1615" t="s">
        <v>33</v>
      </c>
      <c r="L1615">
        <v>91816</v>
      </c>
      <c r="M1615">
        <v>4404</v>
      </c>
      <c r="N1615" s="26">
        <v>7462.36</v>
      </c>
      <c r="O1615" s="26">
        <f t="shared" si="77"/>
        <v>3632.575</v>
      </c>
      <c r="P1615">
        <v>575</v>
      </c>
      <c r="Q1615" t="b">
        <v>1</v>
      </c>
      <c r="S1615" t="s">
        <v>34</v>
      </c>
    </row>
    <row r="1616" spans="1:19">
      <c r="A1616" t="s">
        <v>3335</v>
      </c>
      <c r="B1616" t="s">
        <v>3336</v>
      </c>
      <c r="C1616" s="23" t="s">
        <v>4131</v>
      </c>
      <c r="D1616" s="23">
        <v>45064</v>
      </c>
      <c r="E1616" s="22">
        <v>5</v>
      </c>
      <c r="F1616" s="22">
        <v>18</v>
      </c>
      <c r="G1616" s="22">
        <v>2023</v>
      </c>
      <c r="H1616" s="23">
        <f t="shared" si="75"/>
        <v>45064</v>
      </c>
      <c r="I1616" s="25">
        <v>45067</v>
      </c>
      <c r="J1616" s="22">
        <f t="shared" si="76"/>
        <v>3</v>
      </c>
      <c r="K1616" t="s">
        <v>14</v>
      </c>
      <c r="L1616">
        <v>91093</v>
      </c>
      <c r="M1616">
        <v>3214</v>
      </c>
      <c r="N1616" s="26">
        <v>5622.59</v>
      </c>
      <c r="O1616" s="26">
        <f t="shared" si="77"/>
        <v>3632.575</v>
      </c>
      <c r="P1616">
        <v>162</v>
      </c>
      <c r="Q1616" t="b">
        <v>1</v>
      </c>
      <c r="S1616" t="s">
        <v>68</v>
      </c>
    </row>
    <row r="1617" spans="1:19">
      <c r="A1617" t="s">
        <v>3337</v>
      </c>
      <c r="B1617" t="s">
        <v>3338</v>
      </c>
      <c r="C1617" s="23" t="s">
        <v>4127</v>
      </c>
      <c r="D1617" s="23">
        <v>45114</v>
      </c>
      <c r="E1617" s="22">
        <v>7</v>
      </c>
      <c r="F1617" s="22">
        <v>7</v>
      </c>
      <c r="G1617" s="22">
        <v>2023</v>
      </c>
      <c r="H1617" s="23">
        <f t="shared" si="75"/>
        <v>45114</v>
      </c>
      <c r="I1617" s="25">
        <v>45139</v>
      </c>
      <c r="J1617" s="22">
        <f t="shared" si="76"/>
        <v>25</v>
      </c>
      <c r="K1617" t="s">
        <v>138</v>
      </c>
      <c r="L1617">
        <v>36400</v>
      </c>
      <c r="M1617">
        <v>553</v>
      </c>
      <c r="N1617" s="26">
        <v>1094.19</v>
      </c>
      <c r="O1617" s="26">
        <f t="shared" si="77"/>
        <v>1094.19</v>
      </c>
      <c r="P1617">
        <v>33</v>
      </c>
      <c r="Q1617" t="b">
        <v>0</v>
      </c>
      <c r="S1617" t="s">
        <v>139</v>
      </c>
    </row>
    <row r="1618" spans="1:19">
      <c r="A1618" t="s">
        <v>3339</v>
      </c>
      <c r="B1618" t="s">
        <v>3340</v>
      </c>
      <c r="C1618" s="23" t="s">
        <v>4128</v>
      </c>
      <c r="D1618" s="23">
        <v>45141</v>
      </c>
      <c r="E1618" s="22">
        <v>8</v>
      </c>
      <c r="F1618" s="22">
        <v>3</v>
      </c>
      <c r="G1618" s="22">
        <v>2023</v>
      </c>
      <c r="H1618" s="23">
        <f t="shared" si="75"/>
        <v>45141</v>
      </c>
      <c r="I1618" s="25">
        <v>45145</v>
      </c>
      <c r="J1618" s="22">
        <f t="shared" si="76"/>
        <v>4</v>
      </c>
      <c r="K1618" t="s">
        <v>23</v>
      </c>
      <c r="L1618">
        <v>5494</v>
      </c>
      <c r="M1618">
        <v>178</v>
      </c>
      <c r="N1618" s="26">
        <v>300.27</v>
      </c>
      <c r="O1618" s="26">
        <f t="shared" si="77"/>
        <v>300.27</v>
      </c>
      <c r="P1618">
        <v>16</v>
      </c>
      <c r="Q1618" t="b">
        <v>1</v>
      </c>
      <c r="S1618" t="s">
        <v>68</v>
      </c>
    </row>
    <row r="1619" spans="1:19">
      <c r="A1619" t="s">
        <v>3341</v>
      </c>
      <c r="B1619" t="s">
        <v>3342</v>
      </c>
      <c r="C1619" s="23" t="s">
        <v>4129</v>
      </c>
      <c r="D1619" s="23">
        <v>45132</v>
      </c>
      <c r="E1619" s="22">
        <v>7</v>
      </c>
      <c r="F1619" s="22">
        <v>25</v>
      </c>
      <c r="G1619" s="22">
        <v>2023</v>
      </c>
      <c r="H1619" s="23">
        <f t="shared" si="75"/>
        <v>45132</v>
      </c>
      <c r="I1619" s="25">
        <v>45141</v>
      </c>
      <c r="J1619" s="22">
        <f t="shared" si="76"/>
        <v>9</v>
      </c>
      <c r="K1619" t="s">
        <v>138</v>
      </c>
      <c r="L1619">
        <v>81688</v>
      </c>
      <c r="M1619">
        <v>3367</v>
      </c>
      <c r="N1619" s="26">
        <v>4720.79</v>
      </c>
      <c r="O1619" s="26">
        <f t="shared" si="77"/>
        <v>3632.575</v>
      </c>
      <c r="P1619">
        <v>613</v>
      </c>
      <c r="Q1619" t="b">
        <v>1</v>
      </c>
      <c r="S1619" t="s">
        <v>139</v>
      </c>
    </row>
    <row r="1620" spans="1:19">
      <c r="A1620" t="s">
        <v>3343</v>
      </c>
      <c r="B1620" t="s">
        <v>3344</v>
      </c>
      <c r="C1620" s="23" t="s">
        <v>4131</v>
      </c>
      <c r="D1620" s="23">
        <v>44994</v>
      </c>
      <c r="E1620" s="22">
        <v>3</v>
      </c>
      <c r="F1620" s="22">
        <v>9</v>
      </c>
      <c r="G1620" s="22">
        <v>2023</v>
      </c>
      <c r="H1620" s="23">
        <f t="shared" si="75"/>
        <v>44994</v>
      </c>
      <c r="I1620" s="25">
        <v>45021</v>
      </c>
      <c r="J1620" s="22">
        <f t="shared" si="76"/>
        <v>27</v>
      </c>
      <c r="K1620" t="s">
        <v>41</v>
      </c>
      <c r="L1620">
        <v>90431</v>
      </c>
      <c r="M1620">
        <v>3467</v>
      </c>
      <c r="N1620" s="26">
        <v>3497.62</v>
      </c>
      <c r="O1620" s="26">
        <f t="shared" si="77"/>
        <v>3497.62</v>
      </c>
      <c r="P1620">
        <v>249</v>
      </c>
      <c r="Q1620" t="b">
        <v>1</v>
      </c>
      <c r="S1620" t="s">
        <v>42</v>
      </c>
    </row>
    <row r="1621" spans="1:19">
      <c r="A1621" t="s">
        <v>3345</v>
      </c>
      <c r="B1621" t="s">
        <v>3346</v>
      </c>
      <c r="C1621" s="23" t="s">
        <v>4131</v>
      </c>
      <c r="D1621" s="23">
        <v>44978</v>
      </c>
      <c r="E1621" s="22">
        <v>2</v>
      </c>
      <c r="F1621" s="22">
        <v>21</v>
      </c>
      <c r="G1621" s="22">
        <v>2023</v>
      </c>
      <c r="H1621" s="23">
        <f t="shared" si="75"/>
        <v>44978</v>
      </c>
      <c r="I1621" s="25">
        <v>45004</v>
      </c>
      <c r="J1621" s="22">
        <f t="shared" si="76"/>
        <v>26</v>
      </c>
      <c r="K1621" t="s">
        <v>33</v>
      </c>
      <c r="L1621">
        <v>75691</v>
      </c>
      <c r="M1621">
        <v>1277</v>
      </c>
      <c r="N1621" s="26">
        <v>1681.67</v>
      </c>
      <c r="O1621" s="26">
        <f t="shared" si="77"/>
        <v>1681.67</v>
      </c>
      <c r="P1621">
        <v>200</v>
      </c>
      <c r="Q1621" t="b">
        <v>0</v>
      </c>
      <c r="S1621" t="s">
        <v>34</v>
      </c>
    </row>
    <row r="1622" spans="1:19">
      <c r="A1622" t="s">
        <v>3347</v>
      </c>
      <c r="B1622" t="s">
        <v>3348</v>
      </c>
      <c r="C1622" s="23" t="s">
        <v>4128</v>
      </c>
      <c r="D1622" s="23">
        <v>45211</v>
      </c>
      <c r="E1622" s="22">
        <v>10</v>
      </c>
      <c r="F1622" s="22">
        <v>12</v>
      </c>
      <c r="G1622" s="22">
        <v>2023</v>
      </c>
      <c r="H1622" s="23">
        <f t="shared" si="75"/>
        <v>45211</v>
      </c>
      <c r="I1622" s="25">
        <v>45217</v>
      </c>
      <c r="J1622" s="22">
        <f t="shared" si="76"/>
        <v>6</v>
      </c>
      <c r="K1622" t="s">
        <v>23</v>
      </c>
      <c r="L1622">
        <v>98419</v>
      </c>
      <c r="M1622">
        <v>4812</v>
      </c>
      <c r="N1622" s="26">
        <v>2702.43</v>
      </c>
      <c r="O1622" s="26">
        <f t="shared" si="77"/>
        <v>2702.43</v>
      </c>
      <c r="P1622">
        <v>943</v>
      </c>
      <c r="Q1622" t="b">
        <v>0</v>
      </c>
      <c r="S1622" t="s">
        <v>25</v>
      </c>
    </row>
    <row r="1623" spans="1:19">
      <c r="A1623" t="s">
        <v>3349</v>
      </c>
      <c r="B1623" t="s">
        <v>3350</v>
      </c>
      <c r="C1623" s="23" t="s">
        <v>4131</v>
      </c>
      <c r="D1623" s="23">
        <v>45001</v>
      </c>
      <c r="E1623" s="22">
        <v>3</v>
      </c>
      <c r="F1623" s="22">
        <v>16</v>
      </c>
      <c r="G1623" s="22">
        <v>2023</v>
      </c>
      <c r="H1623" s="23">
        <f t="shared" si="75"/>
        <v>45001</v>
      </c>
      <c r="I1623" s="25">
        <v>45019</v>
      </c>
      <c r="J1623" s="22">
        <f t="shared" si="76"/>
        <v>18</v>
      </c>
      <c r="K1623" t="s">
        <v>19</v>
      </c>
      <c r="L1623">
        <v>44001</v>
      </c>
      <c r="M1623">
        <v>1229</v>
      </c>
      <c r="N1623" s="26">
        <v>1987.59</v>
      </c>
      <c r="O1623" s="26">
        <f t="shared" si="77"/>
        <v>1987.59</v>
      </c>
      <c r="P1623">
        <v>207</v>
      </c>
      <c r="Q1623" t="b">
        <v>0</v>
      </c>
      <c r="S1623" t="s">
        <v>20</v>
      </c>
    </row>
    <row r="1624" spans="1:19">
      <c r="A1624" t="s">
        <v>3351</v>
      </c>
      <c r="B1624" t="s">
        <v>3352</v>
      </c>
      <c r="C1624" s="23" t="s">
        <v>4129</v>
      </c>
      <c r="D1624" s="23">
        <v>45169</v>
      </c>
      <c r="E1624" s="22">
        <v>8</v>
      </c>
      <c r="F1624" s="22">
        <v>31</v>
      </c>
      <c r="G1624" s="22">
        <v>2023</v>
      </c>
      <c r="H1624" s="23">
        <f t="shared" si="75"/>
        <v>45169</v>
      </c>
      <c r="I1624" s="25">
        <v>45173</v>
      </c>
      <c r="J1624" s="22">
        <f t="shared" si="76"/>
        <v>4</v>
      </c>
      <c r="K1624" t="s">
        <v>23</v>
      </c>
      <c r="L1624">
        <v>68364</v>
      </c>
      <c r="M1624">
        <v>1118</v>
      </c>
      <c r="N1624" s="26">
        <v>1306.87</v>
      </c>
      <c r="O1624" s="26">
        <f t="shared" si="77"/>
        <v>1306.87</v>
      </c>
      <c r="P1624">
        <v>96</v>
      </c>
      <c r="Q1624" t="b">
        <v>1</v>
      </c>
      <c r="S1624" t="s">
        <v>25</v>
      </c>
    </row>
    <row r="1625" spans="1:19">
      <c r="A1625" t="s">
        <v>3353</v>
      </c>
      <c r="B1625" t="s">
        <v>3354</v>
      </c>
      <c r="C1625" s="23" t="s">
        <v>4131</v>
      </c>
      <c r="D1625" s="23">
        <v>45182</v>
      </c>
      <c r="E1625" s="22">
        <v>9</v>
      </c>
      <c r="F1625" s="22">
        <v>13</v>
      </c>
      <c r="G1625" s="22">
        <v>2023</v>
      </c>
      <c r="H1625" s="23">
        <f t="shared" si="75"/>
        <v>45182</v>
      </c>
      <c r="I1625" s="25">
        <v>45207</v>
      </c>
      <c r="J1625" s="22">
        <f t="shared" si="76"/>
        <v>25</v>
      </c>
      <c r="K1625" t="s">
        <v>41</v>
      </c>
      <c r="L1625">
        <v>46028</v>
      </c>
      <c r="M1625">
        <v>792</v>
      </c>
      <c r="N1625" s="26">
        <v>419.79</v>
      </c>
      <c r="O1625" s="26">
        <f t="shared" si="77"/>
        <v>419.79</v>
      </c>
      <c r="P1625">
        <v>147</v>
      </c>
      <c r="Q1625" t="b">
        <v>1</v>
      </c>
      <c r="S1625" t="s">
        <v>42</v>
      </c>
    </row>
    <row r="1626" spans="1:19">
      <c r="A1626" t="s">
        <v>3355</v>
      </c>
      <c r="B1626" t="s">
        <v>3356</v>
      </c>
      <c r="C1626" s="23" t="s">
        <v>4127</v>
      </c>
      <c r="D1626" s="23">
        <v>45249</v>
      </c>
      <c r="E1626" s="22">
        <v>11</v>
      </c>
      <c r="F1626" s="22">
        <v>19</v>
      </c>
      <c r="G1626" s="22">
        <v>2023</v>
      </c>
      <c r="H1626" s="23">
        <f t="shared" si="75"/>
        <v>45249</v>
      </c>
      <c r="I1626" s="25">
        <v>45264</v>
      </c>
      <c r="J1626" s="22">
        <f t="shared" si="76"/>
        <v>15</v>
      </c>
      <c r="K1626" t="s">
        <v>41</v>
      </c>
      <c r="L1626">
        <v>98659</v>
      </c>
      <c r="M1626">
        <v>1374</v>
      </c>
      <c r="N1626" s="26">
        <v>815.83</v>
      </c>
      <c r="O1626" s="26">
        <f t="shared" si="77"/>
        <v>815.83</v>
      </c>
      <c r="P1626">
        <v>87</v>
      </c>
      <c r="Q1626" t="b">
        <v>1</v>
      </c>
      <c r="S1626" t="s">
        <v>42</v>
      </c>
    </row>
    <row r="1627" spans="1:19">
      <c r="A1627" t="s">
        <v>3357</v>
      </c>
      <c r="B1627" t="s">
        <v>3358</v>
      </c>
      <c r="C1627" s="23" t="s">
        <v>4131</v>
      </c>
      <c r="D1627" s="23">
        <v>45176</v>
      </c>
      <c r="E1627" s="22">
        <v>9</v>
      </c>
      <c r="F1627" s="22">
        <v>7</v>
      </c>
      <c r="G1627" s="22">
        <v>2023</v>
      </c>
      <c r="H1627" s="23">
        <f t="shared" si="75"/>
        <v>45176</v>
      </c>
      <c r="I1627" s="25">
        <v>45194</v>
      </c>
      <c r="J1627" s="22">
        <f t="shared" si="76"/>
        <v>18</v>
      </c>
      <c r="K1627" t="s">
        <v>14</v>
      </c>
      <c r="L1627">
        <v>38573</v>
      </c>
      <c r="M1627">
        <v>1625</v>
      </c>
      <c r="N1627" s="26">
        <v>1756.95</v>
      </c>
      <c r="O1627" s="26">
        <f t="shared" si="77"/>
        <v>1756.95</v>
      </c>
      <c r="P1627">
        <v>0</v>
      </c>
      <c r="Q1627" t="b">
        <v>0</v>
      </c>
      <c r="S1627" t="s">
        <v>16</v>
      </c>
    </row>
    <row r="1628" spans="1:19">
      <c r="A1628" t="s">
        <v>3359</v>
      </c>
      <c r="B1628" t="s">
        <v>3360</v>
      </c>
      <c r="C1628" s="23" t="s">
        <v>4129</v>
      </c>
      <c r="D1628" s="23" t="s">
        <v>2225</v>
      </c>
      <c r="E1628" s="22">
        <v>18</v>
      </c>
      <c r="F1628" s="22">
        <v>10</v>
      </c>
      <c r="G1628" s="22">
        <v>2023</v>
      </c>
      <c r="H1628" s="23">
        <f t="shared" si="75"/>
        <v>45217</v>
      </c>
      <c r="I1628" s="25">
        <v>45242</v>
      </c>
      <c r="J1628" s="22">
        <f t="shared" si="76"/>
        <v>25</v>
      </c>
      <c r="K1628" t="s">
        <v>33</v>
      </c>
      <c r="L1628">
        <v>1806</v>
      </c>
      <c r="M1628">
        <v>26</v>
      </c>
      <c r="N1628" s="26">
        <v>35.75</v>
      </c>
      <c r="O1628" s="26">
        <f t="shared" si="77"/>
        <v>35.75</v>
      </c>
      <c r="P1628">
        <v>4</v>
      </c>
      <c r="Q1628" t="b">
        <v>1</v>
      </c>
      <c r="S1628" t="s">
        <v>34</v>
      </c>
    </row>
    <row r="1629" spans="1:19">
      <c r="A1629" t="s">
        <v>3361</v>
      </c>
      <c r="B1629" t="s">
        <v>3362</v>
      </c>
      <c r="C1629" s="23" t="s">
        <v>4129</v>
      </c>
      <c r="D1629" s="23">
        <v>44977</v>
      </c>
      <c r="E1629" s="22">
        <v>2</v>
      </c>
      <c r="F1629" s="22">
        <v>20</v>
      </c>
      <c r="G1629" s="22">
        <v>2023</v>
      </c>
      <c r="H1629" s="23">
        <f t="shared" si="75"/>
        <v>44977</v>
      </c>
      <c r="I1629" s="25">
        <v>44989</v>
      </c>
      <c r="J1629" s="22">
        <f t="shared" si="76"/>
        <v>12</v>
      </c>
      <c r="K1629" t="s">
        <v>33</v>
      </c>
      <c r="L1629">
        <v>57638</v>
      </c>
      <c r="M1629">
        <v>864</v>
      </c>
      <c r="N1629" s="26">
        <v>1033.61</v>
      </c>
      <c r="O1629" s="26">
        <f t="shared" si="77"/>
        <v>1033.61</v>
      </c>
      <c r="P1629">
        <v>126</v>
      </c>
      <c r="Q1629" t="b">
        <v>0</v>
      </c>
      <c r="S1629" t="s">
        <v>34</v>
      </c>
    </row>
    <row r="1630" spans="1:19">
      <c r="A1630" t="s">
        <v>3363</v>
      </c>
      <c r="B1630" t="s">
        <v>3364</v>
      </c>
      <c r="C1630" s="23" t="s">
        <v>4128</v>
      </c>
      <c r="D1630" s="23">
        <v>45057</v>
      </c>
      <c r="E1630" s="22">
        <v>5</v>
      </c>
      <c r="F1630" s="22">
        <v>11</v>
      </c>
      <c r="G1630" s="22">
        <v>2023</v>
      </c>
      <c r="H1630" s="23">
        <f t="shared" si="75"/>
        <v>45057</v>
      </c>
      <c r="I1630" s="25">
        <v>45081</v>
      </c>
      <c r="J1630" s="22">
        <f t="shared" si="76"/>
        <v>24</v>
      </c>
      <c r="K1630" t="s">
        <v>19</v>
      </c>
      <c r="L1630">
        <v>30757</v>
      </c>
      <c r="M1630">
        <v>1353</v>
      </c>
      <c r="N1630" s="26">
        <v>1933.18</v>
      </c>
      <c r="O1630" s="26">
        <f t="shared" si="77"/>
        <v>1933.18</v>
      </c>
      <c r="P1630">
        <v>151</v>
      </c>
      <c r="Q1630" t="b">
        <v>1</v>
      </c>
      <c r="R1630">
        <v>30769</v>
      </c>
      <c r="S1630" t="s">
        <v>20</v>
      </c>
    </row>
    <row r="1631" spans="1:19">
      <c r="A1631" t="s">
        <v>3365</v>
      </c>
      <c r="B1631" t="s">
        <v>3366</v>
      </c>
      <c r="C1631" s="23" t="s">
        <v>4131</v>
      </c>
      <c r="D1631" s="23">
        <v>45157</v>
      </c>
      <c r="E1631" s="22">
        <v>8</v>
      </c>
      <c r="F1631" s="22">
        <v>19</v>
      </c>
      <c r="G1631" s="22">
        <v>2023</v>
      </c>
      <c r="H1631" s="23">
        <f t="shared" si="75"/>
        <v>45157</v>
      </c>
      <c r="I1631" s="25">
        <v>45163</v>
      </c>
      <c r="J1631" s="22">
        <f t="shared" si="76"/>
        <v>6</v>
      </c>
      <c r="K1631" t="s">
        <v>41</v>
      </c>
      <c r="L1631">
        <v>35636</v>
      </c>
      <c r="M1631">
        <v>847</v>
      </c>
      <c r="N1631" s="26">
        <v>1033.71</v>
      </c>
      <c r="O1631" s="26">
        <f t="shared" si="77"/>
        <v>1033.71</v>
      </c>
      <c r="P1631">
        <v>79</v>
      </c>
      <c r="Q1631" t="b">
        <v>1</v>
      </c>
      <c r="S1631" t="s">
        <v>42</v>
      </c>
    </row>
    <row r="1632" spans="1:19">
      <c r="A1632" t="s">
        <v>3367</v>
      </c>
      <c r="B1632" t="s">
        <v>3368</v>
      </c>
      <c r="C1632" s="23" t="s">
        <v>4131</v>
      </c>
      <c r="D1632" s="23">
        <v>45111</v>
      </c>
      <c r="E1632" s="22">
        <v>7</v>
      </c>
      <c r="F1632" s="22">
        <v>4</v>
      </c>
      <c r="G1632" s="22">
        <v>2023</v>
      </c>
      <c r="H1632" s="23">
        <f t="shared" si="75"/>
        <v>45111</v>
      </c>
      <c r="I1632" s="25">
        <v>45116</v>
      </c>
      <c r="J1632" s="22">
        <f t="shared" si="76"/>
        <v>5</v>
      </c>
      <c r="K1632" t="s">
        <v>19</v>
      </c>
      <c r="L1632">
        <v>81097</v>
      </c>
      <c r="M1632">
        <v>911</v>
      </c>
      <c r="N1632" s="26">
        <v>1359.72</v>
      </c>
      <c r="O1632" s="26">
        <f t="shared" si="77"/>
        <v>1359.72</v>
      </c>
      <c r="P1632">
        <v>96</v>
      </c>
      <c r="Q1632" t="b">
        <v>0</v>
      </c>
      <c r="S1632" t="s">
        <v>68</v>
      </c>
    </row>
    <row r="1633" spans="1:19">
      <c r="A1633" t="s">
        <v>3369</v>
      </c>
      <c r="B1633" t="s">
        <v>3370</v>
      </c>
      <c r="C1633" s="23" t="s">
        <v>4129</v>
      </c>
      <c r="D1633" s="23">
        <v>45058</v>
      </c>
      <c r="E1633" s="22">
        <v>5</v>
      </c>
      <c r="F1633" s="22">
        <v>12</v>
      </c>
      <c r="G1633" s="22">
        <v>2023</v>
      </c>
      <c r="H1633" s="23">
        <f t="shared" si="75"/>
        <v>45058</v>
      </c>
      <c r="I1633" s="25">
        <v>45076</v>
      </c>
      <c r="J1633" s="22">
        <f t="shared" si="76"/>
        <v>18</v>
      </c>
      <c r="K1633" t="s">
        <v>23</v>
      </c>
      <c r="L1633">
        <v>49280</v>
      </c>
      <c r="M1633">
        <v>595</v>
      </c>
      <c r="N1633" s="26">
        <v>493.07</v>
      </c>
      <c r="O1633" s="26">
        <f t="shared" si="77"/>
        <v>493.07</v>
      </c>
      <c r="P1633">
        <v>75</v>
      </c>
      <c r="Q1633" t="b">
        <v>0</v>
      </c>
      <c r="S1633" t="s">
        <v>25</v>
      </c>
    </row>
    <row r="1634" spans="1:19">
      <c r="A1634" t="s">
        <v>3371</v>
      </c>
      <c r="B1634" t="s">
        <v>3372</v>
      </c>
      <c r="C1634" s="23" t="s">
        <v>4127</v>
      </c>
      <c r="D1634" s="23">
        <v>45106</v>
      </c>
      <c r="E1634" s="22">
        <v>6</v>
      </c>
      <c r="F1634" s="22">
        <v>29</v>
      </c>
      <c r="G1634" s="22">
        <v>2023</v>
      </c>
      <c r="H1634" s="23">
        <f t="shared" si="75"/>
        <v>45106</v>
      </c>
      <c r="I1634" s="25">
        <v>45136</v>
      </c>
      <c r="J1634" s="22">
        <f t="shared" si="76"/>
        <v>30</v>
      </c>
      <c r="K1634" t="s">
        <v>33</v>
      </c>
      <c r="L1634">
        <v>25262</v>
      </c>
      <c r="M1634">
        <v>396</v>
      </c>
      <c r="N1634" s="26">
        <v>265.03</v>
      </c>
      <c r="O1634" s="26">
        <f t="shared" si="77"/>
        <v>265.03</v>
      </c>
      <c r="P1634">
        <v>38</v>
      </c>
      <c r="Q1634" t="b">
        <v>1</v>
      </c>
      <c r="S1634" t="s">
        <v>34</v>
      </c>
    </row>
    <row r="1635" spans="1:19">
      <c r="A1635" t="s">
        <v>3373</v>
      </c>
      <c r="B1635" t="s">
        <v>3374</v>
      </c>
      <c r="C1635" s="23" t="s">
        <v>4129</v>
      </c>
      <c r="D1635" s="23">
        <v>45028</v>
      </c>
      <c r="E1635" s="22">
        <v>4</v>
      </c>
      <c r="F1635" s="22">
        <v>12</v>
      </c>
      <c r="G1635" s="22">
        <v>2023</v>
      </c>
      <c r="H1635" s="23">
        <f t="shared" si="75"/>
        <v>45028</v>
      </c>
      <c r="I1635" s="25">
        <v>45023</v>
      </c>
      <c r="J1635" s="22">
        <f t="shared" si="76"/>
        <v>-5</v>
      </c>
      <c r="K1635" t="s">
        <v>138</v>
      </c>
      <c r="L1635">
        <v>81435</v>
      </c>
      <c r="M1635">
        <v>1509</v>
      </c>
      <c r="N1635" s="26">
        <v>2104.53</v>
      </c>
      <c r="O1635" s="26">
        <f t="shared" si="77"/>
        <v>2104.53</v>
      </c>
      <c r="P1635">
        <v>294</v>
      </c>
      <c r="Q1635" t="b">
        <v>0</v>
      </c>
      <c r="S1635" t="s">
        <v>139</v>
      </c>
    </row>
    <row r="1636" spans="1:19">
      <c r="A1636" t="s">
        <v>3375</v>
      </c>
      <c r="B1636" t="s">
        <v>3376</v>
      </c>
      <c r="C1636" s="23" t="s">
        <v>4131</v>
      </c>
      <c r="D1636" s="23">
        <v>45202</v>
      </c>
      <c r="E1636" s="22">
        <v>10</v>
      </c>
      <c r="F1636" s="22">
        <v>3</v>
      </c>
      <c r="G1636" s="22">
        <v>2023</v>
      </c>
      <c r="H1636" s="23">
        <f t="shared" si="75"/>
        <v>45202</v>
      </c>
      <c r="I1636" s="25">
        <v>45210</v>
      </c>
      <c r="J1636" s="22">
        <f t="shared" si="76"/>
        <v>8</v>
      </c>
      <c r="K1636" t="s">
        <v>41</v>
      </c>
      <c r="L1636">
        <v>63211</v>
      </c>
      <c r="M1636">
        <v>2313</v>
      </c>
      <c r="N1636" s="26">
        <v>2838.13</v>
      </c>
      <c r="O1636" s="26">
        <f t="shared" si="77"/>
        <v>2838.13</v>
      </c>
      <c r="P1636">
        <v>439</v>
      </c>
      <c r="Q1636" t="b">
        <v>1</v>
      </c>
      <c r="S1636" t="s">
        <v>42</v>
      </c>
    </row>
    <row r="1637" spans="1:19">
      <c r="A1637" t="s">
        <v>3377</v>
      </c>
      <c r="B1637" t="s">
        <v>3378</v>
      </c>
      <c r="C1637" s="23" t="s">
        <v>4128</v>
      </c>
      <c r="D1637" s="23">
        <v>45108</v>
      </c>
      <c r="E1637" s="22">
        <v>7</v>
      </c>
      <c r="F1637" s="22">
        <v>1</v>
      </c>
      <c r="G1637" s="22">
        <v>2023</v>
      </c>
      <c r="H1637" s="23">
        <f t="shared" si="75"/>
        <v>45108</v>
      </c>
      <c r="I1637" s="25">
        <v>45134</v>
      </c>
      <c r="J1637" s="22">
        <f t="shared" si="76"/>
        <v>26</v>
      </c>
      <c r="K1637" t="s">
        <v>33</v>
      </c>
      <c r="L1637">
        <v>55842</v>
      </c>
      <c r="M1637">
        <v>909</v>
      </c>
      <c r="N1637" s="26">
        <v>491.13</v>
      </c>
      <c r="O1637" s="26">
        <f t="shared" si="77"/>
        <v>491.13</v>
      </c>
      <c r="P1637">
        <v>164</v>
      </c>
      <c r="Q1637" t="b">
        <v>0</v>
      </c>
      <c r="S1637" t="s">
        <v>68</v>
      </c>
    </row>
    <row r="1638" spans="1:19">
      <c r="A1638" t="s">
        <v>3379</v>
      </c>
      <c r="B1638" t="s">
        <v>3380</v>
      </c>
      <c r="C1638" s="23" t="s">
        <v>4129</v>
      </c>
      <c r="D1638" s="23">
        <v>45155</v>
      </c>
      <c r="E1638" s="22">
        <v>8</v>
      </c>
      <c r="F1638" s="22">
        <v>17</v>
      </c>
      <c r="G1638" s="22">
        <v>2023</v>
      </c>
      <c r="H1638" s="23">
        <f t="shared" si="75"/>
        <v>45155</v>
      </c>
      <c r="I1638" s="25">
        <v>45156</v>
      </c>
      <c r="J1638" s="22">
        <f t="shared" si="76"/>
        <v>1</v>
      </c>
      <c r="K1638" t="s">
        <v>33</v>
      </c>
      <c r="L1638">
        <v>57979</v>
      </c>
      <c r="M1638">
        <v>855</v>
      </c>
      <c r="N1638" s="26">
        <v>915.47</v>
      </c>
      <c r="O1638" s="26">
        <f t="shared" si="77"/>
        <v>915.47</v>
      </c>
      <c r="P1638">
        <v>96</v>
      </c>
      <c r="Q1638" t="b">
        <v>1</v>
      </c>
      <c r="S1638" t="s">
        <v>34</v>
      </c>
    </row>
    <row r="1639" spans="1:19">
      <c r="A1639" t="s">
        <v>3381</v>
      </c>
      <c r="B1639" t="s">
        <v>3382</v>
      </c>
      <c r="C1639" s="23" t="s">
        <v>4127</v>
      </c>
      <c r="D1639" s="23">
        <v>45073</v>
      </c>
      <c r="E1639" s="22">
        <v>5</v>
      </c>
      <c r="F1639" s="22">
        <v>27</v>
      </c>
      <c r="G1639" s="22">
        <v>2023</v>
      </c>
      <c r="H1639" s="23">
        <f t="shared" si="75"/>
        <v>45073</v>
      </c>
      <c r="I1639" s="25">
        <v>45084</v>
      </c>
      <c r="J1639" s="22">
        <f t="shared" si="76"/>
        <v>11</v>
      </c>
      <c r="K1639" t="s">
        <v>138</v>
      </c>
      <c r="L1639">
        <v>82470</v>
      </c>
      <c r="M1639">
        <v>3347</v>
      </c>
      <c r="N1639" s="26">
        <v>2206.3</v>
      </c>
      <c r="O1639" s="26">
        <f t="shared" si="77"/>
        <v>2206.3</v>
      </c>
      <c r="P1639">
        <v>514</v>
      </c>
      <c r="Q1639" t="b">
        <v>1</v>
      </c>
      <c r="S1639" t="s">
        <v>139</v>
      </c>
    </row>
    <row r="1640" spans="1:19">
      <c r="A1640" t="s">
        <v>3383</v>
      </c>
      <c r="B1640" t="s">
        <v>3384</v>
      </c>
      <c r="C1640" s="23" t="s">
        <v>4131</v>
      </c>
      <c r="D1640" s="23">
        <v>45012</v>
      </c>
      <c r="E1640" s="22">
        <v>3</v>
      </c>
      <c r="F1640" s="22">
        <v>27</v>
      </c>
      <c r="G1640" s="22">
        <v>2023</v>
      </c>
      <c r="H1640" s="23">
        <f t="shared" si="75"/>
        <v>45012</v>
      </c>
      <c r="I1640" s="25">
        <v>45040</v>
      </c>
      <c r="J1640" s="22">
        <f t="shared" si="76"/>
        <v>28</v>
      </c>
      <c r="K1640" t="s">
        <v>33</v>
      </c>
      <c r="L1640">
        <v>39197</v>
      </c>
      <c r="M1640">
        <v>1444</v>
      </c>
      <c r="N1640" s="26">
        <v>1872.92</v>
      </c>
      <c r="O1640" s="26">
        <f t="shared" si="77"/>
        <v>1872.92</v>
      </c>
      <c r="P1640">
        <v>267</v>
      </c>
      <c r="Q1640" t="b">
        <v>0</v>
      </c>
      <c r="S1640" t="s">
        <v>68</v>
      </c>
    </row>
    <row r="1641" spans="1:19">
      <c r="A1641" t="s">
        <v>3385</v>
      </c>
      <c r="B1641" t="s">
        <v>3386</v>
      </c>
      <c r="C1641" s="23" t="s">
        <v>4131</v>
      </c>
      <c r="D1641" s="23">
        <v>45142</v>
      </c>
      <c r="E1641" s="22">
        <v>8</v>
      </c>
      <c r="F1641" s="22">
        <v>4</v>
      </c>
      <c r="G1641" s="22">
        <v>2023</v>
      </c>
      <c r="H1641" s="23">
        <f t="shared" si="75"/>
        <v>45142</v>
      </c>
      <c r="I1641" s="25">
        <v>45148</v>
      </c>
      <c r="J1641" s="22">
        <f t="shared" si="76"/>
        <v>6</v>
      </c>
      <c r="K1641" t="s">
        <v>14</v>
      </c>
      <c r="L1641">
        <v>42844</v>
      </c>
      <c r="M1641">
        <v>1174</v>
      </c>
      <c r="N1641" s="26">
        <v>1283.96</v>
      </c>
      <c r="O1641" s="26">
        <f t="shared" si="77"/>
        <v>1283.96</v>
      </c>
      <c r="P1641">
        <v>208</v>
      </c>
      <c r="Q1641" t="b">
        <v>0</v>
      </c>
      <c r="S1641" t="s">
        <v>16</v>
      </c>
    </row>
    <row r="1642" spans="1:19">
      <c r="A1642" t="s">
        <v>3387</v>
      </c>
      <c r="B1642" t="s">
        <v>3388</v>
      </c>
      <c r="C1642" s="23" t="s">
        <v>4128</v>
      </c>
      <c r="D1642" s="23">
        <v>45079</v>
      </c>
      <c r="E1642" s="22">
        <v>6</v>
      </c>
      <c r="F1642" s="22">
        <v>2</v>
      </c>
      <c r="G1642" s="22">
        <v>2023</v>
      </c>
      <c r="H1642" s="23">
        <f t="shared" si="75"/>
        <v>45079</v>
      </c>
      <c r="I1642" s="25">
        <v>44988</v>
      </c>
      <c r="J1642" s="22">
        <f t="shared" si="76"/>
        <v>-91</v>
      </c>
      <c r="K1642" t="s">
        <v>33</v>
      </c>
      <c r="L1642">
        <v>65754</v>
      </c>
      <c r="M1642">
        <v>2102</v>
      </c>
      <c r="N1642" s="26">
        <v>2984.27</v>
      </c>
      <c r="O1642" s="26">
        <f t="shared" si="77"/>
        <v>2984.27</v>
      </c>
      <c r="P1642">
        <v>235</v>
      </c>
      <c r="Q1642" t="b">
        <v>0</v>
      </c>
      <c r="S1642" t="s">
        <v>34</v>
      </c>
    </row>
    <row r="1643" spans="1:19">
      <c r="A1643" t="s">
        <v>3389</v>
      </c>
      <c r="B1643" t="s">
        <v>3390</v>
      </c>
      <c r="C1643" s="23" t="s">
        <v>4128</v>
      </c>
      <c r="D1643" s="23">
        <v>45102</v>
      </c>
      <c r="E1643" s="22">
        <v>6</v>
      </c>
      <c r="F1643" s="22">
        <v>25</v>
      </c>
      <c r="G1643" s="22">
        <v>2023</v>
      </c>
      <c r="H1643" s="23">
        <f t="shared" si="75"/>
        <v>45102</v>
      </c>
      <c r="I1643" s="25">
        <v>45111</v>
      </c>
      <c r="J1643" s="22">
        <f t="shared" si="76"/>
        <v>9</v>
      </c>
      <c r="K1643" t="s">
        <v>23</v>
      </c>
      <c r="L1643">
        <v>35157</v>
      </c>
      <c r="M1643">
        <v>790</v>
      </c>
      <c r="N1643" s="26">
        <v>1349.64</v>
      </c>
      <c r="O1643" s="26">
        <f t="shared" si="77"/>
        <v>1349.64</v>
      </c>
      <c r="P1643">
        <v>0</v>
      </c>
      <c r="Q1643" t="b">
        <v>1</v>
      </c>
      <c r="S1643" t="s">
        <v>68</v>
      </c>
    </row>
    <row r="1644" spans="1:19">
      <c r="A1644" t="s">
        <v>3391</v>
      </c>
      <c r="B1644" t="s">
        <v>3392</v>
      </c>
      <c r="C1644" s="23" t="s">
        <v>4131</v>
      </c>
      <c r="D1644" s="23">
        <v>45076</v>
      </c>
      <c r="E1644" s="22">
        <v>5</v>
      </c>
      <c r="F1644" s="22">
        <v>30</v>
      </c>
      <c r="G1644" s="22">
        <v>2023</v>
      </c>
      <c r="H1644" s="23">
        <f t="shared" si="75"/>
        <v>45076</v>
      </c>
      <c r="I1644" s="25">
        <v>45093</v>
      </c>
      <c r="J1644" s="22">
        <f t="shared" si="76"/>
        <v>17</v>
      </c>
      <c r="K1644" t="s">
        <v>14</v>
      </c>
      <c r="L1644">
        <v>78129</v>
      </c>
      <c r="M1644">
        <v>2289</v>
      </c>
      <c r="N1644" s="26">
        <v>2173.41</v>
      </c>
      <c r="O1644" s="26">
        <f t="shared" si="77"/>
        <v>2173.41</v>
      </c>
      <c r="P1644">
        <v>140</v>
      </c>
      <c r="Q1644" t="b">
        <v>1</v>
      </c>
      <c r="S1644" t="s">
        <v>16</v>
      </c>
    </row>
    <row r="1645" spans="1:19">
      <c r="A1645" t="s">
        <v>3393</v>
      </c>
      <c r="B1645" t="s">
        <v>3394</v>
      </c>
      <c r="C1645" s="23" t="s">
        <v>4131</v>
      </c>
      <c r="D1645" s="23">
        <v>45129</v>
      </c>
      <c r="E1645" s="22">
        <v>7</v>
      </c>
      <c r="F1645" s="22">
        <v>22</v>
      </c>
      <c r="G1645" s="22">
        <v>2023</v>
      </c>
      <c r="H1645" s="23">
        <f t="shared" si="75"/>
        <v>45129</v>
      </c>
      <c r="I1645" s="25">
        <v>45156</v>
      </c>
      <c r="J1645" s="22">
        <f t="shared" si="76"/>
        <v>27</v>
      </c>
      <c r="K1645" t="s">
        <v>41</v>
      </c>
      <c r="L1645">
        <v>41042</v>
      </c>
      <c r="M1645">
        <v>1242</v>
      </c>
      <c r="N1645" s="26">
        <v>2413.4</v>
      </c>
      <c r="O1645" s="26">
        <f t="shared" si="77"/>
        <v>2413.4</v>
      </c>
      <c r="P1645">
        <v>169</v>
      </c>
      <c r="Q1645" t="b">
        <v>1</v>
      </c>
      <c r="S1645" t="s">
        <v>42</v>
      </c>
    </row>
    <row r="1646" spans="1:19">
      <c r="A1646" t="s">
        <v>3395</v>
      </c>
      <c r="B1646" t="s">
        <v>3396</v>
      </c>
      <c r="C1646" s="23" t="s">
        <v>4128</v>
      </c>
      <c r="D1646" s="23">
        <v>45112</v>
      </c>
      <c r="E1646" s="22">
        <v>7</v>
      </c>
      <c r="F1646" s="22">
        <v>5</v>
      </c>
      <c r="G1646" s="22">
        <v>2023</v>
      </c>
      <c r="H1646" s="23">
        <f t="shared" si="75"/>
        <v>45112</v>
      </c>
      <c r="I1646" s="25">
        <v>45113</v>
      </c>
      <c r="J1646" s="22">
        <f t="shared" si="76"/>
        <v>1</v>
      </c>
      <c r="K1646" t="s">
        <v>14</v>
      </c>
      <c r="L1646">
        <v>62665</v>
      </c>
      <c r="M1646">
        <v>1597</v>
      </c>
      <c r="N1646" s="26">
        <v>2081.61</v>
      </c>
      <c r="O1646" s="26">
        <f t="shared" si="77"/>
        <v>2081.61</v>
      </c>
      <c r="P1646">
        <v>233</v>
      </c>
      <c r="Q1646" t="b">
        <v>1</v>
      </c>
      <c r="S1646" t="s">
        <v>16</v>
      </c>
    </row>
    <row r="1647" spans="1:19">
      <c r="A1647" t="s">
        <v>3397</v>
      </c>
      <c r="B1647" t="s">
        <v>3398</v>
      </c>
      <c r="C1647" s="23" t="s">
        <v>4129</v>
      </c>
      <c r="D1647" s="23">
        <v>45157</v>
      </c>
      <c r="E1647" s="22">
        <v>8</v>
      </c>
      <c r="F1647" s="22">
        <v>19</v>
      </c>
      <c r="G1647" s="22">
        <v>2023</v>
      </c>
      <c r="H1647" s="23">
        <f t="shared" si="75"/>
        <v>45157</v>
      </c>
      <c r="I1647" s="25">
        <v>45174</v>
      </c>
      <c r="J1647" s="22">
        <f t="shared" si="76"/>
        <v>17</v>
      </c>
      <c r="K1647" t="s">
        <v>41</v>
      </c>
      <c r="L1647">
        <v>83856</v>
      </c>
      <c r="M1647">
        <v>3879</v>
      </c>
      <c r="N1647" s="26">
        <v>5537.03</v>
      </c>
      <c r="O1647" s="26">
        <f t="shared" si="77"/>
        <v>3632.575</v>
      </c>
      <c r="P1647">
        <v>688</v>
      </c>
      <c r="Q1647" t="b">
        <v>0</v>
      </c>
      <c r="S1647" t="s">
        <v>68</v>
      </c>
    </row>
    <row r="1648" spans="1:19">
      <c r="A1648" t="s">
        <v>3399</v>
      </c>
      <c r="B1648" t="s">
        <v>3400</v>
      </c>
      <c r="C1648" s="23" t="s">
        <v>4131</v>
      </c>
      <c r="D1648" s="23">
        <v>44938</v>
      </c>
      <c r="E1648" s="22">
        <v>1</v>
      </c>
      <c r="F1648" s="22">
        <v>12</v>
      </c>
      <c r="G1648" s="22">
        <v>2023</v>
      </c>
      <c r="H1648" s="23">
        <f t="shared" si="75"/>
        <v>44938</v>
      </c>
      <c r="I1648" s="25">
        <v>44955</v>
      </c>
      <c r="J1648" s="22">
        <f t="shared" si="76"/>
        <v>17</v>
      </c>
      <c r="K1648" t="s">
        <v>33</v>
      </c>
      <c r="L1648">
        <v>28376</v>
      </c>
      <c r="M1648">
        <v>301</v>
      </c>
      <c r="N1648" s="26">
        <v>457.82</v>
      </c>
      <c r="O1648" s="26">
        <f t="shared" si="77"/>
        <v>457.82</v>
      </c>
      <c r="P1648">
        <v>28</v>
      </c>
      <c r="Q1648" t="b">
        <v>1</v>
      </c>
      <c r="S1648" t="s">
        <v>34</v>
      </c>
    </row>
    <row r="1649" spans="1:19">
      <c r="A1649" t="s">
        <v>3401</v>
      </c>
      <c r="B1649" t="s">
        <v>3402</v>
      </c>
      <c r="C1649" s="23" t="s">
        <v>4128</v>
      </c>
      <c r="D1649" s="23">
        <v>45055</v>
      </c>
      <c r="E1649" s="22">
        <v>5</v>
      </c>
      <c r="F1649" s="22">
        <v>9</v>
      </c>
      <c r="G1649" s="22">
        <v>2023</v>
      </c>
      <c r="H1649" s="23">
        <f t="shared" si="75"/>
        <v>45055</v>
      </c>
      <c r="I1649" s="25">
        <v>45084</v>
      </c>
      <c r="J1649" s="22">
        <f t="shared" si="76"/>
        <v>29</v>
      </c>
      <c r="K1649" t="s">
        <v>23</v>
      </c>
      <c r="L1649">
        <v>56554</v>
      </c>
      <c r="M1649">
        <v>2334</v>
      </c>
      <c r="N1649" s="26">
        <v>3501.23</v>
      </c>
      <c r="O1649" s="26">
        <f t="shared" si="77"/>
        <v>3501.23</v>
      </c>
      <c r="P1649">
        <v>175</v>
      </c>
      <c r="Q1649" t="b">
        <v>0</v>
      </c>
      <c r="S1649" t="s">
        <v>25</v>
      </c>
    </row>
    <row r="1650" spans="1:19">
      <c r="A1650" t="s">
        <v>3403</v>
      </c>
      <c r="B1650" t="s">
        <v>3404</v>
      </c>
      <c r="C1650" s="23" t="s">
        <v>4129</v>
      </c>
      <c r="D1650" s="23">
        <v>44967</v>
      </c>
      <c r="E1650" s="22">
        <v>2</v>
      </c>
      <c r="F1650" s="22">
        <v>10</v>
      </c>
      <c r="G1650" s="22">
        <v>2023</v>
      </c>
      <c r="H1650" s="23">
        <f t="shared" si="75"/>
        <v>44967</v>
      </c>
      <c r="I1650" s="25">
        <v>44969</v>
      </c>
      <c r="J1650" s="22">
        <f t="shared" si="76"/>
        <v>2</v>
      </c>
      <c r="K1650" t="s">
        <v>33</v>
      </c>
      <c r="L1650">
        <v>15199</v>
      </c>
      <c r="M1650">
        <v>227</v>
      </c>
      <c r="N1650" s="26">
        <v>287.49</v>
      </c>
      <c r="O1650" s="26">
        <f t="shared" si="77"/>
        <v>287.49</v>
      </c>
      <c r="P1650">
        <v>24</v>
      </c>
      <c r="Q1650" t="b">
        <v>0</v>
      </c>
      <c r="S1650" t="s">
        <v>34</v>
      </c>
    </row>
    <row r="1651" spans="1:19">
      <c r="A1651" t="s">
        <v>3405</v>
      </c>
      <c r="B1651" t="s">
        <v>3406</v>
      </c>
      <c r="C1651" s="23" t="s">
        <v>4129</v>
      </c>
      <c r="D1651" s="23" t="s">
        <v>3407</v>
      </c>
      <c r="E1651" s="22">
        <v>18</v>
      </c>
      <c r="F1651" s="22">
        <v>2</v>
      </c>
      <c r="G1651" s="22">
        <v>2023</v>
      </c>
      <c r="H1651" s="23">
        <f t="shared" si="75"/>
        <v>44975</v>
      </c>
      <c r="I1651" s="25">
        <v>44988</v>
      </c>
      <c r="J1651" s="22">
        <f t="shared" si="76"/>
        <v>13</v>
      </c>
      <c r="K1651" t="s">
        <v>23</v>
      </c>
      <c r="L1651">
        <v>82412</v>
      </c>
      <c r="M1651">
        <v>3453</v>
      </c>
      <c r="N1651" s="26">
        <v>3947.28</v>
      </c>
      <c r="O1651" s="26">
        <f t="shared" si="77"/>
        <v>3632.575</v>
      </c>
      <c r="P1651">
        <v>355</v>
      </c>
      <c r="Q1651" t="b">
        <v>0</v>
      </c>
      <c r="S1651" t="s">
        <v>25</v>
      </c>
    </row>
    <row r="1652" spans="1:19">
      <c r="A1652" t="s">
        <v>3408</v>
      </c>
      <c r="B1652" t="s">
        <v>3409</v>
      </c>
      <c r="C1652" s="23" t="s">
        <v>4129</v>
      </c>
      <c r="D1652" s="23">
        <v>45169</v>
      </c>
      <c r="E1652" s="22">
        <v>8</v>
      </c>
      <c r="F1652" s="22">
        <v>31</v>
      </c>
      <c r="G1652" s="22">
        <v>2023</v>
      </c>
      <c r="H1652" s="23">
        <f t="shared" si="75"/>
        <v>45169</v>
      </c>
      <c r="I1652" s="25">
        <v>45174</v>
      </c>
      <c r="J1652" s="22">
        <f t="shared" si="76"/>
        <v>5</v>
      </c>
      <c r="K1652" t="s">
        <v>19</v>
      </c>
      <c r="L1652">
        <v>51948</v>
      </c>
      <c r="M1652">
        <v>1799</v>
      </c>
      <c r="N1652" s="26">
        <v>1044.63</v>
      </c>
      <c r="O1652" s="26">
        <f t="shared" si="77"/>
        <v>1044.63</v>
      </c>
      <c r="P1652">
        <v>125</v>
      </c>
      <c r="Q1652" t="b">
        <v>1</v>
      </c>
      <c r="S1652" t="s">
        <v>20</v>
      </c>
    </row>
    <row r="1653" spans="1:19">
      <c r="A1653" t="s">
        <v>3410</v>
      </c>
      <c r="B1653" t="s">
        <v>3411</v>
      </c>
      <c r="C1653" s="23" t="s">
        <v>4127</v>
      </c>
      <c r="D1653" s="23">
        <v>45130</v>
      </c>
      <c r="E1653" s="22">
        <v>7</v>
      </c>
      <c r="F1653" s="22">
        <v>23</v>
      </c>
      <c r="G1653" s="22">
        <v>2023</v>
      </c>
      <c r="H1653" s="23">
        <f t="shared" si="75"/>
        <v>45130</v>
      </c>
      <c r="I1653" s="25">
        <v>45136</v>
      </c>
      <c r="J1653" s="22">
        <f t="shared" si="76"/>
        <v>6</v>
      </c>
      <c r="K1653" t="s">
        <v>41</v>
      </c>
      <c r="L1653">
        <v>74781</v>
      </c>
      <c r="M1653">
        <v>3270</v>
      </c>
      <c r="N1653" s="26">
        <v>1743.33</v>
      </c>
      <c r="O1653" s="26">
        <f t="shared" si="77"/>
        <v>1743.33</v>
      </c>
      <c r="P1653">
        <v>493</v>
      </c>
      <c r="Q1653" t="b">
        <v>0</v>
      </c>
      <c r="S1653" t="s">
        <v>42</v>
      </c>
    </row>
    <row r="1654" spans="1:19">
      <c r="A1654" t="s">
        <v>3412</v>
      </c>
      <c r="B1654" t="s">
        <v>3413</v>
      </c>
      <c r="C1654" s="23" t="s">
        <v>4129</v>
      </c>
      <c r="D1654" s="23">
        <v>44980</v>
      </c>
      <c r="E1654" s="22">
        <v>2</v>
      </c>
      <c r="F1654" s="22">
        <v>23</v>
      </c>
      <c r="G1654" s="22">
        <v>2023</v>
      </c>
      <c r="H1654" s="23">
        <f t="shared" si="75"/>
        <v>44980</v>
      </c>
      <c r="I1654" s="25">
        <v>44982</v>
      </c>
      <c r="J1654" s="22">
        <f t="shared" si="76"/>
        <v>2</v>
      </c>
      <c r="K1654" t="s">
        <v>33</v>
      </c>
      <c r="L1654">
        <v>73750</v>
      </c>
      <c r="M1654">
        <v>1025</v>
      </c>
      <c r="N1654" s="26">
        <v>1062.87</v>
      </c>
      <c r="O1654" s="26">
        <f t="shared" si="77"/>
        <v>1062.87</v>
      </c>
      <c r="P1654">
        <v>129</v>
      </c>
      <c r="Q1654" t="b">
        <v>1</v>
      </c>
      <c r="S1654" t="s">
        <v>34</v>
      </c>
    </row>
    <row r="1655" spans="1:19">
      <c r="A1655" t="s">
        <v>3414</v>
      </c>
      <c r="B1655" t="s">
        <v>3415</v>
      </c>
      <c r="C1655" s="23" t="s">
        <v>4128</v>
      </c>
      <c r="D1655" s="23">
        <v>45262</v>
      </c>
      <c r="E1655" s="22">
        <v>12</v>
      </c>
      <c r="F1655" s="22">
        <v>2</v>
      </c>
      <c r="G1655" s="22">
        <v>2023</v>
      </c>
      <c r="H1655" s="23">
        <f t="shared" si="75"/>
        <v>45262</v>
      </c>
      <c r="I1655" s="25">
        <v>45278</v>
      </c>
      <c r="J1655" s="22">
        <f t="shared" si="76"/>
        <v>16</v>
      </c>
      <c r="K1655" t="s">
        <v>14</v>
      </c>
      <c r="L1655">
        <v>67262</v>
      </c>
      <c r="M1655">
        <v>2176</v>
      </c>
      <c r="N1655" s="26">
        <v>2177.07</v>
      </c>
      <c r="O1655" s="26">
        <f t="shared" si="77"/>
        <v>2177.07</v>
      </c>
      <c r="P1655">
        <v>344</v>
      </c>
      <c r="Q1655" t="b">
        <v>0</v>
      </c>
      <c r="S1655" t="s">
        <v>16</v>
      </c>
    </row>
    <row r="1656" spans="1:19">
      <c r="A1656" t="s">
        <v>3416</v>
      </c>
      <c r="B1656" t="s">
        <v>3417</v>
      </c>
      <c r="C1656" s="23" t="s">
        <v>4128</v>
      </c>
      <c r="D1656" s="23">
        <v>45044</v>
      </c>
      <c r="E1656" s="22">
        <v>4</v>
      </c>
      <c r="F1656" s="22">
        <v>28</v>
      </c>
      <c r="G1656" s="22">
        <v>2023</v>
      </c>
      <c r="H1656" s="23">
        <f t="shared" si="75"/>
        <v>45044</v>
      </c>
      <c r="I1656" s="25">
        <v>45049</v>
      </c>
      <c r="J1656" s="22">
        <f t="shared" si="76"/>
        <v>5</v>
      </c>
      <c r="K1656" t="s">
        <v>41</v>
      </c>
      <c r="L1656">
        <v>47600</v>
      </c>
      <c r="M1656">
        <v>1430</v>
      </c>
      <c r="N1656" s="26">
        <v>1546.61</v>
      </c>
      <c r="O1656" s="26">
        <f t="shared" si="77"/>
        <v>1546.61</v>
      </c>
      <c r="P1656">
        <v>147</v>
      </c>
      <c r="Q1656" t="b">
        <v>1</v>
      </c>
      <c r="S1656" t="s">
        <v>68</v>
      </c>
    </row>
    <row r="1657" spans="1:19">
      <c r="A1657" t="s">
        <v>3418</v>
      </c>
      <c r="B1657" t="s">
        <v>3419</v>
      </c>
      <c r="C1657" s="23" t="s">
        <v>4128</v>
      </c>
      <c r="D1657" s="23">
        <v>45247</v>
      </c>
      <c r="E1657" s="22">
        <v>11</v>
      </c>
      <c r="F1657" s="22">
        <v>17</v>
      </c>
      <c r="G1657" s="22">
        <v>2023</v>
      </c>
      <c r="H1657" s="23">
        <f t="shared" si="75"/>
        <v>45247</v>
      </c>
      <c r="I1657" s="25">
        <v>45275</v>
      </c>
      <c r="J1657" s="22">
        <f t="shared" si="76"/>
        <v>28</v>
      </c>
      <c r="K1657" t="s">
        <v>33</v>
      </c>
      <c r="L1657">
        <v>77898</v>
      </c>
      <c r="M1657">
        <v>2979</v>
      </c>
      <c r="N1657" s="26">
        <v>2107.8</v>
      </c>
      <c r="O1657" s="26">
        <f t="shared" si="77"/>
        <v>2107.8</v>
      </c>
      <c r="P1657">
        <v>294</v>
      </c>
      <c r="Q1657" t="b">
        <v>1</v>
      </c>
      <c r="S1657" t="s">
        <v>34</v>
      </c>
    </row>
    <row r="1658" spans="1:19">
      <c r="A1658" t="s">
        <v>3420</v>
      </c>
      <c r="B1658" t="s">
        <v>3421</v>
      </c>
      <c r="C1658" s="23" t="s">
        <v>4128</v>
      </c>
      <c r="D1658" s="23" t="s">
        <v>1741</v>
      </c>
      <c r="E1658" s="22">
        <v>29</v>
      </c>
      <c r="F1658" s="22">
        <v>3</v>
      </c>
      <c r="G1658" s="22">
        <v>2023</v>
      </c>
      <c r="H1658" s="23">
        <f t="shared" si="75"/>
        <v>45014</v>
      </c>
      <c r="I1658" s="25">
        <v>45019</v>
      </c>
      <c r="J1658" s="22">
        <f t="shared" si="76"/>
        <v>5</v>
      </c>
      <c r="K1658" t="s">
        <v>33</v>
      </c>
      <c r="L1658">
        <v>63483</v>
      </c>
      <c r="M1658">
        <v>1991</v>
      </c>
      <c r="N1658" s="26">
        <v>3200.04</v>
      </c>
      <c r="O1658" s="26">
        <f t="shared" si="77"/>
        <v>3200.04</v>
      </c>
      <c r="P1658">
        <v>0</v>
      </c>
      <c r="Q1658" t="b">
        <v>1</v>
      </c>
      <c r="S1658" t="s">
        <v>34</v>
      </c>
    </row>
    <row r="1659" spans="1:19">
      <c r="A1659" t="s">
        <v>3422</v>
      </c>
      <c r="B1659" t="s">
        <v>3423</v>
      </c>
      <c r="C1659" s="23" t="s">
        <v>4131</v>
      </c>
      <c r="D1659" s="23">
        <v>45266</v>
      </c>
      <c r="E1659" s="22">
        <v>12</v>
      </c>
      <c r="F1659" s="22">
        <v>6</v>
      </c>
      <c r="G1659" s="22">
        <v>2023</v>
      </c>
      <c r="H1659" s="23">
        <f t="shared" si="75"/>
        <v>45266</v>
      </c>
      <c r="I1659" s="25">
        <v>45274</v>
      </c>
      <c r="J1659" s="22">
        <f t="shared" si="76"/>
        <v>8</v>
      </c>
      <c r="K1659" t="s">
        <v>19</v>
      </c>
      <c r="L1659">
        <v>19297</v>
      </c>
      <c r="M1659">
        <v>610</v>
      </c>
      <c r="N1659" s="26">
        <v>1089.12</v>
      </c>
      <c r="O1659" s="26">
        <f t="shared" si="77"/>
        <v>1089.12</v>
      </c>
      <c r="P1659">
        <v>0</v>
      </c>
      <c r="Q1659" t="b">
        <v>0</v>
      </c>
      <c r="S1659" t="s">
        <v>20</v>
      </c>
    </row>
    <row r="1660" spans="1:19">
      <c r="A1660" t="s">
        <v>3424</v>
      </c>
      <c r="B1660" t="s">
        <v>3425</v>
      </c>
      <c r="C1660" s="23" t="s">
        <v>4131</v>
      </c>
      <c r="D1660" s="23">
        <v>45170</v>
      </c>
      <c r="E1660" s="22">
        <v>9</v>
      </c>
      <c r="F1660" s="22">
        <v>1</v>
      </c>
      <c r="G1660" s="22">
        <v>2023</v>
      </c>
      <c r="H1660" s="23">
        <f t="shared" si="75"/>
        <v>45170</v>
      </c>
      <c r="I1660" s="25">
        <v>45198</v>
      </c>
      <c r="J1660" s="22">
        <f t="shared" si="76"/>
        <v>28</v>
      </c>
      <c r="K1660" t="s">
        <v>23</v>
      </c>
      <c r="L1660">
        <v>31448</v>
      </c>
      <c r="M1660">
        <v>854</v>
      </c>
      <c r="N1660" s="26">
        <v>1629.49</v>
      </c>
      <c r="O1660" s="26">
        <f t="shared" si="77"/>
        <v>1629.49</v>
      </c>
      <c r="P1660">
        <v>47</v>
      </c>
      <c r="Q1660" t="b">
        <v>1</v>
      </c>
      <c r="S1660" t="s">
        <v>25</v>
      </c>
    </row>
    <row r="1661" spans="1:19">
      <c r="A1661" t="s">
        <v>3426</v>
      </c>
      <c r="B1661" t="s">
        <v>3427</v>
      </c>
      <c r="C1661" s="23" t="s">
        <v>4131</v>
      </c>
      <c r="D1661" s="23">
        <v>45066</v>
      </c>
      <c r="E1661" s="22">
        <v>5</v>
      </c>
      <c r="F1661" s="22">
        <v>20</v>
      </c>
      <c r="G1661" s="22">
        <v>2023</v>
      </c>
      <c r="H1661" s="23">
        <f t="shared" si="75"/>
        <v>45066</v>
      </c>
      <c r="I1661" s="25">
        <v>45086</v>
      </c>
      <c r="J1661" s="22">
        <f t="shared" si="76"/>
        <v>20</v>
      </c>
      <c r="K1661" t="s">
        <v>138</v>
      </c>
      <c r="L1661">
        <v>27172</v>
      </c>
      <c r="M1661">
        <v>607</v>
      </c>
      <c r="N1661" s="26">
        <v>751.8</v>
      </c>
      <c r="O1661" s="26">
        <f t="shared" si="77"/>
        <v>751.8</v>
      </c>
      <c r="P1661">
        <v>103</v>
      </c>
      <c r="Q1661" t="b">
        <v>0</v>
      </c>
      <c r="S1661" t="s">
        <v>139</v>
      </c>
    </row>
    <row r="1662" spans="1:19">
      <c r="A1662" t="s">
        <v>3428</v>
      </c>
      <c r="B1662" t="s">
        <v>3429</v>
      </c>
      <c r="C1662" s="23" t="s">
        <v>4129</v>
      </c>
      <c r="D1662" s="23">
        <v>45284</v>
      </c>
      <c r="E1662" s="22">
        <v>12</v>
      </c>
      <c r="F1662" s="22">
        <v>24</v>
      </c>
      <c r="G1662" s="22">
        <v>2023</v>
      </c>
      <c r="H1662" s="23">
        <f t="shared" si="75"/>
        <v>45284</v>
      </c>
      <c r="I1662" s="25">
        <v>45311</v>
      </c>
      <c r="J1662" s="22">
        <f t="shared" si="76"/>
        <v>27</v>
      </c>
      <c r="K1662" t="s">
        <v>14</v>
      </c>
      <c r="L1662">
        <v>43874</v>
      </c>
      <c r="M1662">
        <v>1285</v>
      </c>
      <c r="N1662" s="26">
        <v>1993.42</v>
      </c>
      <c r="O1662" s="26">
        <f t="shared" si="77"/>
        <v>1993.42</v>
      </c>
      <c r="P1662">
        <v>135</v>
      </c>
      <c r="Q1662" t="b">
        <v>1</v>
      </c>
      <c r="S1662" t="s">
        <v>16</v>
      </c>
    </row>
    <row r="1663" spans="1:19">
      <c r="A1663" t="s">
        <v>3430</v>
      </c>
      <c r="B1663" t="s">
        <v>3431</v>
      </c>
      <c r="C1663" s="23" t="s">
        <v>4131</v>
      </c>
      <c r="D1663" s="23">
        <v>45160</v>
      </c>
      <c r="E1663" s="22">
        <v>8</v>
      </c>
      <c r="F1663" s="22">
        <v>22</v>
      </c>
      <c r="G1663" s="22">
        <v>2023</v>
      </c>
      <c r="H1663" s="23">
        <f t="shared" si="75"/>
        <v>45160</v>
      </c>
      <c r="I1663" s="25">
        <v>45172</v>
      </c>
      <c r="J1663" s="22">
        <f t="shared" si="76"/>
        <v>12</v>
      </c>
      <c r="K1663" t="s">
        <v>33</v>
      </c>
      <c r="L1663">
        <v>8657</v>
      </c>
      <c r="M1663">
        <v>127</v>
      </c>
      <c r="N1663" s="26">
        <v>226.48</v>
      </c>
      <c r="O1663" s="26">
        <f t="shared" si="77"/>
        <v>226.48</v>
      </c>
      <c r="P1663">
        <v>22</v>
      </c>
      <c r="Q1663" t="b">
        <v>1</v>
      </c>
      <c r="S1663" t="s">
        <v>34</v>
      </c>
    </row>
    <row r="1664" spans="1:19">
      <c r="A1664" t="s">
        <v>3432</v>
      </c>
      <c r="B1664" t="s">
        <v>3433</v>
      </c>
      <c r="C1664" s="23" t="s">
        <v>4129</v>
      </c>
      <c r="D1664" s="23">
        <v>45215</v>
      </c>
      <c r="E1664" s="22">
        <v>10</v>
      </c>
      <c r="F1664" s="22">
        <v>16</v>
      </c>
      <c r="G1664" s="22">
        <v>2023</v>
      </c>
      <c r="H1664" s="23">
        <f t="shared" si="75"/>
        <v>45215</v>
      </c>
      <c r="I1664" s="25">
        <v>45234</v>
      </c>
      <c r="J1664" s="22">
        <f t="shared" si="76"/>
        <v>19</v>
      </c>
      <c r="K1664" t="s">
        <v>19</v>
      </c>
      <c r="L1664">
        <v>85386</v>
      </c>
      <c r="M1664">
        <v>4137</v>
      </c>
      <c r="N1664" s="26">
        <v>4664.21</v>
      </c>
      <c r="O1664" s="26">
        <f t="shared" si="77"/>
        <v>3632.575</v>
      </c>
      <c r="P1664">
        <v>704</v>
      </c>
      <c r="Q1664" t="b">
        <v>1</v>
      </c>
      <c r="S1664" t="s">
        <v>20</v>
      </c>
    </row>
    <row r="1665" spans="1:19">
      <c r="A1665" t="s">
        <v>3434</v>
      </c>
      <c r="B1665" t="s">
        <v>3435</v>
      </c>
      <c r="C1665" s="23" t="s">
        <v>4129</v>
      </c>
      <c r="D1665" s="23">
        <v>45200</v>
      </c>
      <c r="E1665" s="22">
        <v>10</v>
      </c>
      <c r="F1665" s="22">
        <v>1</v>
      </c>
      <c r="G1665" s="22">
        <v>2023</v>
      </c>
      <c r="H1665" s="23">
        <f t="shared" si="75"/>
        <v>45200</v>
      </c>
      <c r="I1665" s="25">
        <v>45226</v>
      </c>
      <c r="J1665" s="22">
        <f t="shared" si="76"/>
        <v>26</v>
      </c>
      <c r="K1665" t="s">
        <v>14</v>
      </c>
      <c r="L1665">
        <v>26425</v>
      </c>
      <c r="M1665">
        <v>1019</v>
      </c>
      <c r="N1665" s="26">
        <v>982.44</v>
      </c>
      <c r="O1665" s="26">
        <f t="shared" si="77"/>
        <v>982.44</v>
      </c>
      <c r="P1665">
        <v>104</v>
      </c>
      <c r="Q1665" t="b">
        <v>1</v>
      </c>
      <c r="S1665" t="s">
        <v>16</v>
      </c>
    </row>
    <row r="1666" spans="1:19">
      <c r="A1666" t="s">
        <v>3436</v>
      </c>
      <c r="B1666" t="s">
        <v>3437</v>
      </c>
      <c r="C1666" s="23" t="s">
        <v>4127</v>
      </c>
      <c r="D1666" s="23">
        <v>45203</v>
      </c>
      <c r="E1666" s="22">
        <v>10</v>
      </c>
      <c r="F1666" s="22">
        <v>4</v>
      </c>
      <c r="G1666" s="22">
        <v>2023</v>
      </c>
      <c r="H1666" s="23">
        <f t="shared" si="75"/>
        <v>45203</v>
      </c>
      <c r="I1666" s="25">
        <v>45035</v>
      </c>
      <c r="J1666" s="22">
        <f t="shared" si="76"/>
        <v>-168</v>
      </c>
      <c r="K1666" t="s">
        <v>19</v>
      </c>
      <c r="L1666">
        <v>27685</v>
      </c>
      <c r="M1666">
        <v>1331</v>
      </c>
      <c r="N1666" s="26">
        <v>2535.67</v>
      </c>
      <c r="O1666" s="26">
        <f t="shared" si="77"/>
        <v>2535.67</v>
      </c>
      <c r="P1666">
        <v>205</v>
      </c>
      <c r="Q1666" t="b">
        <v>0</v>
      </c>
      <c r="S1666" t="s">
        <v>20</v>
      </c>
    </row>
    <row r="1667" spans="1:19">
      <c r="A1667" t="s">
        <v>3438</v>
      </c>
      <c r="B1667" t="s">
        <v>3439</v>
      </c>
      <c r="C1667" s="23" t="s">
        <v>4131</v>
      </c>
      <c r="D1667" s="23">
        <v>45084</v>
      </c>
      <c r="E1667" s="22">
        <v>6</v>
      </c>
      <c r="F1667" s="22">
        <v>7</v>
      </c>
      <c r="G1667" s="22">
        <v>2023</v>
      </c>
      <c r="H1667" s="23">
        <f t="shared" ref="H1667:H1730" si="78">IF(E1667&gt;12,DATE(G1667,F1667,E1667),D1667)</f>
        <v>45084</v>
      </c>
      <c r="I1667" s="25">
        <v>45099</v>
      </c>
      <c r="J1667" s="22">
        <f t="shared" ref="J1667:J1730" si="79">DATEDIF(H1667,I1667,"D")</f>
        <v>15</v>
      </c>
      <c r="K1667" t="s">
        <v>23</v>
      </c>
      <c r="L1667">
        <v>25578</v>
      </c>
      <c r="M1667">
        <v>487</v>
      </c>
      <c r="N1667" s="26">
        <v>620.2</v>
      </c>
      <c r="O1667" s="26">
        <f t="shared" ref="O1667:O1730" si="80">IF(N1667&lt;$W$8,$W$8,IF(N1667&gt;$W$9,$W$9,N1667))</f>
        <v>620.2</v>
      </c>
      <c r="P1667">
        <v>36</v>
      </c>
      <c r="Q1667" t="b">
        <v>1</v>
      </c>
      <c r="S1667" t="s">
        <v>25</v>
      </c>
    </row>
    <row r="1668" spans="1:19">
      <c r="A1668" t="s">
        <v>3440</v>
      </c>
      <c r="B1668" t="s">
        <v>3441</v>
      </c>
      <c r="C1668" s="23" t="s">
        <v>4129</v>
      </c>
      <c r="D1668" s="23">
        <v>45052</v>
      </c>
      <c r="E1668" s="22">
        <v>5</v>
      </c>
      <c r="F1668" s="22">
        <v>6</v>
      </c>
      <c r="G1668" s="22">
        <v>2023</v>
      </c>
      <c r="H1668" s="23">
        <f t="shared" si="78"/>
        <v>45052</v>
      </c>
      <c r="I1668" s="25">
        <v>45047</v>
      </c>
      <c r="J1668" s="22">
        <f t="shared" si="79"/>
        <v>-5</v>
      </c>
      <c r="K1668" t="s">
        <v>23</v>
      </c>
      <c r="L1668">
        <v>29831</v>
      </c>
      <c r="M1668">
        <v>1347</v>
      </c>
      <c r="N1668" s="26">
        <v>1678.2</v>
      </c>
      <c r="O1668" s="26">
        <f t="shared" si="80"/>
        <v>1678.2</v>
      </c>
      <c r="P1668">
        <v>248</v>
      </c>
      <c r="Q1668" t="b">
        <v>1</v>
      </c>
      <c r="S1668" t="s">
        <v>25</v>
      </c>
    </row>
    <row r="1669" spans="1:19">
      <c r="A1669" t="s">
        <v>3442</v>
      </c>
      <c r="B1669" t="s">
        <v>3443</v>
      </c>
      <c r="C1669" s="23" t="s">
        <v>4129</v>
      </c>
      <c r="D1669" s="23">
        <v>45194</v>
      </c>
      <c r="E1669" s="22">
        <v>9</v>
      </c>
      <c r="F1669" s="22">
        <v>25</v>
      </c>
      <c r="G1669" s="22">
        <v>2023</v>
      </c>
      <c r="H1669" s="23">
        <f t="shared" si="78"/>
        <v>45194</v>
      </c>
      <c r="I1669" s="25">
        <v>45209</v>
      </c>
      <c r="J1669" s="22">
        <f t="shared" si="79"/>
        <v>15</v>
      </c>
      <c r="K1669" t="s">
        <v>33</v>
      </c>
      <c r="L1669">
        <v>8906</v>
      </c>
      <c r="M1669">
        <v>377</v>
      </c>
      <c r="N1669" s="26">
        <v>289.39</v>
      </c>
      <c r="O1669" s="26">
        <f t="shared" si="80"/>
        <v>289.39</v>
      </c>
      <c r="P1669">
        <v>41</v>
      </c>
      <c r="Q1669" t="b">
        <v>0</v>
      </c>
      <c r="S1669" t="s">
        <v>34</v>
      </c>
    </row>
    <row r="1670" spans="1:19">
      <c r="A1670" t="s">
        <v>3444</v>
      </c>
      <c r="B1670" t="s">
        <v>3445</v>
      </c>
      <c r="C1670" s="23" t="s">
        <v>4131</v>
      </c>
      <c r="D1670" s="23">
        <v>45103</v>
      </c>
      <c r="E1670" s="22">
        <v>6</v>
      </c>
      <c r="F1670" s="22">
        <v>26</v>
      </c>
      <c r="G1670" s="22">
        <v>2023</v>
      </c>
      <c r="H1670" s="23">
        <f t="shared" si="78"/>
        <v>45103</v>
      </c>
      <c r="I1670" s="25">
        <v>45109</v>
      </c>
      <c r="J1670" s="22">
        <f t="shared" si="79"/>
        <v>6</v>
      </c>
      <c r="K1670" t="s">
        <v>14</v>
      </c>
      <c r="L1670">
        <v>62413</v>
      </c>
      <c r="M1670">
        <v>2314</v>
      </c>
      <c r="N1670" s="26">
        <v>1532.41</v>
      </c>
      <c r="O1670" s="26">
        <f t="shared" si="80"/>
        <v>1532.41</v>
      </c>
      <c r="P1670">
        <v>273</v>
      </c>
      <c r="Q1670" t="b">
        <v>1</v>
      </c>
      <c r="S1670" t="s">
        <v>16</v>
      </c>
    </row>
    <row r="1671" spans="1:19">
      <c r="A1671" t="s">
        <v>3446</v>
      </c>
      <c r="B1671" t="s">
        <v>3447</v>
      </c>
      <c r="C1671" s="23" t="s">
        <v>4128</v>
      </c>
      <c r="D1671" s="23">
        <v>45279</v>
      </c>
      <c r="E1671" s="22">
        <v>12</v>
      </c>
      <c r="F1671" s="22">
        <v>19</v>
      </c>
      <c r="G1671" s="22">
        <v>2023</v>
      </c>
      <c r="H1671" s="23">
        <f t="shared" si="78"/>
        <v>45279</v>
      </c>
      <c r="I1671" s="25">
        <v>45302</v>
      </c>
      <c r="J1671" s="22">
        <f t="shared" si="79"/>
        <v>23</v>
      </c>
      <c r="K1671" t="s">
        <v>19</v>
      </c>
      <c r="L1671">
        <v>55028</v>
      </c>
      <c r="M1671">
        <v>1926</v>
      </c>
      <c r="N1671" s="26">
        <v>3395.85</v>
      </c>
      <c r="O1671" s="26">
        <f t="shared" si="80"/>
        <v>3395.85</v>
      </c>
      <c r="P1671">
        <v>300</v>
      </c>
      <c r="Q1671" t="b">
        <v>0</v>
      </c>
      <c r="S1671" t="s">
        <v>20</v>
      </c>
    </row>
    <row r="1672" spans="1:19">
      <c r="A1672" t="s">
        <v>3448</v>
      </c>
      <c r="B1672" t="s">
        <v>3449</v>
      </c>
      <c r="C1672" s="23" t="s">
        <v>4128</v>
      </c>
      <c r="D1672" s="23">
        <v>45171</v>
      </c>
      <c r="E1672" s="22">
        <v>9</v>
      </c>
      <c r="F1672" s="22">
        <v>2</v>
      </c>
      <c r="G1672" s="22">
        <v>2023</v>
      </c>
      <c r="H1672" s="23">
        <f t="shared" si="78"/>
        <v>45171</v>
      </c>
      <c r="I1672" s="25">
        <v>45175</v>
      </c>
      <c r="J1672" s="22">
        <f t="shared" si="79"/>
        <v>4</v>
      </c>
      <c r="K1672" t="s">
        <v>14</v>
      </c>
      <c r="L1672">
        <v>8287</v>
      </c>
      <c r="M1672">
        <v>187</v>
      </c>
      <c r="N1672" s="26">
        <v>265.76</v>
      </c>
      <c r="O1672" s="26">
        <f t="shared" si="80"/>
        <v>265.76</v>
      </c>
      <c r="P1672">
        <v>32</v>
      </c>
      <c r="Q1672" t="b">
        <v>0</v>
      </c>
      <c r="S1672" t="s">
        <v>16</v>
      </c>
    </row>
    <row r="1673" spans="1:19">
      <c r="A1673" t="s">
        <v>3450</v>
      </c>
      <c r="B1673" t="s">
        <v>3451</v>
      </c>
      <c r="C1673" s="23" t="s">
        <v>4127</v>
      </c>
      <c r="D1673" s="23">
        <v>45076</v>
      </c>
      <c r="E1673" s="22">
        <v>5</v>
      </c>
      <c r="F1673" s="22">
        <v>30</v>
      </c>
      <c r="G1673" s="22">
        <v>2023</v>
      </c>
      <c r="H1673" s="23">
        <f t="shared" si="78"/>
        <v>45076</v>
      </c>
      <c r="I1673" s="25">
        <v>45099</v>
      </c>
      <c r="J1673" s="22">
        <f t="shared" si="79"/>
        <v>23</v>
      </c>
      <c r="K1673" t="s">
        <v>23</v>
      </c>
      <c r="L1673">
        <v>34660</v>
      </c>
      <c r="M1673">
        <v>1478</v>
      </c>
      <c r="N1673" s="26">
        <v>1461.35</v>
      </c>
      <c r="O1673" s="26">
        <f t="shared" si="80"/>
        <v>1461.35</v>
      </c>
      <c r="P1673">
        <v>126</v>
      </c>
      <c r="Q1673" t="b">
        <v>0</v>
      </c>
      <c r="S1673" t="s">
        <v>25</v>
      </c>
    </row>
    <row r="1674" spans="1:19">
      <c r="A1674" t="s">
        <v>3452</v>
      </c>
      <c r="B1674" t="s">
        <v>3453</v>
      </c>
      <c r="C1674" s="23" t="s">
        <v>4127</v>
      </c>
      <c r="D1674" s="23">
        <v>45207</v>
      </c>
      <c r="E1674" s="22">
        <v>10</v>
      </c>
      <c r="F1674" s="22">
        <v>8</v>
      </c>
      <c r="G1674" s="22">
        <v>2023</v>
      </c>
      <c r="H1674" s="23">
        <f t="shared" si="78"/>
        <v>45207</v>
      </c>
      <c r="I1674" s="25">
        <v>45215</v>
      </c>
      <c r="J1674" s="22">
        <f t="shared" si="79"/>
        <v>8</v>
      </c>
      <c r="K1674" t="s">
        <v>14</v>
      </c>
      <c r="L1674">
        <v>76758</v>
      </c>
      <c r="M1674">
        <v>2307</v>
      </c>
      <c r="N1674" s="26">
        <v>1817</v>
      </c>
      <c r="O1674" s="26">
        <f t="shared" si="80"/>
        <v>1817</v>
      </c>
      <c r="P1674">
        <v>344</v>
      </c>
      <c r="Q1674" t="b">
        <v>1</v>
      </c>
      <c r="S1674" t="s">
        <v>16</v>
      </c>
    </row>
    <row r="1675" spans="1:19">
      <c r="A1675" t="s">
        <v>3454</v>
      </c>
      <c r="B1675" t="s">
        <v>3455</v>
      </c>
      <c r="C1675" s="23" t="s">
        <v>4127</v>
      </c>
      <c r="D1675" s="23">
        <v>45214</v>
      </c>
      <c r="E1675" s="22">
        <v>10</v>
      </c>
      <c r="F1675" s="22">
        <v>15</v>
      </c>
      <c r="G1675" s="22">
        <v>2023</v>
      </c>
      <c r="H1675" s="23">
        <f t="shared" si="78"/>
        <v>45214</v>
      </c>
      <c r="I1675" s="25">
        <v>45220</v>
      </c>
      <c r="J1675" s="22">
        <f t="shared" si="79"/>
        <v>6</v>
      </c>
      <c r="K1675" t="s">
        <v>19</v>
      </c>
      <c r="L1675">
        <v>61504</v>
      </c>
      <c r="M1675">
        <v>789</v>
      </c>
      <c r="N1675" s="26">
        <v>1051.93</v>
      </c>
      <c r="O1675" s="26">
        <f t="shared" si="80"/>
        <v>1051.93</v>
      </c>
      <c r="P1675">
        <v>85</v>
      </c>
      <c r="Q1675" t="b">
        <v>1</v>
      </c>
      <c r="S1675" t="s">
        <v>68</v>
      </c>
    </row>
    <row r="1676" spans="1:19">
      <c r="A1676" t="s">
        <v>3456</v>
      </c>
      <c r="B1676" t="s">
        <v>3457</v>
      </c>
      <c r="C1676" s="23" t="s">
        <v>4128</v>
      </c>
      <c r="D1676" s="23">
        <v>45257</v>
      </c>
      <c r="E1676" s="22">
        <v>11</v>
      </c>
      <c r="F1676" s="22">
        <v>27</v>
      </c>
      <c r="G1676" s="22">
        <v>2023</v>
      </c>
      <c r="H1676" s="23">
        <f t="shared" si="78"/>
        <v>45257</v>
      </c>
      <c r="I1676" s="25">
        <v>45278</v>
      </c>
      <c r="J1676" s="22">
        <f t="shared" si="79"/>
        <v>21</v>
      </c>
      <c r="K1676" t="s">
        <v>14</v>
      </c>
      <c r="L1676">
        <v>60720</v>
      </c>
      <c r="M1676">
        <v>1367</v>
      </c>
      <c r="N1676" s="26">
        <v>1880.83</v>
      </c>
      <c r="O1676" s="26">
        <f t="shared" si="80"/>
        <v>1880.83</v>
      </c>
      <c r="P1676">
        <v>143</v>
      </c>
      <c r="Q1676" t="b">
        <v>1</v>
      </c>
      <c r="S1676" t="s">
        <v>16</v>
      </c>
    </row>
    <row r="1677" spans="1:19">
      <c r="A1677" t="s">
        <v>3458</v>
      </c>
      <c r="B1677" t="s">
        <v>3459</v>
      </c>
      <c r="C1677" s="23" t="s">
        <v>4127</v>
      </c>
      <c r="D1677" s="23" t="s">
        <v>3460</v>
      </c>
      <c r="E1677" s="22">
        <v>15</v>
      </c>
      <c r="F1677" s="22">
        <v>5</v>
      </c>
      <c r="G1677" s="22">
        <v>2023</v>
      </c>
      <c r="H1677" s="23">
        <f t="shared" si="78"/>
        <v>45061</v>
      </c>
      <c r="I1677" s="25">
        <v>45081</v>
      </c>
      <c r="J1677" s="22">
        <f t="shared" si="79"/>
        <v>20</v>
      </c>
      <c r="K1677" t="s">
        <v>14</v>
      </c>
      <c r="L1677">
        <v>35701</v>
      </c>
      <c r="M1677">
        <v>1692</v>
      </c>
      <c r="N1677" s="26">
        <v>1371.35</v>
      </c>
      <c r="O1677" s="26">
        <f t="shared" si="80"/>
        <v>1371.35</v>
      </c>
      <c r="P1677">
        <v>259</v>
      </c>
      <c r="Q1677" t="b">
        <v>1</v>
      </c>
      <c r="S1677" t="s">
        <v>16</v>
      </c>
    </row>
    <row r="1678" spans="1:19">
      <c r="A1678" t="s">
        <v>3461</v>
      </c>
      <c r="B1678" t="s">
        <v>3462</v>
      </c>
      <c r="C1678" s="23" t="s">
        <v>4127</v>
      </c>
      <c r="D1678" s="23">
        <v>45247</v>
      </c>
      <c r="E1678" s="22">
        <v>11</v>
      </c>
      <c r="F1678" s="22">
        <v>17</v>
      </c>
      <c r="G1678" s="22">
        <v>2023</v>
      </c>
      <c r="H1678" s="23">
        <f t="shared" si="78"/>
        <v>45247</v>
      </c>
      <c r="I1678" s="25">
        <v>45272</v>
      </c>
      <c r="J1678" s="22">
        <f t="shared" si="79"/>
        <v>25</v>
      </c>
      <c r="K1678" t="s">
        <v>19</v>
      </c>
      <c r="L1678">
        <v>84300</v>
      </c>
      <c r="M1678">
        <v>3711</v>
      </c>
      <c r="N1678" s="26">
        <v>6594.85</v>
      </c>
      <c r="O1678" s="26">
        <f t="shared" si="80"/>
        <v>3632.575</v>
      </c>
      <c r="P1678">
        <v>401</v>
      </c>
      <c r="Q1678" t="b">
        <v>1</v>
      </c>
      <c r="S1678" t="s">
        <v>20</v>
      </c>
    </row>
    <row r="1679" spans="1:19">
      <c r="A1679" t="s">
        <v>3463</v>
      </c>
      <c r="B1679" t="s">
        <v>3464</v>
      </c>
      <c r="C1679" s="23" t="s">
        <v>4131</v>
      </c>
      <c r="D1679" s="23">
        <v>45240</v>
      </c>
      <c r="E1679" s="22">
        <v>11</v>
      </c>
      <c r="F1679" s="22">
        <v>10</v>
      </c>
      <c r="G1679" s="22">
        <v>2023</v>
      </c>
      <c r="H1679" s="23">
        <f t="shared" si="78"/>
        <v>45240</v>
      </c>
      <c r="I1679" s="25">
        <v>45242</v>
      </c>
      <c r="J1679" s="22">
        <f t="shared" si="79"/>
        <v>2</v>
      </c>
      <c r="K1679" t="s">
        <v>19</v>
      </c>
      <c r="L1679">
        <v>18674</v>
      </c>
      <c r="M1679">
        <v>920</v>
      </c>
      <c r="N1679" s="26">
        <v>576.28</v>
      </c>
      <c r="O1679" s="26">
        <f t="shared" si="80"/>
        <v>576.28</v>
      </c>
      <c r="P1679">
        <v>93</v>
      </c>
      <c r="Q1679" t="b">
        <v>0</v>
      </c>
      <c r="S1679" t="s">
        <v>20</v>
      </c>
    </row>
    <row r="1680" spans="1:19">
      <c r="A1680" t="s">
        <v>3465</v>
      </c>
      <c r="B1680" t="s">
        <v>3466</v>
      </c>
      <c r="C1680" s="23" t="s">
        <v>4128</v>
      </c>
      <c r="D1680" s="23">
        <v>45072</v>
      </c>
      <c r="E1680" s="22">
        <v>5</v>
      </c>
      <c r="F1680" s="22">
        <v>26</v>
      </c>
      <c r="G1680" s="22">
        <v>2023</v>
      </c>
      <c r="H1680" s="23">
        <f t="shared" si="78"/>
        <v>45072</v>
      </c>
      <c r="I1680" s="25">
        <v>45075</v>
      </c>
      <c r="J1680" s="22">
        <f t="shared" si="79"/>
        <v>3</v>
      </c>
      <c r="K1680" t="s">
        <v>23</v>
      </c>
      <c r="L1680">
        <v>84560</v>
      </c>
      <c r="M1680">
        <v>2969</v>
      </c>
      <c r="N1680" s="26">
        <v>3070.36</v>
      </c>
      <c r="O1680" s="26">
        <f t="shared" si="80"/>
        <v>3070.36</v>
      </c>
      <c r="P1680">
        <v>520</v>
      </c>
      <c r="Q1680" t="b">
        <v>0</v>
      </c>
      <c r="S1680" t="s">
        <v>25</v>
      </c>
    </row>
    <row r="1681" spans="1:19">
      <c r="A1681" t="s">
        <v>3467</v>
      </c>
      <c r="B1681" t="s">
        <v>3468</v>
      </c>
      <c r="C1681" s="23" t="s">
        <v>4129</v>
      </c>
      <c r="D1681" s="23">
        <v>45064</v>
      </c>
      <c r="E1681" s="22">
        <v>5</v>
      </c>
      <c r="F1681" s="22">
        <v>18</v>
      </c>
      <c r="G1681" s="22">
        <v>2023</v>
      </c>
      <c r="H1681" s="23">
        <f t="shared" si="78"/>
        <v>45064</v>
      </c>
      <c r="I1681" s="25">
        <v>45077</v>
      </c>
      <c r="J1681" s="22">
        <f t="shared" si="79"/>
        <v>13</v>
      </c>
      <c r="K1681" t="s">
        <v>23</v>
      </c>
      <c r="L1681">
        <v>24874</v>
      </c>
      <c r="M1681">
        <v>495</v>
      </c>
      <c r="N1681" s="26">
        <v>752.69</v>
      </c>
      <c r="O1681" s="26">
        <f t="shared" si="80"/>
        <v>752.69</v>
      </c>
      <c r="P1681">
        <v>32</v>
      </c>
      <c r="Q1681" t="b">
        <v>1</v>
      </c>
      <c r="S1681" t="s">
        <v>25</v>
      </c>
    </row>
    <row r="1682" spans="1:19">
      <c r="A1682" t="s">
        <v>3469</v>
      </c>
      <c r="B1682" t="s">
        <v>3470</v>
      </c>
      <c r="C1682" s="23" t="s">
        <v>4129</v>
      </c>
      <c r="D1682" s="23">
        <v>45020</v>
      </c>
      <c r="E1682" s="22">
        <v>4</v>
      </c>
      <c r="F1682" s="22">
        <v>4</v>
      </c>
      <c r="G1682" s="22">
        <v>2023</v>
      </c>
      <c r="H1682" s="23">
        <f t="shared" si="78"/>
        <v>45020</v>
      </c>
      <c r="I1682" s="25">
        <v>45025</v>
      </c>
      <c r="J1682" s="22">
        <f t="shared" si="79"/>
        <v>5</v>
      </c>
      <c r="K1682" t="s">
        <v>23</v>
      </c>
      <c r="L1682">
        <v>44642</v>
      </c>
      <c r="M1682">
        <v>737</v>
      </c>
      <c r="N1682" s="26">
        <v>671.54</v>
      </c>
      <c r="O1682" s="26">
        <f t="shared" si="80"/>
        <v>671.54</v>
      </c>
      <c r="P1682">
        <v>111</v>
      </c>
      <c r="Q1682" t="b">
        <v>1</v>
      </c>
      <c r="S1682" t="s">
        <v>25</v>
      </c>
    </row>
    <row r="1683" spans="1:19">
      <c r="A1683" t="s">
        <v>3471</v>
      </c>
      <c r="B1683" t="s">
        <v>3472</v>
      </c>
      <c r="C1683" s="23" t="s">
        <v>4131</v>
      </c>
      <c r="D1683" s="23">
        <v>45160</v>
      </c>
      <c r="E1683" s="22">
        <v>8</v>
      </c>
      <c r="F1683" s="22">
        <v>22</v>
      </c>
      <c r="G1683" s="22">
        <v>2023</v>
      </c>
      <c r="H1683" s="23">
        <f t="shared" si="78"/>
        <v>45160</v>
      </c>
      <c r="I1683" s="25">
        <v>45161</v>
      </c>
      <c r="J1683" s="22">
        <f t="shared" si="79"/>
        <v>1</v>
      </c>
      <c r="K1683" t="s">
        <v>19</v>
      </c>
      <c r="L1683">
        <v>98820</v>
      </c>
      <c r="M1683">
        <v>1727</v>
      </c>
      <c r="N1683" s="26">
        <v>3007.59</v>
      </c>
      <c r="O1683" s="26">
        <f t="shared" si="80"/>
        <v>3007.59</v>
      </c>
      <c r="P1683">
        <v>150</v>
      </c>
      <c r="Q1683" t="b">
        <v>0</v>
      </c>
      <c r="S1683" t="s">
        <v>20</v>
      </c>
    </row>
    <row r="1684" spans="1:19">
      <c r="A1684" t="s">
        <v>3473</v>
      </c>
      <c r="B1684" t="s">
        <v>3474</v>
      </c>
      <c r="C1684" s="23" t="s">
        <v>4131</v>
      </c>
      <c r="D1684" s="23">
        <v>45245</v>
      </c>
      <c r="E1684" s="22">
        <v>11</v>
      </c>
      <c r="F1684" s="22">
        <v>15</v>
      </c>
      <c r="G1684" s="22">
        <v>2023</v>
      </c>
      <c r="H1684" s="23">
        <f t="shared" si="78"/>
        <v>45245</v>
      </c>
      <c r="I1684" s="25">
        <v>45255</v>
      </c>
      <c r="J1684" s="22">
        <f t="shared" si="79"/>
        <v>10</v>
      </c>
      <c r="K1684" t="s">
        <v>33</v>
      </c>
      <c r="L1684">
        <v>66160</v>
      </c>
      <c r="M1684">
        <v>713</v>
      </c>
      <c r="N1684" s="26">
        <v>1147.79</v>
      </c>
      <c r="O1684" s="26">
        <f t="shared" si="80"/>
        <v>1147.79</v>
      </c>
      <c r="P1684">
        <v>37</v>
      </c>
      <c r="Q1684" t="b">
        <v>1</v>
      </c>
      <c r="S1684" t="s">
        <v>34</v>
      </c>
    </row>
    <row r="1685" spans="1:19">
      <c r="A1685" t="s">
        <v>3475</v>
      </c>
      <c r="B1685" t="s">
        <v>3476</v>
      </c>
      <c r="C1685" s="23" t="s">
        <v>4128</v>
      </c>
      <c r="D1685" s="23" t="s">
        <v>1700</v>
      </c>
      <c r="E1685" s="22">
        <v>19</v>
      </c>
      <c r="F1685" s="22">
        <v>3</v>
      </c>
      <c r="G1685" s="22">
        <v>2023</v>
      </c>
      <c r="H1685" s="23">
        <f t="shared" si="78"/>
        <v>45004</v>
      </c>
      <c r="I1685" s="25">
        <v>45019</v>
      </c>
      <c r="J1685" s="22">
        <f t="shared" si="79"/>
        <v>15</v>
      </c>
      <c r="K1685" t="s">
        <v>14</v>
      </c>
      <c r="L1685">
        <v>18602</v>
      </c>
      <c r="M1685">
        <v>476</v>
      </c>
      <c r="N1685" s="26">
        <v>801.36</v>
      </c>
      <c r="O1685" s="26">
        <f t="shared" si="80"/>
        <v>801.36</v>
      </c>
      <c r="P1685">
        <v>35</v>
      </c>
      <c r="Q1685" t="b">
        <v>0</v>
      </c>
      <c r="S1685" t="s">
        <v>16</v>
      </c>
    </row>
    <row r="1686" spans="1:19">
      <c r="A1686" t="s">
        <v>3477</v>
      </c>
      <c r="B1686" t="s">
        <v>3478</v>
      </c>
      <c r="C1686" s="23" t="s">
        <v>4131</v>
      </c>
      <c r="D1686" s="23">
        <v>44936</v>
      </c>
      <c r="E1686" s="22">
        <v>1</v>
      </c>
      <c r="F1686" s="22">
        <v>10</v>
      </c>
      <c r="G1686" s="22">
        <v>2023</v>
      </c>
      <c r="H1686" s="23">
        <f t="shared" si="78"/>
        <v>44936</v>
      </c>
      <c r="I1686" s="25">
        <v>45217</v>
      </c>
      <c r="J1686" s="22">
        <f t="shared" si="79"/>
        <v>281</v>
      </c>
      <c r="K1686" t="s">
        <v>33</v>
      </c>
      <c r="L1686">
        <v>89801</v>
      </c>
      <c r="M1686">
        <v>1585</v>
      </c>
      <c r="N1686" s="26">
        <v>1075.68</v>
      </c>
      <c r="O1686" s="26">
        <f t="shared" si="80"/>
        <v>1075.68</v>
      </c>
      <c r="P1686">
        <v>223</v>
      </c>
      <c r="Q1686" t="b">
        <v>1</v>
      </c>
      <c r="S1686" t="s">
        <v>34</v>
      </c>
    </row>
    <row r="1687" spans="1:19">
      <c r="A1687" t="s">
        <v>3479</v>
      </c>
      <c r="B1687" t="s">
        <v>3480</v>
      </c>
      <c r="C1687" s="23" t="s">
        <v>4127</v>
      </c>
      <c r="D1687" s="23">
        <v>44979</v>
      </c>
      <c r="E1687" s="22">
        <v>2</v>
      </c>
      <c r="F1687" s="22">
        <v>22</v>
      </c>
      <c r="G1687" s="22">
        <v>2023</v>
      </c>
      <c r="H1687" s="23">
        <f t="shared" si="78"/>
        <v>44979</v>
      </c>
      <c r="I1687" s="25">
        <v>45005</v>
      </c>
      <c r="J1687" s="22">
        <f t="shared" si="79"/>
        <v>26</v>
      </c>
      <c r="K1687" t="s">
        <v>19</v>
      </c>
      <c r="L1687">
        <v>26931</v>
      </c>
      <c r="M1687">
        <v>712</v>
      </c>
      <c r="N1687" s="26">
        <v>506.1</v>
      </c>
      <c r="O1687" s="26">
        <f t="shared" si="80"/>
        <v>506.1</v>
      </c>
      <c r="P1687">
        <v>0</v>
      </c>
      <c r="Q1687" t="b">
        <v>0</v>
      </c>
      <c r="S1687" t="s">
        <v>20</v>
      </c>
    </row>
    <row r="1688" spans="1:19">
      <c r="A1688" t="s">
        <v>3481</v>
      </c>
      <c r="B1688" t="s">
        <v>3482</v>
      </c>
      <c r="C1688" s="23" t="s">
        <v>4127</v>
      </c>
      <c r="D1688" s="23">
        <v>45151</v>
      </c>
      <c r="E1688" s="22">
        <v>8</v>
      </c>
      <c r="F1688" s="22">
        <v>13</v>
      </c>
      <c r="G1688" s="22">
        <v>2023</v>
      </c>
      <c r="H1688" s="23">
        <f t="shared" si="78"/>
        <v>45151</v>
      </c>
      <c r="I1688" s="25">
        <v>45167</v>
      </c>
      <c r="J1688" s="22">
        <f t="shared" si="79"/>
        <v>16</v>
      </c>
      <c r="K1688" t="s">
        <v>23</v>
      </c>
      <c r="L1688">
        <v>95377</v>
      </c>
      <c r="M1688">
        <v>4520</v>
      </c>
      <c r="N1688" s="26">
        <v>4202.29</v>
      </c>
      <c r="O1688" s="26">
        <f t="shared" si="80"/>
        <v>3632.575</v>
      </c>
      <c r="P1688">
        <v>240</v>
      </c>
      <c r="Q1688" t="b">
        <v>1</v>
      </c>
      <c r="S1688" t="s">
        <v>68</v>
      </c>
    </row>
    <row r="1689" spans="1:19">
      <c r="A1689" t="s">
        <v>3483</v>
      </c>
      <c r="B1689" t="s">
        <v>3484</v>
      </c>
      <c r="C1689" s="23" t="s">
        <v>4127</v>
      </c>
      <c r="D1689" s="23" t="s">
        <v>1700</v>
      </c>
      <c r="E1689" s="22">
        <v>19</v>
      </c>
      <c r="F1689" s="22">
        <v>3</v>
      </c>
      <c r="G1689" s="22">
        <v>2023</v>
      </c>
      <c r="H1689" s="23">
        <f t="shared" si="78"/>
        <v>45004</v>
      </c>
      <c r="I1689" s="25">
        <v>45026</v>
      </c>
      <c r="J1689" s="22">
        <f t="shared" si="79"/>
        <v>22</v>
      </c>
      <c r="K1689" t="s">
        <v>19</v>
      </c>
      <c r="L1689">
        <v>30192</v>
      </c>
      <c r="M1689">
        <v>821</v>
      </c>
      <c r="N1689" s="26">
        <v>1048.51</v>
      </c>
      <c r="O1689" s="26">
        <f t="shared" si="80"/>
        <v>1048.51</v>
      </c>
      <c r="P1689">
        <v>45</v>
      </c>
      <c r="Q1689" t="b">
        <v>1</v>
      </c>
      <c r="S1689" t="s">
        <v>20</v>
      </c>
    </row>
    <row r="1690" spans="1:19">
      <c r="A1690" t="s">
        <v>3485</v>
      </c>
      <c r="B1690" t="s">
        <v>3486</v>
      </c>
      <c r="C1690" s="23" t="s">
        <v>4129</v>
      </c>
      <c r="D1690" s="23">
        <v>45038</v>
      </c>
      <c r="E1690" s="22">
        <v>4</v>
      </c>
      <c r="F1690" s="22">
        <v>22</v>
      </c>
      <c r="G1690" s="22">
        <v>2023</v>
      </c>
      <c r="H1690" s="23">
        <f t="shared" si="78"/>
        <v>45038</v>
      </c>
      <c r="I1690" s="25">
        <v>45063</v>
      </c>
      <c r="J1690" s="22">
        <f t="shared" si="79"/>
        <v>25</v>
      </c>
      <c r="K1690" t="s">
        <v>23</v>
      </c>
      <c r="L1690">
        <v>47542</v>
      </c>
      <c r="M1690">
        <v>2145</v>
      </c>
      <c r="N1690" s="26">
        <v>3479.24</v>
      </c>
      <c r="O1690" s="26">
        <f t="shared" si="80"/>
        <v>3479.24</v>
      </c>
      <c r="P1690">
        <v>397</v>
      </c>
      <c r="Q1690" t="b">
        <v>1</v>
      </c>
      <c r="S1690" t="s">
        <v>25</v>
      </c>
    </row>
    <row r="1691" spans="1:19">
      <c r="A1691" t="s">
        <v>3487</v>
      </c>
      <c r="B1691" t="s">
        <v>3488</v>
      </c>
      <c r="C1691" s="23" t="s">
        <v>4129</v>
      </c>
      <c r="D1691" s="23">
        <v>45182</v>
      </c>
      <c r="E1691" s="22">
        <v>9</v>
      </c>
      <c r="F1691" s="22">
        <v>13</v>
      </c>
      <c r="G1691" s="22">
        <v>2023</v>
      </c>
      <c r="H1691" s="23">
        <f t="shared" si="78"/>
        <v>45182</v>
      </c>
      <c r="I1691" s="25">
        <v>45195</v>
      </c>
      <c r="J1691" s="22">
        <f t="shared" si="79"/>
        <v>13</v>
      </c>
      <c r="K1691" t="s">
        <v>23</v>
      </c>
      <c r="L1691">
        <v>43520</v>
      </c>
      <c r="M1691">
        <v>1489</v>
      </c>
      <c r="N1691" s="26">
        <v>2612.89</v>
      </c>
      <c r="O1691" s="26">
        <f t="shared" si="80"/>
        <v>2612.89</v>
      </c>
      <c r="P1691">
        <v>90</v>
      </c>
      <c r="Q1691" t="b">
        <v>1</v>
      </c>
      <c r="S1691" t="s">
        <v>25</v>
      </c>
    </row>
    <row r="1692" spans="1:19">
      <c r="A1692" t="s">
        <v>3489</v>
      </c>
      <c r="B1692" t="s">
        <v>3490</v>
      </c>
      <c r="C1692" s="23" t="s">
        <v>4129</v>
      </c>
      <c r="D1692" s="23">
        <v>44943</v>
      </c>
      <c r="E1692" s="22">
        <v>1</v>
      </c>
      <c r="F1692" s="22">
        <v>17</v>
      </c>
      <c r="G1692" s="22">
        <v>2023</v>
      </c>
      <c r="H1692" s="23">
        <f t="shared" si="78"/>
        <v>44943</v>
      </c>
      <c r="I1692" s="25">
        <v>44961</v>
      </c>
      <c r="J1692" s="22">
        <f t="shared" si="79"/>
        <v>18</v>
      </c>
      <c r="K1692" t="s">
        <v>23</v>
      </c>
      <c r="L1692">
        <v>65772</v>
      </c>
      <c r="M1692">
        <v>1307</v>
      </c>
      <c r="N1692" s="26">
        <v>2034.35</v>
      </c>
      <c r="O1692" s="26">
        <f t="shared" si="80"/>
        <v>2034.35</v>
      </c>
      <c r="P1692">
        <v>240</v>
      </c>
      <c r="Q1692" t="b">
        <v>1</v>
      </c>
      <c r="S1692" t="s">
        <v>25</v>
      </c>
    </row>
    <row r="1693" spans="1:19">
      <c r="A1693" t="s">
        <v>3491</v>
      </c>
      <c r="B1693" t="s">
        <v>3492</v>
      </c>
      <c r="C1693" s="23" t="s">
        <v>4128</v>
      </c>
      <c r="D1693" s="23" t="s">
        <v>2879</v>
      </c>
      <c r="E1693" s="22">
        <v>16</v>
      </c>
      <c r="F1693" s="22">
        <v>3</v>
      </c>
      <c r="G1693" s="22">
        <v>2023</v>
      </c>
      <c r="H1693" s="23">
        <f t="shared" si="78"/>
        <v>45001</v>
      </c>
      <c r="I1693" s="25">
        <v>45019</v>
      </c>
      <c r="J1693" s="22">
        <f t="shared" si="79"/>
        <v>18</v>
      </c>
      <c r="K1693" t="s">
        <v>23</v>
      </c>
      <c r="L1693">
        <v>59762</v>
      </c>
      <c r="M1693">
        <v>1448</v>
      </c>
      <c r="N1693" s="26">
        <v>2740.91</v>
      </c>
      <c r="O1693" s="26">
        <f t="shared" si="80"/>
        <v>2740.91</v>
      </c>
      <c r="P1693">
        <v>0</v>
      </c>
      <c r="Q1693" t="b">
        <v>1</v>
      </c>
      <c r="S1693" t="s">
        <v>25</v>
      </c>
    </row>
    <row r="1694" spans="1:19">
      <c r="A1694" t="s">
        <v>3493</v>
      </c>
      <c r="B1694" t="s">
        <v>3494</v>
      </c>
      <c r="C1694" s="23" t="s">
        <v>4131</v>
      </c>
      <c r="D1694" s="23" t="s">
        <v>3495</v>
      </c>
      <c r="E1694" s="22">
        <v>20</v>
      </c>
      <c r="F1694" s="22">
        <v>7</v>
      </c>
      <c r="G1694" s="22">
        <v>2023</v>
      </c>
      <c r="H1694" s="23">
        <f t="shared" si="78"/>
        <v>45127</v>
      </c>
      <c r="I1694" s="25">
        <v>45151</v>
      </c>
      <c r="J1694" s="22">
        <f t="shared" si="79"/>
        <v>24</v>
      </c>
      <c r="K1694" t="s">
        <v>19</v>
      </c>
      <c r="L1694">
        <v>51106</v>
      </c>
      <c r="M1694">
        <v>682</v>
      </c>
      <c r="N1694" s="26">
        <v>1096.73</v>
      </c>
      <c r="O1694" s="26">
        <f t="shared" si="80"/>
        <v>1096.73</v>
      </c>
      <c r="P1694">
        <v>109</v>
      </c>
      <c r="Q1694" t="b">
        <v>1</v>
      </c>
      <c r="S1694" t="s">
        <v>20</v>
      </c>
    </row>
    <row r="1695" spans="1:19">
      <c r="A1695" t="s">
        <v>3496</v>
      </c>
      <c r="B1695" t="s">
        <v>3497</v>
      </c>
      <c r="C1695" s="23" t="s">
        <v>4127</v>
      </c>
      <c r="D1695" s="23">
        <v>45167</v>
      </c>
      <c r="E1695" s="22">
        <v>8</v>
      </c>
      <c r="F1695" s="22">
        <v>29</v>
      </c>
      <c r="G1695" s="22">
        <v>2023</v>
      </c>
      <c r="H1695" s="23">
        <f t="shared" si="78"/>
        <v>45167</v>
      </c>
      <c r="I1695" s="25">
        <v>45180</v>
      </c>
      <c r="J1695" s="22">
        <f t="shared" si="79"/>
        <v>13</v>
      </c>
      <c r="K1695" t="s">
        <v>33</v>
      </c>
      <c r="L1695">
        <v>82121</v>
      </c>
      <c r="M1695">
        <v>1916</v>
      </c>
      <c r="N1695" s="26">
        <v>1838.21</v>
      </c>
      <c r="O1695" s="26">
        <f t="shared" si="80"/>
        <v>1838.21</v>
      </c>
      <c r="P1695">
        <v>184</v>
      </c>
      <c r="Q1695" t="b">
        <v>0</v>
      </c>
      <c r="S1695" t="s">
        <v>34</v>
      </c>
    </row>
    <row r="1696" spans="1:19">
      <c r="A1696" t="s">
        <v>3498</v>
      </c>
      <c r="B1696" t="s">
        <v>3499</v>
      </c>
      <c r="C1696" s="23" t="s">
        <v>4128</v>
      </c>
      <c r="D1696" s="23">
        <v>45055</v>
      </c>
      <c r="E1696" s="22">
        <v>5</v>
      </c>
      <c r="F1696" s="22">
        <v>9</v>
      </c>
      <c r="G1696" s="22">
        <v>2023</v>
      </c>
      <c r="H1696" s="23">
        <f t="shared" si="78"/>
        <v>45055</v>
      </c>
      <c r="I1696" s="25">
        <v>45084</v>
      </c>
      <c r="J1696" s="22">
        <f t="shared" si="79"/>
        <v>29</v>
      </c>
      <c r="K1696" t="s">
        <v>19</v>
      </c>
      <c r="L1696">
        <v>26559</v>
      </c>
      <c r="M1696">
        <v>985</v>
      </c>
      <c r="N1696" s="26">
        <v>884.16</v>
      </c>
      <c r="O1696" s="26">
        <f t="shared" si="80"/>
        <v>884.16</v>
      </c>
      <c r="P1696">
        <v>176</v>
      </c>
      <c r="Q1696" t="b">
        <v>1</v>
      </c>
      <c r="S1696" t="s">
        <v>20</v>
      </c>
    </row>
    <row r="1697" spans="1:19">
      <c r="A1697" t="s">
        <v>3500</v>
      </c>
      <c r="B1697" t="s">
        <v>3501</v>
      </c>
      <c r="C1697" s="23" t="s">
        <v>4128</v>
      </c>
      <c r="D1697" s="23">
        <v>44989</v>
      </c>
      <c r="E1697" s="22">
        <v>3</v>
      </c>
      <c r="F1697" s="22">
        <v>4</v>
      </c>
      <c r="G1697" s="22">
        <v>2023</v>
      </c>
      <c r="H1697" s="23">
        <f t="shared" si="78"/>
        <v>44989</v>
      </c>
      <c r="I1697" s="25">
        <v>45006</v>
      </c>
      <c r="J1697" s="22">
        <f t="shared" si="79"/>
        <v>17</v>
      </c>
      <c r="K1697" t="s">
        <v>23</v>
      </c>
      <c r="L1697">
        <v>34742</v>
      </c>
      <c r="M1697">
        <v>447</v>
      </c>
      <c r="N1697" s="26">
        <v>690.3</v>
      </c>
      <c r="O1697" s="26">
        <f t="shared" si="80"/>
        <v>690.3</v>
      </c>
      <c r="P1697">
        <v>69</v>
      </c>
      <c r="Q1697" t="b">
        <v>1</v>
      </c>
      <c r="S1697" t="s">
        <v>68</v>
      </c>
    </row>
    <row r="1698" spans="1:19">
      <c r="A1698" t="s">
        <v>3502</v>
      </c>
      <c r="B1698" t="s">
        <v>3503</v>
      </c>
      <c r="C1698" s="23" t="s">
        <v>4129</v>
      </c>
      <c r="D1698" s="23">
        <v>45124</v>
      </c>
      <c r="E1698" s="22">
        <v>7</v>
      </c>
      <c r="F1698" s="22">
        <v>17</v>
      </c>
      <c r="G1698" s="22">
        <v>2023</v>
      </c>
      <c r="H1698" s="23">
        <f t="shared" si="78"/>
        <v>45124</v>
      </c>
      <c r="I1698" s="25">
        <v>45139</v>
      </c>
      <c r="J1698" s="22">
        <f t="shared" si="79"/>
        <v>15</v>
      </c>
      <c r="K1698" t="s">
        <v>19</v>
      </c>
      <c r="L1698">
        <v>70669</v>
      </c>
      <c r="M1698">
        <v>1287</v>
      </c>
      <c r="N1698" s="26">
        <v>1015.84</v>
      </c>
      <c r="O1698" s="26">
        <f t="shared" si="80"/>
        <v>1015.84</v>
      </c>
      <c r="P1698">
        <v>141</v>
      </c>
      <c r="Q1698" t="b">
        <v>0</v>
      </c>
      <c r="S1698" t="s">
        <v>20</v>
      </c>
    </row>
    <row r="1699" spans="1:19">
      <c r="A1699" t="s">
        <v>3504</v>
      </c>
      <c r="B1699" t="s">
        <v>3505</v>
      </c>
      <c r="C1699" s="23" t="s">
        <v>4129</v>
      </c>
      <c r="D1699" s="23">
        <v>44944</v>
      </c>
      <c r="E1699" s="22">
        <v>1</v>
      </c>
      <c r="F1699" s="22">
        <v>18</v>
      </c>
      <c r="G1699" s="22">
        <v>2023</v>
      </c>
      <c r="H1699" s="23">
        <f t="shared" si="78"/>
        <v>44944</v>
      </c>
      <c r="I1699" s="25">
        <v>44965</v>
      </c>
      <c r="J1699" s="22">
        <f t="shared" si="79"/>
        <v>21</v>
      </c>
      <c r="K1699" t="s">
        <v>41</v>
      </c>
      <c r="L1699">
        <v>81199</v>
      </c>
      <c r="M1699">
        <v>2050</v>
      </c>
      <c r="N1699" s="26">
        <v>1310.1</v>
      </c>
      <c r="O1699" s="26">
        <f t="shared" si="80"/>
        <v>1310.1</v>
      </c>
      <c r="P1699">
        <v>125</v>
      </c>
      <c r="Q1699" t="b">
        <v>0</v>
      </c>
      <c r="S1699" t="s">
        <v>42</v>
      </c>
    </row>
    <row r="1700" spans="1:19">
      <c r="A1700" t="s">
        <v>3506</v>
      </c>
      <c r="B1700" t="s">
        <v>3507</v>
      </c>
      <c r="C1700" s="23" t="s">
        <v>4131</v>
      </c>
      <c r="D1700" s="23">
        <v>44975</v>
      </c>
      <c r="E1700" s="22">
        <v>2</v>
      </c>
      <c r="F1700" s="22">
        <v>18</v>
      </c>
      <c r="G1700" s="22">
        <v>2023</v>
      </c>
      <c r="H1700" s="23">
        <f t="shared" si="78"/>
        <v>44975</v>
      </c>
      <c r="I1700" s="25">
        <v>44992</v>
      </c>
      <c r="J1700" s="22">
        <f t="shared" si="79"/>
        <v>17</v>
      </c>
      <c r="K1700" t="s">
        <v>33</v>
      </c>
      <c r="L1700">
        <v>22754</v>
      </c>
      <c r="M1700">
        <v>1121</v>
      </c>
      <c r="N1700" s="26">
        <v>1455.43</v>
      </c>
      <c r="O1700" s="26">
        <f t="shared" si="80"/>
        <v>1455.43</v>
      </c>
      <c r="P1700">
        <v>179</v>
      </c>
      <c r="Q1700" t="b">
        <v>0</v>
      </c>
      <c r="S1700" t="s">
        <v>34</v>
      </c>
    </row>
    <row r="1701" spans="1:19">
      <c r="A1701" t="s">
        <v>3508</v>
      </c>
      <c r="B1701" t="s">
        <v>3509</v>
      </c>
      <c r="C1701" s="23" t="s">
        <v>4129</v>
      </c>
      <c r="D1701" s="23">
        <v>45169</v>
      </c>
      <c r="E1701" s="22">
        <v>8</v>
      </c>
      <c r="F1701" s="22">
        <v>31</v>
      </c>
      <c r="G1701" s="22">
        <v>2023</v>
      </c>
      <c r="H1701" s="23">
        <f t="shared" si="78"/>
        <v>45169</v>
      </c>
      <c r="I1701" s="25">
        <v>45181</v>
      </c>
      <c r="J1701" s="22">
        <f t="shared" si="79"/>
        <v>12</v>
      </c>
      <c r="K1701" t="s">
        <v>33</v>
      </c>
      <c r="L1701">
        <v>4972</v>
      </c>
      <c r="M1701">
        <v>205</v>
      </c>
      <c r="N1701" s="26">
        <v>355.15</v>
      </c>
      <c r="O1701" s="26">
        <f t="shared" si="80"/>
        <v>355.15</v>
      </c>
      <c r="P1701">
        <v>29</v>
      </c>
      <c r="Q1701" t="b">
        <v>1</v>
      </c>
      <c r="S1701" t="s">
        <v>34</v>
      </c>
    </row>
    <row r="1702" spans="1:19">
      <c r="A1702" t="s">
        <v>3510</v>
      </c>
      <c r="B1702" t="s">
        <v>3511</v>
      </c>
      <c r="C1702" s="23" t="s">
        <v>4131</v>
      </c>
      <c r="D1702" s="23">
        <v>45092</v>
      </c>
      <c r="E1702" s="22">
        <v>6</v>
      </c>
      <c r="F1702" s="22">
        <v>15</v>
      </c>
      <c r="G1702" s="22">
        <v>2023</v>
      </c>
      <c r="H1702" s="23">
        <f t="shared" si="78"/>
        <v>45092</v>
      </c>
      <c r="I1702" s="25">
        <v>45118</v>
      </c>
      <c r="J1702" s="22">
        <f t="shared" si="79"/>
        <v>26</v>
      </c>
      <c r="K1702" t="s">
        <v>41</v>
      </c>
      <c r="L1702">
        <v>71831</v>
      </c>
      <c r="M1702">
        <v>2825</v>
      </c>
      <c r="N1702" s="26">
        <v>1842.1</v>
      </c>
      <c r="O1702" s="26">
        <f t="shared" si="80"/>
        <v>1842.1</v>
      </c>
      <c r="P1702">
        <v>142</v>
      </c>
      <c r="Q1702" t="b">
        <v>1</v>
      </c>
      <c r="S1702" t="s">
        <v>42</v>
      </c>
    </row>
    <row r="1703" spans="1:19">
      <c r="A1703" t="s">
        <v>3512</v>
      </c>
      <c r="B1703" t="s">
        <v>3513</v>
      </c>
      <c r="C1703" s="23" t="s">
        <v>4127</v>
      </c>
      <c r="D1703" s="23">
        <v>45208</v>
      </c>
      <c r="E1703" s="22">
        <v>10</v>
      </c>
      <c r="F1703" s="22">
        <v>9</v>
      </c>
      <c r="G1703" s="22">
        <v>2023</v>
      </c>
      <c r="H1703" s="23">
        <f t="shared" si="78"/>
        <v>45208</v>
      </c>
      <c r="I1703" s="25">
        <v>45228</v>
      </c>
      <c r="J1703" s="22">
        <f t="shared" si="79"/>
        <v>20</v>
      </c>
      <c r="K1703" t="s">
        <v>19</v>
      </c>
      <c r="L1703">
        <v>42873</v>
      </c>
      <c r="M1703">
        <v>627</v>
      </c>
      <c r="N1703" s="26">
        <v>-1058.27</v>
      </c>
      <c r="O1703" s="26">
        <f t="shared" si="80"/>
        <v>-344.195</v>
      </c>
      <c r="P1703">
        <v>32</v>
      </c>
      <c r="Q1703" t="b">
        <v>0</v>
      </c>
      <c r="S1703" t="s">
        <v>20</v>
      </c>
    </row>
    <row r="1704" spans="1:19">
      <c r="A1704" t="s">
        <v>3514</v>
      </c>
      <c r="B1704" t="s">
        <v>3515</v>
      </c>
      <c r="C1704" s="23" t="s">
        <v>4131</v>
      </c>
      <c r="D1704" s="23">
        <v>45253</v>
      </c>
      <c r="E1704" s="22">
        <v>11</v>
      </c>
      <c r="F1704" s="22">
        <v>23</v>
      </c>
      <c r="G1704" s="22">
        <v>2023</v>
      </c>
      <c r="H1704" s="23">
        <f t="shared" si="78"/>
        <v>45253</v>
      </c>
      <c r="I1704" s="25">
        <v>45272</v>
      </c>
      <c r="J1704" s="22">
        <f t="shared" si="79"/>
        <v>19</v>
      </c>
      <c r="K1704" t="s">
        <v>19</v>
      </c>
      <c r="L1704">
        <v>95661</v>
      </c>
      <c r="M1704">
        <v>3945</v>
      </c>
      <c r="N1704" s="26">
        <v>6774.98</v>
      </c>
      <c r="O1704" s="26">
        <f t="shared" si="80"/>
        <v>3632.575</v>
      </c>
      <c r="P1704">
        <v>675</v>
      </c>
      <c r="Q1704" t="b">
        <v>0</v>
      </c>
      <c r="S1704" t="s">
        <v>20</v>
      </c>
    </row>
    <row r="1705" spans="1:19">
      <c r="A1705" t="s">
        <v>3516</v>
      </c>
      <c r="B1705" t="s">
        <v>3517</v>
      </c>
      <c r="C1705" s="23" t="s">
        <v>4129</v>
      </c>
      <c r="D1705" s="23">
        <v>44953</v>
      </c>
      <c r="E1705" s="22">
        <v>1</v>
      </c>
      <c r="F1705" s="22">
        <v>27</v>
      </c>
      <c r="G1705" s="22">
        <v>2023</v>
      </c>
      <c r="H1705" s="23">
        <f t="shared" si="78"/>
        <v>44953</v>
      </c>
      <c r="I1705" s="25">
        <v>44976</v>
      </c>
      <c r="J1705" s="22">
        <f t="shared" si="79"/>
        <v>23</v>
      </c>
      <c r="K1705" t="s">
        <v>41</v>
      </c>
      <c r="L1705">
        <v>10903</v>
      </c>
      <c r="M1705">
        <v>451</v>
      </c>
      <c r="N1705" s="26">
        <v>551.76</v>
      </c>
      <c r="O1705" s="26">
        <f t="shared" si="80"/>
        <v>551.76</v>
      </c>
      <c r="P1705">
        <v>40</v>
      </c>
      <c r="Q1705" t="b">
        <v>1</v>
      </c>
      <c r="S1705" t="s">
        <v>42</v>
      </c>
    </row>
    <row r="1706" spans="1:19">
      <c r="A1706" t="s">
        <v>3518</v>
      </c>
      <c r="B1706" t="s">
        <v>3519</v>
      </c>
      <c r="C1706" s="23" t="s">
        <v>4131</v>
      </c>
      <c r="D1706" s="23">
        <v>44984</v>
      </c>
      <c r="E1706" s="22">
        <v>2</v>
      </c>
      <c r="F1706" s="22">
        <v>27</v>
      </c>
      <c r="G1706" s="22">
        <v>2023</v>
      </c>
      <c r="H1706" s="23">
        <f t="shared" si="78"/>
        <v>44984</v>
      </c>
      <c r="I1706" s="25">
        <v>45011</v>
      </c>
      <c r="J1706" s="22">
        <f t="shared" si="79"/>
        <v>27</v>
      </c>
      <c r="K1706" t="s">
        <v>33</v>
      </c>
      <c r="L1706">
        <v>4020</v>
      </c>
      <c r="M1706">
        <v>136</v>
      </c>
      <c r="N1706" s="26">
        <v>79.69</v>
      </c>
      <c r="O1706" s="26">
        <f t="shared" si="80"/>
        <v>79.69</v>
      </c>
      <c r="P1706">
        <v>19</v>
      </c>
      <c r="Q1706" t="b">
        <v>0</v>
      </c>
      <c r="S1706" t="s">
        <v>34</v>
      </c>
    </row>
    <row r="1707" spans="1:19">
      <c r="A1707" t="s">
        <v>3520</v>
      </c>
      <c r="B1707" t="s">
        <v>3521</v>
      </c>
      <c r="C1707" s="23" t="s">
        <v>4131</v>
      </c>
      <c r="D1707" s="23">
        <v>44934</v>
      </c>
      <c r="E1707" s="22">
        <v>1</v>
      </c>
      <c r="F1707" s="22">
        <v>8</v>
      </c>
      <c r="G1707" s="22">
        <v>2023</v>
      </c>
      <c r="H1707" s="23">
        <f t="shared" si="78"/>
        <v>44934</v>
      </c>
      <c r="I1707" s="25">
        <v>44958</v>
      </c>
      <c r="J1707" s="22">
        <f t="shared" si="79"/>
        <v>24</v>
      </c>
      <c r="K1707" t="s">
        <v>19</v>
      </c>
      <c r="L1707">
        <v>42755</v>
      </c>
      <c r="M1707">
        <v>2121</v>
      </c>
      <c r="N1707" s="26">
        <v>1615.96</v>
      </c>
      <c r="O1707" s="26">
        <f t="shared" si="80"/>
        <v>1615.96</v>
      </c>
      <c r="P1707">
        <v>250</v>
      </c>
      <c r="Q1707" t="b">
        <v>0</v>
      </c>
      <c r="S1707" t="s">
        <v>20</v>
      </c>
    </row>
    <row r="1708" spans="1:19">
      <c r="A1708" t="s">
        <v>3522</v>
      </c>
      <c r="B1708" t="s">
        <v>3523</v>
      </c>
      <c r="C1708" s="23" t="s">
        <v>4127</v>
      </c>
      <c r="D1708" s="23">
        <v>44988</v>
      </c>
      <c r="E1708" s="22">
        <v>3</v>
      </c>
      <c r="F1708" s="22">
        <v>3</v>
      </c>
      <c r="G1708" s="22">
        <v>2023</v>
      </c>
      <c r="H1708" s="23">
        <f t="shared" si="78"/>
        <v>44988</v>
      </c>
      <c r="I1708" s="25">
        <v>45001</v>
      </c>
      <c r="J1708" s="22">
        <f t="shared" si="79"/>
        <v>13</v>
      </c>
      <c r="K1708" t="s">
        <v>19</v>
      </c>
      <c r="L1708">
        <v>86956</v>
      </c>
      <c r="M1708">
        <v>2000</v>
      </c>
      <c r="N1708" s="26">
        <v>3122.28</v>
      </c>
      <c r="O1708" s="26">
        <f t="shared" si="80"/>
        <v>3122.28</v>
      </c>
      <c r="P1708">
        <v>359</v>
      </c>
      <c r="Q1708" t="b">
        <v>0</v>
      </c>
      <c r="S1708" t="s">
        <v>20</v>
      </c>
    </row>
    <row r="1709" spans="1:19">
      <c r="A1709" t="s">
        <v>3524</v>
      </c>
      <c r="B1709" t="s">
        <v>3525</v>
      </c>
      <c r="C1709" s="23" t="s">
        <v>4127</v>
      </c>
      <c r="D1709" s="23">
        <v>44948</v>
      </c>
      <c r="E1709" s="22">
        <v>1</v>
      </c>
      <c r="F1709" s="22">
        <v>22</v>
      </c>
      <c r="G1709" s="22">
        <v>2023</v>
      </c>
      <c r="H1709" s="23">
        <f t="shared" si="78"/>
        <v>44948</v>
      </c>
      <c r="I1709" s="25">
        <v>44973</v>
      </c>
      <c r="J1709" s="22">
        <f t="shared" si="79"/>
        <v>25</v>
      </c>
      <c r="K1709" t="s">
        <v>23</v>
      </c>
      <c r="L1709">
        <v>87988</v>
      </c>
      <c r="M1709">
        <v>4192</v>
      </c>
      <c r="N1709" s="26">
        <v>6571.66</v>
      </c>
      <c r="O1709" s="26">
        <f t="shared" si="80"/>
        <v>3632.575</v>
      </c>
      <c r="P1709">
        <v>786</v>
      </c>
      <c r="Q1709" t="b">
        <v>1</v>
      </c>
      <c r="S1709" t="s">
        <v>25</v>
      </c>
    </row>
    <row r="1710" spans="1:19">
      <c r="A1710" t="s">
        <v>3526</v>
      </c>
      <c r="B1710" t="s">
        <v>3527</v>
      </c>
      <c r="C1710" s="23" t="s">
        <v>4127</v>
      </c>
      <c r="D1710" s="23">
        <v>45279</v>
      </c>
      <c r="E1710" s="22">
        <v>12</v>
      </c>
      <c r="F1710" s="22">
        <v>19</v>
      </c>
      <c r="G1710" s="22">
        <v>2023</v>
      </c>
      <c r="H1710" s="23">
        <f t="shared" si="78"/>
        <v>45279</v>
      </c>
      <c r="I1710" s="25">
        <v>45288</v>
      </c>
      <c r="J1710" s="22">
        <f t="shared" si="79"/>
        <v>9</v>
      </c>
      <c r="K1710" t="s">
        <v>41</v>
      </c>
      <c r="L1710">
        <v>46648</v>
      </c>
      <c r="M1710">
        <v>2173</v>
      </c>
      <c r="N1710" s="26">
        <v>4014.69</v>
      </c>
      <c r="O1710" s="26">
        <f t="shared" si="80"/>
        <v>3632.575</v>
      </c>
      <c r="P1710">
        <v>433</v>
      </c>
      <c r="Q1710" t="b">
        <v>1</v>
      </c>
      <c r="S1710" t="s">
        <v>42</v>
      </c>
    </row>
    <row r="1711" spans="1:19">
      <c r="A1711" t="s">
        <v>3528</v>
      </c>
      <c r="B1711" t="s">
        <v>3529</v>
      </c>
      <c r="C1711" s="23" t="s">
        <v>4127</v>
      </c>
      <c r="D1711" s="23">
        <v>44972</v>
      </c>
      <c r="E1711" s="22">
        <v>2</v>
      </c>
      <c r="F1711" s="22">
        <v>15</v>
      </c>
      <c r="G1711" s="22">
        <v>2023</v>
      </c>
      <c r="H1711" s="23">
        <f t="shared" si="78"/>
        <v>44972</v>
      </c>
      <c r="I1711" s="25">
        <v>44989</v>
      </c>
      <c r="J1711" s="22">
        <f t="shared" si="79"/>
        <v>17</v>
      </c>
      <c r="K1711" t="s">
        <v>14</v>
      </c>
      <c r="L1711">
        <v>10516</v>
      </c>
      <c r="M1711">
        <v>109</v>
      </c>
      <c r="N1711" s="26">
        <v>149.77</v>
      </c>
      <c r="O1711" s="26">
        <f t="shared" si="80"/>
        <v>149.77</v>
      </c>
      <c r="P1711">
        <v>7</v>
      </c>
      <c r="Q1711" t="b">
        <v>1</v>
      </c>
      <c r="S1711" t="s">
        <v>16</v>
      </c>
    </row>
    <row r="1712" spans="1:19">
      <c r="A1712" t="s">
        <v>3530</v>
      </c>
      <c r="B1712" t="s">
        <v>3531</v>
      </c>
      <c r="C1712" s="23" t="s">
        <v>4127</v>
      </c>
      <c r="D1712" s="23">
        <v>45278</v>
      </c>
      <c r="E1712" s="22">
        <v>12</v>
      </c>
      <c r="F1712" s="22">
        <v>18</v>
      </c>
      <c r="G1712" s="22">
        <v>2023</v>
      </c>
      <c r="H1712" s="23">
        <f t="shared" si="78"/>
        <v>45278</v>
      </c>
      <c r="I1712" s="25">
        <v>45308</v>
      </c>
      <c r="J1712" s="22">
        <f t="shared" si="79"/>
        <v>30</v>
      </c>
      <c r="K1712" t="s">
        <v>14</v>
      </c>
      <c r="L1712">
        <v>3396</v>
      </c>
      <c r="M1712">
        <v>95</v>
      </c>
      <c r="N1712" s="26">
        <v>-65.19</v>
      </c>
      <c r="O1712" s="26">
        <f t="shared" si="80"/>
        <v>-65.19</v>
      </c>
      <c r="P1712">
        <v>17</v>
      </c>
      <c r="Q1712" t="b">
        <v>1</v>
      </c>
      <c r="S1712" t="s">
        <v>68</v>
      </c>
    </row>
    <row r="1713" spans="1:19">
      <c r="A1713" t="s">
        <v>3532</v>
      </c>
      <c r="B1713" t="s">
        <v>3533</v>
      </c>
      <c r="C1713" s="23" t="s">
        <v>4127</v>
      </c>
      <c r="D1713" s="23" t="s">
        <v>3064</v>
      </c>
      <c r="E1713" s="22">
        <v>17</v>
      </c>
      <c r="F1713" s="22">
        <v>11</v>
      </c>
      <c r="G1713" s="22">
        <v>2023</v>
      </c>
      <c r="H1713" s="23">
        <f t="shared" si="78"/>
        <v>45247</v>
      </c>
      <c r="I1713" s="25">
        <v>45261</v>
      </c>
      <c r="J1713" s="22">
        <f t="shared" si="79"/>
        <v>14</v>
      </c>
      <c r="K1713" t="s">
        <v>23</v>
      </c>
      <c r="L1713">
        <v>85082</v>
      </c>
      <c r="M1713">
        <v>4176</v>
      </c>
      <c r="N1713" s="26">
        <v>2848.54</v>
      </c>
      <c r="O1713" s="26">
        <f t="shared" si="80"/>
        <v>2848.54</v>
      </c>
      <c r="P1713">
        <v>0</v>
      </c>
      <c r="Q1713" t="b">
        <v>0</v>
      </c>
      <c r="S1713" t="s">
        <v>25</v>
      </c>
    </row>
    <row r="1714" spans="1:19">
      <c r="A1714" t="s">
        <v>3534</v>
      </c>
      <c r="B1714" t="s">
        <v>3535</v>
      </c>
      <c r="C1714" s="23" t="s">
        <v>4128</v>
      </c>
      <c r="D1714" s="23">
        <v>45109</v>
      </c>
      <c r="E1714" s="22">
        <v>7</v>
      </c>
      <c r="F1714" s="22">
        <v>2</v>
      </c>
      <c r="G1714" s="22">
        <v>2023</v>
      </c>
      <c r="H1714" s="23">
        <f t="shared" si="78"/>
        <v>45109</v>
      </c>
      <c r="I1714" s="25">
        <v>45115</v>
      </c>
      <c r="J1714" s="22">
        <f t="shared" si="79"/>
        <v>6</v>
      </c>
      <c r="K1714" t="s">
        <v>41</v>
      </c>
      <c r="L1714">
        <v>20129</v>
      </c>
      <c r="M1714">
        <v>284</v>
      </c>
      <c r="N1714" s="26">
        <v>449.2</v>
      </c>
      <c r="O1714" s="26">
        <f t="shared" si="80"/>
        <v>449.2</v>
      </c>
      <c r="P1714">
        <v>39</v>
      </c>
      <c r="Q1714" t="b">
        <v>0</v>
      </c>
      <c r="S1714" t="s">
        <v>42</v>
      </c>
    </row>
    <row r="1715" spans="1:19">
      <c r="A1715" t="s">
        <v>3536</v>
      </c>
      <c r="B1715" t="s">
        <v>3537</v>
      </c>
      <c r="C1715" s="23" t="s">
        <v>4127</v>
      </c>
      <c r="D1715" s="23">
        <v>44981</v>
      </c>
      <c r="E1715" s="22">
        <v>2</v>
      </c>
      <c r="F1715" s="22">
        <v>24</v>
      </c>
      <c r="G1715" s="22">
        <v>2023</v>
      </c>
      <c r="H1715" s="23">
        <f t="shared" si="78"/>
        <v>44981</v>
      </c>
      <c r="I1715" s="25">
        <v>44998</v>
      </c>
      <c r="J1715" s="22">
        <f t="shared" si="79"/>
        <v>17</v>
      </c>
      <c r="K1715" t="s">
        <v>23</v>
      </c>
      <c r="L1715">
        <v>2591</v>
      </c>
      <c r="M1715">
        <v>82</v>
      </c>
      <c r="N1715" s="26">
        <v>63.61</v>
      </c>
      <c r="O1715" s="26">
        <f t="shared" si="80"/>
        <v>63.61</v>
      </c>
      <c r="P1715">
        <v>10</v>
      </c>
      <c r="Q1715" t="b">
        <v>1</v>
      </c>
      <c r="S1715" t="s">
        <v>25</v>
      </c>
    </row>
    <row r="1716" spans="1:19">
      <c r="A1716" t="s">
        <v>3538</v>
      </c>
      <c r="B1716" t="s">
        <v>3539</v>
      </c>
      <c r="C1716" s="23" t="s">
        <v>4127</v>
      </c>
      <c r="D1716" s="23">
        <v>45212</v>
      </c>
      <c r="E1716" s="22">
        <v>10</v>
      </c>
      <c r="F1716" s="22">
        <v>13</v>
      </c>
      <c r="G1716" s="22">
        <v>2023</v>
      </c>
      <c r="H1716" s="23">
        <f t="shared" si="78"/>
        <v>45212</v>
      </c>
      <c r="I1716" s="25">
        <v>45240</v>
      </c>
      <c r="J1716" s="22">
        <f t="shared" si="79"/>
        <v>28</v>
      </c>
      <c r="K1716" t="s">
        <v>19</v>
      </c>
      <c r="L1716">
        <v>12303</v>
      </c>
      <c r="M1716">
        <v>604</v>
      </c>
      <c r="N1716" s="26">
        <v>599.52</v>
      </c>
      <c r="O1716" s="26">
        <f t="shared" si="80"/>
        <v>599.52</v>
      </c>
      <c r="P1716">
        <v>31</v>
      </c>
      <c r="Q1716" t="b">
        <v>1</v>
      </c>
      <c r="S1716" t="s">
        <v>20</v>
      </c>
    </row>
    <row r="1717" spans="1:19">
      <c r="A1717" t="s">
        <v>3540</v>
      </c>
      <c r="B1717" t="s">
        <v>3541</v>
      </c>
      <c r="C1717" s="23" t="s">
        <v>4129</v>
      </c>
      <c r="D1717" s="23">
        <v>45151</v>
      </c>
      <c r="E1717" s="22">
        <v>8</v>
      </c>
      <c r="F1717" s="22">
        <v>13</v>
      </c>
      <c r="G1717" s="22">
        <v>2023</v>
      </c>
      <c r="H1717" s="23">
        <f t="shared" si="78"/>
        <v>45151</v>
      </c>
      <c r="I1717" s="25">
        <v>45167</v>
      </c>
      <c r="J1717" s="22">
        <f t="shared" si="79"/>
        <v>16</v>
      </c>
      <c r="K1717" t="s">
        <v>19</v>
      </c>
      <c r="L1717">
        <v>31561</v>
      </c>
      <c r="M1717">
        <v>1016</v>
      </c>
      <c r="N1717" s="26">
        <v>1250.51</v>
      </c>
      <c r="O1717" s="26">
        <f t="shared" si="80"/>
        <v>1250.51</v>
      </c>
      <c r="P1717">
        <v>0</v>
      </c>
      <c r="Q1717" t="b">
        <v>0</v>
      </c>
      <c r="S1717" t="s">
        <v>20</v>
      </c>
    </row>
    <row r="1718" spans="1:19">
      <c r="A1718" t="s">
        <v>3542</v>
      </c>
      <c r="B1718" t="s">
        <v>3543</v>
      </c>
      <c r="C1718" s="23" t="s">
        <v>4129</v>
      </c>
      <c r="D1718" s="23">
        <v>45120</v>
      </c>
      <c r="E1718" s="22">
        <v>7</v>
      </c>
      <c r="F1718" s="22">
        <v>13</v>
      </c>
      <c r="G1718" s="22">
        <v>2023</v>
      </c>
      <c r="H1718" s="23">
        <f t="shared" si="78"/>
        <v>45120</v>
      </c>
      <c r="I1718" s="25">
        <v>45125</v>
      </c>
      <c r="J1718" s="22">
        <f t="shared" si="79"/>
        <v>5</v>
      </c>
      <c r="K1718" t="s">
        <v>33</v>
      </c>
      <c r="L1718">
        <v>72719</v>
      </c>
      <c r="M1718">
        <v>1279</v>
      </c>
      <c r="N1718" s="26">
        <v>687.01</v>
      </c>
      <c r="O1718" s="26">
        <f t="shared" si="80"/>
        <v>687.01</v>
      </c>
      <c r="P1718">
        <v>78</v>
      </c>
      <c r="Q1718" t="b">
        <v>1</v>
      </c>
      <c r="S1718" t="s">
        <v>34</v>
      </c>
    </row>
    <row r="1719" spans="1:19">
      <c r="A1719" t="s">
        <v>3544</v>
      </c>
      <c r="B1719" t="s">
        <v>3545</v>
      </c>
      <c r="C1719" s="23" t="s">
        <v>4131</v>
      </c>
      <c r="D1719" s="23">
        <v>44947</v>
      </c>
      <c r="E1719" s="22">
        <v>1</v>
      </c>
      <c r="F1719" s="22">
        <v>21</v>
      </c>
      <c r="G1719" s="22">
        <v>2023</v>
      </c>
      <c r="H1719" s="23">
        <f t="shared" si="78"/>
        <v>44947</v>
      </c>
      <c r="I1719" s="25">
        <v>44973</v>
      </c>
      <c r="J1719" s="22">
        <f t="shared" si="79"/>
        <v>26</v>
      </c>
      <c r="K1719" t="s">
        <v>33</v>
      </c>
      <c r="L1719">
        <v>93108</v>
      </c>
      <c r="M1719">
        <v>3099</v>
      </c>
      <c r="N1719" s="26">
        <v>2706.14</v>
      </c>
      <c r="O1719" s="26">
        <f t="shared" si="80"/>
        <v>2706.14</v>
      </c>
      <c r="P1719">
        <v>474</v>
      </c>
      <c r="Q1719" t="b">
        <v>1</v>
      </c>
      <c r="S1719" t="s">
        <v>34</v>
      </c>
    </row>
    <row r="1720" spans="1:19">
      <c r="A1720" t="s">
        <v>3546</v>
      </c>
      <c r="B1720" t="s">
        <v>3547</v>
      </c>
      <c r="C1720" s="23" t="s">
        <v>4129</v>
      </c>
      <c r="D1720" s="23">
        <v>45077</v>
      </c>
      <c r="E1720" s="22">
        <v>5</v>
      </c>
      <c r="F1720" s="22">
        <v>31</v>
      </c>
      <c r="G1720" s="22">
        <v>2023</v>
      </c>
      <c r="H1720" s="23">
        <f t="shared" si="78"/>
        <v>45077</v>
      </c>
      <c r="I1720" s="25">
        <v>45079</v>
      </c>
      <c r="J1720" s="22">
        <f t="shared" si="79"/>
        <v>2</v>
      </c>
      <c r="K1720" t="s">
        <v>23</v>
      </c>
      <c r="L1720">
        <v>87231</v>
      </c>
      <c r="M1720">
        <v>1585</v>
      </c>
      <c r="N1720" s="26">
        <v>500000</v>
      </c>
      <c r="O1720" s="26">
        <f t="shared" si="80"/>
        <v>3632.575</v>
      </c>
      <c r="P1720">
        <v>265</v>
      </c>
      <c r="Q1720" t="b">
        <v>0</v>
      </c>
      <c r="S1720" t="s">
        <v>25</v>
      </c>
    </row>
    <row r="1721" spans="1:19">
      <c r="A1721" t="s">
        <v>3548</v>
      </c>
      <c r="B1721" t="s">
        <v>3549</v>
      </c>
      <c r="C1721" s="23" t="s">
        <v>4129</v>
      </c>
      <c r="D1721" s="23">
        <v>45217</v>
      </c>
      <c r="E1721" s="22">
        <v>10</v>
      </c>
      <c r="F1721" s="22">
        <v>18</v>
      </c>
      <c r="G1721" s="22">
        <v>2023</v>
      </c>
      <c r="H1721" s="23">
        <f t="shared" si="78"/>
        <v>45217</v>
      </c>
      <c r="I1721" s="25">
        <v>45224</v>
      </c>
      <c r="J1721" s="22">
        <f t="shared" si="79"/>
        <v>7</v>
      </c>
      <c r="K1721" t="s">
        <v>23</v>
      </c>
      <c r="L1721">
        <v>8314</v>
      </c>
      <c r="M1721">
        <v>255</v>
      </c>
      <c r="N1721" s="26">
        <v>234.46</v>
      </c>
      <c r="O1721" s="26">
        <f t="shared" si="80"/>
        <v>234.46</v>
      </c>
      <c r="P1721">
        <v>43</v>
      </c>
      <c r="Q1721" t="b">
        <v>0</v>
      </c>
      <c r="S1721" t="s">
        <v>25</v>
      </c>
    </row>
    <row r="1722" spans="1:19">
      <c r="A1722" t="s">
        <v>3550</v>
      </c>
      <c r="B1722" t="s">
        <v>3551</v>
      </c>
      <c r="C1722" s="23" t="s">
        <v>4129</v>
      </c>
      <c r="D1722" s="23">
        <v>45166</v>
      </c>
      <c r="E1722" s="22">
        <v>8</v>
      </c>
      <c r="F1722" s="22">
        <v>28</v>
      </c>
      <c r="G1722" s="22">
        <v>2023</v>
      </c>
      <c r="H1722" s="23">
        <f t="shared" si="78"/>
        <v>45166</v>
      </c>
      <c r="I1722" s="25">
        <v>45169</v>
      </c>
      <c r="J1722" s="22">
        <f t="shared" si="79"/>
        <v>3</v>
      </c>
      <c r="K1722" t="s">
        <v>33</v>
      </c>
      <c r="L1722">
        <v>20623</v>
      </c>
      <c r="M1722">
        <v>267</v>
      </c>
      <c r="N1722" s="26">
        <v>188.12</v>
      </c>
      <c r="O1722" s="26">
        <f t="shared" si="80"/>
        <v>188.12</v>
      </c>
      <c r="P1722">
        <v>18</v>
      </c>
      <c r="Q1722" t="b">
        <v>1</v>
      </c>
      <c r="S1722" t="s">
        <v>34</v>
      </c>
    </row>
    <row r="1723" spans="1:19">
      <c r="A1723" t="s">
        <v>3552</v>
      </c>
      <c r="B1723" t="s">
        <v>3553</v>
      </c>
      <c r="C1723" s="23" t="s">
        <v>4128</v>
      </c>
      <c r="D1723" s="23">
        <v>45210</v>
      </c>
      <c r="E1723" s="22">
        <v>10</v>
      </c>
      <c r="F1723" s="22">
        <v>11</v>
      </c>
      <c r="G1723" s="22">
        <v>2023</v>
      </c>
      <c r="H1723" s="23">
        <f t="shared" si="78"/>
        <v>45210</v>
      </c>
      <c r="I1723" s="25">
        <v>45230</v>
      </c>
      <c r="J1723" s="22">
        <f t="shared" si="79"/>
        <v>20</v>
      </c>
      <c r="K1723" t="s">
        <v>14</v>
      </c>
      <c r="L1723">
        <v>68675</v>
      </c>
      <c r="M1723">
        <v>2350</v>
      </c>
      <c r="N1723" s="26">
        <v>3741.24</v>
      </c>
      <c r="O1723" s="26">
        <f t="shared" si="80"/>
        <v>3632.575</v>
      </c>
      <c r="P1723">
        <v>275</v>
      </c>
      <c r="Q1723" t="b">
        <v>0</v>
      </c>
      <c r="S1723" t="s">
        <v>16</v>
      </c>
    </row>
    <row r="1724" spans="1:19">
      <c r="A1724" t="s">
        <v>3554</v>
      </c>
      <c r="B1724" t="s">
        <v>3555</v>
      </c>
      <c r="C1724" s="23" t="s">
        <v>4127</v>
      </c>
      <c r="D1724" s="23">
        <v>45157</v>
      </c>
      <c r="E1724" s="22">
        <v>8</v>
      </c>
      <c r="F1724" s="22">
        <v>19</v>
      </c>
      <c r="G1724" s="22">
        <v>2023</v>
      </c>
      <c r="H1724" s="23">
        <f t="shared" si="78"/>
        <v>45157</v>
      </c>
      <c r="I1724" s="25">
        <v>45169</v>
      </c>
      <c r="J1724" s="22">
        <f t="shared" si="79"/>
        <v>12</v>
      </c>
      <c r="K1724" t="s">
        <v>41</v>
      </c>
      <c r="L1724">
        <v>97826</v>
      </c>
      <c r="M1724">
        <v>3000</v>
      </c>
      <c r="N1724" s="26">
        <v>5159.16</v>
      </c>
      <c r="O1724" s="26">
        <f t="shared" si="80"/>
        <v>3632.575</v>
      </c>
      <c r="P1724">
        <v>523</v>
      </c>
      <c r="Q1724" t="b">
        <v>0</v>
      </c>
      <c r="S1724" t="s">
        <v>42</v>
      </c>
    </row>
    <row r="1725" spans="1:19">
      <c r="A1725" t="s">
        <v>3556</v>
      </c>
      <c r="B1725" t="s">
        <v>3557</v>
      </c>
      <c r="C1725" s="23" t="s">
        <v>4131</v>
      </c>
      <c r="D1725" s="23">
        <v>45114</v>
      </c>
      <c r="E1725" s="22">
        <v>7</v>
      </c>
      <c r="F1725" s="22">
        <v>7</v>
      </c>
      <c r="G1725" s="22">
        <v>2023</v>
      </c>
      <c r="H1725" s="23">
        <f t="shared" si="78"/>
        <v>45114</v>
      </c>
      <c r="I1725" s="25">
        <v>45141</v>
      </c>
      <c r="J1725" s="22">
        <f t="shared" si="79"/>
        <v>27</v>
      </c>
      <c r="K1725" t="s">
        <v>33</v>
      </c>
      <c r="L1725">
        <v>66082</v>
      </c>
      <c r="M1725">
        <v>2617</v>
      </c>
      <c r="N1725" s="26">
        <v>2319.23</v>
      </c>
      <c r="O1725" s="26">
        <f t="shared" si="80"/>
        <v>2319.23</v>
      </c>
      <c r="P1725">
        <v>249</v>
      </c>
      <c r="Q1725" t="b">
        <v>1</v>
      </c>
      <c r="S1725" t="s">
        <v>34</v>
      </c>
    </row>
    <row r="1726" spans="1:19">
      <c r="A1726" t="s">
        <v>3558</v>
      </c>
      <c r="B1726" t="s">
        <v>3559</v>
      </c>
      <c r="C1726" s="23" t="s">
        <v>4127</v>
      </c>
      <c r="D1726" s="23">
        <v>45186</v>
      </c>
      <c r="E1726" s="22">
        <v>9</v>
      </c>
      <c r="F1726" s="22">
        <v>17</v>
      </c>
      <c r="G1726" s="22">
        <v>2023</v>
      </c>
      <c r="H1726" s="23">
        <f t="shared" si="78"/>
        <v>45186</v>
      </c>
      <c r="I1726" s="25">
        <v>45196</v>
      </c>
      <c r="J1726" s="22">
        <f t="shared" si="79"/>
        <v>10</v>
      </c>
      <c r="K1726" t="s">
        <v>19</v>
      </c>
      <c r="L1726">
        <v>84624</v>
      </c>
      <c r="M1726">
        <v>2981</v>
      </c>
      <c r="N1726" s="26">
        <v>4953.32</v>
      </c>
      <c r="O1726" s="26">
        <f t="shared" si="80"/>
        <v>3632.575</v>
      </c>
      <c r="P1726">
        <v>358</v>
      </c>
      <c r="Q1726" t="b">
        <v>0</v>
      </c>
      <c r="S1726" t="s">
        <v>20</v>
      </c>
    </row>
    <row r="1727" spans="1:19">
      <c r="A1727" t="s">
        <v>3560</v>
      </c>
      <c r="B1727" t="s">
        <v>3561</v>
      </c>
      <c r="C1727" s="23" t="s">
        <v>4129</v>
      </c>
      <c r="D1727" s="23">
        <v>44936</v>
      </c>
      <c r="E1727" s="22">
        <v>1</v>
      </c>
      <c r="F1727" s="22">
        <v>10</v>
      </c>
      <c r="G1727" s="22">
        <v>2023</v>
      </c>
      <c r="H1727" s="23">
        <f t="shared" si="78"/>
        <v>44936</v>
      </c>
      <c r="I1727" s="25">
        <v>44940</v>
      </c>
      <c r="J1727" s="22">
        <f t="shared" si="79"/>
        <v>4</v>
      </c>
      <c r="K1727" t="s">
        <v>14</v>
      </c>
      <c r="L1727">
        <v>34130</v>
      </c>
      <c r="M1727">
        <v>1091</v>
      </c>
      <c r="N1727" s="26">
        <v>1176.46</v>
      </c>
      <c r="O1727" s="26">
        <f t="shared" si="80"/>
        <v>1176.46</v>
      </c>
      <c r="P1727">
        <v>99</v>
      </c>
      <c r="Q1727" t="b">
        <v>0</v>
      </c>
      <c r="S1727" t="s">
        <v>16</v>
      </c>
    </row>
    <row r="1728" spans="1:19">
      <c r="A1728" t="s">
        <v>3562</v>
      </c>
      <c r="B1728" t="s">
        <v>3563</v>
      </c>
      <c r="C1728" s="23" t="s">
        <v>4127</v>
      </c>
      <c r="D1728" s="23">
        <v>45244</v>
      </c>
      <c r="E1728" s="22">
        <v>11</v>
      </c>
      <c r="F1728" s="22">
        <v>14</v>
      </c>
      <c r="G1728" s="22">
        <v>2023</v>
      </c>
      <c r="H1728" s="23">
        <f t="shared" si="78"/>
        <v>45244</v>
      </c>
      <c r="I1728" s="25">
        <v>45264</v>
      </c>
      <c r="J1728" s="22">
        <f t="shared" si="79"/>
        <v>20</v>
      </c>
      <c r="K1728" t="s">
        <v>33</v>
      </c>
      <c r="L1728">
        <v>52756</v>
      </c>
      <c r="M1728">
        <v>1983</v>
      </c>
      <c r="N1728" s="26">
        <v>2498.64</v>
      </c>
      <c r="O1728" s="26">
        <f t="shared" si="80"/>
        <v>2498.64</v>
      </c>
      <c r="P1728">
        <v>237</v>
      </c>
      <c r="Q1728" t="b">
        <v>1</v>
      </c>
      <c r="S1728" t="s">
        <v>34</v>
      </c>
    </row>
    <row r="1729" spans="1:19">
      <c r="A1729" t="s">
        <v>3564</v>
      </c>
      <c r="B1729" t="s">
        <v>3565</v>
      </c>
      <c r="C1729" s="23" t="s">
        <v>4129</v>
      </c>
      <c r="D1729" s="23">
        <v>45264</v>
      </c>
      <c r="E1729" s="22">
        <v>12</v>
      </c>
      <c r="F1729" s="22">
        <v>4</v>
      </c>
      <c r="G1729" s="22">
        <v>2023</v>
      </c>
      <c r="H1729" s="23">
        <f t="shared" si="78"/>
        <v>45264</v>
      </c>
      <c r="I1729" s="25">
        <v>45293</v>
      </c>
      <c r="J1729" s="22">
        <f t="shared" si="79"/>
        <v>29</v>
      </c>
      <c r="K1729" t="s">
        <v>19</v>
      </c>
      <c r="L1729">
        <v>98624</v>
      </c>
      <c r="M1729">
        <v>1554</v>
      </c>
      <c r="N1729" s="26">
        <v>2772.34</v>
      </c>
      <c r="O1729" s="26">
        <f t="shared" si="80"/>
        <v>2772.34</v>
      </c>
      <c r="P1729">
        <v>284</v>
      </c>
      <c r="Q1729" t="b">
        <v>0</v>
      </c>
      <c r="S1729" t="s">
        <v>20</v>
      </c>
    </row>
    <row r="1730" spans="1:19">
      <c r="A1730" t="s">
        <v>3566</v>
      </c>
      <c r="B1730" t="s">
        <v>3567</v>
      </c>
      <c r="C1730" s="23" t="s">
        <v>4131</v>
      </c>
      <c r="D1730" s="23">
        <v>45024</v>
      </c>
      <c r="E1730" s="22">
        <v>4</v>
      </c>
      <c r="F1730" s="22">
        <v>8</v>
      </c>
      <c r="G1730" s="22">
        <v>2023</v>
      </c>
      <c r="H1730" s="23">
        <f t="shared" si="78"/>
        <v>45024</v>
      </c>
      <c r="I1730" s="25">
        <v>45038</v>
      </c>
      <c r="J1730" s="22">
        <f t="shared" si="79"/>
        <v>14</v>
      </c>
      <c r="K1730" t="s">
        <v>41</v>
      </c>
      <c r="L1730">
        <v>27292</v>
      </c>
      <c r="M1730">
        <v>922</v>
      </c>
      <c r="N1730" s="26">
        <v>1498.19</v>
      </c>
      <c r="O1730" s="26">
        <f t="shared" si="80"/>
        <v>1498.19</v>
      </c>
      <c r="P1730">
        <v>109</v>
      </c>
      <c r="Q1730" t="b">
        <v>1</v>
      </c>
      <c r="S1730" t="s">
        <v>42</v>
      </c>
    </row>
    <row r="1731" spans="1:19">
      <c r="A1731" t="s">
        <v>3568</v>
      </c>
      <c r="B1731" t="s">
        <v>3569</v>
      </c>
      <c r="C1731" s="23" t="s">
        <v>4128</v>
      </c>
      <c r="D1731" s="23">
        <v>45209</v>
      </c>
      <c r="E1731" s="22">
        <v>10</v>
      </c>
      <c r="F1731" s="22">
        <v>10</v>
      </c>
      <c r="G1731" s="22">
        <v>2023</v>
      </c>
      <c r="H1731" s="23">
        <f t="shared" ref="H1731:H1794" si="81">IF(E1731&gt;12,DATE(G1731,F1731,E1731),D1731)</f>
        <v>45209</v>
      </c>
      <c r="I1731" s="25">
        <v>45222</v>
      </c>
      <c r="J1731" s="22">
        <f t="shared" ref="J1731:J1794" si="82">DATEDIF(H1731,I1731,"D")</f>
        <v>13</v>
      </c>
      <c r="K1731" t="s">
        <v>33</v>
      </c>
      <c r="L1731">
        <v>87206</v>
      </c>
      <c r="M1731">
        <v>1472</v>
      </c>
      <c r="N1731" s="26">
        <v>2513.7</v>
      </c>
      <c r="O1731" s="26">
        <f t="shared" ref="O1731:O1794" si="83">IF(N1731&lt;$W$8,$W$8,IF(N1731&gt;$W$9,$W$9,N1731))</f>
        <v>2513.7</v>
      </c>
      <c r="P1731">
        <v>196</v>
      </c>
      <c r="Q1731" t="b">
        <v>0</v>
      </c>
      <c r="S1731" t="s">
        <v>34</v>
      </c>
    </row>
    <row r="1732" spans="1:19">
      <c r="A1732" t="s">
        <v>3570</v>
      </c>
      <c r="B1732" t="s">
        <v>3571</v>
      </c>
      <c r="C1732" s="23" t="s">
        <v>4127</v>
      </c>
      <c r="D1732" s="23">
        <v>45136</v>
      </c>
      <c r="E1732" s="22">
        <v>7</v>
      </c>
      <c r="F1732" s="22">
        <v>29</v>
      </c>
      <c r="G1732" s="22">
        <v>2023</v>
      </c>
      <c r="H1732" s="23">
        <f t="shared" si="81"/>
        <v>45136</v>
      </c>
      <c r="I1732" s="25">
        <v>45149</v>
      </c>
      <c r="J1732" s="22">
        <f t="shared" si="82"/>
        <v>13</v>
      </c>
      <c r="K1732" t="s">
        <v>23</v>
      </c>
      <c r="L1732">
        <v>70274</v>
      </c>
      <c r="M1732">
        <v>3304</v>
      </c>
      <c r="N1732" s="26">
        <v>2330.2</v>
      </c>
      <c r="O1732" s="26">
        <f t="shared" si="83"/>
        <v>2330.2</v>
      </c>
      <c r="P1732">
        <v>365</v>
      </c>
      <c r="Q1732" t="b">
        <v>1</v>
      </c>
      <c r="S1732" t="s">
        <v>25</v>
      </c>
    </row>
    <row r="1733" spans="1:19">
      <c r="A1733" t="s">
        <v>3572</v>
      </c>
      <c r="B1733" t="s">
        <v>3573</v>
      </c>
      <c r="C1733" s="23" t="s">
        <v>4131</v>
      </c>
      <c r="D1733" s="23">
        <v>45194</v>
      </c>
      <c r="E1733" s="22">
        <v>9</v>
      </c>
      <c r="F1733" s="22">
        <v>25</v>
      </c>
      <c r="G1733" s="22">
        <v>2023</v>
      </c>
      <c r="H1733" s="23">
        <f t="shared" si="81"/>
        <v>45194</v>
      </c>
      <c r="I1733" s="25">
        <v>45204</v>
      </c>
      <c r="J1733" s="22">
        <f t="shared" si="82"/>
        <v>10</v>
      </c>
      <c r="K1733" t="s">
        <v>23</v>
      </c>
      <c r="L1733">
        <v>3469</v>
      </c>
      <c r="M1733">
        <v>44</v>
      </c>
      <c r="N1733" s="26">
        <v>26.6</v>
      </c>
      <c r="O1733" s="26">
        <f t="shared" si="83"/>
        <v>26.6</v>
      </c>
      <c r="P1733">
        <v>5</v>
      </c>
      <c r="Q1733" t="b">
        <v>0</v>
      </c>
      <c r="S1733" t="s">
        <v>25</v>
      </c>
    </row>
    <row r="1734" spans="1:19">
      <c r="A1734" t="s">
        <v>3574</v>
      </c>
      <c r="B1734" t="s">
        <v>3575</v>
      </c>
      <c r="C1734" s="23" t="s">
        <v>4131</v>
      </c>
      <c r="D1734" s="23">
        <v>44993</v>
      </c>
      <c r="E1734" s="22">
        <v>3</v>
      </c>
      <c r="F1734" s="22">
        <v>8</v>
      </c>
      <c r="G1734" s="22">
        <v>2023</v>
      </c>
      <c r="H1734" s="23">
        <f t="shared" si="81"/>
        <v>44993</v>
      </c>
      <c r="I1734" s="25">
        <v>45153</v>
      </c>
      <c r="J1734" s="22">
        <f t="shared" si="82"/>
        <v>160</v>
      </c>
      <c r="K1734" t="s">
        <v>14</v>
      </c>
      <c r="L1734">
        <v>54947</v>
      </c>
      <c r="M1734">
        <v>1495</v>
      </c>
      <c r="N1734" s="26">
        <v>2750.96</v>
      </c>
      <c r="O1734" s="26">
        <f t="shared" si="83"/>
        <v>2750.96</v>
      </c>
      <c r="P1734">
        <v>78</v>
      </c>
      <c r="Q1734" t="b">
        <v>1</v>
      </c>
      <c r="S1734" t="s">
        <v>16</v>
      </c>
    </row>
    <row r="1735" spans="1:19">
      <c r="A1735" t="s">
        <v>3576</v>
      </c>
      <c r="B1735" t="s">
        <v>3577</v>
      </c>
      <c r="C1735" s="23" t="s">
        <v>4129</v>
      </c>
      <c r="D1735" s="23">
        <v>44981</v>
      </c>
      <c r="E1735" s="22">
        <v>2</v>
      </c>
      <c r="F1735" s="22">
        <v>24</v>
      </c>
      <c r="G1735" s="22">
        <v>2023</v>
      </c>
      <c r="H1735" s="23">
        <f t="shared" si="81"/>
        <v>44981</v>
      </c>
      <c r="I1735" s="25">
        <v>44982</v>
      </c>
      <c r="J1735" s="22">
        <f t="shared" si="82"/>
        <v>1</v>
      </c>
      <c r="K1735" t="s">
        <v>41</v>
      </c>
      <c r="L1735">
        <v>23534</v>
      </c>
      <c r="M1735">
        <v>890</v>
      </c>
      <c r="N1735" s="26">
        <v>962.76</v>
      </c>
      <c r="O1735" s="26">
        <f t="shared" si="83"/>
        <v>962.76</v>
      </c>
      <c r="P1735">
        <v>82</v>
      </c>
      <c r="Q1735" t="b">
        <v>1</v>
      </c>
      <c r="S1735" t="s">
        <v>42</v>
      </c>
    </row>
    <row r="1736" spans="1:19">
      <c r="A1736" t="s">
        <v>3578</v>
      </c>
      <c r="B1736" t="s">
        <v>3579</v>
      </c>
      <c r="C1736" s="23" t="s">
        <v>4129</v>
      </c>
      <c r="D1736" s="23">
        <v>45219</v>
      </c>
      <c r="E1736" s="22">
        <v>10</v>
      </c>
      <c r="F1736" s="22">
        <v>20</v>
      </c>
      <c r="G1736" s="22">
        <v>2023</v>
      </c>
      <c r="H1736" s="23">
        <f t="shared" si="81"/>
        <v>45219</v>
      </c>
      <c r="I1736" s="25">
        <v>45230</v>
      </c>
      <c r="J1736" s="22">
        <f t="shared" si="82"/>
        <v>11</v>
      </c>
      <c r="K1736" t="s">
        <v>14</v>
      </c>
      <c r="L1736">
        <v>64620</v>
      </c>
      <c r="M1736">
        <v>1830</v>
      </c>
      <c r="N1736" s="26">
        <v>1705.23</v>
      </c>
      <c r="O1736" s="26">
        <f t="shared" si="83"/>
        <v>1705.23</v>
      </c>
      <c r="P1736">
        <v>211</v>
      </c>
      <c r="Q1736" t="b">
        <v>0</v>
      </c>
      <c r="S1736" t="s">
        <v>16</v>
      </c>
    </row>
    <row r="1737" spans="1:19">
      <c r="A1737" t="s">
        <v>3580</v>
      </c>
      <c r="B1737" t="s">
        <v>3581</v>
      </c>
      <c r="C1737" s="23" t="s">
        <v>4127</v>
      </c>
      <c r="D1737" s="23">
        <v>45177</v>
      </c>
      <c r="E1737" s="22">
        <v>9</v>
      </c>
      <c r="F1737" s="22">
        <v>8</v>
      </c>
      <c r="G1737" s="22">
        <v>2023</v>
      </c>
      <c r="H1737" s="23">
        <f t="shared" si="81"/>
        <v>45177</v>
      </c>
      <c r="I1737" s="25">
        <v>45193</v>
      </c>
      <c r="J1737" s="22">
        <f t="shared" si="82"/>
        <v>16</v>
      </c>
      <c r="K1737" t="s">
        <v>23</v>
      </c>
      <c r="L1737">
        <v>49874</v>
      </c>
      <c r="M1737">
        <v>682</v>
      </c>
      <c r="N1737" s="26">
        <v>1082.36</v>
      </c>
      <c r="O1737" s="26">
        <f t="shared" si="83"/>
        <v>1082.36</v>
      </c>
      <c r="P1737">
        <v>98</v>
      </c>
      <c r="Q1737" t="b">
        <v>1</v>
      </c>
      <c r="S1737" t="s">
        <v>25</v>
      </c>
    </row>
    <row r="1738" spans="1:19">
      <c r="A1738" t="s">
        <v>3582</v>
      </c>
      <c r="B1738" t="s">
        <v>3583</v>
      </c>
      <c r="C1738" s="23" t="s">
        <v>4127</v>
      </c>
      <c r="D1738" s="23">
        <v>45265</v>
      </c>
      <c r="E1738" s="22">
        <v>12</v>
      </c>
      <c r="F1738" s="22">
        <v>5</v>
      </c>
      <c r="G1738" s="22">
        <v>2023</v>
      </c>
      <c r="H1738" s="23">
        <f t="shared" si="81"/>
        <v>45265</v>
      </c>
      <c r="I1738" s="25">
        <v>45065</v>
      </c>
      <c r="J1738" s="22">
        <f t="shared" si="82"/>
        <v>-200</v>
      </c>
      <c r="K1738" t="s">
        <v>41</v>
      </c>
      <c r="L1738">
        <v>50708</v>
      </c>
      <c r="M1738">
        <v>1629</v>
      </c>
      <c r="N1738" s="26">
        <v>2858.28</v>
      </c>
      <c r="O1738" s="26">
        <f t="shared" si="83"/>
        <v>2858.28</v>
      </c>
      <c r="P1738">
        <v>191</v>
      </c>
      <c r="Q1738" t="b">
        <v>0</v>
      </c>
      <c r="S1738" t="s">
        <v>42</v>
      </c>
    </row>
    <row r="1739" spans="1:19">
      <c r="A1739" t="s">
        <v>3584</v>
      </c>
      <c r="B1739" t="s">
        <v>3585</v>
      </c>
      <c r="C1739" s="23" t="s">
        <v>4127</v>
      </c>
      <c r="D1739" s="23">
        <v>45040</v>
      </c>
      <c r="E1739" s="22">
        <v>4</v>
      </c>
      <c r="F1739" s="22">
        <v>24</v>
      </c>
      <c r="G1739" s="22">
        <v>2023</v>
      </c>
      <c r="H1739" s="23">
        <f t="shared" si="81"/>
        <v>45040</v>
      </c>
      <c r="I1739" s="25">
        <v>45065</v>
      </c>
      <c r="J1739" s="22">
        <f t="shared" si="82"/>
        <v>25</v>
      </c>
      <c r="K1739" t="s">
        <v>19</v>
      </c>
      <c r="L1739">
        <v>75553</v>
      </c>
      <c r="M1739">
        <v>2694</v>
      </c>
      <c r="N1739" s="26">
        <v>4832.32</v>
      </c>
      <c r="O1739" s="26">
        <f t="shared" si="83"/>
        <v>3632.575</v>
      </c>
      <c r="P1739">
        <v>271</v>
      </c>
      <c r="Q1739" t="b">
        <v>1</v>
      </c>
      <c r="S1739" t="s">
        <v>68</v>
      </c>
    </row>
    <row r="1740" spans="1:19">
      <c r="A1740" t="s">
        <v>3586</v>
      </c>
      <c r="B1740" t="s">
        <v>3587</v>
      </c>
      <c r="C1740" s="23" t="s">
        <v>4131</v>
      </c>
      <c r="D1740" s="23">
        <v>45033</v>
      </c>
      <c r="E1740" s="22">
        <v>4</v>
      </c>
      <c r="F1740" s="22">
        <v>17</v>
      </c>
      <c r="G1740" s="22">
        <v>2023</v>
      </c>
      <c r="H1740" s="23">
        <f t="shared" si="81"/>
        <v>45033</v>
      </c>
      <c r="I1740" s="25">
        <v>45034</v>
      </c>
      <c r="J1740" s="22">
        <f t="shared" si="82"/>
        <v>1</v>
      </c>
      <c r="K1740" t="s">
        <v>14</v>
      </c>
      <c r="L1740">
        <v>69344</v>
      </c>
      <c r="M1740">
        <v>2645</v>
      </c>
      <c r="N1740" s="26">
        <v>2576.22</v>
      </c>
      <c r="O1740" s="26">
        <f t="shared" si="83"/>
        <v>2576.22</v>
      </c>
      <c r="P1740">
        <v>286</v>
      </c>
      <c r="Q1740" t="b">
        <v>1</v>
      </c>
      <c r="S1740" t="s">
        <v>16</v>
      </c>
    </row>
    <row r="1741" spans="1:19">
      <c r="A1741" t="s">
        <v>3588</v>
      </c>
      <c r="B1741" t="s">
        <v>3589</v>
      </c>
      <c r="C1741" s="23" t="s">
        <v>4129</v>
      </c>
      <c r="D1741" s="23">
        <v>44967</v>
      </c>
      <c r="E1741" s="22">
        <v>2</v>
      </c>
      <c r="F1741" s="22">
        <v>10</v>
      </c>
      <c r="G1741" s="22">
        <v>2023</v>
      </c>
      <c r="H1741" s="23">
        <f t="shared" si="81"/>
        <v>44967</v>
      </c>
      <c r="I1741" s="25">
        <v>44974</v>
      </c>
      <c r="J1741" s="22">
        <f t="shared" si="82"/>
        <v>7</v>
      </c>
      <c r="K1741" t="s">
        <v>19</v>
      </c>
      <c r="L1741">
        <v>50138</v>
      </c>
      <c r="M1741">
        <v>1249</v>
      </c>
      <c r="N1741" s="26">
        <v>2221.12</v>
      </c>
      <c r="O1741" s="26">
        <f t="shared" si="83"/>
        <v>2221.12</v>
      </c>
      <c r="P1741">
        <v>107</v>
      </c>
      <c r="Q1741" t="b">
        <v>0</v>
      </c>
      <c r="S1741" t="s">
        <v>20</v>
      </c>
    </row>
    <row r="1742" spans="1:19">
      <c r="A1742" t="s">
        <v>3590</v>
      </c>
      <c r="B1742" t="s">
        <v>3591</v>
      </c>
      <c r="C1742" s="23" t="s">
        <v>4131</v>
      </c>
      <c r="D1742" s="23">
        <v>45111</v>
      </c>
      <c r="E1742" s="22">
        <v>7</v>
      </c>
      <c r="F1742" s="22">
        <v>4</v>
      </c>
      <c r="G1742" s="22">
        <v>2023</v>
      </c>
      <c r="H1742" s="23">
        <f t="shared" si="81"/>
        <v>45111</v>
      </c>
      <c r="I1742" s="25">
        <v>45125</v>
      </c>
      <c r="J1742" s="22">
        <f t="shared" si="82"/>
        <v>14</v>
      </c>
      <c r="K1742" t="s">
        <v>138</v>
      </c>
      <c r="L1742">
        <v>55302</v>
      </c>
      <c r="M1742">
        <v>1799</v>
      </c>
      <c r="N1742" s="26">
        <v>1009.96</v>
      </c>
      <c r="O1742" s="26">
        <f t="shared" si="83"/>
        <v>1009.96</v>
      </c>
      <c r="P1742">
        <v>339</v>
      </c>
      <c r="Q1742" t="b">
        <v>1</v>
      </c>
      <c r="S1742" t="s">
        <v>139</v>
      </c>
    </row>
    <row r="1743" spans="1:19">
      <c r="A1743" t="s">
        <v>3592</v>
      </c>
      <c r="B1743" t="s">
        <v>3593</v>
      </c>
      <c r="C1743" s="23" t="s">
        <v>4128</v>
      </c>
      <c r="D1743" s="23">
        <v>45139</v>
      </c>
      <c r="E1743" s="22">
        <v>8</v>
      </c>
      <c r="F1743" s="22">
        <v>1</v>
      </c>
      <c r="G1743" s="22">
        <v>2023</v>
      </c>
      <c r="H1743" s="23">
        <f t="shared" si="81"/>
        <v>45139</v>
      </c>
      <c r="I1743" s="25">
        <v>45164</v>
      </c>
      <c r="J1743" s="22">
        <f t="shared" si="82"/>
        <v>25</v>
      </c>
      <c r="K1743" t="s">
        <v>33</v>
      </c>
      <c r="L1743">
        <v>48638</v>
      </c>
      <c r="M1743">
        <v>1363</v>
      </c>
      <c r="N1743" s="26">
        <v>783.03</v>
      </c>
      <c r="O1743" s="26">
        <f t="shared" si="83"/>
        <v>783.03</v>
      </c>
      <c r="P1743">
        <v>0</v>
      </c>
      <c r="Q1743" t="b">
        <v>0</v>
      </c>
      <c r="S1743" t="s">
        <v>34</v>
      </c>
    </row>
    <row r="1744" spans="1:19">
      <c r="A1744" t="s">
        <v>3594</v>
      </c>
      <c r="B1744" t="s">
        <v>3595</v>
      </c>
      <c r="C1744" s="23" t="s">
        <v>4131</v>
      </c>
      <c r="D1744" s="23">
        <v>44956</v>
      </c>
      <c r="E1744" s="22">
        <v>1</v>
      </c>
      <c r="F1744" s="22">
        <v>30</v>
      </c>
      <c r="G1744" s="22">
        <v>2023</v>
      </c>
      <c r="H1744" s="23">
        <f t="shared" si="81"/>
        <v>44956</v>
      </c>
      <c r="I1744" s="25">
        <v>44977</v>
      </c>
      <c r="J1744" s="22">
        <f t="shared" si="82"/>
        <v>21</v>
      </c>
      <c r="K1744" t="s">
        <v>33</v>
      </c>
      <c r="L1744">
        <v>79249</v>
      </c>
      <c r="M1744">
        <v>2922</v>
      </c>
      <c r="N1744" s="26">
        <v>4193.88</v>
      </c>
      <c r="O1744" s="26">
        <f t="shared" si="83"/>
        <v>3632.575</v>
      </c>
      <c r="P1744">
        <v>151</v>
      </c>
      <c r="Q1744" t="b">
        <v>1</v>
      </c>
      <c r="S1744" t="s">
        <v>34</v>
      </c>
    </row>
    <row r="1745" spans="1:19">
      <c r="A1745" t="s">
        <v>3596</v>
      </c>
      <c r="B1745" t="s">
        <v>3597</v>
      </c>
      <c r="C1745" s="23" t="s">
        <v>4128</v>
      </c>
      <c r="D1745" s="23">
        <v>44947</v>
      </c>
      <c r="E1745" s="22">
        <v>1</v>
      </c>
      <c r="F1745" s="22">
        <v>21</v>
      </c>
      <c r="G1745" s="22">
        <v>2023</v>
      </c>
      <c r="H1745" s="23">
        <f t="shared" si="81"/>
        <v>44947</v>
      </c>
      <c r="I1745" s="25">
        <v>44972</v>
      </c>
      <c r="J1745" s="22">
        <f t="shared" si="82"/>
        <v>25</v>
      </c>
      <c r="K1745" t="s">
        <v>19</v>
      </c>
      <c r="L1745">
        <v>3719</v>
      </c>
      <c r="M1745">
        <v>123</v>
      </c>
      <c r="N1745" s="26">
        <v>73.14</v>
      </c>
      <c r="O1745" s="26">
        <f t="shared" si="83"/>
        <v>73.14</v>
      </c>
      <c r="P1745">
        <v>6</v>
      </c>
      <c r="Q1745" t="b">
        <v>0</v>
      </c>
      <c r="S1745" t="s">
        <v>20</v>
      </c>
    </row>
    <row r="1746" spans="1:19">
      <c r="A1746" t="s">
        <v>3598</v>
      </c>
      <c r="B1746" t="s">
        <v>3599</v>
      </c>
      <c r="C1746" s="23" t="s">
        <v>4128</v>
      </c>
      <c r="D1746" s="23">
        <v>44966</v>
      </c>
      <c r="E1746" s="22">
        <v>2</v>
      </c>
      <c r="F1746" s="22">
        <v>9</v>
      </c>
      <c r="G1746" s="22">
        <v>2023</v>
      </c>
      <c r="H1746" s="23">
        <f t="shared" si="81"/>
        <v>44966</v>
      </c>
      <c r="I1746" s="25">
        <v>44971</v>
      </c>
      <c r="J1746" s="22">
        <f t="shared" si="82"/>
        <v>5</v>
      </c>
      <c r="K1746" t="s">
        <v>138</v>
      </c>
      <c r="L1746">
        <v>23890</v>
      </c>
      <c r="M1746">
        <v>741</v>
      </c>
      <c r="N1746" s="26">
        <v>731.3</v>
      </c>
      <c r="O1746" s="26">
        <f t="shared" si="83"/>
        <v>731.3</v>
      </c>
      <c r="P1746">
        <v>145</v>
      </c>
      <c r="Q1746" t="b">
        <v>1</v>
      </c>
      <c r="S1746" t="s">
        <v>68</v>
      </c>
    </row>
    <row r="1747" spans="1:19">
      <c r="A1747" t="s">
        <v>3600</v>
      </c>
      <c r="B1747" t="s">
        <v>3601</v>
      </c>
      <c r="C1747" s="23" t="s">
        <v>4128</v>
      </c>
      <c r="D1747" s="23">
        <v>44976</v>
      </c>
      <c r="E1747" s="22">
        <v>2</v>
      </c>
      <c r="F1747" s="22">
        <v>19</v>
      </c>
      <c r="G1747" s="22">
        <v>2023</v>
      </c>
      <c r="H1747" s="23">
        <f t="shared" si="81"/>
        <v>44976</v>
      </c>
      <c r="I1747" s="25">
        <v>44991</v>
      </c>
      <c r="J1747" s="22">
        <f t="shared" si="82"/>
        <v>15</v>
      </c>
      <c r="K1747" t="s">
        <v>19</v>
      </c>
      <c r="L1747">
        <v>78236</v>
      </c>
      <c r="M1747">
        <v>1563</v>
      </c>
      <c r="N1747" s="26">
        <v>2358.78</v>
      </c>
      <c r="O1747" s="26">
        <f t="shared" si="83"/>
        <v>2358.78</v>
      </c>
      <c r="P1747">
        <v>130</v>
      </c>
      <c r="Q1747" t="b">
        <v>0</v>
      </c>
      <c r="S1747" t="s">
        <v>20</v>
      </c>
    </row>
    <row r="1748" spans="1:19">
      <c r="A1748" t="s">
        <v>3602</v>
      </c>
      <c r="B1748" t="s">
        <v>3603</v>
      </c>
      <c r="C1748" s="23" t="s">
        <v>4128</v>
      </c>
      <c r="D1748" s="23">
        <v>45124</v>
      </c>
      <c r="E1748" s="22">
        <v>7</v>
      </c>
      <c r="F1748" s="22">
        <v>17</v>
      </c>
      <c r="G1748" s="22">
        <v>2023</v>
      </c>
      <c r="H1748" s="23">
        <f t="shared" si="81"/>
        <v>45124</v>
      </c>
      <c r="I1748" s="25">
        <v>45152</v>
      </c>
      <c r="J1748" s="22">
        <f t="shared" si="82"/>
        <v>28</v>
      </c>
      <c r="K1748" t="s">
        <v>19</v>
      </c>
      <c r="L1748">
        <v>37509</v>
      </c>
      <c r="M1748">
        <v>378</v>
      </c>
      <c r="N1748" s="26">
        <v>380.23</v>
      </c>
      <c r="O1748" s="26">
        <f t="shared" si="83"/>
        <v>380.23</v>
      </c>
      <c r="P1748">
        <v>64</v>
      </c>
      <c r="Q1748" t="b">
        <v>1</v>
      </c>
      <c r="S1748" t="s">
        <v>20</v>
      </c>
    </row>
    <row r="1749" spans="1:19">
      <c r="A1749" t="s">
        <v>3604</v>
      </c>
      <c r="B1749" t="s">
        <v>3605</v>
      </c>
      <c r="C1749" s="23" t="s">
        <v>4131</v>
      </c>
      <c r="D1749" s="23">
        <v>45054</v>
      </c>
      <c r="E1749" s="22">
        <v>5</v>
      </c>
      <c r="F1749" s="22">
        <v>8</v>
      </c>
      <c r="G1749" s="22">
        <v>2023</v>
      </c>
      <c r="H1749" s="23">
        <f t="shared" si="81"/>
        <v>45054</v>
      </c>
      <c r="I1749" s="25">
        <v>45073</v>
      </c>
      <c r="J1749" s="22">
        <f t="shared" si="82"/>
        <v>19</v>
      </c>
      <c r="K1749" t="s">
        <v>41</v>
      </c>
      <c r="L1749">
        <v>43534</v>
      </c>
      <c r="M1749">
        <v>738</v>
      </c>
      <c r="N1749" s="26">
        <v>567.82</v>
      </c>
      <c r="O1749" s="26">
        <f t="shared" si="83"/>
        <v>567.82</v>
      </c>
      <c r="P1749">
        <v>43</v>
      </c>
      <c r="Q1749" t="b">
        <v>1</v>
      </c>
      <c r="S1749" t="s">
        <v>42</v>
      </c>
    </row>
    <row r="1750" spans="1:19">
      <c r="A1750" t="s">
        <v>3606</v>
      </c>
      <c r="B1750" t="s">
        <v>3607</v>
      </c>
      <c r="C1750" s="23" t="s">
        <v>4128</v>
      </c>
      <c r="D1750" s="23">
        <v>45212</v>
      </c>
      <c r="E1750" s="22">
        <v>10</v>
      </c>
      <c r="F1750" s="22">
        <v>13</v>
      </c>
      <c r="G1750" s="22">
        <v>2023</v>
      </c>
      <c r="H1750" s="23">
        <f t="shared" si="81"/>
        <v>45212</v>
      </c>
      <c r="I1750" s="25">
        <v>45238</v>
      </c>
      <c r="J1750" s="22">
        <f t="shared" si="82"/>
        <v>26</v>
      </c>
      <c r="K1750" t="s">
        <v>14</v>
      </c>
      <c r="L1750">
        <v>93241</v>
      </c>
      <c r="M1750">
        <v>1369</v>
      </c>
      <c r="N1750" s="26">
        <v>1262.25</v>
      </c>
      <c r="O1750" s="26">
        <f t="shared" si="83"/>
        <v>1262.25</v>
      </c>
      <c r="P1750">
        <v>257</v>
      </c>
      <c r="Q1750" t="b">
        <v>1</v>
      </c>
      <c r="S1750" t="s">
        <v>16</v>
      </c>
    </row>
    <row r="1751" spans="1:19">
      <c r="A1751" t="s">
        <v>3608</v>
      </c>
      <c r="B1751" t="s">
        <v>3609</v>
      </c>
      <c r="C1751" s="23" t="s">
        <v>4128</v>
      </c>
      <c r="D1751" s="23">
        <v>44981</v>
      </c>
      <c r="E1751" s="22">
        <v>2</v>
      </c>
      <c r="F1751" s="22">
        <v>24</v>
      </c>
      <c r="G1751" s="22">
        <v>2023</v>
      </c>
      <c r="H1751" s="23">
        <f t="shared" si="81"/>
        <v>44981</v>
      </c>
      <c r="I1751" s="25">
        <v>45006</v>
      </c>
      <c r="J1751" s="22">
        <f t="shared" si="82"/>
        <v>25</v>
      </c>
      <c r="K1751" t="s">
        <v>41</v>
      </c>
      <c r="L1751">
        <v>19787</v>
      </c>
      <c r="M1751">
        <v>553</v>
      </c>
      <c r="N1751" s="26">
        <v>656.06</v>
      </c>
      <c r="O1751" s="26">
        <f t="shared" si="83"/>
        <v>656.06</v>
      </c>
      <c r="P1751">
        <v>100</v>
      </c>
      <c r="Q1751" t="b">
        <v>1</v>
      </c>
      <c r="S1751" t="s">
        <v>42</v>
      </c>
    </row>
    <row r="1752" spans="1:19">
      <c r="A1752" t="s">
        <v>3610</v>
      </c>
      <c r="B1752" t="s">
        <v>3611</v>
      </c>
      <c r="C1752" s="23" t="s">
        <v>4127</v>
      </c>
      <c r="D1752" s="23">
        <v>45272</v>
      </c>
      <c r="E1752" s="22">
        <v>12</v>
      </c>
      <c r="F1752" s="22">
        <v>12</v>
      </c>
      <c r="G1752" s="22">
        <v>2023</v>
      </c>
      <c r="H1752" s="23">
        <f t="shared" si="81"/>
        <v>45272</v>
      </c>
      <c r="I1752" s="25">
        <v>45296</v>
      </c>
      <c r="J1752" s="22">
        <f t="shared" si="82"/>
        <v>24</v>
      </c>
      <c r="K1752" t="s">
        <v>41</v>
      </c>
      <c r="L1752">
        <v>49845</v>
      </c>
      <c r="M1752">
        <v>1719</v>
      </c>
      <c r="N1752" s="26">
        <v>2085.28</v>
      </c>
      <c r="O1752" s="26">
        <f t="shared" si="83"/>
        <v>2085.28</v>
      </c>
      <c r="P1752">
        <v>0</v>
      </c>
      <c r="Q1752" t="b">
        <v>1</v>
      </c>
      <c r="S1752" t="s">
        <v>42</v>
      </c>
    </row>
    <row r="1753" spans="1:19">
      <c r="A1753" t="s">
        <v>3612</v>
      </c>
      <c r="B1753" t="s">
        <v>3613</v>
      </c>
      <c r="C1753" s="23" t="s">
        <v>4129</v>
      </c>
      <c r="D1753" s="23">
        <v>44980</v>
      </c>
      <c r="E1753" s="22">
        <v>2</v>
      </c>
      <c r="F1753" s="22">
        <v>23</v>
      </c>
      <c r="G1753" s="22">
        <v>2023</v>
      </c>
      <c r="H1753" s="23">
        <f t="shared" si="81"/>
        <v>44980</v>
      </c>
      <c r="I1753" s="25">
        <v>44985</v>
      </c>
      <c r="J1753" s="22">
        <f t="shared" si="82"/>
        <v>5</v>
      </c>
      <c r="K1753" t="s">
        <v>23</v>
      </c>
      <c r="L1753">
        <v>58932</v>
      </c>
      <c r="M1753">
        <v>1091</v>
      </c>
      <c r="N1753" s="26">
        <v>1826.88</v>
      </c>
      <c r="O1753" s="26">
        <f t="shared" si="83"/>
        <v>1826.88</v>
      </c>
      <c r="P1753">
        <v>56</v>
      </c>
      <c r="Q1753" t="b">
        <v>1</v>
      </c>
      <c r="R1753">
        <v>58956</v>
      </c>
      <c r="S1753" t="s">
        <v>25</v>
      </c>
    </row>
    <row r="1754" spans="1:19">
      <c r="A1754" t="s">
        <v>3614</v>
      </c>
      <c r="B1754" t="s">
        <v>3615</v>
      </c>
      <c r="C1754" s="23" t="s">
        <v>4131</v>
      </c>
      <c r="D1754" s="23">
        <v>45132</v>
      </c>
      <c r="E1754" s="22">
        <v>7</v>
      </c>
      <c r="F1754" s="22">
        <v>25</v>
      </c>
      <c r="G1754" s="22">
        <v>2023</v>
      </c>
      <c r="H1754" s="23">
        <f t="shared" si="81"/>
        <v>45132</v>
      </c>
      <c r="I1754" s="25">
        <v>45153</v>
      </c>
      <c r="J1754" s="22">
        <f t="shared" si="82"/>
        <v>21</v>
      </c>
      <c r="K1754" t="s">
        <v>19</v>
      </c>
      <c r="L1754">
        <v>93124</v>
      </c>
      <c r="M1754">
        <v>4429</v>
      </c>
      <c r="N1754" s="26">
        <v>7198.14</v>
      </c>
      <c r="O1754" s="26">
        <f t="shared" si="83"/>
        <v>3632.575</v>
      </c>
      <c r="P1754">
        <v>0</v>
      </c>
      <c r="Q1754" t="b">
        <v>0</v>
      </c>
      <c r="S1754" t="s">
        <v>20</v>
      </c>
    </row>
    <row r="1755" spans="1:19">
      <c r="A1755" t="s">
        <v>3616</v>
      </c>
      <c r="B1755" t="s">
        <v>3617</v>
      </c>
      <c r="C1755" s="23" t="s">
        <v>4131</v>
      </c>
      <c r="D1755" s="23">
        <v>45200</v>
      </c>
      <c r="E1755" s="22">
        <v>10</v>
      </c>
      <c r="F1755" s="22">
        <v>1</v>
      </c>
      <c r="G1755" s="22">
        <v>2023</v>
      </c>
      <c r="H1755" s="23">
        <f t="shared" si="81"/>
        <v>45200</v>
      </c>
      <c r="I1755" s="25">
        <v>45226</v>
      </c>
      <c r="J1755" s="22">
        <f t="shared" si="82"/>
        <v>26</v>
      </c>
      <c r="K1755" t="s">
        <v>14</v>
      </c>
      <c r="L1755">
        <v>92659</v>
      </c>
      <c r="M1755">
        <v>951</v>
      </c>
      <c r="N1755" s="26">
        <v>1127.15</v>
      </c>
      <c r="O1755" s="26">
        <f t="shared" si="83"/>
        <v>1127.15</v>
      </c>
      <c r="P1755">
        <v>105</v>
      </c>
      <c r="Q1755" t="b">
        <v>0</v>
      </c>
      <c r="S1755" t="s">
        <v>16</v>
      </c>
    </row>
    <row r="1756" spans="1:19">
      <c r="A1756" t="s">
        <v>3618</v>
      </c>
      <c r="B1756" t="s">
        <v>3619</v>
      </c>
      <c r="C1756" s="23" t="s">
        <v>4127</v>
      </c>
      <c r="D1756" s="23">
        <v>45107</v>
      </c>
      <c r="E1756" s="22">
        <v>6</v>
      </c>
      <c r="F1756" s="22">
        <v>30</v>
      </c>
      <c r="G1756" s="22">
        <v>2023</v>
      </c>
      <c r="H1756" s="23">
        <f t="shared" si="81"/>
        <v>45107</v>
      </c>
      <c r="I1756" s="25">
        <v>45117</v>
      </c>
      <c r="J1756" s="22">
        <f t="shared" si="82"/>
        <v>10</v>
      </c>
      <c r="K1756" t="s">
        <v>23</v>
      </c>
      <c r="L1756">
        <v>34062</v>
      </c>
      <c r="M1756">
        <v>1392</v>
      </c>
      <c r="N1756" s="26">
        <v>500000</v>
      </c>
      <c r="O1756" s="26">
        <f t="shared" si="83"/>
        <v>3632.575</v>
      </c>
      <c r="P1756">
        <v>165</v>
      </c>
      <c r="Q1756" t="b">
        <v>0</v>
      </c>
      <c r="S1756" t="s">
        <v>68</v>
      </c>
    </row>
    <row r="1757" spans="1:19">
      <c r="A1757" t="s">
        <v>3620</v>
      </c>
      <c r="B1757" t="s">
        <v>3621</v>
      </c>
      <c r="C1757" s="23" t="s">
        <v>4131</v>
      </c>
      <c r="D1757" s="23">
        <v>45093</v>
      </c>
      <c r="E1757" s="22">
        <v>6</v>
      </c>
      <c r="F1757" s="22">
        <v>16</v>
      </c>
      <c r="G1757" s="22">
        <v>2023</v>
      </c>
      <c r="H1757" s="23">
        <f t="shared" si="81"/>
        <v>45093</v>
      </c>
      <c r="I1757" s="25">
        <v>45106</v>
      </c>
      <c r="J1757" s="22">
        <f t="shared" si="82"/>
        <v>13</v>
      </c>
      <c r="K1757" t="s">
        <v>14</v>
      </c>
      <c r="L1757">
        <v>76713</v>
      </c>
      <c r="M1757">
        <v>2685</v>
      </c>
      <c r="N1757" s="26">
        <v>1802.59</v>
      </c>
      <c r="O1757" s="26">
        <f t="shared" si="83"/>
        <v>1802.59</v>
      </c>
      <c r="P1757">
        <v>254</v>
      </c>
      <c r="Q1757" t="b">
        <v>0</v>
      </c>
      <c r="S1757" t="s">
        <v>16</v>
      </c>
    </row>
    <row r="1758" spans="1:19">
      <c r="A1758" t="s">
        <v>3622</v>
      </c>
      <c r="B1758" t="s">
        <v>3623</v>
      </c>
      <c r="C1758" s="23" t="s">
        <v>4129</v>
      </c>
      <c r="D1758" s="23">
        <v>45251</v>
      </c>
      <c r="E1758" s="22">
        <v>11</v>
      </c>
      <c r="F1758" s="22">
        <v>21</v>
      </c>
      <c r="G1758" s="22">
        <v>2023</v>
      </c>
      <c r="H1758" s="23">
        <f t="shared" si="81"/>
        <v>45251</v>
      </c>
      <c r="I1758" s="25">
        <v>45259</v>
      </c>
      <c r="J1758" s="22">
        <f t="shared" si="82"/>
        <v>8</v>
      </c>
      <c r="K1758" t="s">
        <v>33</v>
      </c>
      <c r="L1758">
        <v>88263</v>
      </c>
      <c r="M1758">
        <v>2201</v>
      </c>
      <c r="N1758" s="26">
        <v>1943.55</v>
      </c>
      <c r="O1758" s="26">
        <f t="shared" si="83"/>
        <v>1943.55</v>
      </c>
      <c r="P1758">
        <v>0</v>
      </c>
      <c r="Q1758" t="b">
        <v>0</v>
      </c>
      <c r="S1758" t="s">
        <v>34</v>
      </c>
    </row>
    <row r="1759" spans="1:19">
      <c r="A1759" t="s">
        <v>3624</v>
      </c>
      <c r="B1759" t="s">
        <v>3625</v>
      </c>
      <c r="C1759" s="23" t="s">
        <v>4127</v>
      </c>
      <c r="D1759" s="23">
        <v>45238</v>
      </c>
      <c r="E1759" s="22">
        <v>11</v>
      </c>
      <c r="F1759" s="22">
        <v>8</v>
      </c>
      <c r="G1759" s="22">
        <v>2023</v>
      </c>
      <c r="H1759" s="23">
        <f t="shared" si="81"/>
        <v>45238</v>
      </c>
      <c r="I1759" s="25">
        <v>45243</v>
      </c>
      <c r="J1759" s="22">
        <f t="shared" si="82"/>
        <v>5</v>
      </c>
      <c r="K1759" t="s">
        <v>23</v>
      </c>
      <c r="L1759">
        <v>96756</v>
      </c>
      <c r="M1759">
        <v>1162</v>
      </c>
      <c r="N1759" s="26">
        <v>2024.16</v>
      </c>
      <c r="O1759" s="26">
        <f t="shared" si="83"/>
        <v>2024.16</v>
      </c>
      <c r="P1759">
        <v>160</v>
      </c>
      <c r="Q1759" t="b">
        <v>1</v>
      </c>
      <c r="S1759" t="s">
        <v>25</v>
      </c>
    </row>
    <row r="1760" spans="1:19">
      <c r="A1760" t="s">
        <v>3626</v>
      </c>
      <c r="B1760" t="s">
        <v>3627</v>
      </c>
      <c r="C1760" s="23" t="s">
        <v>4129</v>
      </c>
      <c r="D1760" s="23">
        <v>45119</v>
      </c>
      <c r="E1760" s="22">
        <v>7</v>
      </c>
      <c r="F1760" s="22">
        <v>12</v>
      </c>
      <c r="G1760" s="22">
        <v>2023</v>
      </c>
      <c r="H1760" s="23">
        <f t="shared" si="81"/>
        <v>45119</v>
      </c>
      <c r="I1760" s="25">
        <v>45120</v>
      </c>
      <c r="J1760" s="22">
        <f t="shared" si="82"/>
        <v>1</v>
      </c>
      <c r="K1760" t="s">
        <v>33</v>
      </c>
      <c r="L1760">
        <v>61461</v>
      </c>
      <c r="M1760">
        <v>2157</v>
      </c>
      <c r="N1760" s="26">
        <v>2301.5</v>
      </c>
      <c r="O1760" s="26">
        <f t="shared" si="83"/>
        <v>2301.5</v>
      </c>
      <c r="P1760">
        <v>0</v>
      </c>
      <c r="Q1760" t="b">
        <v>0</v>
      </c>
      <c r="S1760" t="s">
        <v>34</v>
      </c>
    </row>
    <row r="1761" spans="1:19">
      <c r="A1761" t="s">
        <v>3628</v>
      </c>
      <c r="B1761" t="s">
        <v>3629</v>
      </c>
      <c r="C1761" s="23" t="s">
        <v>4127</v>
      </c>
      <c r="D1761" s="23">
        <v>45057</v>
      </c>
      <c r="E1761" s="22">
        <v>5</v>
      </c>
      <c r="F1761" s="22">
        <v>11</v>
      </c>
      <c r="G1761" s="22">
        <v>2023</v>
      </c>
      <c r="H1761" s="23">
        <f t="shared" si="81"/>
        <v>45057</v>
      </c>
      <c r="I1761" s="25">
        <v>45052</v>
      </c>
      <c r="J1761" s="22">
        <f t="shared" si="82"/>
        <v>-5</v>
      </c>
      <c r="K1761" t="s">
        <v>23</v>
      </c>
      <c r="L1761">
        <v>76418</v>
      </c>
      <c r="M1761">
        <v>1942</v>
      </c>
      <c r="N1761" s="26">
        <v>3829.18</v>
      </c>
      <c r="O1761" s="26">
        <f t="shared" si="83"/>
        <v>3632.575</v>
      </c>
      <c r="P1761">
        <v>179</v>
      </c>
      <c r="Q1761" t="b">
        <v>1</v>
      </c>
      <c r="S1761" t="s">
        <v>25</v>
      </c>
    </row>
    <row r="1762" spans="1:19">
      <c r="A1762" t="s">
        <v>3630</v>
      </c>
      <c r="B1762" t="s">
        <v>3631</v>
      </c>
      <c r="C1762" s="23" t="s">
        <v>4127</v>
      </c>
      <c r="D1762" s="23" t="s">
        <v>1724</v>
      </c>
      <c r="E1762" s="22">
        <v>23</v>
      </c>
      <c r="F1762" s="22">
        <v>7</v>
      </c>
      <c r="G1762" s="22">
        <v>2023</v>
      </c>
      <c r="H1762" s="23">
        <f t="shared" si="81"/>
        <v>45130</v>
      </c>
      <c r="I1762" s="25">
        <v>45138</v>
      </c>
      <c r="J1762" s="22">
        <f t="shared" si="82"/>
        <v>8</v>
      </c>
      <c r="K1762" t="s">
        <v>19</v>
      </c>
      <c r="L1762">
        <v>67672</v>
      </c>
      <c r="M1762">
        <v>3211</v>
      </c>
      <c r="N1762" s="26">
        <v>3851.21</v>
      </c>
      <c r="O1762" s="26">
        <f t="shared" si="83"/>
        <v>3632.575</v>
      </c>
      <c r="P1762">
        <v>178</v>
      </c>
      <c r="Q1762" t="b">
        <v>1</v>
      </c>
      <c r="S1762" t="s">
        <v>20</v>
      </c>
    </row>
    <row r="1763" spans="1:19">
      <c r="A1763" t="s">
        <v>3632</v>
      </c>
      <c r="B1763" t="s">
        <v>3633</v>
      </c>
      <c r="C1763" s="23" t="s">
        <v>4129</v>
      </c>
      <c r="D1763" s="23">
        <v>44944</v>
      </c>
      <c r="E1763" s="22">
        <v>1</v>
      </c>
      <c r="F1763" s="22">
        <v>18</v>
      </c>
      <c r="G1763" s="22">
        <v>2023</v>
      </c>
      <c r="H1763" s="23">
        <f t="shared" si="81"/>
        <v>44944</v>
      </c>
      <c r="I1763" s="25">
        <v>44973</v>
      </c>
      <c r="J1763" s="22">
        <f t="shared" si="82"/>
        <v>29</v>
      </c>
      <c r="K1763" t="s">
        <v>41</v>
      </c>
      <c r="L1763">
        <v>35832</v>
      </c>
      <c r="M1763">
        <v>1135</v>
      </c>
      <c r="N1763" s="26">
        <v>1915.77</v>
      </c>
      <c r="O1763" s="26">
        <f t="shared" si="83"/>
        <v>1915.77</v>
      </c>
      <c r="P1763">
        <v>226</v>
      </c>
      <c r="Q1763" t="b">
        <v>0</v>
      </c>
      <c r="S1763" t="s">
        <v>42</v>
      </c>
    </row>
    <row r="1764" spans="1:19">
      <c r="A1764" t="s">
        <v>3634</v>
      </c>
      <c r="B1764" t="s">
        <v>3635</v>
      </c>
      <c r="C1764" s="23" t="s">
        <v>4131</v>
      </c>
      <c r="D1764" s="23">
        <v>45192</v>
      </c>
      <c r="E1764" s="22">
        <v>9</v>
      </c>
      <c r="F1764" s="22">
        <v>23</v>
      </c>
      <c r="G1764" s="22">
        <v>2023</v>
      </c>
      <c r="H1764" s="23">
        <f t="shared" si="81"/>
        <v>45192</v>
      </c>
      <c r="I1764" s="25">
        <v>45207</v>
      </c>
      <c r="J1764" s="22">
        <f t="shared" si="82"/>
        <v>15</v>
      </c>
      <c r="K1764" t="s">
        <v>33</v>
      </c>
      <c r="L1764">
        <v>32966</v>
      </c>
      <c r="M1764">
        <v>1568</v>
      </c>
      <c r="N1764" s="26">
        <v>1730.23</v>
      </c>
      <c r="O1764" s="26">
        <f t="shared" si="83"/>
        <v>1730.23</v>
      </c>
      <c r="P1764">
        <v>191</v>
      </c>
      <c r="Q1764" t="b">
        <v>0</v>
      </c>
      <c r="S1764" t="s">
        <v>34</v>
      </c>
    </row>
    <row r="1765" spans="1:19">
      <c r="A1765" t="s">
        <v>3636</v>
      </c>
      <c r="B1765" t="s">
        <v>3637</v>
      </c>
      <c r="C1765" s="23" t="s">
        <v>4129</v>
      </c>
      <c r="D1765" s="23">
        <v>44930</v>
      </c>
      <c r="E1765" s="22">
        <v>1</v>
      </c>
      <c r="F1765" s="22">
        <v>4</v>
      </c>
      <c r="G1765" s="22">
        <v>2023</v>
      </c>
      <c r="H1765" s="23">
        <f t="shared" si="81"/>
        <v>44930</v>
      </c>
      <c r="I1765" s="25">
        <v>44939</v>
      </c>
      <c r="J1765" s="22">
        <f t="shared" si="82"/>
        <v>9</v>
      </c>
      <c r="K1765" t="s">
        <v>14</v>
      </c>
      <c r="L1765">
        <v>73545</v>
      </c>
      <c r="M1765">
        <v>1384</v>
      </c>
      <c r="N1765" s="26">
        <v>1574.2</v>
      </c>
      <c r="O1765" s="26">
        <f t="shared" si="83"/>
        <v>1574.2</v>
      </c>
      <c r="P1765">
        <v>226</v>
      </c>
      <c r="Q1765" t="b">
        <v>1</v>
      </c>
      <c r="S1765" t="s">
        <v>16</v>
      </c>
    </row>
    <row r="1766" spans="1:19">
      <c r="A1766" t="s">
        <v>3638</v>
      </c>
      <c r="B1766" t="s">
        <v>3639</v>
      </c>
      <c r="C1766" s="23" t="s">
        <v>4129</v>
      </c>
      <c r="D1766" s="23">
        <v>45236</v>
      </c>
      <c r="E1766" s="22">
        <v>11</v>
      </c>
      <c r="F1766" s="22">
        <v>6</v>
      </c>
      <c r="G1766" s="22">
        <v>2023</v>
      </c>
      <c r="H1766" s="23">
        <f t="shared" si="81"/>
        <v>45236</v>
      </c>
      <c r="I1766" s="25">
        <v>45104</v>
      </c>
      <c r="J1766" s="22">
        <f t="shared" si="82"/>
        <v>-132</v>
      </c>
      <c r="K1766" t="s">
        <v>33</v>
      </c>
      <c r="L1766">
        <v>13987</v>
      </c>
      <c r="M1766">
        <v>545</v>
      </c>
      <c r="N1766" s="26">
        <v>585.51</v>
      </c>
      <c r="O1766" s="26">
        <f t="shared" si="83"/>
        <v>585.51</v>
      </c>
      <c r="P1766">
        <v>64</v>
      </c>
      <c r="Q1766" t="b">
        <v>0</v>
      </c>
      <c r="S1766" t="s">
        <v>34</v>
      </c>
    </row>
    <row r="1767" spans="1:19">
      <c r="A1767" t="s">
        <v>3640</v>
      </c>
      <c r="B1767" t="s">
        <v>3641</v>
      </c>
      <c r="C1767" s="23" t="s">
        <v>4127</v>
      </c>
      <c r="D1767" s="23">
        <v>45280</v>
      </c>
      <c r="E1767" s="22">
        <v>12</v>
      </c>
      <c r="F1767" s="22">
        <v>20</v>
      </c>
      <c r="G1767" s="22">
        <v>2023</v>
      </c>
      <c r="H1767" s="23">
        <f t="shared" si="81"/>
        <v>45280</v>
      </c>
      <c r="I1767" s="25">
        <v>45293</v>
      </c>
      <c r="J1767" s="22">
        <f t="shared" si="82"/>
        <v>13</v>
      </c>
      <c r="K1767" t="s">
        <v>41</v>
      </c>
      <c r="L1767">
        <v>38311</v>
      </c>
      <c r="M1767">
        <v>1329</v>
      </c>
      <c r="N1767" s="26">
        <v>2097.98</v>
      </c>
      <c r="O1767" s="26">
        <f t="shared" si="83"/>
        <v>2097.98</v>
      </c>
      <c r="P1767">
        <v>75</v>
      </c>
      <c r="Q1767" t="b">
        <v>1</v>
      </c>
      <c r="S1767" t="s">
        <v>42</v>
      </c>
    </row>
    <row r="1768" spans="1:19">
      <c r="A1768" t="s">
        <v>3642</v>
      </c>
      <c r="B1768" t="s">
        <v>3643</v>
      </c>
      <c r="C1768" s="23" t="s">
        <v>4129</v>
      </c>
      <c r="D1768" s="23">
        <v>45188</v>
      </c>
      <c r="E1768" s="22">
        <v>9</v>
      </c>
      <c r="F1768" s="22">
        <v>19</v>
      </c>
      <c r="G1768" s="22">
        <v>2023</v>
      </c>
      <c r="H1768" s="23">
        <f t="shared" si="81"/>
        <v>45188</v>
      </c>
      <c r="I1768" s="25">
        <v>45203</v>
      </c>
      <c r="J1768" s="22">
        <f t="shared" si="82"/>
        <v>15</v>
      </c>
      <c r="K1768" t="s">
        <v>23</v>
      </c>
      <c r="L1768">
        <v>32575</v>
      </c>
      <c r="M1768">
        <v>1289</v>
      </c>
      <c r="N1768" s="26">
        <v>1703.13</v>
      </c>
      <c r="O1768" s="26">
        <f t="shared" si="83"/>
        <v>1703.13</v>
      </c>
      <c r="P1768">
        <v>124</v>
      </c>
      <c r="Q1768" t="b">
        <v>1</v>
      </c>
      <c r="S1768" t="s">
        <v>25</v>
      </c>
    </row>
    <row r="1769" spans="1:19">
      <c r="A1769" t="s">
        <v>3644</v>
      </c>
      <c r="B1769" t="s">
        <v>3645</v>
      </c>
      <c r="C1769" s="23" t="s">
        <v>4131</v>
      </c>
      <c r="D1769" s="23" t="s">
        <v>682</v>
      </c>
      <c r="E1769" s="22">
        <v>21</v>
      </c>
      <c r="F1769" s="22">
        <v>3</v>
      </c>
      <c r="G1769" s="22">
        <v>2023</v>
      </c>
      <c r="H1769" s="23">
        <f t="shared" si="81"/>
        <v>45006</v>
      </c>
      <c r="I1769" s="25">
        <v>45001</v>
      </c>
      <c r="J1769" s="22">
        <f t="shared" si="82"/>
        <v>-5</v>
      </c>
      <c r="K1769" t="s">
        <v>14</v>
      </c>
      <c r="L1769">
        <v>64852</v>
      </c>
      <c r="M1769">
        <v>1205</v>
      </c>
      <c r="N1769" s="26">
        <v>2308.38</v>
      </c>
      <c r="O1769" s="26">
        <f t="shared" si="83"/>
        <v>2308.38</v>
      </c>
      <c r="P1769">
        <v>118</v>
      </c>
      <c r="Q1769" t="b">
        <v>1</v>
      </c>
      <c r="S1769" t="s">
        <v>16</v>
      </c>
    </row>
    <row r="1770" spans="1:19">
      <c r="A1770" t="s">
        <v>3646</v>
      </c>
      <c r="B1770" t="s">
        <v>3647</v>
      </c>
      <c r="C1770" s="23" t="s">
        <v>4129</v>
      </c>
      <c r="D1770" s="23">
        <v>45162</v>
      </c>
      <c r="E1770" s="22">
        <v>8</v>
      </c>
      <c r="F1770" s="22">
        <v>24</v>
      </c>
      <c r="G1770" s="22">
        <v>2023</v>
      </c>
      <c r="H1770" s="23">
        <f t="shared" si="81"/>
        <v>45162</v>
      </c>
      <c r="I1770" s="25">
        <v>45177</v>
      </c>
      <c r="J1770" s="22">
        <f t="shared" si="82"/>
        <v>15</v>
      </c>
      <c r="K1770" t="s">
        <v>33</v>
      </c>
      <c r="L1770">
        <v>2007</v>
      </c>
      <c r="M1770">
        <v>73</v>
      </c>
      <c r="N1770" s="26">
        <v>63.97</v>
      </c>
      <c r="O1770" s="26">
        <f t="shared" si="83"/>
        <v>63.97</v>
      </c>
      <c r="P1770">
        <v>12</v>
      </c>
      <c r="Q1770" t="b">
        <v>0</v>
      </c>
      <c r="S1770" t="s">
        <v>34</v>
      </c>
    </row>
    <row r="1771" spans="1:19">
      <c r="A1771" t="s">
        <v>3648</v>
      </c>
      <c r="B1771" t="s">
        <v>3649</v>
      </c>
      <c r="C1771" s="23" t="s">
        <v>4129</v>
      </c>
      <c r="D1771" s="23">
        <v>45114</v>
      </c>
      <c r="E1771" s="22">
        <v>7</v>
      </c>
      <c r="F1771" s="22">
        <v>7</v>
      </c>
      <c r="G1771" s="22">
        <v>2023</v>
      </c>
      <c r="H1771" s="23">
        <f t="shared" si="81"/>
        <v>45114</v>
      </c>
      <c r="I1771" s="25">
        <v>45126</v>
      </c>
      <c r="J1771" s="22">
        <f t="shared" si="82"/>
        <v>12</v>
      </c>
      <c r="K1771" t="s">
        <v>19</v>
      </c>
      <c r="L1771">
        <v>71981</v>
      </c>
      <c r="M1771">
        <v>2153</v>
      </c>
      <c r="N1771" s="26">
        <v>1401.27</v>
      </c>
      <c r="O1771" s="26">
        <f t="shared" si="83"/>
        <v>1401.27</v>
      </c>
      <c r="P1771">
        <v>318</v>
      </c>
      <c r="Q1771" t="b">
        <v>1</v>
      </c>
      <c r="S1771" t="s">
        <v>68</v>
      </c>
    </row>
    <row r="1772" spans="1:19">
      <c r="A1772" t="s">
        <v>3650</v>
      </c>
      <c r="B1772" t="s">
        <v>3651</v>
      </c>
      <c r="C1772" s="23" t="s">
        <v>4129</v>
      </c>
      <c r="D1772" s="23">
        <v>45058</v>
      </c>
      <c r="E1772" s="22">
        <v>5</v>
      </c>
      <c r="F1772" s="22">
        <v>12</v>
      </c>
      <c r="G1772" s="22">
        <v>2023</v>
      </c>
      <c r="H1772" s="23">
        <f t="shared" si="81"/>
        <v>45058</v>
      </c>
      <c r="I1772" s="25">
        <v>45294</v>
      </c>
      <c r="J1772" s="22">
        <f t="shared" si="82"/>
        <v>236</v>
      </c>
      <c r="K1772" t="s">
        <v>14</v>
      </c>
      <c r="L1772">
        <v>77242</v>
      </c>
      <c r="M1772">
        <v>3067</v>
      </c>
      <c r="N1772" s="26">
        <v>3342.7</v>
      </c>
      <c r="O1772" s="26">
        <f t="shared" si="83"/>
        <v>3342.7</v>
      </c>
      <c r="P1772">
        <v>280</v>
      </c>
      <c r="Q1772" t="b">
        <v>1</v>
      </c>
      <c r="S1772" t="s">
        <v>16</v>
      </c>
    </row>
    <row r="1773" spans="1:19">
      <c r="A1773" t="s">
        <v>3652</v>
      </c>
      <c r="B1773" t="s">
        <v>3653</v>
      </c>
      <c r="C1773" s="23" t="s">
        <v>4128</v>
      </c>
      <c r="D1773" s="23">
        <v>45131</v>
      </c>
      <c r="E1773" s="22">
        <v>7</v>
      </c>
      <c r="F1773" s="22">
        <v>24</v>
      </c>
      <c r="G1773" s="22">
        <v>2023</v>
      </c>
      <c r="H1773" s="23">
        <f t="shared" si="81"/>
        <v>45131</v>
      </c>
      <c r="I1773" s="25">
        <v>45138</v>
      </c>
      <c r="J1773" s="22">
        <f t="shared" si="82"/>
        <v>7</v>
      </c>
      <c r="K1773" t="s">
        <v>19</v>
      </c>
      <c r="L1773">
        <v>48517</v>
      </c>
      <c r="M1773">
        <v>1119</v>
      </c>
      <c r="N1773" s="26">
        <v>1594.65</v>
      </c>
      <c r="O1773" s="26">
        <f t="shared" si="83"/>
        <v>1594.65</v>
      </c>
      <c r="P1773">
        <v>0</v>
      </c>
      <c r="Q1773" t="b">
        <v>0</v>
      </c>
      <c r="S1773" t="s">
        <v>20</v>
      </c>
    </row>
    <row r="1774" spans="1:19">
      <c r="A1774" t="s">
        <v>3654</v>
      </c>
      <c r="B1774" t="s">
        <v>3655</v>
      </c>
      <c r="C1774" s="23" t="s">
        <v>4129</v>
      </c>
      <c r="D1774" s="23">
        <v>44966</v>
      </c>
      <c r="E1774" s="22">
        <v>2</v>
      </c>
      <c r="F1774" s="22">
        <v>9</v>
      </c>
      <c r="G1774" s="22">
        <v>2023</v>
      </c>
      <c r="H1774" s="23">
        <f t="shared" si="81"/>
        <v>44966</v>
      </c>
      <c r="I1774" s="25">
        <v>44981</v>
      </c>
      <c r="J1774" s="22">
        <f t="shared" si="82"/>
        <v>15</v>
      </c>
      <c r="K1774" t="s">
        <v>19</v>
      </c>
      <c r="L1774">
        <v>30257</v>
      </c>
      <c r="M1774">
        <v>1379</v>
      </c>
      <c r="N1774" s="26">
        <v>2470.06</v>
      </c>
      <c r="O1774" s="26">
        <f t="shared" si="83"/>
        <v>2470.06</v>
      </c>
      <c r="P1774">
        <v>0</v>
      </c>
      <c r="Q1774" t="b">
        <v>1</v>
      </c>
      <c r="S1774" t="s">
        <v>20</v>
      </c>
    </row>
    <row r="1775" spans="1:19">
      <c r="A1775" t="s">
        <v>3656</v>
      </c>
      <c r="B1775" t="s">
        <v>3657</v>
      </c>
      <c r="C1775" s="23" t="s">
        <v>4129</v>
      </c>
      <c r="D1775" s="23">
        <v>45015</v>
      </c>
      <c r="E1775" s="22">
        <v>3</v>
      </c>
      <c r="F1775" s="22">
        <v>30</v>
      </c>
      <c r="G1775" s="22">
        <v>2023</v>
      </c>
      <c r="H1775" s="23">
        <f t="shared" si="81"/>
        <v>45015</v>
      </c>
      <c r="I1775" s="25">
        <v>45020</v>
      </c>
      <c r="J1775" s="22">
        <f t="shared" si="82"/>
        <v>5</v>
      </c>
      <c r="K1775" t="s">
        <v>19</v>
      </c>
      <c r="L1775">
        <v>88272</v>
      </c>
      <c r="M1775">
        <v>1180</v>
      </c>
      <c r="N1775" s="26">
        <v>1202.77</v>
      </c>
      <c r="O1775" s="26">
        <f t="shared" si="83"/>
        <v>1202.77</v>
      </c>
      <c r="P1775">
        <v>235</v>
      </c>
      <c r="Q1775" t="b">
        <v>1</v>
      </c>
      <c r="R1775">
        <v>88308</v>
      </c>
      <c r="S1775" t="s">
        <v>20</v>
      </c>
    </row>
    <row r="1776" spans="1:19">
      <c r="A1776" t="s">
        <v>3658</v>
      </c>
      <c r="B1776" t="s">
        <v>3659</v>
      </c>
      <c r="C1776" s="23" t="s">
        <v>4128</v>
      </c>
      <c r="D1776" s="23">
        <v>45286</v>
      </c>
      <c r="E1776" s="22">
        <v>12</v>
      </c>
      <c r="F1776" s="22">
        <v>26</v>
      </c>
      <c r="G1776" s="22">
        <v>2023</v>
      </c>
      <c r="H1776" s="23">
        <f t="shared" si="81"/>
        <v>45286</v>
      </c>
      <c r="I1776" s="25">
        <v>45300</v>
      </c>
      <c r="J1776" s="22">
        <f t="shared" si="82"/>
        <v>14</v>
      </c>
      <c r="K1776" t="s">
        <v>19</v>
      </c>
      <c r="L1776">
        <v>43207</v>
      </c>
      <c r="M1776">
        <v>1827</v>
      </c>
      <c r="N1776" s="26">
        <v>2705.2</v>
      </c>
      <c r="O1776" s="26">
        <f t="shared" si="83"/>
        <v>2705.2</v>
      </c>
      <c r="P1776">
        <v>364</v>
      </c>
      <c r="Q1776" t="b">
        <v>1</v>
      </c>
      <c r="S1776" t="s">
        <v>20</v>
      </c>
    </row>
    <row r="1777" spans="1:19">
      <c r="A1777" t="s">
        <v>3660</v>
      </c>
      <c r="B1777" t="s">
        <v>3661</v>
      </c>
      <c r="C1777" s="23" t="s">
        <v>4129</v>
      </c>
      <c r="D1777" s="23">
        <v>45231</v>
      </c>
      <c r="E1777" s="22">
        <v>11</v>
      </c>
      <c r="F1777" s="22">
        <v>1</v>
      </c>
      <c r="G1777" s="22">
        <v>2023</v>
      </c>
      <c r="H1777" s="23">
        <f t="shared" si="81"/>
        <v>45231</v>
      </c>
      <c r="I1777" s="25">
        <v>44939</v>
      </c>
      <c r="J1777" s="22">
        <f t="shared" si="82"/>
        <v>-292</v>
      </c>
      <c r="K1777" t="s">
        <v>41</v>
      </c>
      <c r="L1777">
        <v>14281</v>
      </c>
      <c r="M1777">
        <v>634</v>
      </c>
      <c r="N1777" s="26">
        <v>650.04</v>
      </c>
      <c r="O1777" s="26">
        <f t="shared" si="83"/>
        <v>650.04</v>
      </c>
      <c r="P1777">
        <v>49</v>
      </c>
      <c r="Q1777" t="b">
        <v>1</v>
      </c>
      <c r="S1777" t="s">
        <v>42</v>
      </c>
    </row>
    <row r="1778" spans="1:19">
      <c r="A1778" t="s">
        <v>3662</v>
      </c>
      <c r="B1778" t="s">
        <v>3663</v>
      </c>
      <c r="C1778" s="23" t="s">
        <v>4128</v>
      </c>
      <c r="D1778" s="23">
        <v>45222</v>
      </c>
      <c r="E1778" s="22">
        <v>10</v>
      </c>
      <c r="F1778" s="22">
        <v>23</v>
      </c>
      <c r="G1778" s="22">
        <v>2023</v>
      </c>
      <c r="H1778" s="23">
        <f t="shared" si="81"/>
        <v>45222</v>
      </c>
      <c r="I1778" s="25">
        <v>45230</v>
      </c>
      <c r="J1778" s="22">
        <f t="shared" si="82"/>
        <v>8</v>
      </c>
      <c r="K1778" t="s">
        <v>14</v>
      </c>
      <c r="L1778">
        <v>62246</v>
      </c>
      <c r="M1778">
        <v>2657</v>
      </c>
      <c r="N1778" s="26">
        <v>3788.43</v>
      </c>
      <c r="O1778" s="26">
        <f t="shared" si="83"/>
        <v>3632.575</v>
      </c>
      <c r="P1778">
        <v>257</v>
      </c>
      <c r="Q1778" t="b">
        <v>0</v>
      </c>
      <c r="S1778" t="s">
        <v>16</v>
      </c>
    </row>
    <row r="1779" spans="1:19">
      <c r="A1779" t="s">
        <v>3664</v>
      </c>
      <c r="B1779" t="s">
        <v>3665</v>
      </c>
      <c r="C1779" s="23" t="s">
        <v>4128</v>
      </c>
      <c r="D1779" s="23">
        <v>45098</v>
      </c>
      <c r="E1779" s="22">
        <v>6</v>
      </c>
      <c r="F1779" s="22">
        <v>21</v>
      </c>
      <c r="G1779" s="22">
        <v>2023</v>
      </c>
      <c r="H1779" s="23">
        <f t="shared" si="81"/>
        <v>45098</v>
      </c>
      <c r="I1779" s="25">
        <v>45103</v>
      </c>
      <c r="J1779" s="22">
        <f t="shared" si="82"/>
        <v>5</v>
      </c>
      <c r="K1779" t="s">
        <v>19</v>
      </c>
      <c r="L1779">
        <v>2435</v>
      </c>
      <c r="M1779">
        <v>74</v>
      </c>
      <c r="N1779" s="26">
        <v>135.21</v>
      </c>
      <c r="O1779" s="26">
        <f t="shared" si="83"/>
        <v>135.21</v>
      </c>
      <c r="P1779">
        <v>9</v>
      </c>
      <c r="Q1779" t="b">
        <v>0</v>
      </c>
      <c r="R1779">
        <v>2508</v>
      </c>
      <c r="S1779" t="s">
        <v>20</v>
      </c>
    </row>
    <row r="1780" spans="1:19">
      <c r="A1780" t="s">
        <v>3666</v>
      </c>
      <c r="B1780" t="s">
        <v>3667</v>
      </c>
      <c r="C1780" s="23" t="s">
        <v>4128</v>
      </c>
      <c r="D1780" s="23">
        <v>45140</v>
      </c>
      <c r="E1780" s="22">
        <v>8</v>
      </c>
      <c r="F1780" s="22">
        <v>2</v>
      </c>
      <c r="G1780" s="22">
        <v>2023</v>
      </c>
      <c r="H1780" s="23">
        <f t="shared" si="81"/>
        <v>45140</v>
      </c>
      <c r="I1780" s="25">
        <v>45169</v>
      </c>
      <c r="J1780" s="22">
        <f t="shared" si="82"/>
        <v>29</v>
      </c>
      <c r="K1780" t="s">
        <v>14</v>
      </c>
      <c r="L1780">
        <v>99875</v>
      </c>
      <c r="M1780">
        <v>2750</v>
      </c>
      <c r="N1780" s="26">
        <v>2329.35</v>
      </c>
      <c r="O1780" s="26">
        <f t="shared" si="83"/>
        <v>2329.35</v>
      </c>
      <c r="P1780">
        <v>0</v>
      </c>
      <c r="Q1780" t="b">
        <v>1</v>
      </c>
      <c r="S1780" t="s">
        <v>16</v>
      </c>
    </row>
    <row r="1781" spans="1:19">
      <c r="A1781" t="s">
        <v>3668</v>
      </c>
      <c r="B1781" t="s">
        <v>3669</v>
      </c>
      <c r="C1781" s="23" t="s">
        <v>4129</v>
      </c>
      <c r="D1781" s="23">
        <v>45043</v>
      </c>
      <c r="E1781" s="22">
        <v>4</v>
      </c>
      <c r="F1781" s="22">
        <v>27</v>
      </c>
      <c r="G1781" s="22">
        <v>2023</v>
      </c>
      <c r="H1781" s="23">
        <f t="shared" si="81"/>
        <v>45043</v>
      </c>
      <c r="I1781" s="25">
        <v>45064</v>
      </c>
      <c r="J1781" s="22">
        <f t="shared" si="82"/>
        <v>21</v>
      </c>
      <c r="K1781" t="s">
        <v>138</v>
      </c>
      <c r="L1781">
        <v>92357</v>
      </c>
      <c r="M1781">
        <v>4604</v>
      </c>
      <c r="N1781" s="26">
        <v>5093.69</v>
      </c>
      <c r="O1781" s="26">
        <f t="shared" si="83"/>
        <v>3632.575</v>
      </c>
      <c r="P1781">
        <v>594</v>
      </c>
      <c r="Q1781" t="b">
        <v>1</v>
      </c>
      <c r="S1781" t="s">
        <v>139</v>
      </c>
    </row>
    <row r="1782" spans="1:19">
      <c r="A1782" t="s">
        <v>3670</v>
      </c>
      <c r="B1782" t="s">
        <v>3671</v>
      </c>
      <c r="C1782" s="23" t="s">
        <v>4131</v>
      </c>
      <c r="D1782" s="23">
        <v>44932</v>
      </c>
      <c r="E1782" s="22">
        <v>1</v>
      </c>
      <c r="F1782" s="22">
        <v>6</v>
      </c>
      <c r="G1782" s="22">
        <v>2023</v>
      </c>
      <c r="H1782" s="23">
        <f t="shared" si="81"/>
        <v>44932</v>
      </c>
      <c r="I1782" s="25">
        <v>44962</v>
      </c>
      <c r="J1782" s="22">
        <f t="shared" si="82"/>
        <v>30</v>
      </c>
      <c r="K1782" t="s">
        <v>23</v>
      </c>
      <c r="L1782">
        <v>27660</v>
      </c>
      <c r="M1782">
        <v>530</v>
      </c>
      <c r="N1782" s="26">
        <v>1054.65</v>
      </c>
      <c r="O1782" s="26">
        <f t="shared" si="83"/>
        <v>1054.65</v>
      </c>
      <c r="P1782">
        <v>103</v>
      </c>
      <c r="Q1782" t="b">
        <v>0</v>
      </c>
      <c r="S1782" t="s">
        <v>25</v>
      </c>
    </row>
    <row r="1783" spans="1:19">
      <c r="A1783" t="s">
        <v>3672</v>
      </c>
      <c r="B1783" t="s">
        <v>3673</v>
      </c>
      <c r="C1783" s="23" t="s">
        <v>4128</v>
      </c>
      <c r="D1783" s="23">
        <v>44954</v>
      </c>
      <c r="E1783" s="22">
        <v>1</v>
      </c>
      <c r="F1783" s="22">
        <v>28</v>
      </c>
      <c r="G1783" s="22">
        <v>2023</v>
      </c>
      <c r="H1783" s="23">
        <f t="shared" si="81"/>
        <v>44954</v>
      </c>
      <c r="I1783" s="25">
        <v>44958</v>
      </c>
      <c r="J1783" s="22">
        <f t="shared" si="82"/>
        <v>4</v>
      </c>
      <c r="K1783" t="s">
        <v>23</v>
      </c>
      <c r="L1783">
        <v>6084</v>
      </c>
      <c r="M1783">
        <v>193</v>
      </c>
      <c r="N1783" s="26">
        <v>500000</v>
      </c>
      <c r="O1783" s="26">
        <f t="shared" si="83"/>
        <v>3632.575</v>
      </c>
      <c r="P1783">
        <v>0</v>
      </c>
      <c r="Q1783" t="b">
        <v>0</v>
      </c>
      <c r="S1783" t="s">
        <v>25</v>
      </c>
    </row>
    <row r="1784" spans="1:19">
      <c r="A1784" t="s">
        <v>3674</v>
      </c>
      <c r="B1784" t="s">
        <v>3675</v>
      </c>
      <c r="C1784" s="23" t="s">
        <v>4128</v>
      </c>
      <c r="D1784" s="23">
        <v>45203</v>
      </c>
      <c r="E1784" s="22">
        <v>10</v>
      </c>
      <c r="F1784" s="22">
        <v>4</v>
      </c>
      <c r="G1784" s="22">
        <v>2023</v>
      </c>
      <c r="H1784" s="23">
        <f t="shared" si="81"/>
        <v>45203</v>
      </c>
      <c r="I1784" s="25">
        <v>45213</v>
      </c>
      <c r="J1784" s="22">
        <f t="shared" si="82"/>
        <v>10</v>
      </c>
      <c r="K1784" t="s">
        <v>234</v>
      </c>
      <c r="L1784">
        <v>83197</v>
      </c>
      <c r="M1784">
        <v>3063</v>
      </c>
      <c r="N1784" s="26">
        <v>4125.74</v>
      </c>
      <c r="O1784" s="26">
        <f t="shared" si="83"/>
        <v>3632.575</v>
      </c>
      <c r="P1784">
        <v>250</v>
      </c>
      <c r="Q1784" t="b">
        <v>0</v>
      </c>
      <c r="S1784" t="s">
        <v>16</v>
      </c>
    </row>
    <row r="1785" spans="1:19">
      <c r="A1785" t="s">
        <v>3676</v>
      </c>
      <c r="B1785" t="s">
        <v>3677</v>
      </c>
      <c r="C1785" s="23" t="s">
        <v>4129</v>
      </c>
      <c r="D1785" s="23">
        <v>45284</v>
      </c>
      <c r="E1785" s="22">
        <v>12</v>
      </c>
      <c r="F1785" s="22">
        <v>24</v>
      </c>
      <c r="G1785" s="22">
        <v>2023</v>
      </c>
      <c r="H1785" s="23">
        <f t="shared" si="81"/>
        <v>45284</v>
      </c>
      <c r="I1785" s="25">
        <v>45296</v>
      </c>
      <c r="J1785" s="22">
        <f t="shared" si="82"/>
        <v>12</v>
      </c>
      <c r="K1785" t="s">
        <v>33</v>
      </c>
      <c r="L1785">
        <v>14507</v>
      </c>
      <c r="M1785">
        <v>551</v>
      </c>
      <c r="N1785" s="26">
        <v>702.49</v>
      </c>
      <c r="O1785" s="26">
        <f t="shared" si="83"/>
        <v>702.49</v>
      </c>
      <c r="P1785">
        <v>36</v>
      </c>
      <c r="Q1785" t="b">
        <v>1</v>
      </c>
      <c r="S1785" t="s">
        <v>34</v>
      </c>
    </row>
    <row r="1786" spans="1:19">
      <c r="A1786" t="s">
        <v>3678</v>
      </c>
      <c r="B1786" t="s">
        <v>3679</v>
      </c>
      <c r="C1786" s="23" t="s">
        <v>4127</v>
      </c>
      <c r="D1786" s="23">
        <v>45128</v>
      </c>
      <c r="E1786" s="22">
        <v>7</v>
      </c>
      <c r="F1786" s="22">
        <v>21</v>
      </c>
      <c r="G1786" s="22">
        <v>2023</v>
      </c>
      <c r="H1786" s="23">
        <f t="shared" si="81"/>
        <v>45128</v>
      </c>
      <c r="I1786" s="25">
        <v>45130</v>
      </c>
      <c r="J1786" s="22">
        <f t="shared" si="82"/>
        <v>2</v>
      </c>
      <c r="K1786" t="s">
        <v>19</v>
      </c>
      <c r="L1786">
        <v>73595</v>
      </c>
      <c r="M1786">
        <v>1336</v>
      </c>
      <c r="N1786" s="26">
        <v>1238.34</v>
      </c>
      <c r="O1786" s="26">
        <f t="shared" si="83"/>
        <v>1238.34</v>
      </c>
      <c r="P1786">
        <v>204</v>
      </c>
      <c r="Q1786" t="b">
        <v>0</v>
      </c>
      <c r="S1786" t="s">
        <v>20</v>
      </c>
    </row>
    <row r="1787" spans="1:19">
      <c r="A1787" t="s">
        <v>3680</v>
      </c>
      <c r="B1787" t="s">
        <v>3681</v>
      </c>
      <c r="C1787" s="23" t="s">
        <v>4129</v>
      </c>
      <c r="D1787" s="23">
        <v>45221</v>
      </c>
      <c r="E1787" s="22">
        <v>10</v>
      </c>
      <c r="F1787" s="22">
        <v>22</v>
      </c>
      <c r="G1787" s="22">
        <v>2023</v>
      </c>
      <c r="H1787" s="23">
        <f t="shared" si="81"/>
        <v>45221</v>
      </c>
      <c r="I1787" s="25">
        <v>45233</v>
      </c>
      <c r="J1787" s="22">
        <f t="shared" si="82"/>
        <v>12</v>
      </c>
      <c r="K1787" t="s">
        <v>23</v>
      </c>
      <c r="L1787">
        <v>84807</v>
      </c>
      <c r="M1787">
        <v>3066</v>
      </c>
      <c r="N1787" s="26">
        <v>3911.65</v>
      </c>
      <c r="O1787" s="26">
        <f t="shared" si="83"/>
        <v>3632.575</v>
      </c>
      <c r="P1787">
        <v>226</v>
      </c>
      <c r="Q1787" t="b">
        <v>0</v>
      </c>
      <c r="S1787" t="s">
        <v>25</v>
      </c>
    </row>
    <row r="1788" spans="1:19">
      <c r="A1788" t="s">
        <v>3682</v>
      </c>
      <c r="B1788" t="s">
        <v>3683</v>
      </c>
      <c r="C1788" s="23" t="s">
        <v>4127</v>
      </c>
      <c r="D1788" s="23">
        <v>45075</v>
      </c>
      <c r="E1788" s="22">
        <v>5</v>
      </c>
      <c r="F1788" s="22">
        <v>29</v>
      </c>
      <c r="G1788" s="22">
        <v>2023</v>
      </c>
      <c r="H1788" s="23">
        <f t="shared" si="81"/>
        <v>45075</v>
      </c>
      <c r="I1788" s="25">
        <v>45090</v>
      </c>
      <c r="J1788" s="22">
        <f t="shared" si="82"/>
        <v>15</v>
      </c>
      <c r="K1788" t="s">
        <v>33</v>
      </c>
      <c r="L1788">
        <v>46539</v>
      </c>
      <c r="M1788">
        <v>1988</v>
      </c>
      <c r="N1788" s="26">
        <v>3523.28</v>
      </c>
      <c r="O1788" s="26">
        <f t="shared" si="83"/>
        <v>3523.28</v>
      </c>
      <c r="P1788">
        <v>334</v>
      </c>
      <c r="Q1788" t="b">
        <v>1</v>
      </c>
      <c r="S1788" t="s">
        <v>34</v>
      </c>
    </row>
    <row r="1789" spans="1:19">
      <c r="A1789" t="s">
        <v>3684</v>
      </c>
      <c r="B1789" t="s">
        <v>3685</v>
      </c>
      <c r="C1789" s="23" t="s">
        <v>4131</v>
      </c>
      <c r="D1789" s="23" t="s">
        <v>485</v>
      </c>
      <c r="E1789" s="22">
        <v>22</v>
      </c>
      <c r="F1789" s="22">
        <v>6</v>
      </c>
      <c r="G1789" s="22">
        <v>2023</v>
      </c>
      <c r="H1789" s="23">
        <f t="shared" si="81"/>
        <v>45099</v>
      </c>
      <c r="I1789" s="25">
        <v>45129</v>
      </c>
      <c r="J1789" s="22">
        <f t="shared" si="82"/>
        <v>30</v>
      </c>
      <c r="K1789" t="s">
        <v>23</v>
      </c>
      <c r="L1789">
        <v>8491</v>
      </c>
      <c r="M1789">
        <v>101</v>
      </c>
      <c r="N1789" s="26">
        <v>154.3</v>
      </c>
      <c r="O1789" s="26">
        <f t="shared" si="83"/>
        <v>154.3</v>
      </c>
      <c r="P1789">
        <v>9</v>
      </c>
      <c r="Q1789" t="b">
        <v>1</v>
      </c>
      <c r="S1789" t="s">
        <v>25</v>
      </c>
    </row>
    <row r="1790" spans="1:19">
      <c r="A1790" t="s">
        <v>3686</v>
      </c>
      <c r="B1790" t="s">
        <v>3687</v>
      </c>
      <c r="C1790" s="23" t="s">
        <v>4131</v>
      </c>
      <c r="D1790" s="23">
        <v>45219</v>
      </c>
      <c r="E1790" s="22">
        <v>10</v>
      </c>
      <c r="F1790" s="22">
        <v>20</v>
      </c>
      <c r="G1790" s="22">
        <v>2023</v>
      </c>
      <c r="H1790" s="23">
        <f t="shared" si="81"/>
        <v>45219</v>
      </c>
      <c r="I1790" s="25">
        <v>45232</v>
      </c>
      <c r="J1790" s="22">
        <f t="shared" si="82"/>
        <v>13</v>
      </c>
      <c r="K1790" t="s">
        <v>19</v>
      </c>
      <c r="L1790">
        <v>51192</v>
      </c>
      <c r="M1790">
        <v>2378</v>
      </c>
      <c r="N1790" s="26">
        <v>2223.59</v>
      </c>
      <c r="O1790" s="26">
        <f t="shared" si="83"/>
        <v>2223.59</v>
      </c>
      <c r="P1790">
        <v>235</v>
      </c>
      <c r="Q1790" t="b">
        <v>0</v>
      </c>
      <c r="S1790" t="s">
        <v>20</v>
      </c>
    </row>
    <row r="1791" spans="1:19">
      <c r="A1791" t="s">
        <v>3688</v>
      </c>
      <c r="B1791" t="s">
        <v>3689</v>
      </c>
      <c r="C1791" s="23" t="s">
        <v>4131</v>
      </c>
      <c r="D1791" s="23" t="s">
        <v>3460</v>
      </c>
      <c r="E1791" s="22">
        <v>15</v>
      </c>
      <c r="F1791" s="22">
        <v>5</v>
      </c>
      <c r="G1791" s="22">
        <v>2023</v>
      </c>
      <c r="H1791" s="23">
        <f t="shared" si="81"/>
        <v>45061</v>
      </c>
      <c r="I1791" s="25">
        <v>45090</v>
      </c>
      <c r="J1791" s="22">
        <f t="shared" si="82"/>
        <v>29</v>
      </c>
      <c r="K1791" t="s">
        <v>33</v>
      </c>
      <c r="L1791">
        <v>81395</v>
      </c>
      <c r="M1791">
        <v>910</v>
      </c>
      <c r="N1791" s="26">
        <v>730</v>
      </c>
      <c r="O1791" s="26">
        <f t="shared" si="83"/>
        <v>730</v>
      </c>
      <c r="P1791">
        <v>46</v>
      </c>
      <c r="Q1791" t="b">
        <v>1</v>
      </c>
      <c r="S1791" t="s">
        <v>34</v>
      </c>
    </row>
    <row r="1792" spans="1:19">
      <c r="A1792" t="s">
        <v>3690</v>
      </c>
      <c r="B1792" t="s">
        <v>3691</v>
      </c>
      <c r="C1792" s="23" t="s">
        <v>4131</v>
      </c>
      <c r="D1792" s="23">
        <v>45183</v>
      </c>
      <c r="E1792" s="22">
        <v>9</v>
      </c>
      <c r="F1792" s="22">
        <v>14</v>
      </c>
      <c r="G1792" s="22">
        <v>2023</v>
      </c>
      <c r="H1792" s="23">
        <f t="shared" si="81"/>
        <v>45183</v>
      </c>
      <c r="I1792" s="25">
        <v>45204</v>
      </c>
      <c r="J1792" s="22">
        <f t="shared" si="82"/>
        <v>21</v>
      </c>
      <c r="K1792" t="s">
        <v>23</v>
      </c>
      <c r="L1792">
        <v>64888</v>
      </c>
      <c r="M1792">
        <v>1572</v>
      </c>
      <c r="N1792" s="26">
        <v>1411.36</v>
      </c>
      <c r="O1792" s="26">
        <f t="shared" si="83"/>
        <v>1411.36</v>
      </c>
      <c r="P1792">
        <v>243</v>
      </c>
      <c r="Q1792" t="b">
        <v>1</v>
      </c>
      <c r="S1792" t="s">
        <v>25</v>
      </c>
    </row>
    <row r="1793" spans="1:19">
      <c r="A1793" t="s">
        <v>3692</v>
      </c>
      <c r="B1793" t="s">
        <v>3693</v>
      </c>
      <c r="C1793" s="23" t="s">
        <v>4127</v>
      </c>
      <c r="D1793" s="23">
        <v>44996</v>
      </c>
      <c r="E1793" s="22">
        <v>3</v>
      </c>
      <c r="F1793" s="22">
        <v>11</v>
      </c>
      <c r="G1793" s="22">
        <v>2023</v>
      </c>
      <c r="H1793" s="23">
        <f t="shared" si="81"/>
        <v>44996</v>
      </c>
      <c r="I1793" s="25">
        <v>45024</v>
      </c>
      <c r="J1793" s="22">
        <f t="shared" si="82"/>
        <v>28</v>
      </c>
      <c r="K1793" t="s">
        <v>33</v>
      </c>
      <c r="L1793">
        <v>74609</v>
      </c>
      <c r="M1793">
        <v>793</v>
      </c>
      <c r="N1793" s="26">
        <v>598.43</v>
      </c>
      <c r="O1793" s="26">
        <f t="shared" si="83"/>
        <v>598.43</v>
      </c>
      <c r="P1793">
        <v>53</v>
      </c>
      <c r="Q1793" t="b">
        <v>1</v>
      </c>
      <c r="S1793" t="s">
        <v>34</v>
      </c>
    </row>
    <row r="1794" spans="1:19">
      <c r="A1794" t="s">
        <v>3694</v>
      </c>
      <c r="B1794" t="s">
        <v>3695</v>
      </c>
      <c r="C1794" s="23" t="s">
        <v>4128</v>
      </c>
      <c r="D1794" s="23">
        <v>45129</v>
      </c>
      <c r="E1794" s="22">
        <v>7</v>
      </c>
      <c r="F1794" s="22">
        <v>22</v>
      </c>
      <c r="G1794" s="22">
        <v>2023</v>
      </c>
      <c r="H1794" s="23">
        <f t="shared" si="81"/>
        <v>45129</v>
      </c>
      <c r="I1794" s="25">
        <v>45143</v>
      </c>
      <c r="J1794" s="22">
        <f t="shared" si="82"/>
        <v>14</v>
      </c>
      <c r="K1794" t="s">
        <v>138</v>
      </c>
      <c r="L1794">
        <v>10077</v>
      </c>
      <c r="M1794">
        <v>131</v>
      </c>
      <c r="N1794" s="26">
        <v>84.29</v>
      </c>
      <c r="O1794" s="26">
        <f t="shared" si="83"/>
        <v>84.29</v>
      </c>
      <c r="P1794">
        <v>21</v>
      </c>
      <c r="Q1794" t="b">
        <v>0</v>
      </c>
      <c r="S1794" t="s">
        <v>139</v>
      </c>
    </row>
    <row r="1795" spans="1:19">
      <c r="A1795" t="s">
        <v>3696</v>
      </c>
      <c r="B1795" t="s">
        <v>3697</v>
      </c>
      <c r="C1795" s="23" t="s">
        <v>4127</v>
      </c>
      <c r="D1795" s="23">
        <v>45242</v>
      </c>
      <c r="E1795" s="22">
        <v>11</v>
      </c>
      <c r="F1795" s="22">
        <v>12</v>
      </c>
      <c r="G1795" s="22">
        <v>2023</v>
      </c>
      <c r="H1795" s="23">
        <f t="shared" ref="H1795:H1858" si="84">IF(E1795&gt;12,DATE(G1795,F1795,E1795),D1795)</f>
        <v>45242</v>
      </c>
      <c r="I1795" s="25">
        <v>45245</v>
      </c>
      <c r="J1795" s="22">
        <f t="shared" ref="J1795:J1858" si="85">DATEDIF(H1795,I1795,"D")</f>
        <v>3</v>
      </c>
      <c r="K1795" t="s">
        <v>19</v>
      </c>
      <c r="L1795">
        <v>21953</v>
      </c>
      <c r="M1795">
        <v>1019</v>
      </c>
      <c r="N1795" s="26">
        <v>1150.15</v>
      </c>
      <c r="O1795" s="26">
        <f t="shared" ref="O1795:O1858" si="86">IF(N1795&lt;$W$8,$W$8,IF(N1795&gt;$W$9,$W$9,N1795))</f>
        <v>1150.15</v>
      </c>
      <c r="P1795">
        <v>126</v>
      </c>
      <c r="Q1795" t="b">
        <v>1</v>
      </c>
      <c r="S1795" t="s">
        <v>20</v>
      </c>
    </row>
    <row r="1796" spans="1:19">
      <c r="A1796" t="s">
        <v>3698</v>
      </c>
      <c r="B1796" t="s">
        <v>3699</v>
      </c>
      <c r="C1796" s="23" t="s">
        <v>4129</v>
      </c>
      <c r="D1796" s="23">
        <v>45051</v>
      </c>
      <c r="E1796" s="22">
        <v>5</v>
      </c>
      <c r="F1796" s="22">
        <v>5</v>
      </c>
      <c r="G1796" s="22">
        <v>2023</v>
      </c>
      <c r="H1796" s="23">
        <f t="shared" si="84"/>
        <v>45051</v>
      </c>
      <c r="I1796" s="25">
        <v>45071</v>
      </c>
      <c r="J1796" s="22">
        <f t="shared" si="85"/>
        <v>20</v>
      </c>
      <c r="K1796" t="s">
        <v>14</v>
      </c>
      <c r="L1796">
        <v>77919</v>
      </c>
      <c r="M1796">
        <v>1885</v>
      </c>
      <c r="N1796" s="26">
        <v>1262.85</v>
      </c>
      <c r="O1796" s="26">
        <f t="shared" si="86"/>
        <v>1262.85</v>
      </c>
      <c r="P1796">
        <v>316</v>
      </c>
      <c r="Q1796" t="b">
        <v>1</v>
      </c>
      <c r="S1796" t="s">
        <v>16</v>
      </c>
    </row>
    <row r="1797" spans="1:19">
      <c r="A1797" t="s">
        <v>3700</v>
      </c>
      <c r="B1797" t="s">
        <v>3701</v>
      </c>
      <c r="C1797" s="23" t="s">
        <v>4127</v>
      </c>
      <c r="D1797" s="23">
        <v>45147</v>
      </c>
      <c r="E1797" s="22">
        <v>8</v>
      </c>
      <c r="F1797" s="22">
        <v>9</v>
      </c>
      <c r="G1797" s="22">
        <v>2023</v>
      </c>
      <c r="H1797" s="23">
        <f t="shared" si="84"/>
        <v>45147</v>
      </c>
      <c r="I1797" s="25">
        <v>45157</v>
      </c>
      <c r="J1797" s="22">
        <f t="shared" si="85"/>
        <v>10</v>
      </c>
      <c r="K1797" t="s">
        <v>19</v>
      </c>
      <c r="L1797">
        <v>68889</v>
      </c>
      <c r="M1797">
        <v>1859</v>
      </c>
      <c r="N1797" s="26">
        <v>1408.88</v>
      </c>
      <c r="O1797" s="26">
        <f t="shared" si="86"/>
        <v>1408.88</v>
      </c>
      <c r="P1797">
        <v>255</v>
      </c>
      <c r="Q1797" t="b">
        <v>0</v>
      </c>
      <c r="S1797" t="s">
        <v>20</v>
      </c>
    </row>
    <row r="1798" spans="1:19">
      <c r="A1798" t="s">
        <v>3702</v>
      </c>
      <c r="B1798" t="s">
        <v>3703</v>
      </c>
      <c r="C1798" s="23" t="s">
        <v>4128</v>
      </c>
      <c r="D1798" s="23">
        <v>44972</v>
      </c>
      <c r="E1798" s="22">
        <v>2</v>
      </c>
      <c r="F1798" s="22">
        <v>15</v>
      </c>
      <c r="G1798" s="22">
        <v>2023</v>
      </c>
      <c r="H1798" s="23">
        <f t="shared" si="84"/>
        <v>44972</v>
      </c>
      <c r="I1798" s="25">
        <v>44984</v>
      </c>
      <c r="J1798" s="22">
        <f t="shared" si="85"/>
        <v>12</v>
      </c>
      <c r="K1798" t="s">
        <v>33</v>
      </c>
      <c r="L1798">
        <v>24821</v>
      </c>
      <c r="M1798">
        <v>462</v>
      </c>
      <c r="N1798" s="26">
        <v>610.3</v>
      </c>
      <c r="O1798" s="26">
        <f t="shared" si="86"/>
        <v>610.3</v>
      </c>
      <c r="P1798">
        <v>0</v>
      </c>
      <c r="Q1798" t="b">
        <v>1</v>
      </c>
      <c r="S1798" t="s">
        <v>34</v>
      </c>
    </row>
    <row r="1799" spans="1:19">
      <c r="A1799" t="s">
        <v>3704</v>
      </c>
      <c r="B1799" t="s">
        <v>3705</v>
      </c>
      <c r="C1799" s="23" t="s">
        <v>4127</v>
      </c>
      <c r="D1799" s="23">
        <v>45114</v>
      </c>
      <c r="E1799" s="22">
        <v>7</v>
      </c>
      <c r="F1799" s="22">
        <v>7</v>
      </c>
      <c r="G1799" s="22">
        <v>2023</v>
      </c>
      <c r="H1799" s="23">
        <f t="shared" si="84"/>
        <v>45114</v>
      </c>
      <c r="I1799" s="25">
        <v>45141</v>
      </c>
      <c r="J1799" s="22">
        <f t="shared" si="85"/>
        <v>27</v>
      </c>
      <c r="K1799" t="s">
        <v>19</v>
      </c>
      <c r="L1799">
        <v>38567</v>
      </c>
      <c r="M1799">
        <v>1306</v>
      </c>
      <c r="N1799" s="26">
        <v>975.45</v>
      </c>
      <c r="O1799" s="26">
        <f t="shared" si="86"/>
        <v>975.45</v>
      </c>
      <c r="P1799">
        <v>215</v>
      </c>
      <c r="Q1799" t="b">
        <v>1</v>
      </c>
      <c r="S1799" t="s">
        <v>20</v>
      </c>
    </row>
    <row r="1800" spans="1:19">
      <c r="A1800" t="s">
        <v>3706</v>
      </c>
      <c r="B1800" t="s">
        <v>3707</v>
      </c>
      <c r="C1800" s="23" t="s">
        <v>4127</v>
      </c>
      <c r="D1800" s="23">
        <v>45231</v>
      </c>
      <c r="E1800" s="22">
        <v>11</v>
      </c>
      <c r="F1800" s="22">
        <v>1</v>
      </c>
      <c r="G1800" s="22">
        <v>2023</v>
      </c>
      <c r="H1800" s="23">
        <f t="shared" si="84"/>
        <v>45231</v>
      </c>
      <c r="I1800" s="25">
        <v>45248</v>
      </c>
      <c r="J1800" s="22">
        <f t="shared" si="85"/>
        <v>17</v>
      </c>
      <c r="K1800" t="s">
        <v>14</v>
      </c>
      <c r="L1800">
        <v>25860</v>
      </c>
      <c r="M1800">
        <v>873</v>
      </c>
      <c r="N1800" s="26">
        <v>520.15</v>
      </c>
      <c r="O1800" s="26">
        <f t="shared" si="86"/>
        <v>520.15</v>
      </c>
      <c r="P1800">
        <v>52</v>
      </c>
      <c r="Q1800" t="b">
        <v>1</v>
      </c>
      <c r="S1800" t="s">
        <v>16</v>
      </c>
    </row>
    <row r="1801" spans="1:19">
      <c r="A1801" t="s">
        <v>3708</v>
      </c>
      <c r="B1801" t="s">
        <v>3709</v>
      </c>
      <c r="C1801" s="23" t="s">
        <v>4129</v>
      </c>
      <c r="D1801" s="23">
        <v>45013</v>
      </c>
      <c r="E1801" s="22">
        <v>3</v>
      </c>
      <c r="F1801" s="22">
        <v>28</v>
      </c>
      <c r="G1801" s="22">
        <v>2023</v>
      </c>
      <c r="H1801" s="23">
        <f t="shared" si="84"/>
        <v>45013</v>
      </c>
      <c r="I1801" s="25">
        <v>45031</v>
      </c>
      <c r="J1801" s="22">
        <f t="shared" si="85"/>
        <v>18</v>
      </c>
      <c r="K1801" t="s">
        <v>415</v>
      </c>
      <c r="L1801">
        <v>22195</v>
      </c>
      <c r="M1801">
        <v>552</v>
      </c>
      <c r="N1801" s="26">
        <v>538.8</v>
      </c>
      <c r="O1801" s="26">
        <f t="shared" si="86"/>
        <v>538.8</v>
      </c>
      <c r="P1801">
        <v>0</v>
      </c>
      <c r="Q1801" t="b">
        <v>1</v>
      </c>
      <c r="S1801" t="s">
        <v>34</v>
      </c>
    </row>
    <row r="1802" spans="1:19">
      <c r="A1802" t="s">
        <v>3710</v>
      </c>
      <c r="B1802" t="s">
        <v>3711</v>
      </c>
      <c r="C1802" s="23" t="s">
        <v>4127</v>
      </c>
      <c r="D1802" s="23">
        <v>45153</v>
      </c>
      <c r="E1802" s="22">
        <v>8</v>
      </c>
      <c r="F1802" s="22">
        <v>15</v>
      </c>
      <c r="G1802" s="22">
        <v>2023</v>
      </c>
      <c r="H1802" s="23">
        <f t="shared" si="84"/>
        <v>45153</v>
      </c>
      <c r="I1802" s="25">
        <v>45169</v>
      </c>
      <c r="J1802" s="22">
        <f t="shared" si="85"/>
        <v>16</v>
      </c>
      <c r="K1802" t="s">
        <v>23</v>
      </c>
      <c r="L1802">
        <v>78475</v>
      </c>
      <c r="M1802">
        <v>1830</v>
      </c>
      <c r="N1802" s="26">
        <v>1519.78</v>
      </c>
      <c r="O1802" s="26">
        <f t="shared" si="86"/>
        <v>1519.78</v>
      </c>
      <c r="P1802">
        <v>138</v>
      </c>
      <c r="Q1802" t="b">
        <v>1</v>
      </c>
      <c r="S1802" t="s">
        <v>25</v>
      </c>
    </row>
    <row r="1803" spans="1:19">
      <c r="A1803" t="s">
        <v>3712</v>
      </c>
      <c r="B1803" t="s">
        <v>3713</v>
      </c>
      <c r="C1803" s="23" t="s">
        <v>4128</v>
      </c>
      <c r="D1803" s="23">
        <v>45046</v>
      </c>
      <c r="E1803" s="22">
        <v>4</v>
      </c>
      <c r="F1803" s="22">
        <v>30</v>
      </c>
      <c r="G1803" s="22">
        <v>2023</v>
      </c>
      <c r="H1803" s="23">
        <f t="shared" si="84"/>
        <v>45046</v>
      </c>
      <c r="I1803" s="25">
        <v>45041</v>
      </c>
      <c r="J1803" s="22">
        <f t="shared" si="85"/>
        <v>-5</v>
      </c>
      <c r="K1803" t="s">
        <v>41</v>
      </c>
      <c r="L1803">
        <v>91874</v>
      </c>
      <c r="M1803">
        <v>4170</v>
      </c>
      <c r="N1803" s="26">
        <v>5308.23</v>
      </c>
      <c r="O1803" s="26">
        <f t="shared" si="86"/>
        <v>3632.575</v>
      </c>
      <c r="P1803">
        <v>679</v>
      </c>
      <c r="Q1803" t="b">
        <v>0</v>
      </c>
      <c r="R1803">
        <v>91898</v>
      </c>
      <c r="S1803" t="s">
        <v>42</v>
      </c>
    </row>
    <row r="1804" spans="1:19">
      <c r="A1804" t="s">
        <v>3714</v>
      </c>
      <c r="B1804" t="s">
        <v>3715</v>
      </c>
      <c r="C1804" s="23" t="s">
        <v>4128</v>
      </c>
      <c r="D1804" s="23">
        <v>44970</v>
      </c>
      <c r="E1804" s="22">
        <v>2</v>
      </c>
      <c r="F1804" s="22">
        <v>13</v>
      </c>
      <c r="G1804" s="22">
        <v>2023</v>
      </c>
      <c r="H1804" s="23">
        <f t="shared" si="84"/>
        <v>44970</v>
      </c>
      <c r="I1804" s="25">
        <v>45000</v>
      </c>
      <c r="J1804" s="22">
        <f t="shared" si="85"/>
        <v>30</v>
      </c>
      <c r="K1804" t="s">
        <v>23</v>
      </c>
      <c r="L1804">
        <v>88266</v>
      </c>
      <c r="M1804">
        <v>2235</v>
      </c>
      <c r="N1804" s="26">
        <v>1460.69</v>
      </c>
      <c r="O1804" s="26">
        <f t="shared" si="86"/>
        <v>1460.69</v>
      </c>
      <c r="P1804">
        <v>417</v>
      </c>
      <c r="Q1804" t="b">
        <v>1</v>
      </c>
      <c r="S1804" t="s">
        <v>25</v>
      </c>
    </row>
    <row r="1805" spans="1:19">
      <c r="A1805" t="s">
        <v>3716</v>
      </c>
      <c r="B1805" t="s">
        <v>3717</v>
      </c>
      <c r="C1805" s="23" t="s">
        <v>4128</v>
      </c>
      <c r="D1805" s="23">
        <v>45244</v>
      </c>
      <c r="E1805" s="22">
        <v>11</v>
      </c>
      <c r="F1805" s="22">
        <v>14</v>
      </c>
      <c r="G1805" s="22">
        <v>2023</v>
      </c>
      <c r="H1805" s="23">
        <f t="shared" si="84"/>
        <v>45244</v>
      </c>
      <c r="I1805" s="25">
        <v>45272</v>
      </c>
      <c r="J1805" s="22">
        <f t="shared" si="85"/>
        <v>28</v>
      </c>
      <c r="K1805" t="s">
        <v>19</v>
      </c>
      <c r="L1805">
        <v>22427</v>
      </c>
      <c r="M1805">
        <v>666</v>
      </c>
      <c r="N1805" s="26">
        <v>1084.02</v>
      </c>
      <c r="O1805" s="26">
        <f t="shared" si="86"/>
        <v>1084.02</v>
      </c>
      <c r="P1805">
        <v>88</v>
      </c>
      <c r="Q1805" t="b">
        <v>1</v>
      </c>
      <c r="S1805" t="s">
        <v>20</v>
      </c>
    </row>
    <row r="1806" spans="1:19">
      <c r="A1806" t="s">
        <v>3718</v>
      </c>
      <c r="B1806" t="s">
        <v>3719</v>
      </c>
      <c r="C1806" s="23" t="s">
        <v>4129</v>
      </c>
      <c r="D1806" s="23" t="s">
        <v>3720</v>
      </c>
      <c r="E1806" s="22">
        <v>28</v>
      </c>
      <c r="F1806" s="22">
        <v>5</v>
      </c>
      <c r="G1806" s="22">
        <v>2023</v>
      </c>
      <c r="H1806" s="23">
        <f t="shared" si="84"/>
        <v>45074</v>
      </c>
      <c r="I1806" s="25">
        <v>45102</v>
      </c>
      <c r="J1806" s="22">
        <f t="shared" si="85"/>
        <v>28</v>
      </c>
      <c r="K1806" t="s">
        <v>23</v>
      </c>
      <c r="L1806">
        <v>28083</v>
      </c>
      <c r="M1806">
        <v>599</v>
      </c>
      <c r="N1806" s="26">
        <v>1113.75</v>
      </c>
      <c r="O1806" s="26">
        <f t="shared" si="86"/>
        <v>1113.75</v>
      </c>
      <c r="P1806">
        <v>77</v>
      </c>
      <c r="Q1806" t="b">
        <v>1</v>
      </c>
      <c r="S1806" t="s">
        <v>25</v>
      </c>
    </row>
    <row r="1807" spans="1:19">
      <c r="A1807" t="s">
        <v>3721</v>
      </c>
      <c r="B1807" t="s">
        <v>3722</v>
      </c>
      <c r="C1807" s="23" t="s">
        <v>4131</v>
      </c>
      <c r="D1807" s="23">
        <v>45282</v>
      </c>
      <c r="E1807" s="22">
        <v>12</v>
      </c>
      <c r="F1807" s="22">
        <v>22</v>
      </c>
      <c r="G1807" s="22">
        <v>2023</v>
      </c>
      <c r="H1807" s="23">
        <f t="shared" si="84"/>
        <v>45282</v>
      </c>
      <c r="I1807" s="25">
        <v>45298</v>
      </c>
      <c r="J1807" s="22">
        <f t="shared" si="85"/>
        <v>16</v>
      </c>
      <c r="K1807" t="s">
        <v>19</v>
      </c>
      <c r="L1807">
        <v>88046</v>
      </c>
      <c r="M1807">
        <v>3651</v>
      </c>
      <c r="N1807" s="26">
        <v>5896.92</v>
      </c>
      <c r="O1807" s="26">
        <f t="shared" si="86"/>
        <v>3632.575</v>
      </c>
      <c r="P1807">
        <v>0</v>
      </c>
      <c r="Q1807" t="b">
        <v>1</v>
      </c>
      <c r="S1807" t="s">
        <v>20</v>
      </c>
    </row>
    <row r="1808" spans="1:19">
      <c r="A1808" t="s">
        <v>3723</v>
      </c>
      <c r="B1808" t="s">
        <v>3724</v>
      </c>
      <c r="C1808" s="23" t="s">
        <v>4127</v>
      </c>
      <c r="D1808" s="23" t="s">
        <v>3725</v>
      </c>
      <c r="E1808" s="22">
        <v>30</v>
      </c>
      <c r="F1808" s="22">
        <v>8</v>
      </c>
      <c r="G1808" s="22">
        <v>2023</v>
      </c>
      <c r="H1808" s="23">
        <f t="shared" si="84"/>
        <v>45168</v>
      </c>
      <c r="I1808" s="25">
        <v>45171</v>
      </c>
      <c r="J1808" s="22">
        <f t="shared" si="85"/>
        <v>3</v>
      </c>
      <c r="K1808" t="s">
        <v>138</v>
      </c>
      <c r="L1808">
        <v>58372</v>
      </c>
      <c r="M1808">
        <v>1511</v>
      </c>
      <c r="N1808" s="26">
        <v>1963.15</v>
      </c>
      <c r="O1808" s="26">
        <f t="shared" si="86"/>
        <v>1963.15</v>
      </c>
      <c r="P1808">
        <v>76</v>
      </c>
      <c r="Q1808" t="b">
        <v>1</v>
      </c>
      <c r="S1808" t="s">
        <v>139</v>
      </c>
    </row>
    <row r="1809" spans="1:19">
      <c r="A1809" t="s">
        <v>3726</v>
      </c>
      <c r="B1809" t="s">
        <v>3727</v>
      </c>
      <c r="C1809" s="23" t="s">
        <v>4131</v>
      </c>
      <c r="D1809" s="23">
        <v>45034</v>
      </c>
      <c r="E1809" s="22">
        <v>4</v>
      </c>
      <c r="F1809" s="22">
        <v>18</v>
      </c>
      <c r="G1809" s="22">
        <v>2023</v>
      </c>
      <c r="H1809" s="23">
        <f t="shared" si="84"/>
        <v>45034</v>
      </c>
      <c r="I1809" s="25">
        <v>45046</v>
      </c>
      <c r="J1809" s="22">
        <f t="shared" si="85"/>
        <v>12</v>
      </c>
      <c r="K1809" t="s">
        <v>41</v>
      </c>
      <c r="L1809">
        <v>45064</v>
      </c>
      <c r="M1809">
        <v>1376</v>
      </c>
      <c r="N1809" s="26">
        <v>2464.42</v>
      </c>
      <c r="O1809" s="26">
        <f t="shared" si="86"/>
        <v>2464.42</v>
      </c>
      <c r="P1809">
        <v>258</v>
      </c>
      <c r="Q1809" t="b">
        <v>0</v>
      </c>
      <c r="S1809" t="s">
        <v>42</v>
      </c>
    </row>
    <row r="1810" spans="1:19">
      <c r="A1810" t="s">
        <v>3728</v>
      </c>
      <c r="B1810" t="s">
        <v>3729</v>
      </c>
      <c r="C1810" s="23" t="s">
        <v>4129</v>
      </c>
      <c r="D1810" s="23">
        <v>45206</v>
      </c>
      <c r="E1810" s="22">
        <v>10</v>
      </c>
      <c r="F1810" s="22">
        <v>7</v>
      </c>
      <c r="G1810" s="22">
        <v>2023</v>
      </c>
      <c r="H1810" s="23">
        <f t="shared" si="84"/>
        <v>45206</v>
      </c>
      <c r="I1810" s="25">
        <v>45217</v>
      </c>
      <c r="J1810" s="22">
        <f t="shared" si="85"/>
        <v>11</v>
      </c>
      <c r="K1810" t="s">
        <v>19</v>
      </c>
      <c r="L1810">
        <v>8813</v>
      </c>
      <c r="M1810">
        <v>177</v>
      </c>
      <c r="N1810" s="26">
        <v>273</v>
      </c>
      <c r="O1810" s="26">
        <f t="shared" si="86"/>
        <v>273</v>
      </c>
      <c r="P1810">
        <v>14</v>
      </c>
      <c r="Q1810" t="b">
        <v>1</v>
      </c>
      <c r="S1810" t="s">
        <v>20</v>
      </c>
    </row>
    <row r="1811" spans="1:19">
      <c r="A1811" t="s">
        <v>3730</v>
      </c>
      <c r="B1811" t="s">
        <v>3731</v>
      </c>
      <c r="C1811" s="23" t="s">
        <v>4128</v>
      </c>
      <c r="D1811" s="23">
        <v>45174</v>
      </c>
      <c r="E1811" s="22">
        <v>9</v>
      </c>
      <c r="F1811" s="22">
        <v>5</v>
      </c>
      <c r="G1811" s="22">
        <v>2023</v>
      </c>
      <c r="H1811" s="23">
        <f t="shared" si="84"/>
        <v>45174</v>
      </c>
      <c r="I1811" s="25">
        <v>45181</v>
      </c>
      <c r="J1811" s="22">
        <f t="shared" si="85"/>
        <v>7</v>
      </c>
      <c r="K1811" t="s">
        <v>33</v>
      </c>
      <c r="L1811">
        <v>32598</v>
      </c>
      <c r="M1811">
        <v>1613</v>
      </c>
      <c r="N1811" s="26">
        <v>832.03</v>
      </c>
      <c r="O1811" s="26">
        <f t="shared" si="86"/>
        <v>832.03</v>
      </c>
      <c r="P1811">
        <v>318</v>
      </c>
      <c r="Q1811" t="b">
        <v>1</v>
      </c>
      <c r="S1811" t="s">
        <v>34</v>
      </c>
    </row>
    <row r="1812" spans="1:19">
      <c r="A1812" t="s">
        <v>3732</v>
      </c>
      <c r="B1812" t="s">
        <v>3733</v>
      </c>
      <c r="C1812" s="23" t="s">
        <v>4127</v>
      </c>
      <c r="D1812" s="23">
        <v>45282</v>
      </c>
      <c r="E1812" s="22">
        <v>12</v>
      </c>
      <c r="F1812" s="22">
        <v>22</v>
      </c>
      <c r="G1812" s="22">
        <v>2023</v>
      </c>
      <c r="H1812" s="23">
        <f t="shared" si="84"/>
        <v>45282</v>
      </c>
      <c r="I1812" s="25">
        <v>45292</v>
      </c>
      <c r="J1812" s="22">
        <f t="shared" si="85"/>
        <v>10</v>
      </c>
      <c r="K1812" t="s">
        <v>19</v>
      </c>
      <c r="L1812">
        <v>94106</v>
      </c>
      <c r="M1812">
        <v>2038</v>
      </c>
      <c r="N1812" s="26">
        <v>2223.73</v>
      </c>
      <c r="O1812" s="26">
        <f t="shared" si="86"/>
        <v>2223.73</v>
      </c>
      <c r="P1812">
        <v>326</v>
      </c>
      <c r="Q1812" t="b">
        <v>1</v>
      </c>
      <c r="S1812" t="s">
        <v>20</v>
      </c>
    </row>
    <row r="1813" spans="1:19">
      <c r="A1813" t="s">
        <v>3734</v>
      </c>
      <c r="B1813" t="s">
        <v>3735</v>
      </c>
      <c r="C1813" s="23" t="s">
        <v>4128</v>
      </c>
      <c r="D1813" s="23">
        <v>45225</v>
      </c>
      <c r="E1813" s="22">
        <v>10</v>
      </c>
      <c r="F1813" s="22">
        <v>26</v>
      </c>
      <c r="G1813" s="22">
        <v>2023</v>
      </c>
      <c r="H1813" s="23">
        <f t="shared" si="84"/>
        <v>45225</v>
      </c>
      <c r="I1813" s="25">
        <v>45255</v>
      </c>
      <c r="J1813" s="22">
        <f t="shared" si="85"/>
        <v>30</v>
      </c>
      <c r="K1813" t="s">
        <v>14</v>
      </c>
      <c r="L1813">
        <v>28082</v>
      </c>
      <c r="M1813">
        <v>1146</v>
      </c>
      <c r="N1813" s="26">
        <v>2035.79</v>
      </c>
      <c r="O1813" s="26">
        <f t="shared" si="86"/>
        <v>2035.79</v>
      </c>
      <c r="P1813">
        <v>190</v>
      </c>
      <c r="Q1813" t="b">
        <v>0</v>
      </c>
      <c r="S1813" t="s">
        <v>16</v>
      </c>
    </row>
    <row r="1814" spans="1:19">
      <c r="A1814" t="s">
        <v>3736</v>
      </c>
      <c r="B1814" t="s">
        <v>3737</v>
      </c>
      <c r="C1814" s="23" t="s">
        <v>4131</v>
      </c>
      <c r="D1814" s="23">
        <v>45057</v>
      </c>
      <c r="E1814" s="22">
        <v>5</v>
      </c>
      <c r="F1814" s="22">
        <v>11</v>
      </c>
      <c r="G1814" s="22">
        <v>2023</v>
      </c>
      <c r="H1814" s="23">
        <f t="shared" si="84"/>
        <v>45057</v>
      </c>
      <c r="I1814" s="25">
        <v>45074</v>
      </c>
      <c r="J1814" s="22">
        <f t="shared" si="85"/>
        <v>17</v>
      </c>
      <c r="K1814" t="s">
        <v>23</v>
      </c>
      <c r="L1814">
        <v>30241</v>
      </c>
      <c r="M1814">
        <v>819</v>
      </c>
      <c r="N1814" s="26">
        <v>834.39</v>
      </c>
      <c r="O1814" s="26">
        <f t="shared" si="86"/>
        <v>834.39</v>
      </c>
      <c r="P1814">
        <v>121</v>
      </c>
      <c r="Q1814" t="b">
        <v>1</v>
      </c>
      <c r="S1814" t="s">
        <v>25</v>
      </c>
    </row>
    <row r="1815" spans="1:19">
      <c r="A1815" t="s">
        <v>3738</v>
      </c>
      <c r="B1815" t="s">
        <v>3739</v>
      </c>
      <c r="C1815" s="23" t="s">
        <v>4129</v>
      </c>
      <c r="D1815" s="23">
        <v>45283</v>
      </c>
      <c r="E1815" s="22">
        <v>12</v>
      </c>
      <c r="F1815" s="22">
        <v>23</v>
      </c>
      <c r="G1815" s="22">
        <v>2023</v>
      </c>
      <c r="H1815" s="23">
        <f t="shared" si="84"/>
        <v>45283</v>
      </c>
      <c r="I1815" s="25">
        <v>45289</v>
      </c>
      <c r="J1815" s="22">
        <f t="shared" si="85"/>
        <v>6</v>
      </c>
      <c r="K1815" t="s">
        <v>33</v>
      </c>
      <c r="L1815">
        <v>97214</v>
      </c>
      <c r="M1815">
        <v>1774</v>
      </c>
      <c r="N1815" s="26">
        <v>980.71</v>
      </c>
      <c r="O1815" s="26">
        <f t="shared" si="86"/>
        <v>980.71</v>
      </c>
      <c r="P1815">
        <v>214</v>
      </c>
      <c r="Q1815" t="b">
        <v>0</v>
      </c>
      <c r="S1815" t="s">
        <v>68</v>
      </c>
    </row>
    <row r="1816" spans="1:19">
      <c r="A1816" t="s">
        <v>3740</v>
      </c>
      <c r="B1816" t="s">
        <v>3741</v>
      </c>
      <c r="C1816" s="23" t="s">
        <v>4129</v>
      </c>
      <c r="D1816" s="23">
        <v>45262</v>
      </c>
      <c r="E1816" s="22">
        <v>12</v>
      </c>
      <c r="F1816" s="22">
        <v>2</v>
      </c>
      <c r="G1816" s="22">
        <v>2023</v>
      </c>
      <c r="H1816" s="23">
        <f t="shared" si="84"/>
        <v>45262</v>
      </c>
      <c r="I1816" s="25">
        <v>44970</v>
      </c>
      <c r="J1816" s="22">
        <f t="shared" si="85"/>
        <v>-292</v>
      </c>
      <c r="K1816" t="s">
        <v>234</v>
      </c>
      <c r="L1816">
        <v>45569</v>
      </c>
      <c r="M1816">
        <v>1913</v>
      </c>
      <c r="N1816" s="26">
        <v>3097.66</v>
      </c>
      <c r="O1816" s="26">
        <f t="shared" si="86"/>
        <v>3097.66</v>
      </c>
      <c r="P1816">
        <v>259</v>
      </c>
      <c r="Q1816" t="b">
        <v>1</v>
      </c>
      <c r="S1816" t="s">
        <v>16</v>
      </c>
    </row>
    <row r="1817" spans="1:19">
      <c r="A1817" t="s">
        <v>3742</v>
      </c>
      <c r="B1817" t="s">
        <v>3743</v>
      </c>
      <c r="C1817" s="23" t="s">
        <v>4128</v>
      </c>
      <c r="D1817" s="23">
        <v>45265</v>
      </c>
      <c r="E1817" s="22">
        <v>12</v>
      </c>
      <c r="F1817" s="22">
        <v>5</v>
      </c>
      <c r="G1817" s="22">
        <v>2023</v>
      </c>
      <c r="H1817" s="23">
        <f t="shared" si="84"/>
        <v>45265</v>
      </c>
      <c r="I1817" s="25">
        <v>45269</v>
      </c>
      <c r="J1817" s="22">
        <f t="shared" si="85"/>
        <v>4</v>
      </c>
      <c r="K1817" t="s">
        <v>41</v>
      </c>
      <c r="L1817">
        <v>12745</v>
      </c>
      <c r="M1817">
        <v>297</v>
      </c>
      <c r="N1817" s="26">
        <v>505.81</v>
      </c>
      <c r="O1817" s="26">
        <f t="shared" si="86"/>
        <v>505.81</v>
      </c>
      <c r="P1817">
        <v>16</v>
      </c>
      <c r="Q1817" t="b">
        <v>1</v>
      </c>
      <c r="S1817" t="s">
        <v>42</v>
      </c>
    </row>
    <row r="1818" spans="1:19">
      <c r="A1818" t="s">
        <v>3744</v>
      </c>
      <c r="B1818" t="s">
        <v>3745</v>
      </c>
      <c r="C1818" s="23" t="s">
        <v>4128</v>
      </c>
      <c r="D1818" s="23">
        <v>45264</v>
      </c>
      <c r="E1818" s="22">
        <v>12</v>
      </c>
      <c r="F1818" s="22">
        <v>4</v>
      </c>
      <c r="G1818" s="22">
        <v>2023</v>
      </c>
      <c r="H1818" s="23">
        <f t="shared" si="84"/>
        <v>45264</v>
      </c>
      <c r="I1818" s="25">
        <v>45269</v>
      </c>
      <c r="J1818" s="22">
        <f t="shared" si="85"/>
        <v>5</v>
      </c>
      <c r="K1818" t="s">
        <v>14</v>
      </c>
      <c r="L1818">
        <v>27029</v>
      </c>
      <c r="M1818">
        <v>1205</v>
      </c>
      <c r="N1818" s="26">
        <v>892.77</v>
      </c>
      <c r="O1818" s="26">
        <f t="shared" si="86"/>
        <v>892.77</v>
      </c>
      <c r="P1818">
        <v>173</v>
      </c>
      <c r="Q1818" t="b">
        <v>1</v>
      </c>
      <c r="S1818" t="s">
        <v>16</v>
      </c>
    </row>
    <row r="1819" spans="1:19">
      <c r="A1819" t="s">
        <v>3746</v>
      </c>
      <c r="B1819" t="s">
        <v>3747</v>
      </c>
      <c r="C1819" s="23" t="s">
        <v>4129</v>
      </c>
      <c r="D1819" s="23">
        <v>45076</v>
      </c>
      <c r="E1819" s="22">
        <v>5</v>
      </c>
      <c r="F1819" s="22">
        <v>30</v>
      </c>
      <c r="G1819" s="22">
        <v>2023</v>
      </c>
      <c r="H1819" s="23">
        <f t="shared" si="84"/>
        <v>45076</v>
      </c>
      <c r="I1819" s="25">
        <v>45100</v>
      </c>
      <c r="J1819" s="22">
        <f t="shared" si="85"/>
        <v>24</v>
      </c>
      <c r="K1819" t="s">
        <v>41</v>
      </c>
      <c r="L1819">
        <v>14025</v>
      </c>
      <c r="M1819">
        <v>653</v>
      </c>
      <c r="N1819" s="26">
        <v>852.83</v>
      </c>
      <c r="O1819" s="26">
        <f t="shared" si="86"/>
        <v>852.83</v>
      </c>
      <c r="P1819">
        <v>93</v>
      </c>
      <c r="Q1819" t="b">
        <v>0</v>
      </c>
      <c r="S1819" t="s">
        <v>42</v>
      </c>
    </row>
    <row r="1820" spans="1:19">
      <c r="A1820" t="s">
        <v>3748</v>
      </c>
      <c r="B1820" t="s">
        <v>3749</v>
      </c>
      <c r="C1820" s="23" t="s">
        <v>4129</v>
      </c>
      <c r="D1820" s="23">
        <v>45045</v>
      </c>
      <c r="E1820" s="22">
        <v>4</v>
      </c>
      <c r="F1820" s="22">
        <v>29</v>
      </c>
      <c r="G1820" s="22">
        <v>2023</v>
      </c>
      <c r="H1820" s="23">
        <f t="shared" si="84"/>
        <v>45045</v>
      </c>
      <c r="I1820" s="25">
        <v>45068</v>
      </c>
      <c r="J1820" s="22">
        <f t="shared" si="85"/>
        <v>23</v>
      </c>
      <c r="K1820" t="s">
        <v>33</v>
      </c>
      <c r="L1820">
        <v>15288</v>
      </c>
      <c r="M1820">
        <v>678</v>
      </c>
      <c r="N1820" s="26">
        <v>534.22</v>
      </c>
      <c r="O1820" s="26">
        <f t="shared" si="86"/>
        <v>534.22</v>
      </c>
      <c r="P1820">
        <v>124</v>
      </c>
      <c r="Q1820" t="b">
        <v>0</v>
      </c>
      <c r="S1820" t="s">
        <v>34</v>
      </c>
    </row>
    <row r="1821" spans="1:19">
      <c r="A1821" t="s">
        <v>3750</v>
      </c>
      <c r="B1821" t="s">
        <v>3751</v>
      </c>
      <c r="C1821" s="23" t="s">
        <v>4131</v>
      </c>
      <c r="D1821" s="23" t="s">
        <v>3752</v>
      </c>
      <c r="E1821" s="22">
        <v>30</v>
      </c>
      <c r="F1821" s="22">
        <v>12</v>
      </c>
      <c r="G1821" s="22">
        <v>2023</v>
      </c>
      <c r="H1821" s="23">
        <f t="shared" si="84"/>
        <v>45290</v>
      </c>
      <c r="I1821" s="25">
        <v>45308</v>
      </c>
      <c r="J1821" s="22">
        <f t="shared" si="85"/>
        <v>18</v>
      </c>
      <c r="K1821" t="s">
        <v>41</v>
      </c>
      <c r="L1821">
        <v>90186</v>
      </c>
      <c r="M1821">
        <v>1028</v>
      </c>
      <c r="N1821" s="26">
        <v>1623.06</v>
      </c>
      <c r="O1821" s="26">
        <f t="shared" si="86"/>
        <v>1623.06</v>
      </c>
      <c r="P1821">
        <v>129</v>
      </c>
      <c r="Q1821" t="b">
        <v>0</v>
      </c>
      <c r="R1821">
        <v>90254</v>
      </c>
      <c r="S1821" t="s">
        <v>42</v>
      </c>
    </row>
    <row r="1822" spans="1:19">
      <c r="A1822" t="s">
        <v>3753</v>
      </c>
      <c r="B1822" t="s">
        <v>3754</v>
      </c>
      <c r="C1822" s="23" t="s">
        <v>4127</v>
      </c>
      <c r="D1822" s="23">
        <v>45088</v>
      </c>
      <c r="E1822" s="22">
        <v>6</v>
      </c>
      <c r="F1822" s="22">
        <v>11</v>
      </c>
      <c r="G1822" s="22">
        <v>2023</v>
      </c>
      <c r="H1822" s="23">
        <f t="shared" si="84"/>
        <v>45088</v>
      </c>
      <c r="I1822" s="25">
        <v>45097</v>
      </c>
      <c r="J1822" s="22">
        <f t="shared" si="85"/>
        <v>9</v>
      </c>
      <c r="K1822" t="s">
        <v>14</v>
      </c>
      <c r="L1822">
        <v>7540</v>
      </c>
      <c r="M1822">
        <v>312</v>
      </c>
      <c r="N1822" s="26">
        <v>283.09</v>
      </c>
      <c r="O1822" s="26">
        <f t="shared" si="86"/>
        <v>283.09</v>
      </c>
      <c r="P1822">
        <v>0</v>
      </c>
      <c r="Q1822" t="b">
        <v>1</v>
      </c>
      <c r="S1822" t="s">
        <v>16</v>
      </c>
    </row>
    <row r="1823" spans="1:19">
      <c r="A1823" t="s">
        <v>3755</v>
      </c>
      <c r="B1823" t="s">
        <v>3756</v>
      </c>
      <c r="C1823" s="23" t="s">
        <v>4128</v>
      </c>
      <c r="D1823" s="23">
        <v>44972</v>
      </c>
      <c r="E1823" s="22">
        <v>2</v>
      </c>
      <c r="F1823" s="22">
        <v>15</v>
      </c>
      <c r="G1823" s="22">
        <v>2023</v>
      </c>
      <c r="H1823" s="23">
        <f t="shared" si="84"/>
        <v>44972</v>
      </c>
      <c r="I1823" s="25">
        <v>44974</v>
      </c>
      <c r="J1823" s="22">
        <f t="shared" si="85"/>
        <v>2</v>
      </c>
      <c r="K1823" t="s">
        <v>14</v>
      </c>
      <c r="L1823">
        <v>98768</v>
      </c>
      <c r="M1823">
        <v>2612</v>
      </c>
      <c r="N1823" s="26">
        <v>2544.93</v>
      </c>
      <c r="O1823" s="26">
        <f t="shared" si="86"/>
        <v>2544.93</v>
      </c>
      <c r="P1823">
        <v>250</v>
      </c>
      <c r="Q1823" t="b">
        <v>1</v>
      </c>
      <c r="S1823" t="s">
        <v>16</v>
      </c>
    </row>
    <row r="1824" spans="1:19">
      <c r="A1824" t="s">
        <v>3757</v>
      </c>
      <c r="B1824" t="s">
        <v>3758</v>
      </c>
      <c r="C1824" s="23" t="s">
        <v>4129</v>
      </c>
      <c r="D1824" s="23">
        <v>45161</v>
      </c>
      <c r="E1824" s="22">
        <v>8</v>
      </c>
      <c r="F1824" s="22">
        <v>23</v>
      </c>
      <c r="G1824" s="22">
        <v>2023</v>
      </c>
      <c r="H1824" s="23">
        <f t="shared" si="84"/>
        <v>45161</v>
      </c>
      <c r="I1824" s="25">
        <v>45162</v>
      </c>
      <c r="J1824" s="22">
        <f t="shared" si="85"/>
        <v>1</v>
      </c>
      <c r="K1824" t="s">
        <v>41</v>
      </c>
      <c r="L1824">
        <v>82958</v>
      </c>
      <c r="M1824">
        <v>3728</v>
      </c>
      <c r="N1824" s="26">
        <v>6589.08</v>
      </c>
      <c r="O1824" s="26">
        <f t="shared" si="86"/>
        <v>3632.575</v>
      </c>
      <c r="P1824">
        <v>553</v>
      </c>
      <c r="Q1824" t="b">
        <v>1</v>
      </c>
      <c r="S1824" t="s">
        <v>42</v>
      </c>
    </row>
    <row r="1825" spans="1:19">
      <c r="A1825" t="s">
        <v>3759</v>
      </c>
      <c r="B1825" t="s">
        <v>3760</v>
      </c>
      <c r="C1825" s="23" t="s">
        <v>4131</v>
      </c>
      <c r="D1825" s="23">
        <v>44947</v>
      </c>
      <c r="E1825" s="22">
        <v>1</v>
      </c>
      <c r="F1825" s="22">
        <v>21</v>
      </c>
      <c r="G1825" s="22">
        <v>2023</v>
      </c>
      <c r="H1825" s="23">
        <f t="shared" si="84"/>
        <v>44947</v>
      </c>
      <c r="I1825" s="25">
        <v>44964</v>
      </c>
      <c r="J1825" s="22">
        <f t="shared" si="85"/>
        <v>17</v>
      </c>
      <c r="K1825" t="s">
        <v>19</v>
      </c>
      <c r="L1825">
        <v>69878</v>
      </c>
      <c r="M1825">
        <v>2481</v>
      </c>
      <c r="N1825" s="26">
        <v>3013.13</v>
      </c>
      <c r="O1825" s="26">
        <f t="shared" si="86"/>
        <v>3013.13</v>
      </c>
      <c r="P1825">
        <v>213</v>
      </c>
      <c r="Q1825" t="b">
        <v>1</v>
      </c>
      <c r="S1825" t="s">
        <v>20</v>
      </c>
    </row>
    <row r="1826" spans="1:19">
      <c r="A1826" t="s">
        <v>3761</v>
      </c>
      <c r="B1826" t="s">
        <v>3762</v>
      </c>
      <c r="C1826" s="23" t="s">
        <v>4129</v>
      </c>
      <c r="D1826" s="23">
        <v>45097</v>
      </c>
      <c r="E1826" s="22">
        <v>6</v>
      </c>
      <c r="F1826" s="22">
        <v>20</v>
      </c>
      <c r="G1826" s="22">
        <v>2023</v>
      </c>
      <c r="H1826" s="23">
        <f t="shared" si="84"/>
        <v>45097</v>
      </c>
      <c r="I1826" s="25">
        <v>45104</v>
      </c>
      <c r="J1826" s="22">
        <f t="shared" si="85"/>
        <v>7</v>
      </c>
      <c r="K1826" t="s">
        <v>33</v>
      </c>
      <c r="L1826">
        <v>42846</v>
      </c>
      <c r="M1826">
        <v>1857</v>
      </c>
      <c r="N1826" s="26">
        <v>2794.1</v>
      </c>
      <c r="O1826" s="26">
        <f t="shared" si="86"/>
        <v>2794.1</v>
      </c>
      <c r="P1826">
        <v>170</v>
      </c>
      <c r="Q1826" t="b">
        <v>0</v>
      </c>
      <c r="S1826" t="s">
        <v>34</v>
      </c>
    </row>
    <row r="1827" spans="1:19">
      <c r="A1827" t="s">
        <v>3763</v>
      </c>
      <c r="B1827" t="s">
        <v>3764</v>
      </c>
      <c r="C1827" s="23" t="s">
        <v>4129</v>
      </c>
      <c r="D1827" s="23">
        <v>44936</v>
      </c>
      <c r="E1827" s="22">
        <v>1</v>
      </c>
      <c r="F1827" s="22">
        <v>10</v>
      </c>
      <c r="G1827" s="22">
        <v>2023</v>
      </c>
      <c r="H1827" s="23">
        <f t="shared" si="84"/>
        <v>44936</v>
      </c>
      <c r="I1827" s="25">
        <v>44957</v>
      </c>
      <c r="J1827" s="22">
        <f t="shared" si="85"/>
        <v>21</v>
      </c>
      <c r="K1827" t="s">
        <v>191</v>
      </c>
      <c r="L1827">
        <v>76932</v>
      </c>
      <c r="M1827">
        <v>2306</v>
      </c>
      <c r="N1827" s="26">
        <v>2544.81</v>
      </c>
      <c r="O1827" s="26">
        <f t="shared" si="86"/>
        <v>2544.81</v>
      </c>
      <c r="P1827">
        <v>399</v>
      </c>
      <c r="Q1827" t="b">
        <v>0</v>
      </c>
      <c r="S1827" t="s">
        <v>42</v>
      </c>
    </row>
    <row r="1828" spans="1:19">
      <c r="A1828" t="s">
        <v>3765</v>
      </c>
      <c r="B1828" t="s">
        <v>3766</v>
      </c>
      <c r="C1828" s="23" t="s">
        <v>4128</v>
      </c>
      <c r="D1828" s="23">
        <v>45247</v>
      </c>
      <c r="E1828" s="22">
        <v>11</v>
      </c>
      <c r="F1828" s="22">
        <v>17</v>
      </c>
      <c r="G1828" s="22">
        <v>2023</v>
      </c>
      <c r="H1828" s="23">
        <f t="shared" si="84"/>
        <v>45247</v>
      </c>
      <c r="I1828" s="25">
        <v>45264</v>
      </c>
      <c r="J1828" s="22">
        <f t="shared" si="85"/>
        <v>17</v>
      </c>
      <c r="K1828" t="s">
        <v>14</v>
      </c>
      <c r="L1828">
        <v>18482</v>
      </c>
      <c r="M1828">
        <v>580</v>
      </c>
      <c r="N1828" s="26">
        <v>549.27</v>
      </c>
      <c r="O1828" s="26">
        <f t="shared" si="86"/>
        <v>549.27</v>
      </c>
      <c r="P1828">
        <v>79</v>
      </c>
      <c r="Q1828" t="b">
        <v>1</v>
      </c>
      <c r="S1828" t="s">
        <v>16</v>
      </c>
    </row>
    <row r="1829" spans="1:19">
      <c r="A1829" t="s">
        <v>3767</v>
      </c>
      <c r="B1829" t="s">
        <v>3768</v>
      </c>
      <c r="C1829" s="23" t="s">
        <v>4127</v>
      </c>
      <c r="D1829" s="23">
        <v>45183</v>
      </c>
      <c r="E1829" s="22">
        <v>9</v>
      </c>
      <c r="F1829" s="22">
        <v>14</v>
      </c>
      <c r="G1829" s="22">
        <v>2023</v>
      </c>
      <c r="H1829" s="23">
        <f t="shared" si="84"/>
        <v>45183</v>
      </c>
      <c r="I1829" s="25">
        <v>45195</v>
      </c>
      <c r="J1829" s="22">
        <f t="shared" si="85"/>
        <v>12</v>
      </c>
      <c r="K1829" t="s">
        <v>41</v>
      </c>
      <c r="L1829">
        <v>24411</v>
      </c>
      <c r="M1829">
        <v>385</v>
      </c>
      <c r="N1829" s="26">
        <v>553.71</v>
      </c>
      <c r="O1829" s="26">
        <f t="shared" si="86"/>
        <v>553.71</v>
      </c>
      <c r="P1829">
        <v>48</v>
      </c>
      <c r="Q1829" t="b">
        <v>0</v>
      </c>
      <c r="S1829" t="s">
        <v>42</v>
      </c>
    </row>
    <row r="1830" spans="1:19">
      <c r="A1830" t="s">
        <v>3769</v>
      </c>
      <c r="B1830" t="s">
        <v>3770</v>
      </c>
      <c r="C1830" s="23" t="s">
        <v>4127</v>
      </c>
      <c r="D1830" s="23">
        <v>45058</v>
      </c>
      <c r="E1830" s="22">
        <v>5</v>
      </c>
      <c r="F1830" s="22">
        <v>12</v>
      </c>
      <c r="G1830" s="22">
        <v>2023</v>
      </c>
      <c r="H1830" s="23">
        <f t="shared" si="84"/>
        <v>45058</v>
      </c>
      <c r="I1830" s="25">
        <v>45059</v>
      </c>
      <c r="J1830" s="22">
        <f t="shared" si="85"/>
        <v>1</v>
      </c>
      <c r="K1830" t="s">
        <v>33</v>
      </c>
      <c r="L1830">
        <v>51975</v>
      </c>
      <c r="M1830">
        <v>2149</v>
      </c>
      <c r="N1830" s="26">
        <v>1573.68</v>
      </c>
      <c r="O1830" s="26">
        <f t="shared" si="86"/>
        <v>1573.68</v>
      </c>
      <c r="P1830">
        <v>210</v>
      </c>
      <c r="Q1830" t="b">
        <v>0</v>
      </c>
      <c r="S1830" t="s">
        <v>34</v>
      </c>
    </row>
    <row r="1831" spans="1:19">
      <c r="A1831" t="s">
        <v>3771</v>
      </c>
      <c r="B1831" t="s">
        <v>3772</v>
      </c>
      <c r="C1831" s="23" t="s">
        <v>4127</v>
      </c>
      <c r="D1831" s="23">
        <v>44942</v>
      </c>
      <c r="E1831" s="22">
        <v>1</v>
      </c>
      <c r="F1831" s="22">
        <v>16</v>
      </c>
      <c r="G1831" s="22">
        <v>2023</v>
      </c>
      <c r="H1831" s="23">
        <f t="shared" si="84"/>
        <v>44942</v>
      </c>
      <c r="I1831" s="25">
        <v>44957</v>
      </c>
      <c r="J1831" s="22">
        <f t="shared" si="85"/>
        <v>15</v>
      </c>
      <c r="K1831" t="s">
        <v>14</v>
      </c>
      <c r="L1831">
        <v>61545</v>
      </c>
      <c r="M1831">
        <v>1647</v>
      </c>
      <c r="N1831" s="26">
        <v>1745</v>
      </c>
      <c r="O1831" s="26">
        <f t="shared" si="86"/>
        <v>1745</v>
      </c>
      <c r="P1831">
        <v>262</v>
      </c>
      <c r="Q1831" t="b">
        <v>1</v>
      </c>
      <c r="S1831" t="s">
        <v>68</v>
      </c>
    </row>
    <row r="1832" spans="1:19">
      <c r="A1832" t="s">
        <v>3773</v>
      </c>
      <c r="B1832" t="s">
        <v>3774</v>
      </c>
      <c r="C1832" s="23" t="s">
        <v>4127</v>
      </c>
      <c r="D1832" s="23">
        <v>45042</v>
      </c>
      <c r="E1832" s="22">
        <v>4</v>
      </c>
      <c r="F1832" s="22">
        <v>26</v>
      </c>
      <c r="G1832" s="22">
        <v>2023</v>
      </c>
      <c r="H1832" s="23">
        <f t="shared" si="84"/>
        <v>45042</v>
      </c>
      <c r="I1832" s="25">
        <v>45055</v>
      </c>
      <c r="J1832" s="22">
        <f t="shared" si="85"/>
        <v>13</v>
      </c>
      <c r="K1832" t="s">
        <v>41</v>
      </c>
      <c r="L1832">
        <v>79797</v>
      </c>
      <c r="M1832">
        <v>2394</v>
      </c>
      <c r="N1832" s="26">
        <v>1947.65</v>
      </c>
      <c r="O1832" s="26">
        <f t="shared" si="86"/>
        <v>1947.65</v>
      </c>
      <c r="P1832">
        <v>0</v>
      </c>
      <c r="Q1832" t="b">
        <v>0</v>
      </c>
      <c r="S1832" t="s">
        <v>42</v>
      </c>
    </row>
    <row r="1833" spans="1:19">
      <c r="A1833" t="s">
        <v>3775</v>
      </c>
      <c r="B1833" t="s">
        <v>3776</v>
      </c>
      <c r="C1833" s="23" t="s">
        <v>4128</v>
      </c>
      <c r="D1833" s="23">
        <v>45263</v>
      </c>
      <c r="E1833" s="22">
        <v>12</v>
      </c>
      <c r="F1833" s="22">
        <v>3</v>
      </c>
      <c r="G1833" s="22">
        <v>2023</v>
      </c>
      <c r="H1833" s="23">
        <f t="shared" si="84"/>
        <v>45263</v>
      </c>
      <c r="I1833" s="25">
        <v>45274</v>
      </c>
      <c r="J1833" s="22">
        <f t="shared" si="85"/>
        <v>11</v>
      </c>
      <c r="K1833" t="s">
        <v>14</v>
      </c>
      <c r="L1833">
        <v>53307</v>
      </c>
      <c r="M1833">
        <v>2207</v>
      </c>
      <c r="N1833" s="26">
        <v>3406.93</v>
      </c>
      <c r="O1833" s="26">
        <f t="shared" si="86"/>
        <v>3406.93</v>
      </c>
      <c r="P1833">
        <v>354</v>
      </c>
      <c r="Q1833" t="b">
        <v>0</v>
      </c>
      <c r="S1833" t="s">
        <v>16</v>
      </c>
    </row>
    <row r="1834" spans="1:19">
      <c r="A1834" t="s">
        <v>3777</v>
      </c>
      <c r="B1834" t="s">
        <v>3778</v>
      </c>
      <c r="C1834" s="23" t="s">
        <v>4128</v>
      </c>
      <c r="D1834" s="23">
        <v>45193</v>
      </c>
      <c r="E1834" s="22">
        <v>9</v>
      </c>
      <c r="F1834" s="22">
        <v>24</v>
      </c>
      <c r="G1834" s="22">
        <v>2023</v>
      </c>
      <c r="H1834" s="23">
        <f t="shared" si="84"/>
        <v>45193</v>
      </c>
      <c r="I1834" s="25">
        <v>45219</v>
      </c>
      <c r="J1834" s="22">
        <f t="shared" si="85"/>
        <v>26</v>
      </c>
      <c r="K1834" t="s">
        <v>33</v>
      </c>
      <c r="L1834">
        <v>4093</v>
      </c>
      <c r="M1834">
        <v>138</v>
      </c>
      <c r="N1834" s="26">
        <v>264.45</v>
      </c>
      <c r="O1834" s="26">
        <f t="shared" si="86"/>
        <v>264.45</v>
      </c>
      <c r="P1834">
        <v>8</v>
      </c>
      <c r="Q1834" t="b">
        <v>0</v>
      </c>
      <c r="S1834" t="s">
        <v>34</v>
      </c>
    </row>
    <row r="1835" spans="1:19">
      <c r="A1835" t="s">
        <v>3779</v>
      </c>
      <c r="B1835" t="s">
        <v>3780</v>
      </c>
      <c r="C1835" s="23" t="s">
        <v>4129</v>
      </c>
      <c r="D1835" s="23">
        <v>45247</v>
      </c>
      <c r="E1835" s="22">
        <v>11</v>
      </c>
      <c r="F1835" s="22">
        <v>17</v>
      </c>
      <c r="G1835" s="22">
        <v>2023</v>
      </c>
      <c r="H1835" s="23">
        <f t="shared" si="84"/>
        <v>45247</v>
      </c>
      <c r="I1835" s="25">
        <v>45267</v>
      </c>
      <c r="J1835" s="22">
        <f t="shared" si="85"/>
        <v>20</v>
      </c>
      <c r="K1835" t="s">
        <v>14</v>
      </c>
      <c r="L1835">
        <v>78258</v>
      </c>
      <c r="M1835">
        <v>1412</v>
      </c>
      <c r="N1835" s="26">
        <v>2814.49</v>
      </c>
      <c r="O1835" s="26">
        <f t="shared" si="86"/>
        <v>2814.49</v>
      </c>
      <c r="P1835">
        <v>253</v>
      </c>
      <c r="Q1835" t="b">
        <v>0</v>
      </c>
      <c r="S1835" t="s">
        <v>16</v>
      </c>
    </row>
    <row r="1836" spans="1:19">
      <c r="A1836" t="s">
        <v>3781</v>
      </c>
      <c r="B1836" t="s">
        <v>3782</v>
      </c>
      <c r="C1836" s="23" t="s">
        <v>4131</v>
      </c>
      <c r="D1836" s="23">
        <v>45220</v>
      </c>
      <c r="E1836" s="22">
        <v>10</v>
      </c>
      <c r="F1836" s="22">
        <v>21</v>
      </c>
      <c r="G1836" s="22">
        <v>2023</v>
      </c>
      <c r="H1836" s="23">
        <f t="shared" si="84"/>
        <v>45220</v>
      </c>
      <c r="I1836" s="25">
        <v>45235</v>
      </c>
      <c r="J1836" s="22">
        <f t="shared" si="85"/>
        <v>15</v>
      </c>
      <c r="K1836" t="s">
        <v>14</v>
      </c>
      <c r="L1836">
        <v>23042</v>
      </c>
      <c r="M1836">
        <v>774</v>
      </c>
      <c r="N1836" s="26">
        <v>909.77</v>
      </c>
      <c r="O1836" s="26">
        <f t="shared" si="86"/>
        <v>909.77</v>
      </c>
      <c r="P1836">
        <v>0</v>
      </c>
      <c r="Q1836" t="b">
        <v>1</v>
      </c>
      <c r="S1836" t="s">
        <v>16</v>
      </c>
    </row>
    <row r="1837" spans="1:19">
      <c r="A1837" t="s">
        <v>3783</v>
      </c>
      <c r="B1837" t="s">
        <v>3784</v>
      </c>
      <c r="C1837" s="23" t="s">
        <v>4128</v>
      </c>
      <c r="D1837" s="23">
        <v>45236</v>
      </c>
      <c r="E1837" s="22">
        <v>11</v>
      </c>
      <c r="F1837" s="22">
        <v>6</v>
      </c>
      <c r="G1837" s="22">
        <v>2023</v>
      </c>
      <c r="H1837" s="23">
        <f t="shared" si="84"/>
        <v>45236</v>
      </c>
      <c r="I1837" s="25">
        <v>45248</v>
      </c>
      <c r="J1837" s="22">
        <f t="shared" si="85"/>
        <v>12</v>
      </c>
      <c r="K1837" t="s">
        <v>19</v>
      </c>
      <c r="L1837">
        <v>53930</v>
      </c>
      <c r="M1837">
        <v>1418</v>
      </c>
      <c r="N1837" s="26">
        <v>1246.13</v>
      </c>
      <c r="O1837" s="26">
        <f t="shared" si="86"/>
        <v>1246.13</v>
      </c>
      <c r="P1837">
        <v>164</v>
      </c>
      <c r="Q1837" t="b">
        <v>1</v>
      </c>
      <c r="S1837" t="s">
        <v>20</v>
      </c>
    </row>
    <row r="1838" spans="1:19">
      <c r="A1838" t="s">
        <v>3785</v>
      </c>
      <c r="B1838" t="s">
        <v>3786</v>
      </c>
      <c r="C1838" s="23" t="s">
        <v>4129</v>
      </c>
      <c r="D1838" s="23">
        <v>45032</v>
      </c>
      <c r="E1838" s="22">
        <v>4</v>
      </c>
      <c r="F1838" s="22">
        <v>16</v>
      </c>
      <c r="G1838" s="22">
        <v>2023</v>
      </c>
      <c r="H1838" s="23">
        <f t="shared" si="84"/>
        <v>45032</v>
      </c>
      <c r="I1838" s="25">
        <v>45052</v>
      </c>
      <c r="J1838" s="22">
        <f t="shared" si="85"/>
        <v>20</v>
      </c>
      <c r="K1838" t="s">
        <v>33</v>
      </c>
      <c r="L1838">
        <v>45413</v>
      </c>
      <c r="M1838">
        <v>1307</v>
      </c>
      <c r="N1838" s="26">
        <v>1521.67</v>
      </c>
      <c r="O1838" s="26">
        <f t="shared" si="86"/>
        <v>1521.67</v>
      </c>
      <c r="P1838">
        <v>185</v>
      </c>
      <c r="Q1838" t="b">
        <v>1</v>
      </c>
      <c r="S1838" t="s">
        <v>34</v>
      </c>
    </row>
    <row r="1839" spans="1:19">
      <c r="A1839" t="s">
        <v>3787</v>
      </c>
      <c r="B1839" t="s">
        <v>3788</v>
      </c>
      <c r="C1839" s="23" t="s">
        <v>4131</v>
      </c>
      <c r="D1839" s="23">
        <v>45277</v>
      </c>
      <c r="E1839" s="22">
        <v>12</v>
      </c>
      <c r="F1839" s="22">
        <v>17</v>
      </c>
      <c r="G1839" s="22">
        <v>2023</v>
      </c>
      <c r="H1839" s="23">
        <f t="shared" si="84"/>
        <v>45277</v>
      </c>
      <c r="I1839" s="25">
        <v>45288</v>
      </c>
      <c r="J1839" s="22">
        <f t="shared" si="85"/>
        <v>11</v>
      </c>
      <c r="K1839" t="s">
        <v>58</v>
      </c>
      <c r="L1839">
        <v>94623</v>
      </c>
      <c r="M1839">
        <v>1053</v>
      </c>
      <c r="N1839" s="26">
        <v>1864.76</v>
      </c>
      <c r="O1839" s="26">
        <f t="shared" si="86"/>
        <v>1864.76</v>
      </c>
      <c r="P1839">
        <v>151</v>
      </c>
      <c r="Q1839" t="b">
        <v>0</v>
      </c>
      <c r="S1839" t="s">
        <v>59</v>
      </c>
    </row>
    <row r="1840" spans="1:19">
      <c r="A1840" t="s">
        <v>3789</v>
      </c>
      <c r="B1840" t="s">
        <v>3790</v>
      </c>
      <c r="C1840" s="23" t="s">
        <v>4129</v>
      </c>
      <c r="D1840" s="23">
        <v>45085</v>
      </c>
      <c r="E1840" s="22">
        <v>6</v>
      </c>
      <c r="F1840" s="22">
        <v>8</v>
      </c>
      <c r="G1840" s="22">
        <v>2023</v>
      </c>
      <c r="H1840" s="23">
        <f t="shared" si="84"/>
        <v>45085</v>
      </c>
      <c r="I1840" s="25">
        <v>45095</v>
      </c>
      <c r="J1840" s="22">
        <f t="shared" si="85"/>
        <v>10</v>
      </c>
      <c r="K1840" t="s">
        <v>33</v>
      </c>
      <c r="L1840">
        <v>98883</v>
      </c>
      <c r="M1840">
        <v>1819</v>
      </c>
      <c r="N1840" s="26">
        <v>1471.59</v>
      </c>
      <c r="O1840" s="26">
        <f t="shared" si="86"/>
        <v>1471.59</v>
      </c>
      <c r="P1840">
        <v>126</v>
      </c>
      <c r="Q1840" t="b">
        <v>1</v>
      </c>
      <c r="S1840" t="s">
        <v>34</v>
      </c>
    </row>
    <row r="1841" spans="1:19">
      <c r="A1841" t="s">
        <v>3791</v>
      </c>
      <c r="B1841" t="s">
        <v>3792</v>
      </c>
      <c r="C1841" s="23" t="s">
        <v>4129</v>
      </c>
      <c r="D1841" s="23">
        <v>44996</v>
      </c>
      <c r="E1841" s="22">
        <v>3</v>
      </c>
      <c r="F1841" s="22">
        <v>11</v>
      </c>
      <c r="G1841" s="22">
        <v>2023</v>
      </c>
      <c r="H1841" s="23">
        <f t="shared" si="84"/>
        <v>44996</v>
      </c>
      <c r="I1841" s="25">
        <v>45008</v>
      </c>
      <c r="J1841" s="22">
        <f t="shared" si="85"/>
        <v>12</v>
      </c>
      <c r="K1841" t="s">
        <v>41</v>
      </c>
      <c r="L1841">
        <v>34756</v>
      </c>
      <c r="M1841">
        <v>738</v>
      </c>
      <c r="N1841" s="26">
        <v>1422.97</v>
      </c>
      <c r="O1841" s="26">
        <f t="shared" si="86"/>
        <v>1422.97</v>
      </c>
      <c r="P1841">
        <v>120</v>
      </c>
      <c r="Q1841" t="b">
        <v>0</v>
      </c>
      <c r="S1841" t="s">
        <v>42</v>
      </c>
    </row>
    <row r="1842" spans="1:19">
      <c r="A1842" t="s">
        <v>3793</v>
      </c>
      <c r="B1842" t="s">
        <v>3794</v>
      </c>
      <c r="C1842" s="23" t="s">
        <v>4131</v>
      </c>
      <c r="D1842" s="23">
        <v>45001</v>
      </c>
      <c r="E1842" s="22">
        <v>3</v>
      </c>
      <c r="F1842" s="22">
        <v>16</v>
      </c>
      <c r="G1842" s="22">
        <v>2023</v>
      </c>
      <c r="H1842" s="23">
        <f t="shared" si="84"/>
        <v>45001</v>
      </c>
      <c r="I1842" s="25">
        <v>45003</v>
      </c>
      <c r="J1842" s="22">
        <f t="shared" si="85"/>
        <v>2</v>
      </c>
      <c r="K1842" t="s">
        <v>138</v>
      </c>
      <c r="L1842">
        <v>54268</v>
      </c>
      <c r="M1842">
        <v>2090</v>
      </c>
      <c r="N1842" s="26">
        <v>2116.75</v>
      </c>
      <c r="O1842" s="26">
        <f t="shared" si="86"/>
        <v>2116.75</v>
      </c>
      <c r="P1842">
        <v>191</v>
      </c>
      <c r="Q1842" t="b">
        <v>1</v>
      </c>
      <c r="S1842" t="s">
        <v>139</v>
      </c>
    </row>
    <row r="1843" spans="1:19">
      <c r="A1843" t="s">
        <v>3795</v>
      </c>
      <c r="B1843" t="s">
        <v>3796</v>
      </c>
      <c r="C1843" s="23" t="s">
        <v>4131</v>
      </c>
      <c r="D1843" s="23">
        <v>45007</v>
      </c>
      <c r="E1843" s="22">
        <v>3</v>
      </c>
      <c r="F1843" s="22">
        <v>22</v>
      </c>
      <c r="G1843" s="22">
        <v>2023</v>
      </c>
      <c r="H1843" s="23">
        <f t="shared" si="84"/>
        <v>45007</v>
      </c>
      <c r="I1843" s="25">
        <v>45033</v>
      </c>
      <c r="J1843" s="22">
        <f t="shared" si="85"/>
        <v>26</v>
      </c>
      <c r="K1843" t="s">
        <v>14</v>
      </c>
      <c r="L1843">
        <v>40214</v>
      </c>
      <c r="M1843">
        <v>420</v>
      </c>
      <c r="N1843" s="26">
        <v>831.06</v>
      </c>
      <c r="O1843" s="26">
        <f t="shared" si="86"/>
        <v>831.06</v>
      </c>
      <c r="P1843">
        <v>78</v>
      </c>
      <c r="Q1843" t="b">
        <v>1</v>
      </c>
      <c r="S1843" t="s">
        <v>16</v>
      </c>
    </row>
    <row r="1844" spans="1:19">
      <c r="A1844" t="s">
        <v>3797</v>
      </c>
      <c r="B1844" t="s">
        <v>3798</v>
      </c>
      <c r="C1844" s="23" t="s">
        <v>4128</v>
      </c>
      <c r="D1844" s="23">
        <v>44987</v>
      </c>
      <c r="E1844" s="22">
        <v>3</v>
      </c>
      <c r="F1844" s="22">
        <v>2</v>
      </c>
      <c r="G1844" s="22">
        <v>2023</v>
      </c>
      <c r="H1844" s="23">
        <f t="shared" si="84"/>
        <v>44987</v>
      </c>
      <c r="I1844" s="25">
        <v>45004</v>
      </c>
      <c r="J1844" s="22">
        <f t="shared" si="85"/>
        <v>17</v>
      </c>
      <c r="K1844" t="s">
        <v>41</v>
      </c>
      <c r="L1844">
        <v>82871</v>
      </c>
      <c r="M1844">
        <v>2183</v>
      </c>
      <c r="N1844" s="26">
        <v>3837.52</v>
      </c>
      <c r="O1844" s="26">
        <f t="shared" si="86"/>
        <v>3632.575</v>
      </c>
      <c r="P1844">
        <v>376</v>
      </c>
      <c r="Q1844" t="b">
        <v>1</v>
      </c>
      <c r="S1844" t="s">
        <v>42</v>
      </c>
    </row>
    <row r="1845" spans="1:19">
      <c r="A1845" t="s">
        <v>3799</v>
      </c>
      <c r="B1845" t="s">
        <v>3800</v>
      </c>
      <c r="C1845" s="23" t="s">
        <v>4129</v>
      </c>
      <c r="D1845" s="23">
        <v>45001</v>
      </c>
      <c r="E1845" s="22">
        <v>3</v>
      </c>
      <c r="F1845" s="22">
        <v>16</v>
      </c>
      <c r="G1845" s="22">
        <v>2023</v>
      </c>
      <c r="H1845" s="23">
        <f t="shared" si="84"/>
        <v>45001</v>
      </c>
      <c r="I1845" s="25">
        <v>45020</v>
      </c>
      <c r="J1845" s="22">
        <f t="shared" si="85"/>
        <v>19</v>
      </c>
      <c r="K1845" t="s">
        <v>14</v>
      </c>
      <c r="L1845">
        <v>29602</v>
      </c>
      <c r="M1845">
        <v>1390</v>
      </c>
      <c r="N1845" s="26">
        <v>2380.87</v>
      </c>
      <c r="O1845" s="26">
        <f t="shared" si="86"/>
        <v>2380.87</v>
      </c>
      <c r="P1845">
        <v>141</v>
      </c>
      <c r="Q1845" t="b">
        <v>0</v>
      </c>
      <c r="S1845" t="s">
        <v>16</v>
      </c>
    </row>
    <row r="1846" spans="1:19">
      <c r="A1846" t="s">
        <v>3801</v>
      </c>
      <c r="B1846" t="s">
        <v>3802</v>
      </c>
      <c r="C1846" s="23" t="s">
        <v>4128</v>
      </c>
      <c r="D1846" s="23">
        <v>45138</v>
      </c>
      <c r="E1846" s="22">
        <v>7</v>
      </c>
      <c r="F1846" s="22">
        <v>31</v>
      </c>
      <c r="G1846" s="22">
        <v>2023</v>
      </c>
      <c r="H1846" s="23">
        <f t="shared" si="84"/>
        <v>45138</v>
      </c>
      <c r="I1846" s="25">
        <v>45142</v>
      </c>
      <c r="J1846" s="22">
        <f t="shared" si="85"/>
        <v>4</v>
      </c>
      <c r="K1846" t="s">
        <v>33</v>
      </c>
      <c r="L1846">
        <v>54331</v>
      </c>
      <c r="M1846">
        <v>786</v>
      </c>
      <c r="N1846" s="26">
        <v>767.81</v>
      </c>
      <c r="O1846" s="26">
        <f t="shared" si="86"/>
        <v>767.81</v>
      </c>
      <c r="P1846">
        <v>134</v>
      </c>
      <c r="Q1846" t="b">
        <v>1</v>
      </c>
      <c r="S1846" t="s">
        <v>34</v>
      </c>
    </row>
    <row r="1847" spans="1:19">
      <c r="A1847" t="s">
        <v>3803</v>
      </c>
      <c r="B1847" t="s">
        <v>3804</v>
      </c>
      <c r="C1847" s="23" t="s">
        <v>4129</v>
      </c>
      <c r="D1847" s="23">
        <v>45253</v>
      </c>
      <c r="E1847" s="22">
        <v>11</v>
      </c>
      <c r="F1847" s="22">
        <v>23</v>
      </c>
      <c r="G1847" s="22">
        <v>2023</v>
      </c>
      <c r="H1847" s="23">
        <f t="shared" si="84"/>
        <v>45253</v>
      </c>
      <c r="I1847" s="25">
        <v>45282</v>
      </c>
      <c r="J1847" s="22">
        <f t="shared" si="85"/>
        <v>29</v>
      </c>
      <c r="K1847" t="s">
        <v>33</v>
      </c>
      <c r="L1847">
        <v>49901</v>
      </c>
      <c r="M1847">
        <v>1529</v>
      </c>
      <c r="N1847" s="26">
        <v>784.63</v>
      </c>
      <c r="O1847" s="26">
        <f t="shared" si="86"/>
        <v>784.63</v>
      </c>
      <c r="P1847">
        <v>158</v>
      </c>
      <c r="Q1847" t="b">
        <v>1</v>
      </c>
      <c r="S1847" t="s">
        <v>34</v>
      </c>
    </row>
    <row r="1848" spans="1:19">
      <c r="A1848" t="s">
        <v>3805</v>
      </c>
      <c r="B1848" t="s">
        <v>3806</v>
      </c>
      <c r="C1848" s="23" t="s">
        <v>4129</v>
      </c>
      <c r="D1848" s="23">
        <v>45023</v>
      </c>
      <c r="E1848" s="22">
        <v>4</v>
      </c>
      <c r="F1848" s="22">
        <v>7</v>
      </c>
      <c r="G1848" s="22">
        <v>2023</v>
      </c>
      <c r="H1848" s="23">
        <f t="shared" si="84"/>
        <v>45023</v>
      </c>
      <c r="I1848" s="25">
        <v>45038</v>
      </c>
      <c r="J1848" s="22">
        <f t="shared" si="85"/>
        <v>15</v>
      </c>
      <c r="K1848" t="s">
        <v>19</v>
      </c>
      <c r="L1848">
        <v>64416</v>
      </c>
      <c r="M1848">
        <v>2670</v>
      </c>
      <c r="N1848" s="26">
        <v>2865.44</v>
      </c>
      <c r="O1848" s="26">
        <f t="shared" si="86"/>
        <v>2865.44</v>
      </c>
      <c r="P1848">
        <v>173</v>
      </c>
      <c r="Q1848" t="b">
        <v>0</v>
      </c>
      <c r="S1848" t="s">
        <v>20</v>
      </c>
    </row>
    <row r="1849" spans="1:19">
      <c r="A1849" t="s">
        <v>3807</v>
      </c>
      <c r="B1849" t="s">
        <v>3808</v>
      </c>
      <c r="C1849" s="23" t="s">
        <v>4129</v>
      </c>
      <c r="D1849" s="23">
        <v>45240</v>
      </c>
      <c r="E1849" s="22">
        <v>11</v>
      </c>
      <c r="F1849" s="22">
        <v>10</v>
      </c>
      <c r="G1849" s="22">
        <v>2023</v>
      </c>
      <c r="H1849" s="23">
        <f t="shared" si="84"/>
        <v>45240</v>
      </c>
      <c r="I1849" s="25">
        <v>45265</v>
      </c>
      <c r="J1849" s="22">
        <f t="shared" si="85"/>
        <v>25</v>
      </c>
      <c r="K1849" t="s">
        <v>33</v>
      </c>
      <c r="L1849">
        <v>33196</v>
      </c>
      <c r="M1849">
        <v>1583</v>
      </c>
      <c r="N1849" s="26">
        <v>1508.15</v>
      </c>
      <c r="O1849" s="26">
        <f t="shared" si="86"/>
        <v>1508.15</v>
      </c>
      <c r="P1849">
        <v>0</v>
      </c>
      <c r="Q1849" t="b">
        <v>0</v>
      </c>
      <c r="S1849" t="s">
        <v>34</v>
      </c>
    </row>
    <row r="1850" spans="1:19">
      <c r="A1850" t="s">
        <v>3809</v>
      </c>
      <c r="B1850" t="s">
        <v>3810</v>
      </c>
      <c r="C1850" s="23" t="s">
        <v>4128</v>
      </c>
      <c r="D1850" s="23">
        <v>45240</v>
      </c>
      <c r="E1850" s="22">
        <v>11</v>
      </c>
      <c r="F1850" s="22">
        <v>10</v>
      </c>
      <c r="G1850" s="22">
        <v>2023</v>
      </c>
      <c r="H1850" s="23">
        <f t="shared" si="84"/>
        <v>45240</v>
      </c>
      <c r="I1850" s="25">
        <v>45256</v>
      </c>
      <c r="J1850" s="22">
        <f t="shared" si="85"/>
        <v>16</v>
      </c>
      <c r="K1850" t="s">
        <v>14</v>
      </c>
      <c r="L1850">
        <v>6626</v>
      </c>
      <c r="M1850">
        <v>264</v>
      </c>
      <c r="N1850" s="26">
        <v>146.81</v>
      </c>
      <c r="O1850" s="26">
        <f t="shared" si="86"/>
        <v>146.81</v>
      </c>
      <c r="P1850">
        <v>39</v>
      </c>
      <c r="Q1850" t="b">
        <v>1</v>
      </c>
      <c r="S1850" t="s">
        <v>16</v>
      </c>
    </row>
    <row r="1851" spans="1:19">
      <c r="A1851" t="s">
        <v>3811</v>
      </c>
      <c r="B1851" t="s">
        <v>3812</v>
      </c>
      <c r="C1851" s="23" t="s">
        <v>4128</v>
      </c>
      <c r="D1851" s="23" t="s">
        <v>3813</v>
      </c>
      <c r="E1851" s="22">
        <v>18</v>
      </c>
      <c r="F1851" s="22">
        <v>12</v>
      </c>
      <c r="G1851" s="22">
        <v>2023</v>
      </c>
      <c r="H1851" s="23">
        <f t="shared" si="84"/>
        <v>45278</v>
      </c>
      <c r="I1851" s="25">
        <v>45292</v>
      </c>
      <c r="J1851" s="22">
        <f t="shared" si="85"/>
        <v>14</v>
      </c>
      <c r="K1851" t="s">
        <v>19</v>
      </c>
      <c r="L1851">
        <v>8424</v>
      </c>
      <c r="M1851">
        <v>327</v>
      </c>
      <c r="N1851" s="26">
        <v>411.38</v>
      </c>
      <c r="O1851" s="26">
        <f t="shared" si="86"/>
        <v>411.38</v>
      </c>
      <c r="P1851">
        <v>38</v>
      </c>
      <c r="Q1851" t="b">
        <v>0</v>
      </c>
      <c r="S1851" t="s">
        <v>20</v>
      </c>
    </row>
    <row r="1852" spans="1:19">
      <c r="A1852" t="s">
        <v>3814</v>
      </c>
      <c r="B1852" t="s">
        <v>3815</v>
      </c>
      <c r="C1852" s="23" t="s">
        <v>4128</v>
      </c>
      <c r="D1852" s="23">
        <v>44967</v>
      </c>
      <c r="E1852" s="22">
        <v>2</v>
      </c>
      <c r="F1852" s="22">
        <v>10</v>
      </c>
      <c r="G1852" s="22">
        <v>2023</v>
      </c>
      <c r="H1852" s="23">
        <f t="shared" si="84"/>
        <v>44967</v>
      </c>
      <c r="I1852" s="25">
        <v>44992</v>
      </c>
      <c r="J1852" s="22">
        <f t="shared" si="85"/>
        <v>25</v>
      </c>
      <c r="K1852" t="s">
        <v>23</v>
      </c>
      <c r="L1852">
        <v>13857</v>
      </c>
      <c r="M1852">
        <v>596</v>
      </c>
      <c r="N1852" s="26">
        <v>658.31</v>
      </c>
      <c r="O1852" s="26">
        <f t="shared" si="86"/>
        <v>658.31</v>
      </c>
      <c r="P1852">
        <v>0</v>
      </c>
      <c r="Q1852" t="b">
        <v>1</v>
      </c>
      <c r="S1852" t="s">
        <v>25</v>
      </c>
    </row>
    <row r="1853" spans="1:19">
      <c r="A1853" t="s">
        <v>3816</v>
      </c>
      <c r="B1853" t="s">
        <v>3817</v>
      </c>
      <c r="C1853" s="23" t="s">
        <v>4128</v>
      </c>
      <c r="D1853" s="23">
        <v>45184</v>
      </c>
      <c r="E1853" s="22">
        <v>9</v>
      </c>
      <c r="F1853" s="22">
        <v>15</v>
      </c>
      <c r="G1853" s="22">
        <v>2023</v>
      </c>
      <c r="H1853" s="23">
        <f t="shared" si="84"/>
        <v>45184</v>
      </c>
      <c r="I1853" s="25">
        <v>45201</v>
      </c>
      <c r="J1853" s="22">
        <f t="shared" si="85"/>
        <v>17</v>
      </c>
      <c r="K1853" t="s">
        <v>33</v>
      </c>
      <c r="L1853">
        <v>20982</v>
      </c>
      <c r="M1853">
        <v>584</v>
      </c>
      <c r="N1853" s="26">
        <v>847.87</v>
      </c>
      <c r="O1853" s="26">
        <f t="shared" si="86"/>
        <v>847.87</v>
      </c>
      <c r="P1853">
        <v>57</v>
      </c>
      <c r="Q1853" t="b">
        <v>1</v>
      </c>
      <c r="S1853" t="s">
        <v>34</v>
      </c>
    </row>
    <row r="1854" spans="1:19">
      <c r="A1854" t="s">
        <v>3818</v>
      </c>
      <c r="B1854" t="s">
        <v>3819</v>
      </c>
      <c r="C1854" s="23" t="s">
        <v>4131</v>
      </c>
      <c r="D1854" s="23">
        <v>45259</v>
      </c>
      <c r="E1854" s="22">
        <v>11</v>
      </c>
      <c r="F1854" s="22">
        <v>29</v>
      </c>
      <c r="G1854" s="22">
        <v>2023</v>
      </c>
      <c r="H1854" s="23">
        <f t="shared" si="84"/>
        <v>45259</v>
      </c>
      <c r="I1854" s="25">
        <v>45261</v>
      </c>
      <c r="J1854" s="22">
        <f t="shared" si="85"/>
        <v>2</v>
      </c>
      <c r="K1854" t="s">
        <v>23</v>
      </c>
      <c r="L1854">
        <v>77961</v>
      </c>
      <c r="M1854">
        <v>3292</v>
      </c>
      <c r="N1854" s="26">
        <v>4713.42</v>
      </c>
      <c r="O1854" s="26">
        <f t="shared" si="86"/>
        <v>3632.575</v>
      </c>
      <c r="P1854">
        <v>649</v>
      </c>
      <c r="Q1854" t="b">
        <v>1</v>
      </c>
      <c r="S1854" t="s">
        <v>68</v>
      </c>
    </row>
    <row r="1855" spans="1:19">
      <c r="A1855" t="s">
        <v>3820</v>
      </c>
      <c r="B1855" t="s">
        <v>3821</v>
      </c>
      <c r="C1855" s="23" t="s">
        <v>4128</v>
      </c>
      <c r="D1855" s="23">
        <v>45178</v>
      </c>
      <c r="E1855" s="22">
        <v>9</v>
      </c>
      <c r="F1855" s="22">
        <v>9</v>
      </c>
      <c r="G1855" s="22">
        <v>2023</v>
      </c>
      <c r="H1855" s="23">
        <f t="shared" si="84"/>
        <v>45178</v>
      </c>
      <c r="I1855" s="25">
        <v>45200</v>
      </c>
      <c r="J1855" s="22">
        <f t="shared" si="85"/>
        <v>22</v>
      </c>
      <c r="K1855" t="s">
        <v>138</v>
      </c>
      <c r="L1855">
        <v>2980</v>
      </c>
      <c r="M1855">
        <v>30</v>
      </c>
      <c r="N1855" s="26">
        <v>20.43</v>
      </c>
      <c r="O1855" s="26">
        <f t="shared" si="86"/>
        <v>20.43</v>
      </c>
      <c r="P1855">
        <v>0</v>
      </c>
      <c r="Q1855" t="b">
        <v>1</v>
      </c>
      <c r="S1855" t="s">
        <v>139</v>
      </c>
    </row>
    <row r="1856" spans="1:19">
      <c r="A1856" t="s">
        <v>3822</v>
      </c>
      <c r="B1856" t="s">
        <v>3823</v>
      </c>
      <c r="C1856" s="23" t="s">
        <v>4129</v>
      </c>
      <c r="D1856" s="23" t="s">
        <v>3824</v>
      </c>
      <c r="E1856" s="22">
        <v>26</v>
      </c>
      <c r="F1856" s="22">
        <v>4</v>
      </c>
      <c r="G1856" s="22">
        <v>2023</v>
      </c>
      <c r="H1856" s="23">
        <f t="shared" si="84"/>
        <v>45042</v>
      </c>
      <c r="I1856" s="25">
        <v>45067</v>
      </c>
      <c r="J1856" s="22">
        <f t="shared" si="85"/>
        <v>25</v>
      </c>
      <c r="K1856" t="s">
        <v>33</v>
      </c>
      <c r="L1856">
        <v>49290</v>
      </c>
      <c r="M1856">
        <v>2315</v>
      </c>
      <c r="N1856" s="26">
        <v>4550.01</v>
      </c>
      <c r="O1856" s="26">
        <f t="shared" si="86"/>
        <v>3632.575</v>
      </c>
      <c r="P1856">
        <v>225</v>
      </c>
      <c r="Q1856" t="b">
        <v>1</v>
      </c>
      <c r="S1856" t="s">
        <v>34</v>
      </c>
    </row>
    <row r="1857" spans="1:19">
      <c r="A1857" t="s">
        <v>3825</v>
      </c>
      <c r="B1857" t="s">
        <v>3826</v>
      </c>
      <c r="C1857" s="23" t="s">
        <v>4129</v>
      </c>
      <c r="D1857" s="23">
        <v>44934</v>
      </c>
      <c r="E1857" s="22">
        <v>1</v>
      </c>
      <c r="F1857" s="22">
        <v>8</v>
      </c>
      <c r="G1857" s="22">
        <v>2023</v>
      </c>
      <c r="H1857" s="23">
        <f t="shared" si="84"/>
        <v>44934</v>
      </c>
      <c r="I1857" s="25">
        <v>44952</v>
      </c>
      <c r="J1857" s="22">
        <f t="shared" si="85"/>
        <v>18</v>
      </c>
      <c r="K1857" t="s">
        <v>41</v>
      </c>
      <c r="L1857">
        <v>27431</v>
      </c>
      <c r="M1857">
        <v>760</v>
      </c>
      <c r="N1857" s="26">
        <v>593.1</v>
      </c>
      <c r="O1857" s="26">
        <f t="shared" si="86"/>
        <v>593.1</v>
      </c>
      <c r="P1857">
        <v>93</v>
      </c>
      <c r="Q1857" t="b">
        <v>1</v>
      </c>
      <c r="S1857" t="s">
        <v>68</v>
      </c>
    </row>
    <row r="1858" spans="1:19">
      <c r="A1858" t="s">
        <v>3827</v>
      </c>
      <c r="B1858" t="s">
        <v>3828</v>
      </c>
      <c r="C1858" s="23" t="s">
        <v>4129</v>
      </c>
      <c r="D1858" s="23">
        <v>45040</v>
      </c>
      <c r="E1858" s="22">
        <v>4</v>
      </c>
      <c r="F1858" s="22">
        <v>24</v>
      </c>
      <c r="G1858" s="22">
        <v>2023</v>
      </c>
      <c r="H1858" s="23">
        <f t="shared" si="84"/>
        <v>45040</v>
      </c>
      <c r="I1858" s="25">
        <v>45064</v>
      </c>
      <c r="J1858" s="22">
        <f t="shared" si="85"/>
        <v>24</v>
      </c>
      <c r="K1858" t="s">
        <v>33</v>
      </c>
      <c r="L1858">
        <v>85976</v>
      </c>
      <c r="M1858">
        <v>2762</v>
      </c>
      <c r="N1858" s="26">
        <v>3225.77</v>
      </c>
      <c r="O1858" s="26">
        <f t="shared" si="86"/>
        <v>3225.77</v>
      </c>
      <c r="P1858">
        <v>336</v>
      </c>
      <c r="Q1858" t="b">
        <v>0</v>
      </c>
      <c r="S1858" t="s">
        <v>34</v>
      </c>
    </row>
    <row r="1859" spans="1:19">
      <c r="A1859" t="s">
        <v>3829</v>
      </c>
      <c r="B1859" t="s">
        <v>3830</v>
      </c>
      <c r="C1859" s="23" t="s">
        <v>4128</v>
      </c>
      <c r="D1859" s="23" t="s">
        <v>3831</v>
      </c>
      <c r="E1859" s="22">
        <v>15</v>
      </c>
      <c r="F1859" s="22">
        <v>4</v>
      </c>
      <c r="G1859" s="22">
        <v>2023</v>
      </c>
      <c r="H1859" s="23">
        <f t="shared" ref="H1859:H1922" si="87">IF(E1859&gt;12,DATE(G1859,F1859,E1859),D1859)</f>
        <v>45031</v>
      </c>
      <c r="I1859" s="25">
        <v>45055</v>
      </c>
      <c r="J1859" s="22">
        <f t="shared" ref="J1859:J1922" si="88">DATEDIF(H1859,I1859,"D")</f>
        <v>24</v>
      </c>
      <c r="K1859" t="s">
        <v>23</v>
      </c>
      <c r="L1859">
        <v>83711</v>
      </c>
      <c r="M1859">
        <v>1690</v>
      </c>
      <c r="N1859" s="26">
        <v>2082.38</v>
      </c>
      <c r="O1859" s="26">
        <f t="shared" ref="O1859:O1922" si="89">IF(N1859&lt;$W$8,$W$8,IF(N1859&gt;$W$9,$W$9,N1859))</f>
        <v>2082.38</v>
      </c>
      <c r="P1859">
        <v>203</v>
      </c>
      <c r="Q1859" t="b">
        <v>0</v>
      </c>
      <c r="S1859" t="s">
        <v>25</v>
      </c>
    </row>
    <row r="1860" spans="1:19">
      <c r="A1860" t="s">
        <v>3832</v>
      </c>
      <c r="B1860" t="s">
        <v>3833</v>
      </c>
      <c r="C1860" s="23" t="s">
        <v>4131</v>
      </c>
      <c r="D1860" s="23">
        <v>45151</v>
      </c>
      <c r="E1860" s="22">
        <v>8</v>
      </c>
      <c r="F1860" s="22">
        <v>13</v>
      </c>
      <c r="G1860" s="22">
        <v>2023</v>
      </c>
      <c r="H1860" s="23">
        <f t="shared" si="87"/>
        <v>45151</v>
      </c>
      <c r="I1860" s="25">
        <v>45170</v>
      </c>
      <c r="J1860" s="22">
        <f t="shared" si="88"/>
        <v>19</v>
      </c>
      <c r="K1860" t="s">
        <v>19</v>
      </c>
      <c r="L1860">
        <v>27385</v>
      </c>
      <c r="M1860">
        <v>1087</v>
      </c>
      <c r="N1860" s="26">
        <v>1869.2</v>
      </c>
      <c r="O1860" s="26">
        <f t="shared" si="89"/>
        <v>1869.2</v>
      </c>
      <c r="P1860">
        <v>83</v>
      </c>
      <c r="Q1860" t="b">
        <v>1</v>
      </c>
      <c r="S1860" t="s">
        <v>20</v>
      </c>
    </row>
    <row r="1861" spans="1:19">
      <c r="A1861" t="s">
        <v>3834</v>
      </c>
      <c r="B1861" t="s">
        <v>3835</v>
      </c>
      <c r="C1861" s="23" t="s">
        <v>4129</v>
      </c>
      <c r="D1861" s="23">
        <v>45093</v>
      </c>
      <c r="E1861" s="22">
        <v>6</v>
      </c>
      <c r="F1861" s="22">
        <v>16</v>
      </c>
      <c r="G1861" s="22">
        <v>2023</v>
      </c>
      <c r="H1861" s="23">
        <f t="shared" si="87"/>
        <v>45093</v>
      </c>
      <c r="I1861" s="25">
        <v>45110</v>
      </c>
      <c r="J1861" s="22">
        <f t="shared" si="88"/>
        <v>17</v>
      </c>
      <c r="K1861" t="s">
        <v>23</v>
      </c>
      <c r="L1861">
        <v>39158</v>
      </c>
      <c r="M1861">
        <v>511</v>
      </c>
      <c r="N1861" s="26">
        <v>331.56</v>
      </c>
      <c r="O1861" s="26">
        <f t="shared" si="89"/>
        <v>331.56</v>
      </c>
      <c r="P1861">
        <v>36</v>
      </c>
      <c r="Q1861" t="b">
        <v>0</v>
      </c>
      <c r="S1861" t="s">
        <v>25</v>
      </c>
    </row>
    <row r="1862" spans="1:19">
      <c r="A1862" t="s">
        <v>3836</v>
      </c>
      <c r="B1862" t="s">
        <v>3837</v>
      </c>
      <c r="C1862" s="23" t="s">
        <v>4129</v>
      </c>
      <c r="D1862" s="23">
        <v>45145</v>
      </c>
      <c r="E1862" s="22">
        <v>8</v>
      </c>
      <c r="F1862" s="22">
        <v>7</v>
      </c>
      <c r="G1862" s="22">
        <v>2023</v>
      </c>
      <c r="H1862" s="23">
        <f t="shared" si="87"/>
        <v>45145</v>
      </c>
      <c r="I1862" s="25">
        <v>45118</v>
      </c>
      <c r="J1862" s="22">
        <f t="shared" si="88"/>
        <v>-27</v>
      </c>
      <c r="K1862" t="s">
        <v>33</v>
      </c>
      <c r="L1862">
        <v>24019</v>
      </c>
      <c r="M1862">
        <v>1078</v>
      </c>
      <c r="N1862" s="26">
        <v>1232.12</v>
      </c>
      <c r="O1862" s="26">
        <f t="shared" si="89"/>
        <v>1232.12</v>
      </c>
      <c r="P1862">
        <v>95</v>
      </c>
      <c r="Q1862" t="b">
        <v>1</v>
      </c>
      <c r="S1862" t="s">
        <v>34</v>
      </c>
    </row>
    <row r="1863" spans="1:19">
      <c r="A1863" t="s">
        <v>3838</v>
      </c>
      <c r="B1863" t="s">
        <v>3839</v>
      </c>
      <c r="C1863" s="23" t="s">
        <v>4127</v>
      </c>
      <c r="D1863" s="23">
        <v>45121</v>
      </c>
      <c r="E1863" s="22">
        <v>7</v>
      </c>
      <c r="F1863" s="22">
        <v>14</v>
      </c>
      <c r="G1863" s="22">
        <v>2023</v>
      </c>
      <c r="H1863" s="23">
        <f t="shared" si="87"/>
        <v>45121</v>
      </c>
      <c r="I1863" s="25">
        <v>45126</v>
      </c>
      <c r="J1863" s="22">
        <f t="shared" si="88"/>
        <v>5</v>
      </c>
      <c r="K1863" t="s">
        <v>14</v>
      </c>
      <c r="L1863">
        <v>19639</v>
      </c>
      <c r="M1863">
        <v>846</v>
      </c>
      <c r="N1863" s="26">
        <v>1220.57</v>
      </c>
      <c r="O1863" s="26">
        <f t="shared" si="89"/>
        <v>1220.57</v>
      </c>
      <c r="P1863">
        <v>0</v>
      </c>
      <c r="Q1863" t="b">
        <v>1</v>
      </c>
      <c r="S1863" t="s">
        <v>16</v>
      </c>
    </row>
    <row r="1864" spans="1:19">
      <c r="A1864" t="s">
        <v>3840</v>
      </c>
      <c r="B1864" t="s">
        <v>3841</v>
      </c>
      <c r="C1864" s="23" t="s">
        <v>4131</v>
      </c>
      <c r="D1864" s="23">
        <v>45219</v>
      </c>
      <c r="E1864" s="22">
        <v>10</v>
      </c>
      <c r="F1864" s="22">
        <v>20</v>
      </c>
      <c r="G1864" s="22">
        <v>2023</v>
      </c>
      <c r="H1864" s="23">
        <f t="shared" si="87"/>
        <v>45219</v>
      </c>
      <c r="I1864" s="25">
        <v>45249</v>
      </c>
      <c r="J1864" s="22">
        <f t="shared" si="88"/>
        <v>30</v>
      </c>
      <c r="K1864" t="s">
        <v>23</v>
      </c>
      <c r="L1864">
        <v>86530</v>
      </c>
      <c r="M1864">
        <v>1613</v>
      </c>
      <c r="N1864" s="26">
        <v>1327.07</v>
      </c>
      <c r="O1864" s="26">
        <f t="shared" si="89"/>
        <v>1327.07</v>
      </c>
      <c r="P1864">
        <v>0</v>
      </c>
      <c r="Q1864" t="b">
        <v>1</v>
      </c>
      <c r="S1864" t="s">
        <v>25</v>
      </c>
    </row>
    <row r="1865" spans="1:19">
      <c r="A1865" t="s">
        <v>3842</v>
      </c>
      <c r="B1865" t="s">
        <v>3843</v>
      </c>
      <c r="C1865" s="23" t="s">
        <v>4127</v>
      </c>
      <c r="D1865" s="23">
        <v>45287</v>
      </c>
      <c r="E1865" s="22">
        <v>12</v>
      </c>
      <c r="F1865" s="22">
        <v>27</v>
      </c>
      <c r="G1865" s="22">
        <v>2023</v>
      </c>
      <c r="H1865" s="23">
        <f t="shared" si="87"/>
        <v>45287</v>
      </c>
      <c r="I1865" s="25">
        <v>45314</v>
      </c>
      <c r="J1865" s="22">
        <f t="shared" si="88"/>
        <v>27</v>
      </c>
      <c r="K1865" t="s">
        <v>19</v>
      </c>
      <c r="L1865">
        <v>22563</v>
      </c>
      <c r="M1865">
        <v>956</v>
      </c>
      <c r="N1865" s="26">
        <v>1377.79</v>
      </c>
      <c r="O1865" s="26">
        <f t="shared" si="89"/>
        <v>1377.79</v>
      </c>
      <c r="P1865">
        <v>156</v>
      </c>
      <c r="Q1865" t="b">
        <v>1</v>
      </c>
      <c r="S1865" t="s">
        <v>20</v>
      </c>
    </row>
    <row r="1866" spans="1:19">
      <c r="A1866" t="s">
        <v>3844</v>
      </c>
      <c r="B1866" t="s">
        <v>3845</v>
      </c>
      <c r="C1866" s="23" t="s">
        <v>4129</v>
      </c>
      <c r="D1866" s="23">
        <v>45158</v>
      </c>
      <c r="E1866" s="22">
        <v>8</v>
      </c>
      <c r="F1866" s="22">
        <v>20</v>
      </c>
      <c r="G1866" s="22">
        <v>2023</v>
      </c>
      <c r="H1866" s="23">
        <f t="shared" si="87"/>
        <v>45158</v>
      </c>
      <c r="I1866" s="25">
        <v>45171</v>
      </c>
      <c r="J1866" s="22">
        <f t="shared" si="88"/>
        <v>13</v>
      </c>
      <c r="K1866" t="s">
        <v>41</v>
      </c>
      <c r="L1866">
        <v>40341</v>
      </c>
      <c r="M1866">
        <v>1672</v>
      </c>
      <c r="N1866" s="26">
        <v>3152.55</v>
      </c>
      <c r="O1866" s="26">
        <f t="shared" si="89"/>
        <v>3152.55</v>
      </c>
      <c r="P1866">
        <v>273</v>
      </c>
      <c r="Q1866" t="b">
        <v>1</v>
      </c>
      <c r="S1866" t="s">
        <v>42</v>
      </c>
    </row>
    <row r="1867" spans="1:19">
      <c r="A1867" t="s">
        <v>3846</v>
      </c>
      <c r="B1867" t="s">
        <v>3847</v>
      </c>
      <c r="C1867" s="23" t="s">
        <v>4129</v>
      </c>
      <c r="D1867" s="23">
        <v>45052</v>
      </c>
      <c r="E1867" s="22">
        <v>5</v>
      </c>
      <c r="F1867" s="22">
        <v>6</v>
      </c>
      <c r="G1867" s="22">
        <v>2023</v>
      </c>
      <c r="H1867" s="23">
        <f t="shared" si="87"/>
        <v>45052</v>
      </c>
      <c r="I1867" s="25">
        <v>45063</v>
      </c>
      <c r="J1867" s="22">
        <f t="shared" si="88"/>
        <v>11</v>
      </c>
      <c r="K1867" t="s">
        <v>138</v>
      </c>
      <c r="L1867">
        <v>6776</v>
      </c>
      <c r="M1867">
        <v>239</v>
      </c>
      <c r="N1867" s="26">
        <v>477.11</v>
      </c>
      <c r="O1867" s="26">
        <f t="shared" si="89"/>
        <v>477.11</v>
      </c>
      <c r="P1867">
        <v>0</v>
      </c>
      <c r="Q1867" t="b">
        <v>1</v>
      </c>
      <c r="S1867" t="s">
        <v>139</v>
      </c>
    </row>
    <row r="1868" spans="1:19">
      <c r="A1868" t="s">
        <v>3848</v>
      </c>
      <c r="B1868" t="s">
        <v>3849</v>
      </c>
      <c r="C1868" s="23" t="s">
        <v>4128</v>
      </c>
      <c r="D1868" s="23">
        <v>44947</v>
      </c>
      <c r="E1868" s="22">
        <v>1</v>
      </c>
      <c r="F1868" s="22">
        <v>21</v>
      </c>
      <c r="G1868" s="22">
        <v>2023</v>
      </c>
      <c r="H1868" s="23">
        <f t="shared" si="87"/>
        <v>44947</v>
      </c>
      <c r="I1868" s="25">
        <v>44969</v>
      </c>
      <c r="J1868" s="22">
        <f t="shared" si="88"/>
        <v>22</v>
      </c>
      <c r="K1868" t="s">
        <v>33</v>
      </c>
      <c r="L1868">
        <v>37444</v>
      </c>
      <c r="M1868">
        <v>933</v>
      </c>
      <c r="N1868" s="26">
        <v>511.92</v>
      </c>
      <c r="O1868" s="26">
        <f t="shared" si="89"/>
        <v>511.92</v>
      </c>
      <c r="P1868">
        <v>170</v>
      </c>
      <c r="Q1868" t="b">
        <v>1</v>
      </c>
      <c r="S1868" t="s">
        <v>34</v>
      </c>
    </row>
    <row r="1869" spans="1:19">
      <c r="A1869" t="s">
        <v>3850</v>
      </c>
      <c r="B1869" t="s">
        <v>3851</v>
      </c>
      <c r="C1869" s="23" t="s">
        <v>4128</v>
      </c>
      <c r="D1869" s="23">
        <v>45249</v>
      </c>
      <c r="E1869" s="22">
        <v>11</v>
      </c>
      <c r="F1869" s="22">
        <v>19</v>
      </c>
      <c r="G1869" s="22">
        <v>2023</v>
      </c>
      <c r="H1869" s="23">
        <f t="shared" si="87"/>
        <v>45249</v>
      </c>
      <c r="I1869" s="25">
        <v>45272</v>
      </c>
      <c r="J1869" s="22">
        <f t="shared" si="88"/>
        <v>23</v>
      </c>
      <c r="K1869" t="s">
        <v>19</v>
      </c>
      <c r="L1869">
        <v>69916</v>
      </c>
      <c r="M1869">
        <v>1458</v>
      </c>
      <c r="N1869" s="26">
        <v>1244.23</v>
      </c>
      <c r="O1869" s="26">
        <f t="shared" si="89"/>
        <v>1244.23</v>
      </c>
      <c r="P1869">
        <v>130</v>
      </c>
      <c r="Q1869" t="b">
        <v>0</v>
      </c>
      <c r="S1869" t="s">
        <v>20</v>
      </c>
    </row>
    <row r="1870" spans="1:19">
      <c r="A1870" t="s">
        <v>3852</v>
      </c>
      <c r="B1870" t="s">
        <v>3853</v>
      </c>
      <c r="C1870" s="23" t="s">
        <v>4129</v>
      </c>
      <c r="D1870" s="23">
        <v>45152</v>
      </c>
      <c r="E1870" s="22">
        <v>8</v>
      </c>
      <c r="F1870" s="22">
        <v>14</v>
      </c>
      <c r="G1870" s="22">
        <v>2023</v>
      </c>
      <c r="H1870" s="23">
        <f t="shared" si="87"/>
        <v>45152</v>
      </c>
      <c r="I1870" s="25">
        <v>45167</v>
      </c>
      <c r="J1870" s="22">
        <f t="shared" si="88"/>
        <v>15</v>
      </c>
      <c r="K1870" t="s">
        <v>19</v>
      </c>
      <c r="L1870">
        <v>9711</v>
      </c>
      <c r="M1870">
        <v>187</v>
      </c>
      <c r="N1870" s="26">
        <v>180.54</v>
      </c>
      <c r="O1870" s="26">
        <f t="shared" si="89"/>
        <v>180.54</v>
      </c>
      <c r="P1870">
        <v>15</v>
      </c>
      <c r="Q1870" t="b">
        <v>1</v>
      </c>
      <c r="S1870" t="s">
        <v>20</v>
      </c>
    </row>
    <row r="1871" spans="1:19">
      <c r="A1871" t="s">
        <v>3854</v>
      </c>
      <c r="B1871" t="s">
        <v>3855</v>
      </c>
      <c r="C1871" s="23" t="s">
        <v>4129</v>
      </c>
      <c r="D1871" s="23">
        <v>45073</v>
      </c>
      <c r="E1871" s="22">
        <v>5</v>
      </c>
      <c r="F1871" s="22">
        <v>27</v>
      </c>
      <c r="G1871" s="22">
        <v>2023</v>
      </c>
      <c r="H1871" s="23">
        <f t="shared" si="87"/>
        <v>45073</v>
      </c>
      <c r="I1871" s="25">
        <v>45097</v>
      </c>
      <c r="J1871" s="22">
        <f t="shared" si="88"/>
        <v>24</v>
      </c>
      <c r="K1871" t="s">
        <v>41</v>
      </c>
      <c r="L1871">
        <v>75318</v>
      </c>
      <c r="M1871">
        <v>1713</v>
      </c>
      <c r="N1871" s="26">
        <v>1882.05</v>
      </c>
      <c r="O1871" s="26">
        <f t="shared" si="89"/>
        <v>1882.05</v>
      </c>
      <c r="P1871">
        <v>0</v>
      </c>
      <c r="Q1871" t="b">
        <v>1</v>
      </c>
      <c r="S1871" t="s">
        <v>42</v>
      </c>
    </row>
    <row r="1872" spans="1:19">
      <c r="A1872" t="s">
        <v>3856</v>
      </c>
      <c r="B1872" t="s">
        <v>3857</v>
      </c>
      <c r="C1872" s="23" t="s">
        <v>4129</v>
      </c>
      <c r="D1872" s="23">
        <v>45240</v>
      </c>
      <c r="E1872" s="22">
        <v>11</v>
      </c>
      <c r="F1872" s="22">
        <v>10</v>
      </c>
      <c r="G1872" s="22">
        <v>2023</v>
      </c>
      <c r="H1872" s="23">
        <f t="shared" si="87"/>
        <v>45240</v>
      </c>
      <c r="I1872" s="25">
        <v>45264</v>
      </c>
      <c r="J1872" s="22">
        <f t="shared" si="88"/>
        <v>24</v>
      </c>
      <c r="K1872" t="s">
        <v>14</v>
      </c>
      <c r="L1872">
        <v>83970</v>
      </c>
      <c r="M1872">
        <v>3874</v>
      </c>
      <c r="N1872" s="26">
        <v>3344.76</v>
      </c>
      <c r="O1872" s="26">
        <f t="shared" si="89"/>
        <v>3344.76</v>
      </c>
      <c r="P1872">
        <v>347</v>
      </c>
      <c r="Q1872" t="b">
        <v>0</v>
      </c>
      <c r="S1872" t="s">
        <v>16</v>
      </c>
    </row>
    <row r="1873" spans="1:19">
      <c r="A1873" t="s">
        <v>3858</v>
      </c>
      <c r="B1873" t="s">
        <v>3859</v>
      </c>
      <c r="C1873" s="23" t="s">
        <v>4129</v>
      </c>
      <c r="D1873" s="23">
        <v>44999</v>
      </c>
      <c r="E1873" s="22">
        <v>3</v>
      </c>
      <c r="F1873" s="22">
        <v>14</v>
      </c>
      <c r="G1873" s="22">
        <v>2023</v>
      </c>
      <c r="H1873" s="23">
        <f t="shared" si="87"/>
        <v>44999</v>
      </c>
      <c r="I1873" s="25">
        <v>45020</v>
      </c>
      <c r="J1873" s="22">
        <f t="shared" si="88"/>
        <v>21</v>
      </c>
      <c r="K1873" t="s">
        <v>23</v>
      </c>
      <c r="L1873">
        <v>86553</v>
      </c>
      <c r="M1873">
        <v>1134</v>
      </c>
      <c r="N1873" s="26">
        <v>913.13</v>
      </c>
      <c r="O1873" s="26">
        <f t="shared" si="89"/>
        <v>913.13</v>
      </c>
      <c r="P1873">
        <v>0</v>
      </c>
      <c r="Q1873" t="b">
        <v>1</v>
      </c>
      <c r="S1873" t="s">
        <v>25</v>
      </c>
    </row>
    <row r="1874" spans="1:19">
      <c r="A1874" t="s">
        <v>3860</v>
      </c>
      <c r="B1874" t="s">
        <v>3861</v>
      </c>
      <c r="C1874" s="23" t="s">
        <v>4128</v>
      </c>
      <c r="D1874" s="23">
        <v>44973</v>
      </c>
      <c r="E1874" s="22">
        <v>2</v>
      </c>
      <c r="F1874" s="22">
        <v>16</v>
      </c>
      <c r="G1874" s="22">
        <v>2023</v>
      </c>
      <c r="H1874" s="23">
        <f t="shared" si="87"/>
        <v>44973</v>
      </c>
      <c r="I1874" s="25">
        <v>44982</v>
      </c>
      <c r="J1874" s="22">
        <f t="shared" si="88"/>
        <v>9</v>
      </c>
      <c r="K1874" t="s">
        <v>33</v>
      </c>
      <c r="L1874">
        <v>31707</v>
      </c>
      <c r="M1874">
        <v>1368</v>
      </c>
      <c r="N1874" s="26">
        <v>2642.74</v>
      </c>
      <c r="O1874" s="26">
        <f t="shared" si="89"/>
        <v>2642.74</v>
      </c>
      <c r="P1874">
        <v>198</v>
      </c>
      <c r="Q1874" t="b">
        <v>1</v>
      </c>
      <c r="S1874" t="s">
        <v>34</v>
      </c>
    </row>
    <row r="1875" spans="1:19">
      <c r="A1875" t="s">
        <v>3862</v>
      </c>
      <c r="B1875" t="s">
        <v>3863</v>
      </c>
      <c r="C1875" s="23" t="s">
        <v>4128</v>
      </c>
      <c r="D1875" s="23">
        <v>45226</v>
      </c>
      <c r="E1875" s="22">
        <v>10</v>
      </c>
      <c r="F1875" s="22">
        <v>27</v>
      </c>
      <c r="G1875" s="22">
        <v>2023</v>
      </c>
      <c r="H1875" s="23">
        <f t="shared" si="87"/>
        <v>45226</v>
      </c>
      <c r="I1875" s="25">
        <v>45231</v>
      </c>
      <c r="J1875" s="22">
        <f t="shared" si="88"/>
        <v>5</v>
      </c>
      <c r="K1875" t="s">
        <v>14</v>
      </c>
      <c r="L1875">
        <v>40110</v>
      </c>
      <c r="M1875">
        <v>960</v>
      </c>
      <c r="N1875" s="26">
        <v>1802.67</v>
      </c>
      <c r="O1875" s="26">
        <f t="shared" si="89"/>
        <v>1802.67</v>
      </c>
      <c r="P1875">
        <v>173</v>
      </c>
      <c r="Q1875" t="b">
        <v>0</v>
      </c>
      <c r="S1875" t="s">
        <v>16</v>
      </c>
    </row>
    <row r="1876" spans="1:19">
      <c r="A1876" t="s">
        <v>3864</v>
      </c>
      <c r="B1876" t="s">
        <v>3865</v>
      </c>
      <c r="C1876" s="23" t="s">
        <v>4129</v>
      </c>
      <c r="D1876" s="23">
        <v>44996</v>
      </c>
      <c r="E1876" s="22">
        <v>3</v>
      </c>
      <c r="F1876" s="22">
        <v>11</v>
      </c>
      <c r="G1876" s="22">
        <v>2023</v>
      </c>
      <c r="H1876" s="23">
        <f t="shared" si="87"/>
        <v>44996</v>
      </c>
      <c r="I1876" s="25">
        <v>45001</v>
      </c>
      <c r="J1876" s="22">
        <f t="shared" si="88"/>
        <v>5</v>
      </c>
      <c r="K1876" t="s">
        <v>41</v>
      </c>
      <c r="L1876">
        <v>62788</v>
      </c>
      <c r="M1876">
        <v>1937</v>
      </c>
      <c r="N1876" s="26">
        <v>1105.04</v>
      </c>
      <c r="O1876" s="26">
        <f t="shared" si="89"/>
        <v>1105.04</v>
      </c>
      <c r="P1876">
        <v>0</v>
      </c>
      <c r="Q1876" t="b">
        <v>0</v>
      </c>
      <c r="S1876" t="s">
        <v>68</v>
      </c>
    </row>
    <row r="1877" spans="1:19">
      <c r="A1877" t="s">
        <v>3866</v>
      </c>
      <c r="B1877" t="s">
        <v>3867</v>
      </c>
      <c r="C1877" s="23" t="s">
        <v>4131</v>
      </c>
      <c r="D1877" s="23">
        <v>44939</v>
      </c>
      <c r="E1877" s="22">
        <v>1</v>
      </c>
      <c r="F1877" s="22">
        <v>13</v>
      </c>
      <c r="G1877" s="22">
        <v>2023</v>
      </c>
      <c r="H1877" s="23">
        <f t="shared" si="87"/>
        <v>44939</v>
      </c>
      <c r="I1877" s="25">
        <v>44964</v>
      </c>
      <c r="J1877" s="22">
        <f t="shared" si="88"/>
        <v>25</v>
      </c>
      <c r="K1877" t="s">
        <v>19</v>
      </c>
      <c r="L1877">
        <v>83879</v>
      </c>
      <c r="M1877">
        <v>3504</v>
      </c>
      <c r="N1877" s="26">
        <v>3532.8</v>
      </c>
      <c r="O1877" s="26">
        <f t="shared" si="89"/>
        <v>3532.8</v>
      </c>
      <c r="P1877">
        <v>656</v>
      </c>
      <c r="Q1877" t="b">
        <v>0</v>
      </c>
      <c r="S1877" t="s">
        <v>20</v>
      </c>
    </row>
    <row r="1878" spans="1:19">
      <c r="A1878" t="s">
        <v>3868</v>
      </c>
      <c r="B1878" t="s">
        <v>3869</v>
      </c>
      <c r="C1878" s="23" t="s">
        <v>4127</v>
      </c>
      <c r="D1878" s="23">
        <v>45291</v>
      </c>
      <c r="E1878" s="22">
        <v>12</v>
      </c>
      <c r="F1878" s="22">
        <v>31</v>
      </c>
      <c r="G1878" s="22">
        <v>2023</v>
      </c>
      <c r="H1878" s="23">
        <f t="shared" si="87"/>
        <v>45291</v>
      </c>
      <c r="I1878" s="25">
        <v>45321</v>
      </c>
      <c r="J1878" s="22">
        <f t="shared" si="88"/>
        <v>30</v>
      </c>
      <c r="K1878" t="s">
        <v>33</v>
      </c>
      <c r="L1878">
        <v>39827</v>
      </c>
      <c r="M1878">
        <v>1807</v>
      </c>
      <c r="N1878" s="26">
        <v>2001.66</v>
      </c>
      <c r="O1878" s="26">
        <f t="shared" si="89"/>
        <v>2001.66</v>
      </c>
      <c r="P1878">
        <v>0</v>
      </c>
      <c r="Q1878" t="b">
        <v>1</v>
      </c>
      <c r="S1878" t="s">
        <v>34</v>
      </c>
    </row>
    <row r="1879" spans="1:19">
      <c r="A1879" t="s">
        <v>3870</v>
      </c>
      <c r="B1879" t="s">
        <v>3871</v>
      </c>
      <c r="C1879" s="23" t="s">
        <v>4127</v>
      </c>
      <c r="D1879" s="23">
        <v>44973</v>
      </c>
      <c r="E1879" s="22">
        <v>2</v>
      </c>
      <c r="F1879" s="22">
        <v>16</v>
      </c>
      <c r="G1879" s="22">
        <v>2023</v>
      </c>
      <c r="H1879" s="23">
        <f t="shared" si="87"/>
        <v>44973</v>
      </c>
      <c r="I1879" s="25">
        <v>44980</v>
      </c>
      <c r="J1879" s="22">
        <f t="shared" si="88"/>
        <v>7</v>
      </c>
      <c r="K1879" t="s">
        <v>41</v>
      </c>
      <c r="L1879">
        <v>6655</v>
      </c>
      <c r="M1879">
        <v>158</v>
      </c>
      <c r="N1879" s="26">
        <v>135.65</v>
      </c>
      <c r="O1879" s="26">
        <f t="shared" si="89"/>
        <v>135.65</v>
      </c>
      <c r="P1879">
        <v>19</v>
      </c>
      <c r="Q1879" t="b">
        <v>1</v>
      </c>
      <c r="S1879" t="s">
        <v>42</v>
      </c>
    </row>
    <row r="1880" spans="1:19">
      <c r="A1880" t="s">
        <v>3872</v>
      </c>
      <c r="B1880" t="s">
        <v>3873</v>
      </c>
      <c r="C1880" s="23" t="s">
        <v>4127</v>
      </c>
      <c r="D1880" s="23">
        <v>45291</v>
      </c>
      <c r="E1880" s="22">
        <v>12</v>
      </c>
      <c r="F1880" s="22">
        <v>31</v>
      </c>
      <c r="G1880" s="22">
        <v>2023</v>
      </c>
      <c r="H1880" s="23">
        <f t="shared" si="87"/>
        <v>45291</v>
      </c>
      <c r="I1880" s="25">
        <v>45294</v>
      </c>
      <c r="J1880" s="22">
        <f t="shared" si="88"/>
        <v>3</v>
      </c>
      <c r="K1880" t="s">
        <v>23</v>
      </c>
      <c r="L1880">
        <v>45859</v>
      </c>
      <c r="M1880">
        <v>1305</v>
      </c>
      <c r="N1880" s="26">
        <v>1883.52</v>
      </c>
      <c r="O1880" s="26">
        <f t="shared" si="89"/>
        <v>1883.52</v>
      </c>
      <c r="P1880">
        <v>151</v>
      </c>
      <c r="Q1880" t="b">
        <v>0</v>
      </c>
      <c r="S1880" t="s">
        <v>25</v>
      </c>
    </row>
    <row r="1881" spans="1:19">
      <c r="A1881" t="s">
        <v>3874</v>
      </c>
      <c r="B1881" t="s">
        <v>3875</v>
      </c>
      <c r="C1881" s="23" t="s">
        <v>4131</v>
      </c>
      <c r="D1881" s="23">
        <v>45049</v>
      </c>
      <c r="E1881" s="22">
        <v>5</v>
      </c>
      <c r="F1881" s="22">
        <v>3</v>
      </c>
      <c r="G1881" s="22">
        <v>2023</v>
      </c>
      <c r="H1881" s="23">
        <f t="shared" si="87"/>
        <v>45049</v>
      </c>
      <c r="I1881" s="25">
        <v>45010</v>
      </c>
      <c r="J1881" s="22">
        <f t="shared" si="88"/>
        <v>-39</v>
      </c>
      <c r="K1881" t="s">
        <v>41</v>
      </c>
      <c r="L1881">
        <v>54625</v>
      </c>
      <c r="M1881">
        <v>1451</v>
      </c>
      <c r="N1881" s="26">
        <v>2119.29</v>
      </c>
      <c r="O1881" s="26">
        <f t="shared" si="89"/>
        <v>2119.29</v>
      </c>
      <c r="P1881">
        <v>238</v>
      </c>
      <c r="Q1881" t="b">
        <v>0</v>
      </c>
      <c r="S1881" t="s">
        <v>42</v>
      </c>
    </row>
    <row r="1882" spans="1:19">
      <c r="A1882" t="s">
        <v>3876</v>
      </c>
      <c r="B1882" t="s">
        <v>3877</v>
      </c>
      <c r="C1882" s="23" t="s">
        <v>4131</v>
      </c>
      <c r="D1882" s="23">
        <v>45288</v>
      </c>
      <c r="E1882" s="22">
        <v>12</v>
      </c>
      <c r="F1882" s="22">
        <v>28</v>
      </c>
      <c r="G1882" s="22">
        <v>2023</v>
      </c>
      <c r="H1882" s="23">
        <f t="shared" si="87"/>
        <v>45288</v>
      </c>
      <c r="I1882" s="25">
        <v>45301</v>
      </c>
      <c r="J1882" s="22">
        <f t="shared" si="88"/>
        <v>13</v>
      </c>
      <c r="K1882" t="s">
        <v>41</v>
      </c>
      <c r="L1882">
        <v>53098</v>
      </c>
      <c r="M1882">
        <v>559</v>
      </c>
      <c r="N1882" s="26">
        <v>992.65</v>
      </c>
      <c r="O1882" s="26">
        <f t="shared" si="89"/>
        <v>992.65</v>
      </c>
      <c r="P1882">
        <v>63</v>
      </c>
      <c r="Q1882" t="b">
        <v>0</v>
      </c>
      <c r="S1882" t="s">
        <v>42</v>
      </c>
    </row>
    <row r="1883" spans="1:19">
      <c r="A1883" t="s">
        <v>3878</v>
      </c>
      <c r="B1883" t="s">
        <v>3879</v>
      </c>
      <c r="C1883" s="23" t="s">
        <v>4129</v>
      </c>
      <c r="D1883" s="23">
        <v>45195</v>
      </c>
      <c r="E1883" s="22">
        <v>9</v>
      </c>
      <c r="F1883" s="22">
        <v>26</v>
      </c>
      <c r="G1883" s="22">
        <v>2023</v>
      </c>
      <c r="H1883" s="23">
        <f t="shared" si="87"/>
        <v>45195</v>
      </c>
      <c r="I1883" s="25">
        <v>45204</v>
      </c>
      <c r="J1883" s="22">
        <f t="shared" si="88"/>
        <v>9</v>
      </c>
      <c r="K1883" t="s">
        <v>14</v>
      </c>
      <c r="L1883">
        <v>16251</v>
      </c>
      <c r="M1883">
        <v>354</v>
      </c>
      <c r="N1883" s="26">
        <v>570.4</v>
      </c>
      <c r="O1883" s="26">
        <f t="shared" si="89"/>
        <v>570.4</v>
      </c>
      <c r="P1883">
        <v>67</v>
      </c>
      <c r="Q1883" t="b">
        <v>1</v>
      </c>
      <c r="S1883" t="s">
        <v>16</v>
      </c>
    </row>
    <row r="1884" spans="1:19">
      <c r="A1884" t="s">
        <v>3880</v>
      </c>
      <c r="B1884" t="s">
        <v>3881</v>
      </c>
      <c r="C1884" s="23" t="s">
        <v>4129</v>
      </c>
      <c r="D1884" s="23">
        <v>45188</v>
      </c>
      <c r="E1884" s="22">
        <v>9</v>
      </c>
      <c r="F1884" s="22">
        <v>19</v>
      </c>
      <c r="G1884" s="22">
        <v>2023</v>
      </c>
      <c r="H1884" s="23">
        <f t="shared" si="87"/>
        <v>45188</v>
      </c>
      <c r="I1884" s="25">
        <v>45201</v>
      </c>
      <c r="J1884" s="22">
        <f t="shared" si="88"/>
        <v>13</v>
      </c>
      <c r="K1884" t="s">
        <v>19</v>
      </c>
      <c r="L1884">
        <v>1526</v>
      </c>
      <c r="M1884">
        <v>43</v>
      </c>
      <c r="N1884" s="26">
        <v>56.5</v>
      </c>
      <c r="O1884" s="26">
        <f t="shared" si="89"/>
        <v>56.5</v>
      </c>
      <c r="P1884">
        <v>7</v>
      </c>
      <c r="Q1884" t="b">
        <v>1</v>
      </c>
      <c r="S1884" t="s">
        <v>20</v>
      </c>
    </row>
    <row r="1885" spans="1:19">
      <c r="A1885" t="s">
        <v>3882</v>
      </c>
      <c r="B1885" t="s">
        <v>3883</v>
      </c>
      <c r="C1885" s="23" t="s">
        <v>4127</v>
      </c>
      <c r="D1885" s="23">
        <v>45208</v>
      </c>
      <c r="E1885" s="22">
        <v>10</v>
      </c>
      <c r="F1885" s="22">
        <v>9</v>
      </c>
      <c r="G1885" s="22">
        <v>2023</v>
      </c>
      <c r="H1885" s="23">
        <f t="shared" si="87"/>
        <v>45208</v>
      </c>
      <c r="I1885" s="25">
        <v>45216</v>
      </c>
      <c r="J1885" s="22">
        <f t="shared" si="88"/>
        <v>8</v>
      </c>
      <c r="K1885" t="s">
        <v>23</v>
      </c>
      <c r="L1885">
        <v>69760</v>
      </c>
      <c r="M1885">
        <v>1844</v>
      </c>
      <c r="N1885" s="26">
        <v>2729.82</v>
      </c>
      <c r="O1885" s="26">
        <f t="shared" si="89"/>
        <v>2729.82</v>
      </c>
      <c r="P1885">
        <v>0</v>
      </c>
      <c r="Q1885" t="b">
        <v>0</v>
      </c>
      <c r="S1885" t="s">
        <v>25</v>
      </c>
    </row>
    <row r="1886" spans="1:19">
      <c r="A1886" t="s">
        <v>3884</v>
      </c>
      <c r="B1886" t="s">
        <v>3885</v>
      </c>
      <c r="C1886" s="23" t="s">
        <v>4131</v>
      </c>
      <c r="D1886" s="23">
        <v>45098</v>
      </c>
      <c r="E1886" s="22">
        <v>6</v>
      </c>
      <c r="F1886" s="22">
        <v>21</v>
      </c>
      <c r="G1886" s="22">
        <v>2023</v>
      </c>
      <c r="H1886" s="23">
        <f t="shared" si="87"/>
        <v>45098</v>
      </c>
      <c r="I1886" s="25">
        <v>45100</v>
      </c>
      <c r="J1886" s="22">
        <f t="shared" si="88"/>
        <v>2</v>
      </c>
      <c r="K1886" t="s">
        <v>23</v>
      </c>
      <c r="L1886">
        <v>48837</v>
      </c>
      <c r="M1886">
        <v>1898</v>
      </c>
      <c r="N1886" s="26">
        <v>1729.05</v>
      </c>
      <c r="O1886" s="26">
        <f t="shared" si="89"/>
        <v>1729.05</v>
      </c>
      <c r="P1886">
        <v>115</v>
      </c>
      <c r="Q1886" t="b">
        <v>0</v>
      </c>
      <c r="S1886" t="s">
        <v>25</v>
      </c>
    </row>
    <row r="1887" spans="1:19">
      <c r="A1887" t="s">
        <v>3886</v>
      </c>
      <c r="B1887" t="s">
        <v>3887</v>
      </c>
      <c r="C1887" s="23" t="s">
        <v>4128</v>
      </c>
      <c r="D1887" s="23">
        <v>45003</v>
      </c>
      <c r="E1887" s="22">
        <v>3</v>
      </c>
      <c r="F1887" s="22">
        <v>18</v>
      </c>
      <c r="G1887" s="22">
        <v>2023</v>
      </c>
      <c r="H1887" s="23">
        <f t="shared" si="87"/>
        <v>45003</v>
      </c>
      <c r="I1887" s="25">
        <v>45005</v>
      </c>
      <c r="J1887" s="22">
        <f t="shared" si="88"/>
        <v>2</v>
      </c>
      <c r="K1887" t="s">
        <v>33</v>
      </c>
      <c r="L1887">
        <v>12536</v>
      </c>
      <c r="M1887">
        <v>318</v>
      </c>
      <c r="N1887" s="26">
        <v>441.89</v>
      </c>
      <c r="O1887" s="26">
        <f t="shared" si="89"/>
        <v>441.89</v>
      </c>
      <c r="P1887">
        <v>56</v>
      </c>
      <c r="Q1887" t="b">
        <v>1</v>
      </c>
      <c r="S1887" t="s">
        <v>34</v>
      </c>
    </row>
    <row r="1888" spans="1:19">
      <c r="A1888" t="s">
        <v>3888</v>
      </c>
      <c r="B1888" t="s">
        <v>3889</v>
      </c>
      <c r="C1888" s="23" t="s">
        <v>4129</v>
      </c>
      <c r="D1888" s="23" t="s">
        <v>3890</v>
      </c>
      <c r="E1888" s="22">
        <v>31</v>
      </c>
      <c r="F1888" s="22">
        <v>12</v>
      </c>
      <c r="G1888" s="22">
        <v>2023</v>
      </c>
      <c r="H1888" s="23">
        <f t="shared" si="87"/>
        <v>45291</v>
      </c>
      <c r="I1888" s="25">
        <v>45301</v>
      </c>
      <c r="J1888" s="22">
        <f t="shared" si="88"/>
        <v>10</v>
      </c>
      <c r="K1888" t="s">
        <v>14</v>
      </c>
      <c r="L1888">
        <v>29541</v>
      </c>
      <c r="M1888">
        <v>873</v>
      </c>
      <c r="N1888" s="26">
        <v>1077.14</v>
      </c>
      <c r="O1888" s="26">
        <f t="shared" si="89"/>
        <v>1077.14</v>
      </c>
      <c r="P1888">
        <v>146</v>
      </c>
      <c r="Q1888" t="b">
        <v>1</v>
      </c>
      <c r="S1888" t="s">
        <v>16</v>
      </c>
    </row>
    <row r="1889" spans="1:19">
      <c r="A1889" t="s">
        <v>3891</v>
      </c>
      <c r="B1889" t="s">
        <v>3892</v>
      </c>
      <c r="C1889" s="23" t="s">
        <v>4131</v>
      </c>
      <c r="D1889" s="23">
        <v>45084</v>
      </c>
      <c r="E1889" s="22">
        <v>6</v>
      </c>
      <c r="F1889" s="22">
        <v>7</v>
      </c>
      <c r="G1889" s="22">
        <v>2023</v>
      </c>
      <c r="H1889" s="23">
        <f t="shared" si="87"/>
        <v>45084</v>
      </c>
      <c r="I1889" s="25">
        <v>45085</v>
      </c>
      <c r="J1889" s="22">
        <f t="shared" si="88"/>
        <v>1</v>
      </c>
      <c r="K1889" t="s">
        <v>19</v>
      </c>
      <c r="L1889">
        <v>80083</v>
      </c>
      <c r="M1889">
        <v>2177</v>
      </c>
      <c r="N1889" s="26">
        <v>1523.94</v>
      </c>
      <c r="O1889" s="26">
        <f t="shared" si="89"/>
        <v>1523.94</v>
      </c>
      <c r="P1889">
        <v>142</v>
      </c>
      <c r="Q1889" t="b">
        <v>0</v>
      </c>
      <c r="S1889" t="s">
        <v>20</v>
      </c>
    </row>
    <row r="1890" spans="1:19">
      <c r="A1890" t="s">
        <v>3893</v>
      </c>
      <c r="B1890" t="s">
        <v>3894</v>
      </c>
      <c r="C1890" s="23" t="s">
        <v>4129</v>
      </c>
      <c r="D1890" s="23">
        <v>45155</v>
      </c>
      <c r="E1890" s="22">
        <v>8</v>
      </c>
      <c r="F1890" s="22">
        <v>17</v>
      </c>
      <c r="G1890" s="22">
        <v>2023</v>
      </c>
      <c r="H1890" s="23">
        <f t="shared" si="87"/>
        <v>45155</v>
      </c>
      <c r="I1890" s="25">
        <v>45160</v>
      </c>
      <c r="J1890" s="22">
        <f t="shared" si="88"/>
        <v>5</v>
      </c>
      <c r="K1890" t="s">
        <v>23</v>
      </c>
      <c r="L1890">
        <v>52027</v>
      </c>
      <c r="M1890">
        <v>2061</v>
      </c>
      <c r="N1890" s="26">
        <v>1780.33</v>
      </c>
      <c r="O1890" s="26">
        <f t="shared" si="89"/>
        <v>1780.33</v>
      </c>
      <c r="P1890">
        <v>136</v>
      </c>
      <c r="Q1890" t="b">
        <v>0</v>
      </c>
      <c r="S1890" t="s">
        <v>25</v>
      </c>
    </row>
    <row r="1891" spans="1:19">
      <c r="A1891" t="s">
        <v>3895</v>
      </c>
      <c r="B1891" t="s">
        <v>3896</v>
      </c>
      <c r="C1891" s="23" t="s">
        <v>4129</v>
      </c>
      <c r="D1891" s="23">
        <v>44994</v>
      </c>
      <c r="E1891" s="22">
        <v>3</v>
      </c>
      <c r="F1891" s="22">
        <v>9</v>
      </c>
      <c r="G1891" s="22">
        <v>2023</v>
      </c>
      <c r="H1891" s="23">
        <f t="shared" si="87"/>
        <v>44994</v>
      </c>
      <c r="I1891" s="25">
        <v>45179</v>
      </c>
      <c r="J1891" s="22">
        <f t="shared" si="88"/>
        <v>185</v>
      </c>
      <c r="K1891" t="s">
        <v>14</v>
      </c>
      <c r="L1891">
        <v>35531</v>
      </c>
      <c r="M1891">
        <v>1581</v>
      </c>
      <c r="N1891" s="26">
        <v>1482.25</v>
      </c>
      <c r="O1891" s="26">
        <f t="shared" si="89"/>
        <v>1482.25</v>
      </c>
      <c r="P1891">
        <v>0</v>
      </c>
      <c r="Q1891" t="b">
        <v>1</v>
      </c>
      <c r="S1891" t="s">
        <v>16</v>
      </c>
    </row>
    <row r="1892" spans="1:19">
      <c r="A1892" t="s">
        <v>3897</v>
      </c>
      <c r="B1892" t="s">
        <v>3898</v>
      </c>
      <c r="C1892" s="23" t="s">
        <v>4127</v>
      </c>
      <c r="D1892" s="23">
        <v>45204</v>
      </c>
      <c r="E1892" s="22">
        <v>10</v>
      </c>
      <c r="F1892" s="22">
        <v>5</v>
      </c>
      <c r="G1892" s="22">
        <v>2023</v>
      </c>
      <c r="H1892" s="23">
        <f t="shared" si="87"/>
        <v>45204</v>
      </c>
      <c r="I1892" s="25">
        <v>45070</v>
      </c>
      <c r="J1892" s="22">
        <f t="shared" si="88"/>
        <v>-134</v>
      </c>
      <c r="K1892" t="s">
        <v>33</v>
      </c>
      <c r="L1892">
        <v>9712</v>
      </c>
      <c r="M1892">
        <v>303</v>
      </c>
      <c r="N1892" s="26">
        <v>571.6</v>
      </c>
      <c r="O1892" s="26">
        <f t="shared" si="89"/>
        <v>571.6</v>
      </c>
      <c r="P1892">
        <v>15</v>
      </c>
      <c r="Q1892" t="b">
        <v>0</v>
      </c>
      <c r="S1892" t="s">
        <v>34</v>
      </c>
    </row>
    <row r="1893" spans="1:19">
      <c r="A1893" t="s">
        <v>3899</v>
      </c>
      <c r="B1893" t="s">
        <v>3900</v>
      </c>
      <c r="C1893" s="23" t="s">
        <v>4129</v>
      </c>
      <c r="D1893" s="23">
        <v>45181</v>
      </c>
      <c r="E1893" s="22">
        <v>9</v>
      </c>
      <c r="F1893" s="22">
        <v>12</v>
      </c>
      <c r="G1893" s="22">
        <v>2023</v>
      </c>
      <c r="H1893" s="23">
        <f t="shared" si="87"/>
        <v>45181</v>
      </c>
      <c r="I1893" s="25">
        <v>45200</v>
      </c>
      <c r="J1893" s="22">
        <f t="shared" si="88"/>
        <v>19</v>
      </c>
      <c r="K1893" t="s">
        <v>415</v>
      </c>
      <c r="L1893">
        <v>66455</v>
      </c>
      <c r="M1893">
        <v>2763</v>
      </c>
      <c r="N1893" s="26">
        <v>2336.34</v>
      </c>
      <c r="O1893" s="26">
        <f t="shared" si="89"/>
        <v>2336.34</v>
      </c>
      <c r="P1893">
        <v>365</v>
      </c>
      <c r="Q1893" t="b">
        <v>1</v>
      </c>
      <c r="S1893" t="s">
        <v>34</v>
      </c>
    </row>
    <row r="1894" spans="1:19">
      <c r="A1894" t="s">
        <v>3901</v>
      </c>
      <c r="B1894" t="s">
        <v>3902</v>
      </c>
      <c r="C1894" s="23" t="s">
        <v>4131</v>
      </c>
      <c r="D1894" s="23">
        <v>44929</v>
      </c>
      <c r="E1894" s="22">
        <v>1</v>
      </c>
      <c r="F1894" s="22">
        <v>3</v>
      </c>
      <c r="G1894" s="22">
        <v>2023</v>
      </c>
      <c r="H1894" s="23">
        <f t="shared" si="87"/>
        <v>44929</v>
      </c>
      <c r="I1894" s="25">
        <v>44936</v>
      </c>
      <c r="J1894" s="22">
        <f t="shared" si="88"/>
        <v>7</v>
      </c>
      <c r="K1894" t="s">
        <v>33</v>
      </c>
      <c r="L1894">
        <v>75744</v>
      </c>
      <c r="M1894">
        <v>1656</v>
      </c>
      <c r="N1894" s="26">
        <v>1546.48</v>
      </c>
      <c r="O1894" s="26">
        <f t="shared" si="89"/>
        <v>1546.48</v>
      </c>
      <c r="P1894">
        <v>324</v>
      </c>
      <c r="Q1894" t="b">
        <v>1</v>
      </c>
      <c r="S1894" t="s">
        <v>34</v>
      </c>
    </row>
    <row r="1895" spans="1:19">
      <c r="A1895" t="s">
        <v>3903</v>
      </c>
      <c r="B1895" t="s">
        <v>3904</v>
      </c>
      <c r="C1895" s="23" t="s">
        <v>4127</v>
      </c>
      <c r="D1895" s="23">
        <v>45038</v>
      </c>
      <c r="E1895" s="22">
        <v>4</v>
      </c>
      <c r="F1895" s="22">
        <v>22</v>
      </c>
      <c r="G1895" s="22">
        <v>2023</v>
      </c>
      <c r="H1895" s="23">
        <f t="shared" si="87"/>
        <v>45038</v>
      </c>
      <c r="I1895" s="25">
        <v>45052</v>
      </c>
      <c r="J1895" s="22">
        <f t="shared" si="88"/>
        <v>14</v>
      </c>
      <c r="K1895" t="s">
        <v>41</v>
      </c>
      <c r="L1895">
        <v>6109</v>
      </c>
      <c r="M1895">
        <v>193</v>
      </c>
      <c r="N1895" s="26">
        <v>203.43</v>
      </c>
      <c r="O1895" s="26">
        <f t="shared" si="89"/>
        <v>203.43</v>
      </c>
      <c r="P1895">
        <v>22</v>
      </c>
      <c r="Q1895" t="b">
        <v>1</v>
      </c>
      <c r="S1895" t="s">
        <v>42</v>
      </c>
    </row>
    <row r="1896" spans="1:19">
      <c r="A1896" t="s">
        <v>3905</v>
      </c>
      <c r="B1896" t="s">
        <v>3906</v>
      </c>
      <c r="C1896" s="23" t="s">
        <v>4128</v>
      </c>
      <c r="D1896" s="23">
        <v>45136</v>
      </c>
      <c r="E1896" s="22">
        <v>7</v>
      </c>
      <c r="F1896" s="22">
        <v>29</v>
      </c>
      <c r="G1896" s="22">
        <v>2023</v>
      </c>
      <c r="H1896" s="23">
        <f t="shared" si="87"/>
        <v>45136</v>
      </c>
      <c r="I1896" s="25">
        <v>45162</v>
      </c>
      <c r="J1896" s="22">
        <f t="shared" si="88"/>
        <v>26</v>
      </c>
      <c r="K1896" t="s">
        <v>23</v>
      </c>
      <c r="L1896">
        <v>50268</v>
      </c>
      <c r="M1896">
        <v>1196</v>
      </c>
      <c r="N1896" s="26">
        <v>1788.75</v>
      </c>
      <c r="O1896" s="26">
        <f t="shared" si="89"/>
        <v>1788.75</v>
      </c>
      <c r="P1896">
        <v>156</v>
      </c>
      <c r="Q1896" t="b">
        <v>1</v>
      </c>
      <c r="S1896" t="s">
        <v>25</v>
      </c>
    </row>
    <row r="1897" spans="1:19">
      <c r="A1897" t="s">
        <v>3907</v>
      </c>
      <c r="B1897" t="s">
        <v>3908</v>
      </c>
      <c r="C1897" s="23" t="s">
        <v>4127</v>
      </c>
      <c r="D1897" s="23">
        <v>44930</v>
      </c>
      <c r="E1897" s="22">
        <v>1</v>
      </c>
      <c r="F1897" s="22">
        <v>4</v>
      </c>
      <c r="G1897" s="22">
        <v>2023</v>
      </c>
      <c r="H1897" s="23">
        <f t="shared" si="87"/>
        <v>44930</v>
      </c>
      <c r="I1897" s="25">
        <v>44957</v>
      </c>
      <c r="J1897" s="22">
        <f t="shared" si="88"/>
        <v>27</v>
      </c>
      <c r="K1897" t="s">
        <v>41</v>
      </c>
      <c r="L1897">
        <v>55615</v>
      </c>
      <c r="M1897">
        <v>1477</v>
      </c>
      <c r="N1897" s="26">
        <v>1000.46</v>
      </c>
      <c r="O1897" s="26">
        <f t="shared" si="89"/>
        <v>1000.46</v>
      </c>
      <c r="P1897">
        <v>288</v>
      </c>
      <c r="Q1897" t="b">
        <v>1</v>
      </c>
      <c r="S1897" t="s">
        <v>42</v>
      </c>
    </row>
    <row r="1898" spans="1:19">
      <c r="A1898" t="s">
        <v>3909</v>
      </c>
      <c r="B1898" t="s">
        <v>3910</v>
      </c>
      <c r="C1898" s="23" t="s">
        <v>4128</v>
      </c>
      <c r="D1898" s="23">
        <v>45244</v>
      </c>
      <c r="E1898" s="22">
        <v>11</v>
      </c>
      <c r="F1898" s="22">
        <v>14</v>
      </c>
      <c r="G1898" s="22">
        <v>2023</v>
      </c>
      <c r="H1898" s="23">
        <f t="shared" si="87"/>
        <v>45244</v>
      </c>
      <c r="I1898" s="25">
        <v>45273</v>
      </c>
      <c r="J1898" s="22">
        <f t="shared" si="88"/>
        <v>29</v>
      </c>
      <c r="K1898" t="s">
        <v>19</v>
      </c>
      <c r="L1898">
        <v>83503</v>
      </c>
      <c r="M1898">
        <v>3281</v>
      </c>
      <c r="N1898" s="26">
        <v>6335.34</v>
      </c>
      <c r="O1898" s="26">
        <f t="shared" si="89"/>
        <v>3632.575</v>
      </c>
      <c r="P1898">
        <v>289</v>
      </c>
      <c r="Q1898" t="b">
        <v>0</v>
      </c>
      <c r="S1898" t="s">
        <v>20</v>
      </c>
    </row>
    <row r="1899" spans="1:19">
      <c r="A1899" t="s">
        <v>3911</v>
      </c>
      <c r="B1899" t="s">
        <v>3912</v>
      </c>
      <c r="C1899" s="23" t="s">
        <v>4128</v>
      </c>
      <c r="D1899" s="23" t="s">
        <v>3913</v>
      </c>
      <c r="E1899" s="22">
        <v>17</v>
      </c>
      <c r="F1899" s="22">
        <v>4</v>
      </c>
      <c r="G1899" s="22">
        <v>2023</v>
      </c>
      <c r="H1899" s="23">
        <f t="shared" si="87"/>
        <v>45033</v>
      </c>
      <c r="I1899" s="25">
        <v>45038</v>
      </c>
      <c r="J1899" s="22">
        <f t="shared" si="88"/>
        <v>5</v>
      </c>
      <c r="K1899" t="s">
        <v>138</v>
      </c>
      <c r="L1899">
        <v>30759</v>
      </c>
      <c r="M1899">
        <v>1392</v>
      </c>
      <c r="N1899" s="26">
        <v>-2503.31</v>
      </c>
      <c r="O1899" s="26">
        <f t="shared" si="89"/>
        <v>-344.195</v>
      </c>
      <c r="P1899">
        <v>0</v>
      </c>
      <c r="Q1899" t="b">
        <v>1</v>
      </c>
      <c r="S1899" t="s">
        <v>139</v>
      </c>
    </row>
    <row r="1900" spans="1:19">
      <c r="A1900" t="s">
        <v>3914</v>
      </c>
      <c r="B1900" t="s">
        <v>3915</v>
      </c>
      <c r="C1900" s="23" t="s">
        <v>4129</v>
      </c>
      <c r="D1900" s="23" t="s">
        <v>865</v>
      </c>
      <c r="E1900" s="22">
        <v>17</v>
      </c>
      <c r="F1900" s="22">
        <v>3</v>
      </c>
      <c r="G1900" s="22">
        <v>2023</v>
      </c>
      <c r="H1900" s="23">
        <f t="shared" si="87"/>
        <v>45002</v>
      </c>
      <c r="I1900" s="25">
        <v>45016</v>
      </c>
      <c r="J1900" s="22">
        <f t="shared" si="88"/>
        <v>14</v>
      </c>
      <c r="K1900" t="s">
        <v>23</v>
      </c>
      <c r="L1900">
        <v>86708</v>
      </c>
      <c r="M1900">
        <v>1288</v>
      </c>
      <c r="N1900" s="26">
        <v>1759.18</v>
      </c>
      <c r="O1900" s="26">
        <f t="shared" si="89"/>
        <v>1759.18</v>
      </c>
      <c r="P1900">
        <v>0</v>
      </c>
      <c r="Q1900" t="b">
        <v>0</v>
      </c>
      <c r="S1900" t="s">
        <v>25</v>
      </c>
    </row>
    <row r="1901" spans="1:19">
      <c r="A1901" t="s">
        <v>3916</v>
      </c>
      <c r="B1901" t="s">
        <v>3917</v>
      </c>
      <c r="C1901" s="23" t="s">
        <v>4131</v>
      </c>
      <c r="D1901" s="23" t="s">
        <v>3918</v>
      </c>
      <c r="E1901" s="22">
        <v>28</v>
      </c>
      <c r="F1901" s="22">
        <v>6</v>
      </c>
      <c r="G1901" s="22">
        <v>2023</v>
      </c>
      <c r="H1901" s="23">
        <f t="shared" si="87"/>
        <v>45105</v>
      </c>
      <c r="I1901" s="25">
        <v>45123</v>
      </c>
      <c r="J1901" s="22">
        <f t="shared" si="88"/>
        <v>18</v>
      </c>
      <c r="K1901" t="s">
        <v>23</v>
      </c>
      <c r="L1901">
        <v>61112</v>
      </c>
      <c r="M1901">
        <v>2162</v>
      </c>
      <c r="N1901" s="26">
        <v>3266.9</v>
      </c>
      <c r="O1901" s="26">
        <f t="shared" si="89"/>
        <v>3266.9</v>
      </c>
      <c r="P1901">
        <v>292</v>
      </c>
      <c r="Q1901" t="b">
        <v>1</v>
      </c>
      <c r="S1901" t="s">
        <v>25</v>
      </c>
    </row>
    <row r="1902" spans="1:19">
      <c r="A1902" t="s">
        <v>3919</v>
      </c>
      <c r="B1902" t="s">
        <v>3920</v>
      </c>
      <c r="C1902" s="23" t="s">
        <v>4129</v>
      </c>
      <c r="D1902" s="23">
        <v>44943</v>
      </c>
      <c r="E1902" s="22">
        <v>1</v>
      </c>
      <c r="F1902" s="22">
        <v>17</v>
      </c>
      <c r="G1902" s="22">
        <v>2023</v>
      </c>
      <c r="H1902" s="23">
        <f t="shared" si="87"/>
        <v>44943</v>
      </c>
      <c r="I1902" s="25">
        <v>44962</v>
      </c>
      <c r="J1902" s="22">
        <f t="shared" si="88"/>
        <v>19</v>
      </c>
      <c r="K1902" t="s">
        <v>33</v>
      </c>
      <c r="L1902">
        <v>27589</v>
      </c>
      <c r="M1902">
        <v>918</v>
      </c>
      <c r="N1902" s="26">
        <v>481.94</v>
      </c>
      <c r="O1902" s="26">
        <f t="shared" si="89"/>
        <v>481.94</v>
      </c>
      <c r="P1902">
        <v>93</v>
      </c>
      <c r="Q1902" t="b">
        <v>1</v>
      </c>
      <c r="S1902" t="s">
        <v>34</v>
      </c>
    </row>
    <row r="1903" spans="1:19">
      <c r="A1903" t="s">
        <v>3921</v>
      </c>
      <c r="B1903" t="s">
        <v>3922</v>
      </c>
      <c r="C1903" s="23" t="s">
        <v>4127</v>
      </c>
      <c r="D1903" s="23">
        <v>45079</v>
      </c>
      <c r="E1903" s="22">
        <v>6</v>
      </c>
      <c r="F1903" s="22">
        <v>2</v>
      </c>
      <c r="G1903" s="22">
        <v>2023</v>
      </c>
      <c r="H1903" s="23">
        <f t="shared" si="87"/>
        <v>45079</v>
      </c>
      <c r="I1903" s="25">
        <v>44972</v>
      </c>
      <c r="J1903" s="22">
        <f t="shared" si="88"/>
        <v>-107</v>
      </c>
      <c r="K1903" t="s">
        <v>33</v>
      </c>
      <c r="L1903">
        <v>31015</v>
      </c>
      <c r="M1903">
        <v>457</v>
      </c>
      <c r="N1903" s="26">
        <v>460.85</v>
      </c>
      <c r="O1903" s="26">
        <f t="shared" si="89"/>
        <v>460.85</v>
      </c>
      <c r="P1903">
        <v>61</v>
      </c>
      <c r="Q1903" t="b">
        <v>0</v>
      </c>
      <c r="S1903" t="s">
        <v>34</v>
      </c>
    </row>
    <row r="1904" spans="1:19">
      <c r="A1904" t="s">
        <v>3923</v>
      </c>
      <c r="B1904" t="s">
        <v>3924</v>
      </c>
      <c r="C1904" s="23" t="s">
        <v>4131</v>
      </c>
      <c r="D1904" s="23">
        <v>44982</v>
      </c>
      <c r="E1904" s="22">
        <v>2</v>
      </c>
      <c r="F1904" s="22">
        <v>25</v>
      </c>
      <c r="G1904" s="22">
        <v>2023</v>
      </c>
      <c r="H1904" s="23">
        <f t="shared" si="87"/>
        <v>44982</v>
      </c>
      <c r="I1904" s="25">
        <v>45012</v>
      </c>
      <c r="J1904" s="22">
        <f t="shared" si="88"/>
        <v>30</v>
      </c>
      <c r="K1904" t="s">
        <v>23</v>
      </c>
      <c r="L1904">
        <v>30009</v>
      </c>
      <c r="M1904">
        <v>554</v>
      </c>
      <c r="N1904" s="26">
        <v>938.19</v>
      </c>
      <c r="O1904" s="26">
        <f t="shared" si="89"/>
        <v>938.19</v>
      </c>
      <c r="P1904">
        <v>33</v>
      </c>
      <c r="Q1904" t="b">
        <v>1</v>
      </c>
      <c r="S1904" t="s">
        <v>25</v>
      </c>
    </row>
    <row r="1905" spans="1:19">
      <c r="A1905" t="s">
        <v>3925</v>
      </c>
      <c r="B1905" t="s">
        <v>3926</v>
      </c>
      <c r="C1905" s="23" t="s">
        <v>4127</v>
      </c>
      <c r="D1905" s="23">
        <v>45271</v>
      </c>
      <c r="E1905" s="22">
        <v>12</v>
      </c>
      <c r="F1905" s="22">
        <v>11</v>
      </c>
      <c r="G1905" s="22">
        <v>2023</v>
      </c>
      <c r="H1905" s="23">
        <f t="shared" si="87"/>
        <v>45271</v>
      </c>
      <c r="I1905" s="25">
        <v>45278</v>
      </c>
      <c r="J1905" s="22">
        <f t="shared" si="88"/>
        <v>7</v>
      </c>
      <c r="K1905" t="s">
        <v>33</v>
      </c>
      <c r="L1905">
        <v>84309</v>
      </c>
      <c r="M1905">
        <v>1891</v>
      </c>
      <c r="N1905" s="26">
        <v>1165.28</v>
      </c>
      <c r="O1905" s="26">
        <f t="shared" si="89"/>
        <v>1165.28</v>
      </c>
      <c r="P1905">
        <v>311</v>
      </c>
      <c r="Q1905" t="b">
        <v>0</v>
      </c>
      <c r="S1905" t="s">
        <v>34</v>
      </c>
    </row>
    <row r="1906" spans="1:19">
      <c r="A1906" t="s">
        <v>3927</v>
      </c>
      <c r="B1906" t="s">
        <v>3928</v>
      </c>
      <c r="C1906" s="23" t="s">
        <v>4127</v>
      </c>
      <c r="D1906" s="23">
        <v>45285</v>
      </c>
      <c r="E1906" s="22">
        <v>12</v>
      </c>
      <c r="F1906" s="22">
        <v>25</v>
      </c>
      <c r="G1906" s="22">
        <v>2023</v>
      </c>
      <c r="H1906" s="23">
        <f t="shared" si="87"/>
        <v>45285</v>
      </c>
      <c r="I1906" s="25">
        <v>45286</v>
      </c>
      <c r="J1906" s="22">
        <f t="shared" si="88"/>
        <v>1</v>
      </c>
      <c r="K1906" t="s">
        <v>14</v>
      </c>
      <c r="L1906">
        <v>63046</v>
      </c>
      <c r="M1906">
        <v>1051</v>
      </c>
      <c r="N1906" s="26">
        <v>970.57</v>
      </c>
      <c r="O1906" s="26">
        <f t="shared" si="89"/>
        <v>970.57</v>
      </c>
      <c r="P1906">
        <v>0</v>
      </c>
      <c r="Q1906" t="b">
        <v>1</v>
      </c>
      <c r="S1906" t="s">
        <v>16</v>
      </c>
    </row>
    <row r="1907" spans="1:19">
      <c r="A1907" t="s">
        <v>3929</v>
      </c>
      <c r="B1907" t="s">
        <v>3930</v>
      </c>
      <c r="C1907" s="23" t="s">
        <v>4129</v>
      </c>
      <c r="D1907" s="23">
        <v>45017</v>
      </c>
      <c r="E1907" s="22">
        <v>4</v>
      </c>
      <c r="F1907" s="22">
        <v>1</v>
      </c>
      <c r="G1907" s="22">
        <v>2023</v>
      </c>
      <c r="H1907" s="23">
        <f t="shared" si="87"/>
        <v>45017</v>
      </c>
      <c r="I1907" s="25">
        <v>45020</v>
      </c>
      <c r="J1907" s="22">
        <f t="shared" si="88"/>
        <v>3</v>
      </c>
      <c r="K1907" t="s">
        <v>23</v>
      </c>
      <c r="L1907">
        <v>27143</v>
      </c>
      <c r="M1907">
        <v>536</v>
      </c>
      <c r="N1907" s="26">
        <v>738.58</v>
      </c>
      <c r="O1907" s="26">
        <f t="shared" si="89"/>
        <v>738.58</v>
      </c>
      <c r="P1907">
        <v>98</v>
      </c>
      <c r="Q1907" t="b">
        <v>1</v>
      </c>
      <c r="S1907" t="s">
        <v>25</v>
      </c>
    </row>
    <row r="1908" spans="1:19">
      <c r="A1908" t="s">
        <v>3931</v>
      </c>
      <c r="B1908" t="s">
        <v>3932</v>
      </c>
      <c r="C1908" s="23" t="s">
        <v>4128</v>
      </c>
      <c r="D1908" s="23">
        <v>45111</v>
      </c>
      <c r="E1908" s="22">
        <v>7</v>
      </c>
      <c r="F1908" s="22">
        <v>4</v>
      </c>
      <c r="G1908" s="22">
        <v>2023</v>
      </c>
      <c r="H1908" s="23">
        <f t="shared" si="87"/>
        <v>45111</v>
      </c>
      <c r="I1908" s="25">
        <v>45029</v>
      </c>
      <c r="J1908" s="22">
        <f t="shared" si="88"/>
        <v>-82</v>
      </c>
      <c r="K1908" t="s">
        <v>19</v>
      </c>
      <c r="L1908">
        <v>7154</v>
      </c>
      <c r="M1908">
        <v>148</v>
      </c>
      <c r="N1908" s="26">
        <v>130.92</v>
      </c>
      <c r="O1908" s="26">
        <f t="shared" si="89"/>
        <v>130.92</v>
      </c>
      <c r="P1908">
        <v>15</v>
      </c>
      <c r="Q1908" t="b">
        <v>1</v>
      </c>
      <c r="S1908" t="s">
        <v>20</v>
      </c>
    </row>
    <row r="1909" spans="1:19">
      <c r="A1909" t="s">
        <v>3933</v>
      </c>
      <c r="B1909" t="s">
        <v>3934</v>
      </c>
      <c r="C1909" s="23" t="s">
        <v>4127</v>
      </c>
      <c r="D1909" s="23">
        <v>45080</v>
      </c>
      <c r="E1909" s="22">
        <v>6</v>
      </c>
      <c r="F1909" s="22">
        <v>3</v>
      </c>
      <c r="G1909" s="22">
        <v>2023</v>
      </c>
      <c r="H1909" s="23">
        <f t="shared" si="87"/>
        <v>45080</v>
      </c>
      <c r="I1909" s="25">
        <v>45108</v>
      </c>
      <c r="J1909" s="22">
        <f t="shared" si="88"/>
        <v>28</v>
      </c>
      <c r="K1909" t="s">
        <v>138</v>
      </c>
      <c r="L1909">
        <v>22804</v>
      </c>
      <c r="M1909">
        <v>534</v>
      </c>
      <c r="N1909" s="26">
        <v>1015.12</v>
      </c>
      <c r="O1909" s="26">
        <f t="shared" si="89"/>
        <v>1015.12</v>
      </c>
      <c r="P1909">
        <v>38</v>
      </c>
      <c r="Q1909" t="b">
        <v>1</v>
      </c>
      <c r="S1909" t="s">
        <v>139</v>
      </c>
    </row>
    <row r="1910" spans="1:19">
      <c r="A1910" t="s">
        <v>3935</v>
      </c>
      <c r="B1910" t="s">
        <v>3936</v>
      </c>
      <c r="C1910" s="23" t="s">
        <v>4131</v>
      </c>
      <c r="D1910" s="23">
        <v>44961</v>
      </c>
      <c r="E1910" s="22">
        <v>2</v>
      </c>
      <c r="F1910" s="22">
        <v>4</v>
      </c>
      <c r="G1910" s="22">
        <v>2023</v>
      </c>
      <c r="H1910" s="23">
        <f t="shared" si="87"/>
        <v>44961</v>
      </c>
      <c r="I1910" s="25">
        <v>44963</v>
      </c>
      <c r="J1910" s="22">
        <f t="shared" si="88"/>
        <v>2</v>
      </c>
      <c r="K1910" t="s">
        <v>14</v>
      </c>
      <c r="L1910">
        <v>42688</v>
      </c>
      <c r="M1910">
        <v>1706</v>
      </c>
      <c r="N1910" s="26">
        <v>1188.38</v>
      </c>
      <c r="O1910" s="26">
        <f t="shared" si="89"/>
        <v>1188.38</v>
      </c>
      <c r="P1910">
        <v>263</v>
      </c>
      <c r="Q1910" t="b">
        <v>1</v>
      </c>
      <c r="S1910" t="s">
        <v>16</v>
      </c>
    </row>
    <row r="1911" spans="1:19">
      <c r="A1911" t="s">
        <v>3937</v>
      </c>
      <c r="B1911" t="s">
        <v>3938</v>
      </c>
      <c r="C1911" s="23" t="s">
        <v>4127</v>
      </c>
      <c r="D1911" s="23">
        <v>44960</v>
      </c>
      <c r="E1911" s="22">
        <v>2</v>
      </c>
      <c r="F1911" s="22">
        <v>3</v>
      </c>
      <c r="G1911" s="22">
        <v>2023</v>
      </c>
      <c r="H1911" s="23">
        <f t="shared" si="87"/>
        <v>44960</v>
      </c>
      <c r="I1911" s="25">
        <v>44969</v>
      </c>
      <c r="J1911" s="22">
        <f t="shared" si="88"/>
        <v>9</v>
      </c>
      <c r="K1911" t="s">
        <v>41</v>
      </c>
      <c r="L1911">
        <v>65288</v>
      </c>
      <c r="M1911">
        <v>2146</v>
      </c>
      <c r="N1911" s="26">
        <v>3639.81</v>
      </c>
      <c r="O1911" s="26">
        <f t="shared" si="89"/>
        <v>3632.575</v>
      </c>
      <c r="P1911">
        <v>160</v>
      </c>
      <c r="Q1911" t="b">
        <v>1</v>
      </c>
      <c r="S1911" t="s">
        <v>42</v>
      </c>
    </row>
    <row r="1912" spans="1:19">
      <c r="A1912" t="s">
        <v>3939</v>
      </c>
      <c r="B1912" t="s">
        <v>3940</v>
      </c>
      <c r="C1912" s="23" t="s">
        <v>4128</v>
      </c>
      <c r="D1912" s="23">
        <v>45282</v>
      </c>
      <c r="E1912" s="22">
        <v>12</v>
      </c>
      <c r="F1912" s="22">
        <v>22</v>
      </c>
      <c r="G1912" s="22">
        <v>2023</v>
      </c>
      <c r="H1912" s="23">
        <f t="shared" si="87"/>
        <v>45282</v>
      </c>
      <c r="I1912" s="25">
        <v>45306</v>
      </c>
      <c r="J1912" s="22">
        <f t="shared" si="88"/>
        <v>24</v>
      </c>
      <c r="K1912" t="s">
        <v>19</v>
      </c>
      <c r="L1912">
        <v>52195</v>
      </c>
      <c r="M1912">
        <v>2581</v>
      </c>
      <c r="N1912" s="26">
        <v>3257.02</v>
      </c>
      <c r="O1912" s="26">
        <f t="shared" si="89"/>
        <v>3257.02</v>
      </c>
      <c r="P1912">
        <v>420</v>
      </c>
      <c r="Q1912" t="b">
        <v>0</v>
      </c>
      <c r="S1912" t="s">
        <v>20</v>
      </c>
    </row>
    <row r="1913" spans="1:19">
      <c r="A1913" t="s">
        <v>3941</v>
      </c>
      <c r="B1913" t="s">
        <v>3942</v>
      </c>
      <c r="C1913" s="23" t="s">
        <v>4128</v>
      </c>
      <c r="D1913" s="23">
        <v>45138</v>
      </c>
      <c r="E1913" s="22">
        <v>7</v>
      </c>
      <c r="F1913" s="22">
        <v>31</v>
      </c>
      <c r="G1913" s="22">
        <v>2023</v>
      </c>
      <c r="H1913" s="23">
        <f t="shared" si="87"/>
        <v>45138</v>
      </c>
      <c r="I1913" s="25">
        <v>45154</v>
      </c>
      <c r="J1913" s="22">
        <f t="shared" si="88"/>
        <v>16</v>
      </c>
      <c r="K1913" t="s">
        <v>33</v>
      </c>
      <c r="L1913">
        <v>21581</v>
      </c>
      <c r="M1913">
        <v>573</v>
      </c>
      <c r="N1913" s="26">
        <v>931.41</v>
      </c>
      <c r="O1913" s="26">
        <f t="shared" si="89"/>
        <v>931.41</v>
      </c>
      <c r="P1913">
        <v>0</v>
      </c>
      <c r="Q1913" t="b">
        <v>1</v>
      </c>
      <c r="S1913" t="s">
        <v>34</v>
      </c>
    </row>
    <row r="1914" spans="1:19">
      <c r="A1914" t="s">
        <v>3943</v>
      </c>
      <c r="B1914" t="s">
        <v>3944</v>
      </c>
      <c r="C1914" s="23" t="s">
        <v>4131</v>
      </c>
      <c r="D1914" s="23">
        <v>45210</v>
      </c>
      <c r="E1914" s="22">
        <v>10</v>
      </c>
      <c r="F1914" s="22">
        <v>11</v>
      </c>
      <c r="G1914" s="22">
        <v>2023</v>
      </c>
      <c r="H1914" s="23">
        <f t="shared" si="87"/>
        <v>45210</v>
      </c>
      <c r="I1914" s="25">
        <v>45266</v>
      </c>
      <c r="J1914" s="22">
        <f t="shared" si="88"/>
        <v>56</v>
      </c>
      <c r="K1914" t="s">
        <v>19</v>
      </c>
      <c r="L1914">
        <v>53648</v>
      </c>
      <c r="M1914">
        <v>2154</v>
      </c>
      <c r="N1914" s="26">
        <v>2080.92</v>
      </c>
      <c r="O1914" s="26">
        <f t="shared" si="89"/>
        <v>2080.92</v>
      </c>
      <c r="P1914">
        <v>359</v>
      </c>
      <c r="Q1914" t="b">
        <v>0</v>
      </c>
      <c r="S1914" t="s">
        <v>20</v>
      </c>
    </row>
    <row r="1915" spans="1:19">
      <c r="A1915" t="s">
        <v>3945</v>
      </c>
      <c r="B1915" t="s">
        <v>3946</v>
      </c>
      <c r="C1915" s="23" t="s">
        <v>4129</v>
      </c>
      <c r="D1915" s="23">
        <v>45219</v>
      </c>
      <c r="E1915" s="22">
        <v>10</v>
      </c>
      <c r="F1915" s="22">
        <v>20</v>
      </c>
      <c r="G1915" s="22">
        <v>2023</v>
      </c>
      <c r="H1915" s="23">
        <f t="shared" si="87"/>
        <v>45219</v>
      </c>
      <c r="I1915" s="25">
        <v>45222</v>
      </c>
      <c r="J1915" s="22">
        <f t="shared" si="88"/>
        <v>3</v>
      </c>
      <c r="K1915" t="s">
        <v>23</v>
      </c>
      <c r="L1915">
        <v>31087</v>
      </c>
      <c r="M1915">
        <v>1394</v>
      </c>
      <c r="N1915" s="26">
        <v>1772.8</v>
      </c>
      <c r="O1915" s="26">
        <f t="shared" si="89"/>
        <v>1772.8</v>
      </c>
      <c r="P1915">
        <v>74</v>
      </c>
      <c r="Q1915" t="b">
        <v>0</v>
      </c>
      <c r="S1915" t="s">
        <v>25</v>
      </c>
    </row>
    <row r="1916" spans="1:19">
      <c r="A1916" t="s">
        <v>3947</v>
      </c>
      <c r="B1916" t="s">
        <v>3948</v>
      </c>
      <c r="C1916" s="23" t="s">
        <v>4127</v>
      </c>
      <c r="D1916" s="23">
        <v>44971</v>
      </c>
      <c r="E1916" s="22">
        <v>2</v>
      </c>
      <c r="F1916" s="22">
        <v>14</v>
      </c>
      <c r="G1916" s="22">
        <v>2023</v>
      </c>
      <c r="H1916" s="23">
        <f t="shared" si="87"/>
        <v>44971</v>
      </c>
      <c r="I1916" s="25">
        <v>44979</v>
      </c>
      <c r="J1916" s="22">
        <f t="shared" si="88"/>
        <v>8</v>
      </c>
      <c r="K1916" t="s">
        <v>138</v>
      </c>
      <c r="L1916">
        <v>50930</v>
      </c>
      <c r="M1916">
        <v>1892</v>
      </c>
      <c r="N1916" s="26">
        <v>3377.7</v>
      </c>
      <c r="O1916" s="26">
        <f t="shared" si="89"/>
        <v>3377.7</v>
      </c>
      <c r="P1916">
        <v>264</v>
      </c>
      <c r="Q1916" t="b">
        <v>0</v>
      </c>
      <c r="S1916" t="s">
        <v>139</v>
      </c>
    </row>
    <row r="1917" spans="1:19">
      <c r="A1917" t="s">
        <v>3949</v>
      </c>
      <c r="B1917" t="s">
        <v>3950</v>
      </c>
      <c r="C1917" s="23" t="s">
        <v>4131</v>
      </c>
      <c r="D1917" s="23">
        <v>45288</v>
      </c>
      <c r="E1917" s="22">
        <v>12</v>
      </c>
      <c r="F1917" s="22">
        <v>28</v>
      </c>
      <c r="G1917" s="22">
        <v>2023</v>
      </c>
      <c r="H1917" s="23">
        <f t="shared" si="87"/>
        <v>45288</v>
      </c>
      <c r="I1917" s="25">
        <v>45303</v>
      </c>
      <c r="J1917" s="22">
        <f t="shared" si="88"/>
        <v>15</v>
      </c>
      <c r="K1917" t="s">
        <v>33</v>
      </c>
      <c r="L1917">
        <v>33981</v>
      </c>
      <c r="M1917">
        <v>899</v>
      </c>
      <c r="N1917" s="26">
        <v>1079.09</v>
      </c>
      <c r="O1917" s="26">
        <f t="shared" si="89"/>
        <v>1079.09</v>
      </c>
      <c r="P1917">
        <v>138</v>
      </c>
      <c r="Q1917" t="b">
        <v>1</v>
      </c>
      <c r="S1917" t="s">
        <v>34</v>
      </c>
    </row>
    <row r="1918" spans="1:19">
      <c r="A1918" t="s">
        <v>3951</v>
      </c>
      <c r="B1918" t="s">
        <v>3952</v>
      </c>
      <c r="C1918" s="23" t="s">
        <v>4127</v>
      </c>
      <c r="D1918" s="23">
        <v>45089</v>
      </c>
      <c r="E1918" s="22">
        <v>6</v>
      </c>
      <c r="F1918" s="22">
        <v>12</v>
      </c>
      <c r="G1918" s="22">
        <v>2023</v>
      </c>
      <c r="H1918" s="23">
        <f t="shared" si="87"/>
        <v>45089</v>
      </c>
      <c r="I1918" s="25">
        <v>45119</v>
      </c>
      <c r="J1918" s="22">
        <f t="shared" si="88"/>
        <v>30</v>
      </c>
      <c r="K1918" t="s">
        <v>41</v>
      </c>
      <c r="L1918">
        <v>70298</v>
      </c>
      <c r="M1918">
        <v>2822</v>
      </c>
      <c r="N1918" s="26">
        <v>2933.69</v>
      </c>
      <c r="O1918" s="26">
        <f t="shared" si="89"/>
        <v>2933.69</v>
      </c>
      <c r="P1918">
        <v>490</v>
      </c>
      <c r="Q1918" t="b">
        <v>0</v>
      </c>
      <c r="S1918" t="s">
        <v>42</v>
      </c>
    </row>
    <row r="1919" spans="1:19">
      <c r="A1919" t="s">
        <v>3953</v>
      </c>
      <c r="B1919" t="s">
        <v>3954</v>
      </c>
      <c r="C1919" s="23" t="s">
        <v>4131</v>
      </c>
      <c r="D1919" s="23">
        <v>45246</v>
      </c>
      <c r="E1919" s="22">
        <v>11</v>
      </c>
      <c r="F1919" s="22">
        <v>16</v>
      </c>
      <c r="G1919" s="22">
        <v>2023</v>
      </c>
      <c r="H1919" s="23">
        <f t="shared" si="87"/>
        <v>45246</v>
      </c>
      <c r="I1919" s="25">
        <v>45252</v>
      </c>
      <c r="J1919" s="22">
        <f t="shared" si="88"/>
        <v>6</v>
      </c>
      <c r="K1919" t="s">
        <v>33</v>
      </c>
      <c r="L1919">
        <v>47167</v>
      </c>
      <c r="M1919">
        <v>855</v>
      </c>
      <c r="N1919" s="26">
        <v>1115.12</v>
      </c>
      <c r="O1919" s="26">
        <f t="shared" si="89"/>
        <v>1115.12</v>
      </c>
      <c r="P1919">
        <v>49</v>
      </c>
      <c r="Q1919" t="b">
        <v>1</v>
      </c>
      <c r="S1919" t="s">
        <v>34</v>
      </c>
    </row>
    <row r="1920" spans="1:19">
      <c r="A1920" t="s">
        <v>3955</v>
      </c>
      <c r="B1920" t="s">
        <v>3956</v>
      </c>
      <c r="C1920" s="23" t="s">
        <v>4128</v>
      </c>
      <c r="D1920" s="23">
        <v>45215</v>
      </c>
      <c r="E1920" s="22">
        <v>10</v>
      </c>
      <c r="F1920" s="22">
        <v>16</v>
      </c>
      <c r="G1920" s="22">
        <v>2023</v>
      </c>
      <c r="H1920" s="23">
        <f t="shared" si="87"/>
        <v>45215</v>
      </c>
      <c r="I1920" s="25">
        <v>45245</v>
      </c>
      <c r="J1920" s="22">
        <f t="shared" si="88"/>
        <v>30</v>
      </c>
      <c r="K1920" t="s">
        <v>23</v>
      </c>
      <c r="L1920">
        <v>76304</v>
      </c>
      <c r="M1920">
        <v>1762</v>
      </c>
      <c r="N1920" s="26">
        <v>2776.99</v>
      </c>
      <c r="O1920" s="26">
        <f t="shared" si="89"/>
        <v>2776.99</v>
      </c>
      <c r="P1920">
        <v>214</v>
      </c>
      <c r="Q1920" t="b">
        <v>1</v>
      </c>
      <c r="S1920" t="s">
        <v>25</v>
      </c>
    </row>
    <row r="1921" spans="1:19">
      <c r="A1921" t="s">
        <v>3957</v>
      </c>
      <c r="B1921" t="s">
        <v>3958</v>
      </c>
      <c r="C1921" s="23" t="s">
        <v>4131</v>
      </c>
      <c r="D1921" s="23">
        <v>45181</v>
      </c>
      <c r="E1921" s="22">
        <v>9</v>
      </c>
      <c r="F1921" s="22">
        <v>12</v>
      </c>
      <c r="G1921" s="22">
        <v>2023</v>
      </c>
      <c r="H1921" s="23">
        <f t="shared" si="87"/>
        <v>45181</v>
      </c>
      <c r="I1921" s="25">
        <v>45203</v>
      </c>
      <c r="J1921" s="22">
        <f t="shared" si="88"/>
        <v>22</v>
      </c>
      <c r="K1921" t="s">
        <v>19</v>
      </c>
      <c r="L1921">
        <v>44408</v>
      </c>
      <c r="M1921">
        <v>1415</v>
      </c>
      <c r="N1921" s="26">
        <v>1648.96</v>
      </c>
      <c r="O1921" s="26">
        <f t="shared" si="89"/>
        <v>1648.96</v>
      </c>
      <c r="P1921">
        <v>184</v>
      </c>
      <c r="Q1921" t="b">
        <v>1</v>
      </c>
      <c r="S1921" t="s">
        <v>20</v>
      </c>
    </row>
    <row r="1922" spans="1:19">
      <c r="A1922" t="s">
        <v>3959</v>
      </c>
      <c r="B1922" t="s">
        <v>3960</v>
      </c>
      <c r="C1922" s="23" t="s">
        <v>4131</v>
      </c>
      <c r="D1922" s="23">
        <v>45239</v>
      </c>
      <c r="E1922" s="22">
        <v>11</v>
      </c>
      <c r="F1922" s="22">
        <v>9</v>
      </c>
      <c r="G1922" s="22">
        <v>2023</v>
      </c>
      <c r="H1922" s="23">
        <f t="shared" si="87"/>
        <v>45239</v>
      </c>
      <c r="I1922" s="25">
        <v>45255</v>
      </c>
      <c r="J1922" s="22">
        <f t="shared" si="88"/>
        <v>16</v>
      </c>
      <c r="K1922" t="s">
        <v>41</v>
      </c>
      <c r="L1922">
        <v>40499</v>
      </c>
      <c r="M1922">
        <v>1337</v>
      </c>
      <c r="N1922" s="26">
        <v>2551.42</v>
      </c>
      <c r="O1922" s="26">
        <f t="shared" si="89"/>
        <v>2551.42</v>
      </c>
      <c r="P1922">
        <v>100</v>
      </c>
      <c r="Q1922" t="b">
        <v>1</v>
      </c>
      <c r="S1922" t="s">
        <v>42</v>
      </c>
    </row>
    <row r="1923" spans="1:19">
      <c r="A1923" t="s">
        <v>3961</v>
      </c>
      <c r="B1923" t="s">
        <v>3962</v>
      </c>
      <c r="C1923" s="23" t="s">
        <v>4127</v>
      </c>
      <c r="D1923" s="23">
        <v>45203</v>
      </c>
      <c r="E1923" s="22">
        <v>10</v>
      </c>
      <c r="F1923" s="22">
        <v>4</v>
      </c>
      <c r="G1923" s="22">
        <v>2023</v>
      </c>
      <c r="H1923" s="23">
        <f t="shared" ref="H1923:H1986" si="90">IF(E1923&gt;12,DATE(G1923,F1923,E1923),D1923)</f>
        <v>45203</v>
      </c>
      <c r="I1923" s="25">
        <v>45030</v>
      </c>
      <c r="J1923" s="22">
        <f t="shared" ref="J1923:J1986" si="91">DATEDIF(H1923,I1923,"D")</f>
        <v>-173</v>
      </c>
      <c r="K1923" t="s">
        <v>41</v>
      </c>
      <c r="L1923">
        <v>53269</v>
      </c>
      <c r="M1923">
        <v>579</v>
      </c>
      <c r="N1923" s="26">
        <v>545.66</v>
      </c>
      <c r="O1923" s="26">
        <f t="shared" ref="O1923:O1986" si="92">IF(N1923&lt;$W$8,$W$8,IF(N1923&gt;$W$9,$W$9,N1923))</f>
        <v>545.66</v>
      </c>
      <c r="P1923">
        <v>56</v>
      </c>
      <c r="Q1923" t="b">
        <v>1</v>
      </c>
      <c r="S1923" t="s">
        <v>42</v>
      </c>
    </row>
    <row r="1924" spans="1:19">
      <c r="A1924" t="s">
        <v>3963</v>
      </c>
      <c r="B1924" t="s">
        <v>3964</v>
      </c>
      <c r="C1924" s="23" t="s">
        <v>4127</v>
      </c>
      <c r="D1924" s="23">
        <v>44939</v>
      </c>
      <c r="E1924" s="22">
        <v>1</v>
      </c>
      <c r="F1924" s="22">
        <v>13</v>
      </c>
      <c r="G1924" s="22">
        <v>2023</v>
      </c>
      <c r="H1924" s="23">
        <f t="shared" si="90"/>
        <v>44939</v>
      </c>
      <c r="I1924" s="25">
        <v>44942</v>
      </c>
      <c r="J1924" s="22">
        <f t="shared" si="91"/>
        <v>3</v>
      </c>
      <c r="K1924" t="s">
        <v>19</v>
      </c>
      <c r="L1924">
        <v>39559</v>
      </c>
      <c r="M1924">
        <v>1891</v>
      </c>
      <c r="N1924" s="26">
        <v>2294.15</v>
      </c>
      <c r="O1924" s="26">
        <f t="shared" si="92"/>
        <v>2294.15</v>
      </c>
      <c r="P1924">
        <v>219</v>
      </c>
      <c r="Q1924" t="b">
        <v>1</v>
      </c>
      <c r="S1924" t="s">
        <v>20</v>
      </c>
    </row>
    <row r="1925" spans="1:19">
      <c r="A1925" t="s">
        <v>3965</v>
      </c>
      <c r="B1925" t="s">
        <v>3966</v>
      </c>
      <c r="C1925" s="23" t="s">
        <v>4127</v>
      </c>
      <c r="D1925" s="23">
        <v>45033</v>
      </c>
      <c r="E1925" s="22">
        <v>4</v>
      </c>
      <c r="F1925" s="22">
        <v>17</v>
      </c>
      <c r="G1925" s="22">
        <v>2023</v>
      </c>
      <c r="H1925" s="23">
        <f t="shared" si="90"/>
        <v>45033</v>
      </c>
      <c r="I1925" s="25">
        <v>45055</v>
      </c>
      <c r="J1925" s="22">
        <f t="shared" si="91"/>
        <v>22</v>
      </c>
      <c r="K1925" t="s">
        <v>33</v>
      </c>
      <c r="L1925">
        <v>75319</v>
      </c>
      <c r="M1925">
        <v>2851</v>
      </c>
      <c r="N1925" s="26">
        <v>4662.5</v>
      </c>
      <c r="O1925" s="26">
        <f t="shared" si="92"/>
        <v>3632.575</v>
      </c>
      <c r="P1925">
        <v>498</v>
      </c>
      <c r="Q1925" t="b">
        <v>1</v>
      </c>
      <c r="S1925" t="s">
        <v>34</v>
      </c>
    </row>
    <row r="1926" spans="1:19">
      <c r="A1926" t="s">
        <v>3967</v>
      </c>
      <c r="B1926" t="s">
        <v>3968</v>
      </c>
      <c r="C1926" s="23" t="s">
        <v>4131</v>
      </c>
      <c r="D1926" s="23" t="s">
        <v>617</v>
      </c>
      <c r="E1926" s="22">
        <v>31</v>
      </c>
      <c r="F1926" s="22">
        <v>7</v>
      </c>
      <c r="G1926" s="22">
        <v>2023</v>
      </c>
      <c r="H1926" s="23">
        <f t="shared" si="90"/>
        <v>45138</v>
      </c>
      <c r="I1926" s="25">
        <v>45153</v>
      </c>
      <c r="J1926" s="22">
        <f t="shared" si="91"/>
        <v>15</v>
      </c>
      <c r="K1926" t="s">
        <v>33</v>
      </c>
      <c r="L1926">
        <v>96317</v>
      </c>
      <c r="M1926">
        <v>2872</v>
      </c>
      <c r="N1926" s="26">
        <v>4404.73</v>
      </c>
      <c r="O1926" s="26">
        <f t="shared" si="92"/>
        <v>3632.575</v>
      </c>
      <c r="P1926">
        <v>543</v>
      </c>
      <c r="Q1926" t="b">
        <v>0</v>
      </c>
      <c r="S1926" t="s">
        <v>34</v>
      </c>
    </row>
    <row r="1927" spans="1:19">
      <c r="A1927" t="s">
        <v>3969</v>
      </c>
      <c r="B1927" t="s">
        <v>3970</v>
      </c>
      <c r="C1927" s="23" t="s">
        <v>4129</v>
      </c>
      <c r="D1927" s="23">
        <v>45106</v>
      </c>
      <c r="E1927" s="22">
        <v>6</v>
      </c>
      <c r="F1927" s="22">
        <v>29</v>
      </c>
      <c r="G1927" s="22">
        <v>2023</v>
      </c>
      <c r="H1927" s="23">
        <f t="shared" si="90"/>
        <v>45106</v>
      </c>
      <c r="I1927" s="25">
        <v>45132</v>
      </c>
      <c r="J1927" s="22">
        <f t="shared" si="91"/>
        <v>26</v>
      </c>
      <c r="K1927" t="s">
        <v>19</v>
      </c>
      <c r="L1927">
        <v>97347</v>
      </c>
      <c r="M1927">
        <v>4606</v>
      </c>
      <c r="N1927" s="26">
        <v>8269.9</v>
      </c>
      <c r="O1927" s="26">
        <f t="shared" si="92"/>
        <v>3632.575</v>
      </c>
      <c r="P1927">
        <v>664</v>
      </c>
      <c r="Q1927" t="b">
        <v>0</v>
      </c>
      <c r="S1927" t="s">
        <v>20</v>
      </c>
    </row>
    <row r="1928" spans="1:19">
      <c r="A1928" t="s">
        <v>3971</v>
      </c>
      <c r="B1928" t="s">
        <v>3972</v>
      </c>
      <c r="C1928" s="23" t="s">
        <v>4128</v>
      </c>
      <c r="D1928" s="23">
        <v>44932</v>
      </c>
      <c r="E1928" s="22">
        <v>1</v>
      </c>
      <c r="F1928" s="22">
        <v>6</v>
      </c>
      <c r="G1928" s="22">
        <v>2023</v>
      </c>
      <c r="H1928" s="23">
        <f t="shared" si="90"/>
        <v>44932</v>
      </c>
      <c r="I1928" s="25">
        <v>44961</v>
      </c>
      <c r="J1928" s="22">
        <f t="shared" si="91"/>
        <v>29</v>
      </c>
      <c r="K1928" t="s">
        <v>23</v>
      </c>
      <c r="L1928">
        <v>49787</v>
      </c>
      <c r="M1928">
        <v>1372</v>
      </c>
      <c r="N1928" s="26">
        <v>2737.43</v>
      </c>
      <c r="O1928" s="26">
        <f t="shared" si="92"/>
        <v>2737.43</v>
      </c>
      <c r="P1928">
        <v>149</v>
      </c>
      <c r="Q1928" t="b">
        <v>1</v>
      </c>
      <c r="S1928" t="s">
        <v>25</v>
      </c>
    </row>
    <row r="1929" spans="1:19">
      <c r="A1929" t="s">
        <v>3973</v>
      </c>
      <c r="B1929" t="s">
        <v>3974</v>
      </c>
      <c r="C1929" s="23" t="s">
        <v>4127</v>
      </c>
      <c r="D1929" s="23">
        <v>45057</v>
      </c>
      <c r="E1929" s="22">
        <v>5</v>
      </c>
      <c r="F1929" s="22">
        <v>11</v>
      </c>
      <c r="G1929" s="22">
        <v>2023</v>
      </c>
      <c r="H1929" s="23">
        <f t="shared" si="90"/>
        <v>45057</v>
      </c>
      <c r="I1929" s="25">
        <v>45068</v>
      </c>
      <c r="J1929" s="22">
        <f t="shared" si="91"/>
        <v>11</v>
      </c>
      <c r="K1929" t="s">
        <v>41</v>
      </c>
      <c r="L1929">
        <v>36488</v>
      </c>
      <c r="M1929">
        <v>1795</v>
      </c>
      <c r="N1929" s="26">
        <v>2046.82</v>
      </c>
      <c r="O1929" s="26">
        <f t="shared" si="92"/>
        <v>2046.82</v>
      </c>
      <c r="P1929">
        <v>158</v>
      </c>
      <c r="Q1929" t="b">
        <v>1</v>
      </c>
      <c r="S1929" t="s">
        <v>42</v>
      </c>
    </row>
    <row r="1930" spans="1:19">
      <c r="A1930" t="s">
        <v>3975</v>
      </c>
      <c r="B1930" t="s">
        <v>3976</v>
      </c>
      <c r="C1930" s="23" t="s">
        <v>4128</v>
      </c>
      <c r="D1930" s="23">
        <v>45186</v>
      </c>
      <c r="E1930" s="22">
        <v>9</v>
      </c>
      <c r="F1930" s="22">
        <v>17</v>
      </c>
      <c r="G1930" s="22">
        <v>2023</v>
      </c>
      <c r="H1930" s="23">
        <f t="shared" si="90"/>
        <v>45186</v>
      </c>
      <c r="I1930" s="25">
        <v>45206</v>
      </c>
      <c r="J1930" s="22">
        <f t="shared" si="91"/>
        <v>20</v>
      </c>
      <c r="K1930" t="s">
        <v>23</v>
      </c>
      <c r="L1930">
        <v>75441</v>
      </c>
      <c r="M1930">
        <v>2300</v>
      </c>
      <c r="N1930" s="26">
        <v>1533.47</v>
      </c>
      <c r="O1930" s="26">
        <f t="shared" si="92"/>
        <v>1533.47</v>
      </c>
      <c r="P1930">
        <v>453</v>
      </c>
      <c r="Q1930" t="b">
        <v>1</v>
      </c>
      <c r="S1930" t="s">
        <v>68</v>
      </c>
    </row>
    <row r="1931" spans="1:19">
      <c r="A1931" t="s">
        <v>3977</v>
      </c>
      <c r="B1931" t="s">
        <v>3978</v>
      </c>
      <c r="C1931" s="23" t="s">
        <v>4131</v>
      </c>
      <c r="D1931" s="23">
        <v>44985</v>
      </c>
      <c r="E1931" s="22">
        <v>2</v>
      </c>
      <c r="F1931" s="22">
        <v>28</v>
      </c>
      <c r="G1931" s="22">
        <v>2023</v>
      </c>
      <c r="H1931" s="23">
        <f t="shared" si="90"/>
        <v>44985</v>
      </c>
      <c r="I1931" s="25">
        <v>45009</v>
      </c>
      <c r="J1931" s="22">
        <f t="shared" si="91"/>
        <v>24</v>
      </c>
      <c r="K1931" t="s">
        <v>33</v>
      </c>
      <c r="L1931">
        <v>75663</v>
      </c>
      <c r="M1931">
        <v>1102</v>
      </c>
      <c r="N1931" s="26">
        <v>601.28</v>
      </c>
      <c r="O1931" s="26">
        <f t="shared" si="92"/>
        <v>601.28</v>
      </c>
      <c r="P1931">
        <v>217</v>
      </c>
      <c r="Q1931" t="b">
        <v>1</v>
      </c>
      <c r="S1931" t="s">
        <v>34</v>
      </c>
    </row>
    <row r="1932" spans="1:19">
      <c r="A1932" t="s">
        <v>3979</v>
      </c>
      <c r="B1932" t="s">
        <v>3980</v>
      </c>
      <c r="C1932" s="23" t="s">
        <v>4128</v>
      </c>
      <c r="D1932" s="23">
        <v>45218</v>
      </c>
      <c r="E1932" s="22">
        <v>10</v>
      </c>
      <c r="F1932" s="22">
        <v>19</v>
      </c>
      <c r="G1932" s="22">
        <v>2023</v>
      </c>
      <c r="H1932" s="23">
        <f t="shared" si="90"/>
        <v>45218</v>
      </c>
      <c r="I1932" s="25">
        <v>45230</v>
      </c>
      <c r="J1932" s="22">
        <f t="shared" si="91"/>
        <v>12</v>
      </c>
      <c r="K1932" t="s">
        <v>138</v>
      </c>
      <c r="L1932">
        <v>23431</v>
      </c>
      <c r="M1932">
        <v>951</v>
      </c>
      <c r="N1932" s="26">
        <v>1512.39</v>
      </c>
      <c r="O1932" s="26">
        <f t="shared" si="92"/>
        <v>1512.39</v>
      </c>
      <c r="P1932">
        <v>179</v>
      </c>
      <c r="Q1932" t="b">
        <v>0</v>
      </c>
      <c r="S1932" t="s">
        <v>139</v>
      </c>
    </row>
    <row r="1933" spans="1:19">
      <c r="A1933" t="s">
        <v>3981</v>
      </c>
      <c r="B1933" t="s">
        <v>3982</v>
      </c>
      <c r="C1933" s="23" t="s">
        <v>4129</v>
      </c>
      <c r="D1933" s="23">
        <v>45016</v>
      </c>
      <c r="E1933" s="22">
        <v>3</v>
      </c>
      <c r="F1933" s="22">
        <v>31</v>
      </c>
      <c r="G1933" s="22">
        <v>2023</v>
      </c>
      <c r="H1933" s="23">
        <f t="shared" si="90"/>
        <v>45016</v>
      </c>
      <c r="I1933" s="25">
        <v>45044</v>
      </c>
      <c r="J1933" s="22">
        <f t="shared" si="91"/>
        <v>28</v>
      </c>
      <c r="K1933" t="s">
        <v>19</v>
      </c>
      <c r="L1933">
        <v>62681</v>
      </c>
      <c r="M1933">
        <v>2328</v>
      </c>
      <c r="N1933" s="26">
        <v>4216.06</v>
      </c>
      <c r="O1933" s="26">
        <f t="shared" si="92"/>
        <v>3632.575</v>
      </c>
      <c r="P1933">
        <v>390</v>
      </c>
      <c r="Q1933" t="b">
        <v>1</v>
      </c>
      <c r="S1933" t="s">
        <v>20</v>
      </c>
    </row>
    <row r="1934" spans="1:19">
      <c r="A1934" t="s">
        <v>3983</v>
      </c>
      <c r="B1934" t="s">
        <v>3984</v>
      </c>
      <c r="C1934" s="23" t="s">
        <v>4131</v>
      </c>
      <c r="D1934" s="23">
        <v>45271</v>
      </c>
      <c r="E1934" s="22">
        <v>12</v>
      </c>
      <c r="F1934" s="22">
        <v>11</v>
      </c>
      <c r="G1934" s="22">
        <v>2023</v>
      </c>
      <c r="H1934" s="23">
        <f t="shared" si="90"/>
        <v>45271</v>
      </c>
      <c r="I1934" s="25">
        <v>45287</v>
      </c>
      <c r="J1934" s="22">
        <f t="shared" si="91"/>
        <v>16</v>
      </c>
      <c r="K1934" t="s">
        <v>19</v>
      </c>
      <c r="L1934">
        <v>64483</v>
      </c>
      <c r="M1934">
        <v>2638</v>
      </c>
      <c r="N1934" s="26">
        <v>2192.36</v>
      </c>
      <c r="O1934" s="26">
        <f t="shared" si="92"/>
        <v>2192.36</v>
      </c>
      <c r="P1934">
        <v>260</v>
      </c>
      <c r="Q1934" t="b">
        <v>1</v>
      </c>
      <c r="S1934" t="s">
        <v>20</v>
      </c>
    </row>
    <row r="1935" spans="1:19">
      <c r="A1935" t="s">
        <v>3985</v>
      </c>
      <c r="B1935" t="s">
        <v>3986</v>
      </c>
      <c r="C1935" s="23" t="s">
        <v>4128</v>
      </c>
      <c r="D1935" s="23">
        <v>44945</v>
      </c>
      <c r="E1935" s="22">
        <v>1</v>
      </c>
      <c r="F1935" s="22">
        <v>19</v>
      </c>
      <c r="G1935" s="22">
        <v>2023</v>
      </c>
      <c r="H1935" s="23">
        <f t="shared" si="90"/>
        <v>44945</v>
      </c>
      <c r="I1935" s="25">
        <v>44954</v>
      </c>
      <c r="J1935" s="22">
        <f t="shared" si="91"/>
        <v>9</v>
      </c>
      <c r="K1935" t="s">
        <v>33</v>
      </c>
      <c r="L1935">
        <v>50153</v>
      </c>
      <c r="M1935">
        <v>2410</v>
      </c>
      <c r="N1935" s="26">
        <v>1777.79</v>
      </c>
      <c r="O1935" s="26">
        <f t="shared" si="92"/>
        <v>1777.79</v>
      </c>
      <c r="P1935">
        <v>415</v>
      </c>
      <c r="Q1935" t="b">
        <v>1</v>
      </c>
      <c r="S1935" t="s">
        <v>34</v>
      </c>
    </row>
    <row r="1936" spans="1:19">
      <c r="A1936" t="s">
        <v>3987</v>
      </c>
      <c r="B1936" t="s">
        <v>3988</v>
      </c>
      <c r="C1936" s="23" t="s">
        <v>4131</v>
      </c>
      <c r="D1936" s="23">
        <v>45248</v>
      </c>
      <c r="E1936" s="22">
        <v>11</v>
      </c>
      <c r="F1936" s="22">
        <v>18</v>
      </c>
      <c r="G1936" s="22">
        <v>2023</v>
      </c>
      <c r="H1936" s="23">
        <f t="shared" si="90"/>
        <v>45248</v>
      </c>
      <c r="I1936" s="25">
        <v>45267</v>
      </c>
      <c r="J1936" s="22">
        <f t="shared" si="91"/>
        <v>19</v>
      </c>
      <c r="K1936" t="s">
        <v>41</v>
      </c>
      <c r="L1936">
        <v>7368</v>
      </c>
      <c r="M1936">
        <v>302</v>
      </c>
      <c r="N1936" s="26">
        <v>179.18</v>
      </c>
      <c r="O1936" s="26">
        <f t="shared" si="92"/>
        <v>179.18</v>
      </c>
      <c r="P1936">
        <v>33</v>
      </c>
      <c r="Q1936" t="b">
        <v>0</v>
      </c>
      <c r="S1936" t="s">
        <v>42</v>
      </c>
    </row>
    <row r="1937" spans="1:19">
      <c r="A1937" t="s">
        <v>3989</v>
      </c>
      <c r="B1937" t="s">
        <v>3990</v>
      </c>
      <c r="C1937" s="23" t="s">
        <v>4128</v>
      </c>
      <c r="D1937" s="23">
        <v>45098</v>
      </c>
      <c r="E1937" s="22">
        <v>6</v>
      </c>
      <c r="F1937" s="22">
        <v>21</v>
      </c>
      <c r="G1937" s="22">
        <v>2023</v>
      </c>
      <c r="H1937" s="23">
        <f t="shared" si="90"/>
        <v>45098</v>
      </c>
      <c r="I1937" s="25">
        <v>45116</v>
      </c>
      <c r="J1937" s="22">
        <f t="shared" si="91"/>
        <v>18</v>
      </c>
      <c r="K1937" t="s">
        <v>19</v>
      </c>
      <c r="L1937">
        <v>28424</v>
      </c>
      <c r="M1937">
        <v>979</v>
      </c>
      <c r="N1937" s="26">
        <v>-1697.64</v>
      </c>
      <c r="O1937" s="26">
        <f t="shared" si="92"/>
        <v>-344.195</v>
      </c>
      <c r="P1937">
        <v>96</v>
      </c>
      <c r="Q1937" t="b">
        <v>1</v>
      </c>
      <c r="S1937" t="s">
        <v>20</v>
      </c>
    </row>
    <row r="1938" spans="1:19">
      <c r="A1938" t="s">
        <v>3991</v>
      </c>
      <c r="B1938" t="s">
        <v>3992</v>
      </c>
      <c r="C1938" s="23" t="s">
        <v>4131</v>
      </c>
      <c r="D1938" s="23">
        <v>44955</v>
      </c>
      <c r="E1938" s="22">
        <v>1</v>
      </c>
      <c r="F1938" s="22">
        <v>29</v>
      </c>
      <c r="G1938" s="22">
        <v>2023</v>
      </c>
      <c r="H1938" s="23">
        <f t="shared" si="90"/>
        <v>44955</v>
      </c>
      <c r="I1938" s="25">
        <v>44973</v>
      </c>
      <c r="J1938" s="22">
        <f t="shared" si="91"/>
        <v>18</v>
      </c>
      <c r="K1938" t="s">
        <v>23</v>
      </c>
      <c r="L1938">
        <v>46004</v>
      </c>
      <c r="M1938">
        <v>2037</v>
      </c>
      <c r="N1938" s="26">
        <v>1969.93</v>
      </c>
      <c r="O1938" s="26">
        <f t="shared" si="92"/>
        <v>1969.93</v>
      </c>
      <c r="P1938">
        <v>329</v>
      </c>
      <c r="Q1938" t="b">
        <v>1</v>
      </c>
      <c r="S1938" t="s">
        <v>25</v>
      </c>
    </row>
    <row r="1939" spans="1:19">
      <c r="A1939" t="s">
        <v>3993</v>
      </c>
      <c r="B1939" t="s">
        <v>3994</v>
      </c>
      <c r="C1939" s="23" t="s">
        <v>4127</v>
      </c>
      <c r="D1939" s="23">
        <v>45274</v>
      </c>
      <c r="E1939" s="22">
        <v>12</v>
      </c>
      <c r="F1939" s="22">
        <v>14</v>
      </c>
      <c r="G1939" s="22">
        <v>2023</v>
      </c>
      <c r="H1939" s="23">
        <f t="shared" si="90"/>
        <v>45274</v>
      </c>
      <c r="I1939" s="25">
        <v>45303</v>
      </c>
      <c r="J1939" s="22">
        <f t="shared" si="91"/>
        <v>29</v>
      </c>
      <c r="K1939" t="s">
        <v>14</v>
      </c>
      <c r="L1939">
        <v>84869</v>
      </c>
      <c r="M1939">
        <v>3134</v>
      </c>
      <c r="N1939" s="26">
        <v>3455.38</v>
      </c>
      <c r="O1939" s="26">
        <f t="shared" si="92"/>
        <v>3455.38</v>
      </c>
      <c r="P1939">
        <v>194</v>
      </c>
      <c r="Q1939" t="b">
        <v>0</v>
      </c>
      <c r="S1939" t="s">
        <v>16</v>
      </c>
    </row>
    <row r="1940" spans="1:19">
      <c r="A1940" t="s">
        <v>3995</v>
      </c>
      <c r="B1940" t="s">
        <v>3996</v>
      </c>
      <c r="C1940" s="23" t="s">
        <v>4127</v>
      </c>
      <c r="D1940" s="23">
        <v>45033</v>
      </c>
      <c r="E1940" s="22">
        <v>4</v>
      </c>
      <c r="F1940" s="22">
        <v>17</v>
      </c>
      <c r="G1940" s="22">
        <v>2023</v>
      </c>
      <c r="H1940" s="23">
        <f t="shared" si="90"/>
        <v>45033</v>
      </c>
      <c r="I1940" s="25">
        <v>45062</v>
      </c>
      <c r="J1940" s="22">
        <f t="shared" si="91"/>
        <v>29</v>
      </c>
      <c r="K1940" t="s">
        <v>41</v>
      </c>
      <c r="L1940">
        <v>89652</v>
      </c>
      <c r="M1940">
        <v>2360</v>
      </c>
      <c r="N1940" s="26">
        <v>2959.74</v>
      </c>
      <c r="O1940" s="26">
        <f t="shared" si="92"/>
        <v>2959.74</v>
      </c>
      <c r="P1940">
        <v>135</v>
      </c>
      <c r="Q1940" t="b">
        <v>0</v>
      </c>
      <c r="S1940" t="s">
        <v>42</v>
      </c>
    </row>
    <row r="1941" spans="1:19">
      <c r="A1941" t="s">
        <v>3997</v>
      </c>
      <c r="B1941" t="s">
        <v>3998</v>
      </c>
      <c r="C1941" s="23" t="s">
        <v>4127</v>
      </c>
      <c r="D1941" s="23">
        <v>44933</v>
      </c>
      <c r="E1941" s="22">
        <v>1</v>
      </c>
      <c r="F1941" s="22">
        <v>7</v>
      </c>
      <c r="G1941" s="22">
        <v>2023</v>
      </c>
      <c r="H1941" s="23">
        <f t="shared" si="90"/>
        <v>44933</v>
      </c>
      <c r="I1941" s="25">
        <v>45135</v>
      </c>
      <c r="J1941" s="22">
        <f t="shared" si="91"/>
        <v>202</v>
      </c>
      <c r="K1941" t="s">
        <v>23</v>
      </c>
      <c r="L1941">
        <v>57985</v>
      </c>
      <c r="M1941">
        <v>2633</v>
      </c>
      <c r="N1941" s="26">
        <v>4631.92</v>
      </c>
      <c r="O1941" s="26">
        <f t="shared" si="92"/>
        <v>3632.575</v>
      </c>
      <c r="P1941">
        <v>308</v>
      </c>
      <c r="Q1941" t="b">
        <v>0</v>
      </c>
      <c r="S1941" t="s">
        <v>25</v>
      </c>
    </row>
    <row r="1942" spans="1:19">
      <c r="A1942" t="s">
        <v>3999</v>
      </c>
      <c r="B1942" t="s">
        <v>4000</v>
      </c>
      <c r="C1942" s="23" t="s">
        <v>4131</v>
      </c>
      <c r="D1942" s="23">
        <v>45003</v>
      </c>
      <c r="E1942" s="22">
        <v>3</v>
      </c>
      <c r="F1942" s="22">
        <v>18</v>
      </c>
      <c r="G1942" s="22">
        <v>2023</v>
      </c>
      <c r="H1942" s="23">
        <f t="shared" si="90"/>
        <v>45003</v>
      </c>
      <c r="I1942" s="25">
        <v>45027</v>
      </c>
      <c r="J1942" s="22">
        <f t="shared" si="91"/>
        <v>24</v>
      </c>
      <c r="K1942" t="s">
        <v>14</v>
      </c>
      <c r="L1942">
        <v>51069</v>
      </c>
      <c r="M1942">
        <v>963</v>
      </c>
      <c r="N1942" s="26">
        <v>1421.63</v>
      </c>
      <c r="O1942" s="26">
        <f t="shared" si="92"/>
        <v>1421.63</v>
      </c>
      <c r="P1942">
        <v>112</v>
      </c>
      <c r="Q1942" t="b">
        <v>1</v>
      </c>
      <c r="S1942" t="s">
        <v>16</v>
      </c>
    </row>
    <row r="1943" spans="1:19">
      <c r="A1943" t="s">
        <v>4001</v>
      </c>
      <c r="B1943" t="s">
        <v>4002</v>
      </c>
      <c r="C1943" s="23" t="s">
        <v>4129</v>
      </c>
      <c r="D1943" s="23">
        <v>45119</v>
      </c>
      <c r="E1943" s="22">
        <v>7</v>
      </c>
      <c r="F1943" s="22">
        <v>12</v>
      </c>
      <c r="G1943" s="22">
        <v>2023</v>
      </c>
      <c r="H1943" s="23">
        <f t="shared" si="90"/>
        <v>45119</v>
      </c>
      <c r="I1943" s="25">
        <v>45114</v>
      </c>
      <c r="J1943" s="22">
        <f t="shared" si="91"/>
        <v>-5</v>
      </c>
      <c r="K1943" t="s">
        <v>41</v>
      </c>
      <c r="L1943">
        <v>53326</v>
      </c>
      <c r="M1943">
        <v>2057</v>
      </c>
      <c r="N1943" s="26">
        <v>2926.28</v>
      </c>
      <c r="O1943" s="26">
        <f t="shared" si="92"/>
        <v>2926.28</v>
      </c>
      <c r="P1943">
        <v>379</v>
      </c>
      <c r="Q1943" t="b">
        <v>1</v>
      </c>
      <c r="S1943" t="s">
        <v>42</v>
      </c>
    </row>
    <row r="1944" spans="1:19">
      <c r="A1944" t="s">
        <v>4003</v>
      </c>
      <c r="B1944" t="s">
        <v>4004</v>
      </c>
      <c r="C1944" s="23" t="s">
        <v>4127</v>
      </c>
      <c r="D1944" s="23">
        <v>45219</v>
      </c>
      <c r="E1944" s="22">
        <v>10</v>
      </c>
      <c r="F1944" s="22">
        <v>20</v>
      </c>
      <c r="G1944" s="22">
        <v>2023</v>
      </c>
      <c r="H1944" s="23">
        <f t="shared" si="90"/>
        <v>45219</v>
      </c>
      <c r="I1944" s="25">
        <v>45240</v>
      </c>
      <c r="J1944" s="22">
        <f t="shared" si="91"/>
        <v>21</v>
      </c>
      <c r="K1944" t="s">
        <v>14</v>
      </c>
      <c r="L1944">
        <v>82061</v>
      </c>
      <c r="M1944">
        <v>3714</v>
      </c>
      <c r="N1944" s="26">
        <v>2835.67</v>
      </c>
      <c r="O1944" s="26">
        <f t="shared" si="92"/>
        <v>2835.67</v>
      </c>
      <c r="P1944">
        <v>255</v>
      </c>
      <c r="Q1944" t="b">
        <v>1</v>
      </c>
      <c r="S1944" t="s">
        <v>16</v>
      </c>
    </row>
    <row r="1945" spans="1:19">
      <c r="A1945" t="s">
        <v>4005</v>
      </c>
      <c r="B1945" t="s">
        <v>4006</v>
      </c>
      <c r="C1945" s="23" t="s">
        <v>4127</v>
      </c>
      <c r="D1945" s="23">
        <v>44986</v>
      </c>
      <c r="E1945" s="22">
        <v>3</v>
      </c>
      <c r="F1945" s="22">
        <v>1</v>
      </c>
      <c r="G1945" s="22">
        <v>2023</v>
      </c>
      <c r="H1945" s="23">
        <f t="shared" si="90"/>
        <v>44986</v>
      </c>
      <c r="I1945" s="25">
        <v>45008</v>
      </c>
      <c r="J1945" s="22">
        <f t="shared" si="91"/>
        <v>22</v>
      </c>
      <c r="K1945" t="s">
        <v>33</v>
      </c>
      <c r="L1945">
        <v>24398</v>
      </c>
      <c r="M1945">
        <v>957</v>
      </c>
      <c r="N1945" s="26">
        <v>1215.18</v>
      </c>
      <c r="O1945" s="26">
        <f t="shared" si="92"/>
        <v>1215.18</v>
      </c>
      <c r="P1945">
        <v>65</v>
      </c>
      <c r="Q1945" t="b">
        <v>1</v>
      </c>
      <c r="S1945" t="s">
        <v>34</v>
      </c>
    </row>
    <row r="1946" spans="1:19">
      <c r="A1946" t="s">
        <v>4007</v>
      </c>
      <c r="B1946" t="s">
        <v>4008</v>
      </c>
      <c r="C1946" s="23" t="s">
        <v>4131</v>
      </c>
      <c r="D1946" s="23">
        <v>45288</v>
      </c>
      <c r="E1946" s="22">
        <v>12</v>
      </c>
      <c r="F1946" s="22">
        <v>28</v>
      </c>
      <c r="G1946" s="22">
        <v>2023</v>
      </c>
      <c r="H1946" s="23">
        <f t="shared" si="90"/>
        <v>45288</v>
      </c>
      <c r="I1946" s="25">
        <v>45299</v>
      </c>
      <c r="J1946" s="22">
        <f t="shared" si="91"/>
        <v>11</v>
      </c>
      <c r="K1946" t="s">
        <v>14</v>
      </c>
      <c r="L1946">
        <v>99393</v>
      </c>
      <c r="M1946">
        <v>3766</v>
      </c>
      <c r="N1946" s="26">
        <v>5924.19</v>
      </c>
      <c r="O1946" s="26">
        <f t="shared" si="92"/>
        <v>3632.575</v>
      </c>
      <c r="P1946">
        <v>271</v>
      </c>
      <c r="Q1946" t="b">
        <v>1</v>
      </c>
      <c r="R1946">
        <v>99483</v>
      </c>
      <c r="S1946" t="s">
        <v>16</v>
      </c>
    </row>
    <row r="1947" spans="1:19">
      <c r="A1947" t="s">
        <v>4009</v>
      </c>
      <c r="B1947" t="s">
        <v>4010</v>
      </c>
      <c r="C1947" s="23" t="s">
        <v>4129</v>
      </c>
      <c r="D1947" s="23">
        <v>45066</v>
      </c>
      <c r="E1947" s="22">
        <v>5</v>
      </c>
      <c r="F1947" s="22">
        <v>20</v>
      </c>
      <c r="G1947" s="22">
        <v>2023</v>
      </c>
      <c r="H1947" s="23">
        <f t="shared" si="90"/>
        <v>45066</v>
      </c>
      <c r="I1947" s="25">
        <v>45083</v>
      </c>
      <c r="J1947" s="22">
        <f t="shared" si="91"/>
        <v>17</v>
      </c>
      <c r="K1947" t="s">
        <v>14</v>
      </c>
      <c r="L1947">
        <v>51861</v>
      </c>
      <c r="M1947">
        <v>2079</v>
      </c>
      <c r="N1947" s="26">
        <v>4074.61</v>
      </c>
      <c r="O1947" s="26">
        <f t="shared" si="92"/>
        <v>3632.575</v>
      </c>
      <c r="P1947">
        <v>113</v>
      </c>
      <c r="Q1947" t="b">
        <v>1</v>
      </c>
      <c r="S1947" t="s">
        <v>16</v>
      </c>
    </row>
    <row r="1948" spans="1:19">
      <c r="A1948" t="s">
        <v>4011</v>
      </c>
      <c r="B1948" t="s">
        <v>4012</v>
      </c>
      <c r="C1948" s="23" t="s">
        <v>4131</v>
      </c>
      <c r="D1948" s="23">
        <v>45048</v>
      </c>
      <c r="E1948" s="22">
        <v>5</v>
      </c>
      <c r="F1948" s="22">
        <v>2</v>
      </c>
      <c r="G1948" s="22">
        <v>2023</v>
      </c>
      <c r="H1948" s="23">
        <f t="shared" si="90"/>
        <v>45048</v>
      </c>
      <c r="I1948" s="25">
        <v>45053</v>
      </c>
      <c r="J1948" s="22">
        <f t="shared" si="91"/>
        <v>5</v>
      </c>
      <c r="K1948" t="s">
        <v>33</v>
      </c>
      <c r="L1948">
        <v>76897</v>
      </c>
      <c r="M1948">
        <v>2199</v>
      </c>
      <c r="N1948" s="26">
        <v>1763.84</v>
      </c>
      <c r="O1948" s="26">
        <f t="shared" si="92"/>
        <v>1763.84</v>
      </c>
      <c r="P1948">
        <v>133</v>
      </c>
      <c r="Q1948" t="b">
        <v>0</v>
      </c>
      <c r="S1948" t="s">
        <v>34</v>
      </c>
    </row>
    <row r="1949" spans="1:19">
      <c r="A1949" t="s">
        <v>4013</v>
      </c>
      <c r="B1949" t="s">
        <v>4014</v>
      </c>
      <c r="C1949" s="23" t="s">
        <v>4127</v>
      </c>
      <c r="D1949" s="23">
        <v>45081</v>
      </c>
      <c r="E1949" s="22">
        <v>6</v>
      </c>
      <c r="F1949" s="22">
        <v>4</v>
      </c>
      <c r="G1949" s="22">
        <v>2023</v>
      </c>
      <c r="H1949" s="23">
        <f t="shared" si="90"/>
        <v>45081</v>
      </c>
      <c r="I1949" s="25">
        <v>45103</v>
      </c>
      <c r="J1949" s="22">
        <f t="shared" si="91"/>
        <v>22</v>
      </c>
      <c r="K1949" t="s">
        <v>33</v>
      </c>
      <c r="L1949">
        <v>82905</v>
      </c>
      <c r="M1949">
        <v>3727</v>
      </c>
      <c r="N1949" s="26">
        <v>1916.85</v>
      </c>
      <c r="O1949" s="26">
        <f t="shared" si="92"/>
        <v>1916.85</v>
      </c>
      <c r="P1949">
        <v>555</v>
      </c>
      <c r="Q1949" t="b">
        <v>1</v>
      </c>
      <c r="S1949" t="s">
        <v>34</v>
      </c>
    </row>
    <row r="1950" spans="1:19">
      <c r="A1950" t="s">
        <v>4015</v>
      </c>
      <c r="B1950" t="s">
        <v>4016</v>
      </c>
      <c r="C1950" s="23" t="s">
        <v>4129</v>
      </c>
      <c r="D1950" s="23">
        <v>44984</v>
      </c>
      <c r="E1950" s="22">
        <v>2</v>
      </c>
      <c r="F1950" s="22">
        <v>27</v>
      </c>
      <c r="G1950" s="22">
        <v>2023</v>
      </c>
      <c r="H1950" s="23">
        <f t="shared" si="90"/>
        <v>44984</v>
      </c>
      <c r="I1950" s="25">
        <v>45006</v>
      </c>
      <c r="J1950" s="22">
        <f t="shared" si="91"/>
        <v>22</v>
      </c>
      <c r="K1950" t="s">
        <v>14</v>
      </c>
      <c r="L1950">
        <v>69577</v>
      </c>
      <c r="M1950">
        <v>1261</v>
      </c>
      <c r="N1950" s="26">
        <v>772.93</v>
      </c>
      <c r="O1950" s="26">
        <f t="shared" si="92"/>
        <v>772.93</v>
      </c>
      <c r="P1950">
        <v>144</v>
      </c>
      <c r="Q1950" t="b">
        <v>1</v>
      </c>
      <c r="S1950" t="s">
        <v>16</v>
      </c>
    </row>
    <row r="1951" spans="1:19">
      <c r="A1951" t="s">
        <v>4017</v>
      </c>
      <c r="B1951" t="s">
        <v>4018</v>
      </c>
      <c r="C1951" s="23" t="s">
        <v>4127</v>
      </c>
      <c r="D1951" s="23">
        <v>45030</v>
      </c>
      <c r="E1951" s="22">
        <v>4</v>
      </c>
      <c r="F1951" s="22">
        <v>14</v>
      </c>
      <c r="G1951" s="22">
        <v>2023</v>
      </c>
      <c r="H1951" s="23">
        <f t="shared" si="90"/>
        <v>45030</v>
      </c>
      <c r="I1951" s="25">
        <v>45057</v>
      </c>
      <c r="J1951" s="22">
        <f t="shared" si="91"/>
        <v>27</v>
      </c>
      <c r="K1951" t="s">
        <v>33</v>
      </c>
      <c r="L1951">
        <v>66641</v>
      </c>
      <c r="M1951">
        <v>1005</v>
      </c>
      <c r="N1951" s="26">
        <v>1069.1</v>
      </c>
      <c r="O1951" s="26">
        <f t="shared" si="92"/>
        <v>1069.1</v>
      </c>
      <c r="P1951">
        <v>165</v>
      </c>
      <c r="Q1951" t="b">
        <v>0</v>
      </c>
      <c r="S1951" t="s">
        <v>34</v>
      </c>
    </row>
    <row r="1952" spans="1:19">
      <c r="A1952" t="s">
        <v>4019</v>
      </c>
      <c r="B1952" t="s">
        <v>4020</v>
      </c>
      <c r="C1952" s="23" t="s">
        <v>4127</v>
      </c>
      <c r="D1952" s="23">
        <v>44939</v>
      </c>
      <c r="E1952" s="22">
        <v>1</v>
      </c>
      <c r="F1952" s="22">
        <v>13</v>
      </c>
      <c r="G1952" s="22">
        <v>2023</v>
      </c>
      <c r="H1952" s="23">
        <f t="shared" si="90"/>
        <v>44939</v>
      </c>
      <c r="I1952" s="25">
        <v>44962</v>
      </c>
      <c r="J1952" s="22">
        <f t="shared" si="91"/>
        <v>23</v>
      </c>
      <c r="K1952" t="s">
        <v>19</v>
      </c>
      <c r="L1952">
        <v>10078</v>
      </c>
      <c r="M1952">
        <v>215</v>
      </c>
      <c r="N1952" s="26">
        <v>372.13</v>
      </c>
      <c r="O1952" s="26">
        <f t="shared" si="92"/>
        <v>372.13</v>
      </c>
      <c r="P1952">
        <v>42</v>
      </c>
      <c r="Q1952" t="b">
        <v>1</v>
      </c>
      <c r="S1952" t="s">
        <v>20</v>
      </c>
    </row>
    <row r="1953" spans="1:19">
      <c r="A1953" t="s">
        <v>4021</v>
      </c>
      <c r="B1953" t="s">
        <v>4022</v>
      </c>
      <c r="C1953" s="23" t="s">
        <v>4127</v>
      </c>
      <c r="D1953" s="23">
        <v>45005</v>
      </c>
      <c r="E1953" s="22">
        <v>3</v>
      </c>
      <c r="F1953" s="22">
        <v>20</v>
      </c>
      <c r="G1953" s="22">
        <v>2023</v>
      </c>
      <c r="H1953" s="23">
        <f t="shared" si="90"/>
        <v>45005</v>
      </c>
      <c r="I1953" s="25">
        <v>45024</v>
      </c>
      <c r="J1953" s="22">
        <f t="shared" si="91"/>
        <v>19</v>
      </c>
      <c r="K1953" t="s">
        <v>138</v>
      </c>
      <c r="L1953">
        <v>26003</v>
      </c>
      <c r="M1953">
        <v>812</v>
      </c>
      <c r="N1953" s="26">
        <v>414.7</v>
      </c>
      <c r="O1953" s="26">
        <f t="shared" si="92"/>
        <v>414.7</v>
      </c>
      <c r="P1953">
        <v>120</v>
      </c>
      <c r="Q1953" t="b">
        <v>0</v>
      </c>
      <c r="S1953" t="s">
        <v>139</v>
      </c>
    </row>
    <row r="1954" spans="1:19">
      <c r="A1954" t="s">
        <v>4023</v>
      </c>
      <c r="B1954" t="s">
        <v>4024</v>
      </c>
      <c r="C1954" s="23" t="s">
        <v>4129</v>
      </c>
      <c r="D1954" s="23">
        <v>45195</v>
      </c>
      <c r="E1954" s="22">
        <v>9</v>
      </c>
      <c r="F1954" s="22">
        <v>26</v>
      </c>
      <c r="G1954" s="22">
        <v>2023</v>
      </c>
      <c r="H1954" s="23">
        <f t="shared" si="90"/>
        <v>45195</v>
      </c>
      <c r="I1954" s="25">
        <v>45190</v>
      </c>
      <c r="J1954" s="22">
        <f t="shared" si="91"/>
        <v>-5</v>
      </c>
      <c r="K1954" t="s">
        <v>23</v>
      </c>
      <c r="L1954">
        <v>63768</v>
      </c>
      <c r="M1954">
        <v>1939</v>
      </c>
      <c r="N1954" s="26">
        <v>2297.9</v>
      </c>
      <c r="O1954" s="26">
        <f t="shared" si="92"/>
        <v>2297.9</v>
      </c>
      <c r="P1954">
        <v>111</v>
      </c>
      <c r="Q1954" t="b">
        <v>0</v>
      </c>
      <c r="S1954" t="s">
        <v>25</v>
      </c>
    </row>
    <row r="1955" spans="1:19">
      <c r="A1955" t="s">
        <v>4025</v>
      </c>
      <c r="B1955" t="s">
        <v>4026</v>
      </c>
      <c r="C1955" s="23" t="s">
        <v>4127</v>
      </c>
      <c r="D1955" s="23">
        <v>44977</v>
      </c>
      <c r="E1955" s="22">
        <v>2</v>
      </c>
      <c r="F1955" s="22">
        <v>20</v>
      </c>
      <c r="G1955" s="22">
        <v>2023</v>
      </c>
      <c r="H1955" s="23">
        <f t="shared" si="90"/>
        <v>44977</v>
      </c>
      <c r="I1955" s="25">
        <v>44999</v>
      </c>
      <c r="J1955" s="22">
        <f t="shared" si="91"/>
        <v>22</v>
      </c>
      <c r="K1955" t="s">
        <v>33</v>
      </c>
      <c r="L1955">
        <v>52047</v>
      </c>
      <c r="M1955">
        <v>2228</v>
      </c>
      <c r="N1955" s="26">
        <v>2214.29</v>
      </c>
      <c r="O1955" s="26">
        <f t="shared" si="92"/>
        <v>2214.29</v>
      </c>
      <c r="P1955">
        <v>0</v>
      </c>
      <c r="Q1955" t="b">
        <v>0</v>
      </c>
      <c r="S1955" t="s">
        <v>34</v>
      </c>
    </row>
    <row r="1956" spans="1:19">
      <c r="A1956" t="s">
        <v>4027</v>
      </c>
      <c r="B1956" t="s">
        <v>4028</v>
      </c>
      <c r="C1956" s="23" t="s">
        <v>4128</v>
      </c>
      <c r="D1956" s="23">
        <v>45273</v>
      </c>
      <c r="E1956" s="22">
        <v>12</v>
      </c>
      <c r="F1956" s="22">
        <v>13</v>
      </c>
      <c r="G1956" s="22">
        <v>2023</v>
      </c>
      <c r="H1956" s="23">
        <f t="shared" si="90"/>
        <v>45273</v>
      </c>
      <c r="I1956" s="25">
        <v>45282</v>
      </c>
      <c r="J1956" s="22">
        <f t="shared" si="91"/>
        <v>9</v>
      </c>
      <c r="K1956" t="s">
        <v>33</v>
      </c>
      <c r="L1956">
        <v>72626</v>
      </c>
      <c r="M1956">
        <v>1901</v>
      </c>
      <c r="N1956" s="26">
        <v>1100.15</v>
      </c>
      <c r="O1956" s="26">
        <f t="shared" si="92"/>
        <v>1100.15</v>
      </c>
      <c r="P1956">
        <v>346</v>
      </c>
      <c r="Q1956" t="b">
        <v>1</v>
      </c>
      <c r="S1956" t="s">
        <v>34</v>
      </c>
    </row>
    <row r="1957" spans="1:19">
      <c r="A1957" t="s">
        <v>4029</v>
      </c>
      <c r="B1957" t="s">
        <v>4030</v>
      </c>
      <c r="C1957" s="23" t="s">
        <v>4129</v>
      </c>
      <c r="D1957" s="23">
        <v>44945</v>
      </c>
      <c r="E1957" s="22">
        <v>1</v>
      </c>
      <c r="F1957" s="22">
        <v>19</v>
      </c>
      <c r="G1957" s="22">
        <v>2023</v>
      </c>
      <c r="H1957" s="23">
        <f t="shared" si="90"/>
        <v>44945</v>
      </c>
      <c r="I1957" s="25">
        <v>44971</v>
      </c>
      <c r="J1957" s="22">
        <f t="shared" si="91"/>
        <v>26</v>
      </c>
      <c r="K1957" t="s">
        <v>14</v>
      </c>
      <c r="L1957">
        <v>58660</v>
      </c>
      <c r="M1957">
        <v>1723</v>
      </c>
      <c r="N1957" s="26">
        <v>2025.14</v>
      </c>
      <c r="O1957" s="26">
        <f t="shared" si="92"/>
        <v>2025.14</v>
      </c>
      <c r="P1957">
        <v>222</v>
      </c>
      <c r="Q1957" t="b">
        <v>0</v>
      </c>
      <c r="S1957" t="s">
        <v>68</v>
      </c>
    </row>
    <row r="1958" spans="1:19">
      <c r="A1958" t="s">
        <v>4031</v>
      </c>
      <c r="B1958" t="s">
        <v>4032</v>
      </c>
      <c r="C1958" s="23" t="s">
        <v>4129</v>
      </c>
      <c r="D1958" s="23">
        <v>45194</v>
      </c>
      <c r="E1958" s="22">
        <v>9</v>
      </c>
      <c r="F1958" s="22">
        <v>25</v>
      </c>
      <c r="G1958" s="22">
        <v>2023</v>
      </c>
      <c r="H1958" s="23">
        <f t="shared" si="90"/>
        <v>45194</v>
      </c>
      <c r="I1958" s="25">
        <v>45214</v>
      </c>
      <c r="J1958" s="22">
        <f t="shared" si="91"/>
        <v>20</v>
      </c>
      <c r="K1958" t="s">
        <v>23</v>
      </c>
      <c r="L1958">
        <v>50786</v>
      </c>
      <c r="M1958">
        <v>535</v>
      </c>
      <c r="N1958" s="26">
        <v>471.94</v>
      </c>
      <c r="O1958" s="26">
        <f t="shared" si="92"/>
        <v>471.94</v>
      </c>
      <c r="P1958">
        <v>92</v>
      </c>
      <c r="Q1958" t="b">
        <v>0</v>
      </c>
      <c r="S1958" t="s">
        <v>25</v>
      </c>
    </row>
    <row r="1959" spans="1:19">
      <c r="A1959" t="s">
        <v>4033</v>
      </c>
      <c r="B1959" t="s">
        <v>4034</v>
      </c>
      <c r="C1959" s="23" t="s">
        <v>4129</v>
      </c>
      <c r="D1959" s="23">
        <v>44949</v>
      </c>
      <c r="E1959" s="22">
        <v>1</v>
      </c>
      <c r="F1959" s="22">
        <v>23</v>
      </c>
      <c r="G1959" s="22">
        <v>2023</v>
      </c>
      <c r="H1959" s="23">
        <f t="shared" si="90"/>
        <v>44949</v>
      </c>
      <c r="I1959" s="25">
        <v>44974</v>
      </c>
      <c r="J1959" s="22">
        <f t="shared" si="91"/>
        <v>25</v>
      </c>
      <c r="K1959" t="s">
        <v>19</v>
      </c>
      <c r="L1959">
        <v>2925</v>
      </c>
      <c r="M1959">
        <v>77</v>
      </c>
      <c r="N1959" s="26">
        <v>79.14</v>
      </c>
      <c r="O1959" s="26">
        <f t="shared" si="92"/>
        <v>79.14</v>
      </c>
      <c r="P1959">
        <v>13</v>
      </c>
      <c r="Q1959" t="b">
        <v>0</v>
      </c>
      <c r="S1959" t="s">
        <v>20</v>
      </c>
    </row>
    <row r="1960" spans="1:19">
      <c r="A1960" t="s">
        <v>4035</v>
      </c>
      <c r="B1960" t="s">
        <v>4036</v>
      </c>
      <c r="C1960" s="23" t="s">
        <v>4131</v>
      </c>
      <c r="D1960" s="23">
        <v>44971</v>
      </c>
      <c r="E1960" s="22">
        <v>2</v>
      </c>
      <c r="F1960" s="22">
        <v>14</v>
      </c>
      <c r="G1960" s="22">
        <v>2023</v>
      </c>
      <c r="H1960" s="23">
        <f t="shared" si="90"/>
        <v>44971</v>
      </c>
      <c r="I1960" s="25">
        <v>45000</v>
      </c>
      <c r="J1960" s="22">
        <f t="shared" si="91"/>
        <v>29</v>
      </c>
      <c r="K1960" t="s">
        <v>14</v>
      </c>
      <c r="L1960">
        <v>84976</v>
      </c>
      <c r="M1960">
        <v>3051</v>
      </c>
      <c r="N1960" s="26">
        <v>4754.75</v>
      </c>
      <c r="O1960" s="26">
        <f t="shared" si="92"/>
        <v>3632.575</v>
      </c>
      <c r="P1960">
        <v>577</v>
      </c>
      <c r="Q1960" t="b">
        <v>1</v>
      </c>
      <c r="S1960" t="s">
        <v>16</v>
      </c>
    </row>
    <row r="1961" spans="1:19">
      <c r="A1961" t="s">
        <v>4037</v>
      </c>
      <c r="B1961" t="s">
        <v>4038</v>
      </c>
      <c r="C1961" s="23" t="s">
        <v>4128</v>
      </c>
      <c r="D1961" s="23">
        <v>44979</v>
      </c>
      <c r="E1961" s="22">
        <v>2</v>
      </c>
      <c r="F1961" s="22">
        <v>22</v>
      </c>
      <c r="G1961" s="22">
        <v>2023</v>
      </c>
      <c r="H1961" s="23">
        <f t="shared" si="90"/>
        <v>44979</v>
      </c>
      <c r="I1961" s="25">
        <v>44987</v>
      </c>
      <c r="J1961" s="22">
        <f t="shared" si="91"/>
        <v>8</v>
      </c>
      <c r="K1961" t="s">
        <v>19</v>
      </c>
      <c r="L1961">
        <v>27015</v>
      </c>
      <c r="M1961">
        <v>286</v>
      </c>
      <c r="N1961" s="26">
        <v>366.75</v>
      </c>
      <c r="O1961" s="26">
        <f t="shared" si="92"/>
        <v>366.75</v>
      </c>
      <c r="P1961">
        <v>55</v>
      </c>
      <c r="Q1961" t="b">
        <v>0</v>
      </c>
      <c r="S1961" t="s">
        <v>20</v>
      </c>
    </row>
    <row r="1962" spans="1:19">
      <c r="A1962" t="s">
        <v>4039</v>
      </c>
      <c r="B1962" t="s">
        <v>4040</v>
      </c>
      <c r="C1962" s="23" t="s">
        <v>4127</v>
      </c>
      <c r="D1962" s="23">
        <v>45175</v>
      </c>
      <c r="E1962" s="22">
        <v>9</v>
      </c>
      <c r="F1962" s="22">
        <v>6</v>
      </c>
      <c r="G1962" s="22">
        <v>2023</v>
      </c>
      <c r="H1962" s="23">
        <f t="shared" si="90"/>
        <v>45175</v>
      </c>
      <c r="I1962" s="25">
        <v>45094</v>
      </c>
      <c r="J1962" s="22">
        <f t="shared" si="91"/>
        <v>-81</v>
      </c>
      <c r="K1962" t="s">
        <v>19</v>
      </c>
      <c r="L1962">
        <v>34320</v>
      </c>
      <c r="M1962">
        <v>728</v>
      </c>
      <c r="N1962" s="26">
        <v>500.11</v>
      </c>
      <c r="O1962" s="26">
        <f t="shared" si="92"/>
        <v>500.11</v>
      </c>
      <c r="P1962">
        <v>96</v>
      </c>
      <c r="Q1962" t="b">
        <v>1</v>
      </c>
      <c r="S1962" t="s">
        <v>68</v>
      </c>
    </row>
    <row r="1963" spans="1:19">
      <c r="A1963" t="s">
        <v>4041</v>
      </c>
      <c r="B1963" t="s">
        <v>4042</v>
      </c>
      <c r="C1963" s="23" t="s">
        <v>4129</v>
      </c>
      <c r="D1963" s="23">
        <v>45086</v>
      </c>
      <c r="E1963" s="22">
        <v>6</v>
      </c>
      <c r="F1963" s="22">
        <v>9</v>
      </c>
      <c r="G1963" s="22">
        <v>2023</v>
      </c>
      <c r="H1963" s="23">
        <f t="shared" si="90"/>
        <v>45086</v>
      </c>
      <c r="I1963" s="25">
        <v>45113</v>
      </c>
      <c r="J1963" s="22">
        <f t="shared" si="91"/>
        <v>27</v>
      </c>
      <c r="K1963" t="s">
        <v>19</v>
      </c>
      <c r="L1963">
        <v>65881</v>
      </c>
      <c r="M1963">
        <v>1206</v>
      </c>
      <c r="N1963" s="26">
        <v>2342.2</v>
      </c>
      <c r="O1963" s="26">
        <f t="shared" si="92"/>
        <v>2342.2</v>
      </c>
      <c r="P1963">
        <v>121</v>
      </c>
      <c r="Q1963" t="b">
        <v>0</v>
      </c>
      <c r="S1963" t="s">
        <v>20</v>
      </c>
    </row>
    <row r="1964" spans="1:19">
      <c r="A1964" t="s">
        <v>4043</v>
      </c>
      <c r="B1964" t="s">
        <v>4044</v>
      </c>
      <c r="C1964" s="23" t="s">
        <v>4131</v>
      </c>
      <c r="D1964" s="23">
        <v>45029</v>
      </c>
      <c r="E1964" s="22">
        <v>4</v>
      </c>
      <c r="F1964" s="22">
        <v>13</v>
      </c>
      <c r="G1964" s="22">
        <v>2023</v>
      </c>
      <c r="H1964" s="23">
        <f t="shared" si="90"/>
        <v>45029</v>
      </c>
      <c r="I1964" s="25">
        <v>45030</v>
      </c>
      <c r="J1964" s="22">
        <f t="shared" si="91"/>
        <v>1</v>
      </c>
      <c r="K1964" t="s">
        <v>138</v>
      </c>
      <c r="L1964">
        <v>91827</v>
      </c>
      <c r="M1964">
        <v>1072</v>
      </c>
      <c r="N1964" s="26">
        <v>1558.54</v>
      </c>
      <c r="O1964" s="26">
        <f t="shared" si="92"/>
        <v>1558.54</v>
      </c>
      <c r="P1964">
        <v>208</v>
      </c>
      <c r="Q1964" t="b">
        <v>1</v>
      </c>
      <c r="S1964" t="s">
        <v>139</v>
      </c>
    </row>
    <row r="1965" spans="1:19">
      <c r="A1965" t="s">
        <v>4045</v>
      </c>
      <c r="B1965" t="s">
        <v>4046</v>
      </c>
      <c r="C1965" s="23" t="s">
        <v>4129</v>
      </c>
      <c r="D1965" s="23">
        <v>45090</v>
      </c>
      <c r="E1965" s="22">
        <v>6</v>
      </c>
      <c r="F1965" s="22">
        <v>13</v>
      </c>
      <c r="G1965" s="22">
        <v>2023</v>
      </c>
      <c r="H1965" s="23">
        <f t="shared" si="90"/>
        <v>45090</v>
      </c>
      <c r="I1965" s="25">
        <v>45104</v>
      </c>
      <c r="J1965" s="22">
        <f t="shared" si="91"/>
        <v>14</v>
      </c>
      <c r="K1965" t="s">
        <v>19</v>
      </c>
      <c r="L1965">
        <v>27289</v>
      </c>
      <c r="M1965">
        <v>796</v>
      </c>
      <c r="N1965" s="26">
        <v>1312.45</v>
      </c>
      <c r="O1965" s="26">
        <f t="shared" si="92"/>
        <v>1312.45</v>
      </c>
      <c r="P1965">
        <v>105</v>
      </c>
      <c r="Q1965" t="b">
        <v>1</v>
      </c>
      <c r="S1965" t="s">
        <v>20</v>
      </c>
    </row>
    <row r="1966" spans="1:19">
      <c r="A1966" t="s">
        <v>4047</v>
      </c>
      <c r="B1966" t="s">
        <v>4048</v>
      </c>
      <c r="C1966" s="23" t="s">
        <v>4127</v>
      </c>
      <c r="D1966" s="23">
        <v>45066</v>
      </c>
      <c r="E1966" s="22">
        <v>5</v>
      </c>
      <c r="F1966" s="22">
        <v>20</v>
      </c>
      <c r="G1966" s="22">
        <v>2023</v>
      </c>
      <c r="H1966" s="23">
        <f t="shared" si="90"/>
        <v>45066</v>
      </c>
      <c r="I1966" s="25">
        <v>45082</v>
      </c>
      <c r="J1966" s="22">
        <f t="shared" si="91"/>
        <v>16</v>
      </c>
      <c r="K1966" t="s">
        <v>19</v>
      </c>
      <c r="L1966">
        <v>4389</v>
      </c>
      <c r="M1966">
        <v>75</v>
      </c>
      <c r="N1966" s="26">
        <v>46.41</v>
      </c>
      <c r="O1966" s="26">
        <f t="shared" si="92"/>
        <v>46.41</v>
      </c>
      <c r="P1966">
        <v>4</v>
      </c>
      <c r="Q1966" t="b">
        <v>0</v>
      </c>
      <c r="S1966" t="s">
        <v>20</v>
      </c>
    </row>
    <row r="1967" spans="1:19">
      <c r="A1967" t="s">
        <v>4049</v>
      </c>
      <c r="B1967" t="s">
        <v>4050</v>
      </c>
      <c r="C1967" s="23" t="s">
        <v>4129</v>
      </c>
      <c r="D1967" s="23">
        <v>44934</v>
      </c>
      <c r="E1967" s="22">
        <v>1</v>
      </c>
      <c r="F1967" s="22">
        <v>8</v>
      </c>
      <c r="G1967" s="22">
        <v>2023</v>
      </c>
      <c r="H1967" s="23">
        <f t="shared" si="90"/>
        <v>44934</v>
      </c>
      <c r="I1967" s="25">
        <v>44943</v>
      </c>
      <c r="J1967" s="22">
        <f t="shared" si="91"/>
        <v>9</v>
      </c>
      <c r="K1967" t="s">
        <v>41</v>
      </c>
      <c r="L1967">
        <v>26683</v>
      </c>
      <c r="M1967">
        <v>1059</v>
      </c>
      <c r="N1967" s="26">
        <v>604.25</v>
      </c>
      <c r="O1967" s="26">
        <f t="shared" si="92"/>
        <v>604.25</v>
      </c>
      <c r="P1967">
        <v>155</v>
      </c>
      <c r="Q1967" t="b">
        <v>1</v>
      </c>
      <c r="S1967" t="s">
        <v>42</v>
      </c>
    </row>
    <row r="1968" spans="1:19">
      <c r="A1968" t="s">
        <v>4051</v>
      </c>
      <c r="B1968" t="s">
        <v>4052</v>
      </c>
      <c r="C1968" s="23" t="s">
        <v>4129</v>
      </c>
      <c r="D1968" s="23">
        <v>44979</v>
      </c>
      <c r="E1968" s="22">
        <v>2</v>
      </c>
      <c r="F1968" s="22">
        <v>22</v>
      </c>
      <c r="G1968" s="22">
        <v>2023</v>
      </c>
      <c r="H1968" s="23">
        <f t="shared" si="90"/>
        <v>44979</v>
      </c>
      <c r="I1968" s="25">
        <v>44990</v>
      </c>
      <c r="J1968" s="22">
        <f t="shared" si="91"/>
        <v>11</v>
      </c>
      <c r="K1968" t="s">
        <v>19</v>
      </c>
      <c r="L1968">
        <v>14629</v>
      </c>
      <c r="M1968">
        <v>642</v>
      </c>
      <c r="N1968" s="26">
        <v>339.73</v>
      </c>
      <c r="O1968" s="26">
        <f t="shared" si="92"/>
        <v>339.73</v>
      </c>
      <c r="P1968">
        <v>88</v>
      </c>
      <c r="Q1968" t="b">
        <v>0</v>
      </c>
      <c r="S1968" t="s">
        <v>20</v>
      </c>
    </row>
    <row r="1969" spans="1:19">
      <c r="A1969" t="s">
        <v>4053</v>
      </c>
      <c r="B1969" t="s">
        <v>4054</v>
      </c>
      <c r="C1969" s="23" t="s">
        <v>4128</v>
      </c>
      <c r="D1969" s="23">
        <v>45090</v>
      </c>
      <c r="E1969" s="22">
        <v>6</v>
      </c>
      <c r="F1969" s="22">
        <v>13</v>
      </c>
      <c r="G1969" s="22">
        <v>2023</v>
      </c>
      <c r="H1969" s="23">
        <f t="shared" si="90"/>
        <v>45090</v>
      </c>
      <c r="I1969" s="25">
        <v>45107</v>
      </c>
      <c r="J1969" s="22">
        <f t="shared" si="91"/>
        <v>17</v>
      </c>
      <c r="K1969" t="s">
        <v>14</v>
      </c>
      <c r="L1969">
        <v>62550</v>
      </c>
      <c r="M1969">
        <v>1990</v>
      </c>
      <c r="N1969" s="26">
        <v>1558.55</v>
      </c>
      <c r="O1969" s="26">
        <f t="shared" si="92"/>
        <v>1558.55</v>
      </c>
      <c r="P1969">
        <v>366</v>
      </c>
      <c r="Q1969" t="b">
        <v>1</v>
      </c>
      <c r="S1969" t="s">
        <v>16</v>
      </c>
    </row>
    <row r="1970" spans="1:19">
      <c r="A1970" t="s">
        <v>4055</v>
      </c>
      <c r="B1970" t="s">
        <v>4056</v>
      </c>
      <c r="C1970" s="23" t="s">
        <v>4128</v>
      </c>
      <c r="D1970" s="23">
        <v>45072</v>
      </c>
      <c r="E1970" s="22">
        <v>5</v>
      </c>
      <c r="F1970" s="22">
        <v>26</v>
      </c>
      <c r="G1970" s="22">
        <v>2023</v>
      </c>
      <c r="H1970" s="23">
        <f t="shared" si="90"/>
        <v>45072</v>
      </c>
      <c r="I1970" s="25">
        <v>45082</v>
      </c>
      <c r="J1970" s="22">
        <f t="shared" si="91"/>
        <v>10</v>
      </c>
      <c r="K1970" t="s">
        <v>14</v>
      </c>
      <c r="L1970">
        <v>25826</v>
      </c>
      <c r="M1970">
        <v>1272</v>
      </c>
      <c r="N1970" s="26">
        <v>1426.69</v>
      </c>
      <c r="O1970" s="26">
        <f t="shared" si="92"/>
        <v>1426.69</v>
      </c>
      <c r="P1970">
        <v>188</v>
      </c>
      <c r="Q1970" t="b">
        <v>1</v>
      </c>
      <c r="S1970" t="s">
        <v>16</v>
      </c>
    </row>
    <row r="1971" spans="1:19">
      <c r="A1971" t="s">
        <v>4057</v>
      </c>
      <c r="B1971" t="s">
        <v>4058</v>
      </c>
      <c r="C1971" s="23" t="s">
        <v>4129</v>
      </c>
      <c r="D1971" s="23">
        <v>45086</v>
      </c>
      <c r="E1971" s="22">
        <v>6</v>
      </c>
      <c r="F1971" s="22">
        <v>9</v>
      </c>
      <c r="G1971" s="22">
        <v>2023</v>
      </c>
      <c r="H1971" s="23">
        <f t="shared" si="90"/>
        <v>45086</v>
      </c>
      <c r="I1971" s="25">
        <v>45102</v>
      </c>
      <c r="J1971" s="22">
        <f t="shared" si="91"/>
        <v>16</v>
      </c>
      <c r="K1971" t="s">
        <v>41</v>
      </c>
      <c r="L1971">
        <v>27630</v>
      </c>
      <c r="M1971">
        <v>774</v>
      </c>
      <c r="N1971" s="26">
        <v>1473.49</v>
      </c>
      <c r="O1971" s="26">
        <f t="shared" si="92"/>
        <v>1473.49</v>
      </c>
      <c r="P1971">
        <v>79</v>
      </c>
      <c r="Q1971" t="b">
        <v>1</v>
      </c>
      <c r="S1971" t="s">
        <v>42</v>
      </c>
    </row>
    <row r="1972" spans="1:19">
      <c r="A1972" t="s">
        <v>4059</v>
      </c>
      <c r="B1972" t="s">
        <v>4060</v>
      </c>
      <c r="C1972" s="23" t="s">
        <v>4131</v>
      </c>
      <c r="D1972" s="23" t="s">
        <v>4061</v>
      </c>
      <c r="E1972" s="22">
        <v>16</v>
      </c>
      <c r="F1972" s="22">
        <v>8</v>
      </c>
      <c r="G1972" s="22">
        <v>2023</v>
      </c>
      <c r="H1972" s="23">
        <f t="shared" si="90"/>
        <v>45154</v>
      </c>
      <c r="I1972" s="25">
        <v>45178</v>
      </c>
      <c r="J1972" s="22">
        <f t="shared" si="91"/>
        <v>24</v>
      </c>
      <c r="K1972" t="s">
        <v>33</v>
      </c>
      <c r="L1972">
        <v>99762</v>
      </c>
      <c r="M1972">
        <v>3046</v>
      </c>
      <c r="N1972" s="26">
        <v>3611.31</v>
      </c>
      <c r="O1972" s="26">
        <f t="shared" si="92"/>
        <v>3611.31</v>
      </c>
      <c r="P1972">
        <v>593</v>
      </c>
      <c r="Q1972" t="b">
        <v>0</v>
      </c>
      <c r="S1972" t="s">
        <v>34</v>
      </c>
    </row>
    <row r="1973" spans="1:19">
      <c r="A1973" t="s">
        <v>4062</v>
      </c>
      <c r="B1973" t="s">
        <v>4063</v>
      </c>
      <c r="C1973" s="23" t="s">
        <v>4129</v>
      </c>
      <c r="D1973" s="23">
        <v>44941</v>
      </c>
      <c r="E1973" s="22">
        <v>1</v>
      </c>
      <c r="F1973" s="22">
        <v>15</v>
      </c>
      <c r="G1973" s="22">
        <v>2023</v>
      </c>
      <c r="H1973" s="23">
        <f t="shared" si="90"/>
        <v>44941</v>
      </c>
      <c r="I1973" s="25">
        <v>44954</v>
      </c>
      <c r="J1973" s="22">
        <f t="shared" si="91"/>
        <v>13</v>
      </c>
      <c r="K1973" t="s">
        <v>23</v>
      </c>
      <c r="L1973">
        <v>47163</v>
      </c>
      <c r="M1973">
        <v>2337</v>
      </c>
      <c r="N1973" s="26">
        <v>2185.99</v>
      </c>
      <c r="O1973" s="26">
        <f t="shared" si="92"/>
        <v>2185.99</v>
      </c>
      <c r="P1973">
        <v>0</v>
      </c>
      <c r="Q1973" t="b">
        <v>1</v>
      </c>
      <c r="S1973" t="s">
        <v>25</v>
      </c>
    </row>
    <row r="1974" spans="1:19">
      <c r="A1974" t="s">
        <v>4064</v>
      </c>
      <c r="B1974" t="s">
        <v>4065</v>
      </c>
      <c r="C1974" s="23" t="s">
        <v>4131</v>
      </c>
      <c r="D1974" s="23">
        <v>44981</v>
      </c>
      <c r="E1974" s="22">
        <v>2</v>
      </c>
      <c r="F1974" s="22">
        <v>24</v>
      </c>
      <c r="G1974" s="22">
        <v>2023</v>
      </c>
      <c r="H1974" s="23">
        <f t="shared" si="90"/>
        <v>44981</v>
      </c>
      <c r="I1974" s="25">
        <v>44983</v>
      </c>
      <c r="J1974" s="22">
        <f t="shared" si="91"/>
        <v>2</v>
      </c>
      <c r="K1974" t="s">
        <v>23</v>
      </c>
      <c r="L1974">
        <v>99511</v>
      </c>
      <c r="M1974">
        <v>1916</v>
      </c>
      <c r="N1974" s="26">
        <v>2573</v>
      </c>
      <c r="O1974" s="26">
        <f t="shared" si="92"/>
        <v>2573</v>
      </c>
      <c r="P1974">
        <v>276</v>
      </c>
      <c r="Q1974" t="b">
        <v>0</v>
      </c>
      <c r="S1974" t="s">
        <v>25</v>
      </c>
    </row>
    <row r="1975" spans="1:19">
      <c r="A1975" t="s">
        <v>4066</v>
      </c>
      <c r="B1975" t="s">
        <v>4067</v>
      </c>
      <c r="C1975" s="23" t="s">
        <v>4129</v>
      </c>
      <c r="D1975" s="23">
        <v>45127</v>
      </c>
      <c r="E1975" s="22">
        <v>7</v>
      </c>
      <c r="F1975" s="22">
        <v>20</v>
      </c>
      <c r="G1975" s="22">
        <v>2023</v>
      </c>
      <c r="H1975" s="23">
        <f t="shared" si="90"/>
        <v>45127</v>
      </c>
      <c r="I1975" s="25">
        <v>45146</v>
      </c>
      <c r="J1975" s="22">
        <f t="shared" si="91"/>
        <v>19</v>
      </c>
      <c r="K1975" t="s">
        <v>138</v>
      </c>
      <c r="L1975">
        <v>67435</v>
      </c>
      <c r="M1975">
        <v>3216</v>
      </c>
      <c r="N1975" s="26">
        <v>2147.97</v>
      </c>
      <c r="O1975" s="26">
        <f t="shared" si="92"/>
        <v>2147.97</v>
      </c>
      <c r="P1975">
        <v>302</v>
      </c>
      <c r="Q1975" t="b">
        <v>1</v>
      </c>
      <c r="S1975" t="s">
        <v>139</v>
      </c>
    </row>
    <row r="1976" spans="1:19">
      <c r="A1976" t="s">
        <v>4068</v>
      </c>
      <c r="B1976" t="s">
        <v>4069</v>
      </c>
      <c r="C1976" s="23" t="s">
        <v>4127</v>
      </c>
      <c r="D1976" s="23">
        <v>45230</v>
      </c>
      <c r="E1976" s="22">
        <v>10</v>
      </c>
      <c r="F1976" s="22">
        <v>31</v>
      </c>
      <c r="G1976" s="22">
        <v>2023</v>
      </c>
      <c r="H1976" s="23">
        <f t="shared" si="90"/>
        <v>45230</v>
      </c>
      <c r="I1976" s="25">
        <v>45240</v>
      </c>
      <c r="J1976" s="22">
        <f t="shared" si="91"/>
        <v>10</v>
      </c>
      <c r="K1976" t="s">
        <v>41</v>
      </c>
      <c r="L1976">
        <v>12653</v>
      </c>
      <c r="M1976">
        <v>148</v>
      </c>
      <c r="N1976" s="26">
        <v>209.31</v>
      </c>
      <c r="O1976" s="26">
        <f t="shared" si="92"/>
        <v>209.31</v>
      </c>
      <c r="P1976">
        <v>15</v>
      </c>
      <c r="Q1976" t="b">
        <v>0</v>
      </c>
      <c r="S1976" t="s">
        <v>42</v>
      </c>
    </row>
    <row r="1977" spans="1:19">
      <c r="A1977" t="s">
        <v>4070</v>
      </c>
      <c r="B1977" t="s">
        <v>4071</v>
      </c>
      <c r="C1977" s="23" t="s">
        <v>4128</v>
      </c>
      <c r="D1977" s="23">
        <v>45155</v>
      </c>
      <c r="E1977" s="22">
        <v>8</v>
      </c>
      <c r="F1977" s="22">
        <v>17</v>
      </c>
      <c r="G1977" s="22">
        <v>2023</v>
      </c>
      <c r="H1977" s="23">
        <f t="shared" si="90"/>
        <v>45155</v>
      </c>
      <c r="I1977" s="25">
        <v>45181</v>
      </c>
      <c r="J1977" s="22">
        <f t="shared" si="91"/>
        <v>26</v>
      </c>
      <c r="K1977" t="s">
        <v>14</v>
      </c>
      <c r="L1977">
        <v>28961</v>
      </c>
      <c r="M1977">
        <v>806</v>
      </c>
      <c r="N1977" s="26">
        <v>1090.23</v>
      </c>
      <c r="O1977" s="26">
        <f t="shared" si="92"/>
        <v>1090.23</v>
      </c>
      <c r="P1977">
        <v>121</v>
      </c>
      <c r="Q1977" t="b">
        <v>0</v>
      </c>
      <c r="S1977" t="s">
        <v>16</v>
      </c>
    </row>
    <row r="1978" spans="1:19">
      <c r="A1978" t="s">
        <v>4072</v>
      </c>
      <c r="B1978" t="s">
        <v>4073</v>
      </c>
      <c r="C1978" s="23" t="s">
        <v>4127</v>
      </c>
      <c r="D1978" s="23">
        <v>45028</v>
      </c>
      <c r="E1978" s="22">
        <v>4</v>
      </c>
      <c r="F1978" s="22">
        <v>12</v>
      </c>
      <c r="G1978" s="22">
        <v>2023</v>
      </c>
      <c r="H1978" s="23">
        <f t="shared" si="90"/>
        <v>45028</v>
      </c>
      <c r="I1978" s="25">
        <v>45056</v>
      </c>
      <c r="J1978" s="22">
        <f t="shared" si="91"/>
        <v>28</v>
      </c>
      <c r="K1978" t="s">
        <v>415</v>
      </c>
      <c r="L1978">
        <v>82941</v>
      </c>
      <c r="M1978">
        <v>1061</v>
      </c>
      <c r="N1978" s="26">
        <v>1790.96</v>
      </c>
      <c r="O1978" s="26">
        <f t="shared" si="92"/>
        <v>1790.96</v>
      </c>
      <c r="P1978">
        <v>64</v>
      </c>
      <c r="Q1978" t="b">
        <v>0</v>
      </c>
      <c r="S1978" t="s">
        <v>34</v>
      </c>
    </row>
    <row r="1979" spans="1:19">
      <c r="A1979" t="s">
        <v>4074</v>
      </c>
      <c r="B1979" t="s">
        <v>4075</v>
      </c>
      <c r="C1979" s="23" t="s">
        <v>4127</v>
      </c>
      <c r="D1979" s="23">
        <v>44936</v>
      </c>
      <c r="E1979" s="22">
        <v>1</v>
      </c>
      <c r="F1979" s="22">
        <v>10</v>
      </c>
      <c r="G1979" s="22">
        <v>2023</v>
      </c>
      <c r="H1979" s="23">
        <f t="shared" si="90"/>
        <v>44936</v>
      </c>
      <c r="I1979" s="25">
        <v>45209</v>
      </c>
      <c r="J1979" s="22">
        <f t="shared" si="91"/>
        <v>273</v>
      </c>
      <c r="K1979" t="s">
        <v>14</v>
      </c>
      <c r="L1979">
        <v>75137</v>
      </c>
      <c r="M1979">
        <v>2943</v>
      </c>
      <c r="N1979" s="26">
        <v>5827.23</v>
      </c>
      <c r="O1979" s="26">
        <f t="shared" si="92"/>
        <v>3632.575</v>
      </c>
      <c r="P1979">
        <v>260</v>
      </c>
      <c r="Q1979" t="b">
        <v>1</v>
      </c>
      <c r="S1979" t="s">
        <v>16</v>
      </c>
    </row>
    <row r="1980" spans="1:19">
      <c r="A1980" t="s">
        <v>4076</v>
      </c>
      <c r="B1980" t="s">
        <v>4077</v>
      </c>
      <c r="C1980" s="23" t="s">
        <v>4127</v>
      </c>
      <c r="D1980" s="23">
        <v>45165</v>
      </c>
      <c r="E1980" s="22">
        <v>8</v>
      </c>
      <c r="F1980" s="22">
        <v>27</v>
      </c>
      <c r="G1980" s="22">
        <v>2023</v>
      </c>
      <c r="H1980" s="23">
        <f t="shared" si="90"/>
        <v>45165</v>
      </c>
      <c r="I1980" s="25">
        <v>45169</v>
      </c>
      <c r="J1980" s="22">
        <f t="shared" si="91"/>
        <v>4</v>
      </c>
      <c r="K1980" t="s">
        <v>41</v>
      </c>
      <c r="L1980">
        <v>34662</v>
      </c>
      <c r="M1980">
        <v>1190</v>
      </c>
      <c r="N1980" s="26">
        <v>1042.81</v>
      </c>
      <c r="O1980" s="26">
        <f t="shared" si="92"/>
        <v>1042.81</v>
      </c>
      <c r="P1980">
        <v>186</v>
      </c>
      <c r="Q1980" t="b">
        <v>1</v>
      </c>
      <c r="S1980" t="s">
        <v>42</v>
      </c>
    </row>
    <row r="1981" spans="1:19">
      <c r="A1981" t="s">
        <v>4078</v>
      </c>
      <c r="B1981" t="s">
        <v>4079</v>
      </c>
      <c r="C1981" s="23" t="s">
        <v>4131</v>
      </c>
      <c r="D1981" s="23">
        <v>45284</v>
      </c>
      <c r="E1981" s="22">
        <v>12</v>
      </c>
      <c r="F1981" s="22">
        <v>24</v>
      </c>
      <c r="G1981" s="22">
        <v>2023</v>
      </c>
      <c r="H1981" s="23">
        <f t="shared" si="90"/>
        <v>45284</v>
      </c>
      <c r="I1981" s="25">
        <v>45311</v>
      </c>
      <c r="J1981" s="22">
        <f t="shared" si="91"/>
        <v>27</v>
      </c>
      <c r="K1981" t="s">
        <v>33</v>
      </c>
      <c r="L1981">
        <v>99818</v>
      </c>
      <c r="M1981">
        <v>3819</v>
      </c>
      <c r="N1981" s="26">
        <v>4829.07</v>
      </c>
      <c r="O1981" s="26">
        <f t="shared" si="92"/>
        <v>3632.575</v>
      </c>
      <c r="P1981">
        <v>465</v>
      </c>
      <c r="Q1981" t="b">
        <v>0</v>
      </c>
      <c r="S1981" t="s">
        <v>34</v>
      </c>
    </row>
    <row r="1982" spans="1:19">
      <c r="A1982" t="s">
        <v>4080</v>
      </c>
      <c r="B1982" t="s">
        <v>4081</v>
      </c>
      <c r="C1982" s="23" t="s">
        <v>4127</v>
      </c>
      <c r="D1982" s="23">
        <v>45277</v>
      </c>
      <c r="E1982" s="22">
        <v>12</v>
      </c>
      <c r="F1982" s="22">
        <v>17</v>
      </c>
      <c r="G1982" s="22">
        <v>2023</v>
      </c>
      <c r="H1982" s="23">
        <f t="shared" si="90"/>
        <v>45277</v>
      </c>
      <c r="I1982" s="25">
        <v>45282</v>
      </c>
      <c r="J1982" s="22">
        <f t="shared" si="91"/>
        <v>5</v>
      </c>
      <c r="K1982" t="s">
        <v>14</v>
      </c>
      <c r="L1982">
        <v>57446</v>
      </c>
      <c r="M1982">
        <v>1434</v>
      </c>
      <c r="N1982" s="26">
        <v>2671.97</v>
      </c>
      <c r="O1982" s="26">
        <f t="shared" si="92"/>
        <v>2671.97</v>
      </c>
      <c r="P1982">
        <v>158</v>
      </c>
      <c r="Q1982" t="b">
        <v>1</v>
      </c>
      <c r="R1982">
        <v>57539</v>
      </c>
      <c r="S1982" t="s">
        <v>68</v>
      </c>
    </row>
    <row r="1983" spans="1:19">
      <c r="A1983" t="s">
        <v>4082</v>
      </c>
      <c r="B1983" t="s">
        <v>4083</v>
      </c>
      <c r="C1983" s="23" t="s">
        <v>4131</v>
      </c>
      <c r="D1983" s="23">
        <v>45167</v>
      </c>
      <c r="E1983" s="22">
        <v>8</v>
      </c>
      <c r="F1983" s="22">
        <v>29</v>
      </c>
      <c r="G1983" s="22">
        <v>2023</v>
      </c>
      <c r="H1983" s="23">
        <f t="shared" si="90"/>
        <v>45167</v>
      </c>
      <c r="I1983" s="25">
        <v>45185</v>
      </c>
      <c r="J1983" s="22">
        <f t="shared" si="91"/>
        <v>18</v>
      </c>
      <c r="K1983" t="s">
        <v>19</v>
      </c>
      <c r="L1983">
        <v>22288</v>
      </c>
      <c r="M1983">
        <v>552</v>
      </c>
      <c r="N1983" s="26">
        <v>926.14</v>
      </c>
      <c r="O1983" s="26">
        <f t="shared" si="92"/>
        <v>926.14</v>
      </c>
      <c r="P1983">
        <v>0</v>
      </c>
      <c r="Q1983" t="b">
        <v>0</v>
      </c>
      <c r="S1983" t="s">
        <v>20</v>
      </c>
    </row>
    <row r="1984" spans="1:19">
      <c r="A1984" t="s">
        <v>4084</v>
      </c>
      <c r="B1984" t="s">
        <v>4085</v>
      </c>
      <c r="C1984" s="23" t="s">
        <v>4131</v>
      </c>
      <c r="D1984" s="23">
        <v>45242</v>
      </c>
      <c r="E1984" s="22">
        <v>11</v>
      </c>
      <c r="F1984" s="22">
        <v>12</v>
      </c>
      <c r="G1984" s="22">
        <v>2023</v>
      </c>
      <c r="H1984" s="23">
        <f t="shared" si="90"/>
        <v>45242</v>
      </c>
      <c r="I1984" s="25">
        <v>45250</v>
      </c>
      <c r="J1984" s="22">
        <f t="shared" si="91"/>
        <v>8</v>
      </c>
      <c r="K1984" t="s">
        <v>19</v>
      </c>
      <c r="L1984">
        <v>96081</v>
      </c>
      <c r="M1984">
        <v>1134</v>
      </c>
      <c r="N1984" s="26">
        <v>1396.08</v>
      </c>
      <c r="O1984" s="26">
        <f t="shared" si="92"/>
        <v>1396.08</v>
      </c>
      <c r="P1984">
        <v>131</v>
      </c>
      <c r="Q1984" t="b">
        <v>0</v>
      </c>
      <c r="S1984" t="s">
        <v>20</v>
      </c>
    </row>
    <row r="1985" spans="1:19">
      <c r="A1985" t="s">
        <v>4086</v>
      </c>
      <c r="B1985" t="s">
        <v>4087</v>
      </c>
      <c r="C1985" s="23" t="s">
        <v>4131</v>
      </c>
      <c r="D1985" s="23">
        <v>45020</v>
      </c>
      <c r="E1985" s="22">
        <v>4</v>
      </c>
      <c r="F1985" s="22">
        <v>4</v>
      </c>
      <c r="G1985" s="22">
        <v>2023</v>
      </c>
      <c r="H1985" s="23">
        <f t="shared" si="90"/>
        <v>45020</v>
      </c>
      <c r="I1985" s="25">
        <v>45048</v>
      </c>
      <c r="J1985" s="22">
        <f t="shared" si="91"/>
        <v>28</v>
      </c>
      <c r="K1985" t="s">
        <v>41</v>
      </c>
      <c r="L1985">
        <v>37877</v>
      </c>
      <c r="M1985">
        <v>908</v>
      </c>
      <c r="N1985" s="26">
        <v>1741.6</v>
      </c>
      <c r="O1985" s="26">
        <f t="shared" si="92"/>
        <v>1741.6</v>
      </c>
      <c r="P1985">
        <v>150</v>
      </c>
      <c r="Q1985" t="b">
        <v>1</v>
      </c>
      <c r="S1985" t="s">
        <v>42</v>
      </c>
    </row>
    <row r="1986" spans="1:19">
      <c r="A1986" t="s">
        <v>4088</v>
      </c>
      <c r="B1986" t="s">
        <v>4089</v>
      </c>
      <c r="C1986" s="23" t="s">
        <v>4131</v>
      </c>
      <c r="D1986" s="23">
        <v>45093</v>
      </c>
      <c r="E1986" s="22">
        <v>6</v>
      </c>
      <c r="F1986" s="22">
        <v>16</v>
      </c>
      <c r="G1986" s="22">
        <v>2023</v>
      </c>
      <c r="H1986" s="23">
        <f t="shared" si="90"/>
        <v>45093</v>
      </c>
      <c r="I1986" s="25">
        <v>45119</v>
      </c>
      <c r="J1986" s="22">
        <f t="shared" si="91"/>
        <v>26</v>
      </c>
      <c r="K1986" t="s">
        <v>138</v>
      </c>
      <c r="L1986">
        <v>16313</v>
      </c>
      <c r="M1986">
        <v>769</v>
      </c>
      <c r="N1986" s="26">
        <v>450.52</v>
      </c>
      <c r="O1986" s="26">
        <f t="shared" si="92"/>
        <v>450.52</v>
      </c>
      <c r="P1986">
        <v>68</v>
      </c>
      <c r="Q1986" t="b">
        <v>0</v>
      </c>
      <c r="S1986" t="s">
        <v>139</v>
      </c>
    </row>
    <row r="1987" spans="1:19">
      <c r="A1987" t="s">
        <v>4090</v>
      </c>
      <c r="B1987" t="s">
        <v>4091</v>
      </c>
      <c r="C1987" s="23" t="s">
        <v>4131</v>
      </c>
      <c r="D1987" s="23">
        <v>45170</v>
      </c>
      <c r="E1987" s="22">
        <v>9</v>
      </c>
      <c r="F1987" s="22">
        <v>1</v>
      </c>
      <c r="G1987" s="22">
        <v>2023</v>
      </c>
      <c r="H1987" s="23">
        <f t="shared" ref="H1987:H2021" si="93">IF(E1987&gt;12,DATE(G1987,F1987,E1987),D1987)</f>
        <v>45170</v>
      </c>
      <c r="I1987" s="25">
        <v>45178</v>
      </c>
      <c r="J1987" s="22">
        <f t="shared" ref="J1987:J2021" si="94">DATEDIF(H1987,I1987,"D")</f>
        <v>8</v>
      </c>
      <c r="K1987" t="s">
        <v>41</v>
      </c>
      <c r="L1987">
        <v>81885</v>
      </c>
      <c r="M1987">
        <v>2060</v>
      </c>
      <c r="N1987" s="26">
        <v>3906.79</v>
      </c>
      <c r="O1987" s="26">
        <f t="shared" ref="O1987:O2021" si="95">IF(N1987&lt;$W$8,$W$8,IF(N1987&gt;$W$9,$W$9,N1987))</f>
        <v>3632.575</v>
      </c>
      <c r="P1987">
        <v>104</v>
      </c>
      <c r="Q1987" t="b">
        <v>1</v>
      </c>
      <c r="S1987" t="s">
        <v>42</v>
      </c>
    </row>
    <row r="1988" spans="1:19">
      <c r="A1988" t="s">
        <v>4092</v>
      </c>
      <c r="B1988" t="s">
        <v>4093</v>
      </c>
      <c r="C1988" s="23" t="s">
        <v>4129</v>
      </c>
      <c r="D1988" s="23">
        <v>45014</v>
      </c>
      <c r="E1988" s="22">
        <v>3</v>
      </c>
      <c r="F1988" s="22">
        <v>29</v>
      </c>
      <c r="G1988" s="22">
        <v>2023</v>
      </c>
      <c r="H1988" s="23">
        <f t="shared" si="93"/>
        <v>45014</v>
      </c>
      <c r="I1988" s="25">
        <v>45043</v>
      </c>
      <c r="J1988" s="22">
        <f t="shared" si="94"/>
        <v>29</v>
      </c>
      <c r="K1988" t="s">
        <v>19</v>
      </c>
      <c r="L1988">
        <v>73715</v>
      </c>
      <c r="M1988">
        <v>3188</v>
      </c>
      <c r="N1988" s="26">
        <v>1835.53</v>
      </c>
      <c r="O1988" s="26">
        <f t="shared" si="95"/>
        <v>1835.53</v>
      </c>
      <c r="P1988">
        <v>479</v>
      </c>
      <c r="Q1988" t="b">
        <v>0</v>
      </c>
      <c r="S1988" t="s">
        <v>20</v>
      </c>
    </row>
    <row r="1989" spans="1:19">
      <c r="A1989" t="s">
        <v>4094</v>
      </c>
      <c r="B1989" t="s">
        <v>4095</v>
      </c>
      <c r="C1989" s="23" t="s">
        <v>4127</v>
      </c>
      <c r="D1989" s="23">
        <v>45221</v>
      </c>
      <c r="E1989" s="22">
        <v>10</v>
      </c>
      <c r="F1989" s="22">
        <v>22</v>
      </c>
      <c r="G1989" s="22">
        <v>2023</v>
      </c>
      <c r="H1989" s="23">
        <f t="shared" si="93"/>
        <v>45221</v>
      </c>
      <c r="I1989" s="25">
        <v>45229</v>
      </c>
      <c r="J1989" s="22">
        <f t="shared" si="94"/>
        <v>8</v>
      </c>
      <c r="K1989" t="s">
        <v>23</v>
      </c>
      <c r="L1989">
        <v>11326</v>
      </c>
      <c r="M1989">
        <v>494</v>
      </c>
      <c r="N1989" s="26">
        <v>652.55</v>
      </c>
      <c r="O1989" s="26">
        <f t="shared" si="95"/>
        <v>652.55</v>
      </c>
      <c r="P1989">
        <v>96</v>
      </c>
      <c r="Q1989" t="b">
        <v>0</v>
      </c>
      <c r="S1989" t="s">
        <v>25</v>
      </c>
    </row>
    <row r="1990" spans="1:19">
      <c r="A1990" t="s">
        <v>4096</v>
      </c>
      <c r="B1990" t="s">
        <v>4097</v>
      </c>
      <c r="C1990" s="23" t="s">
        <v>4128</v>
      </c>
      <c r="D1990" s="23">
        <v>45292</v>
      </c>
      <c r="E1990" s="22">
        <v>1</v>
      </c>
      <c r="F1990" s="22">
        <v>1</v>
      </c>
      <c r="G1990" s="22">
        <v>2024</v>
      </c>
      <c r="H1990" s="23">
        <f t="shared" si="93"/>
        <v>45292</v>
      </c>
      <c r="I1990" s="25">
        <v>45307</v>
      </c>
      <c r="J1990" s="22">
        <f t="shared" si="94"/>
        <v>15</v>
      </c>
      <c r="K1990" t="s">
        <v>14</v>
      </c>
      <c r="L1990">
        <v>2560</v>
      </c>
      <c r="M1990">
        <v>63</v>
      </c>
      <c r="N1990" s="26">
        <v>115.65</v>
      </c>
      <c r="O1990" s="26">
        <f t="shared" si="95"/>
        <v>115.65</v>
      </c>
      <c r="P1990">
        <v>8</v>
      </c>
      <c r="Q1990" t="b">
        <v>1</v>
      </c>
      <c r="S1990" t="s">
        <v>16</v>
      </c>
    </row>
    <row r="1991" spans="1:19">
      <c r="A1991" t="s">
        <v>4098</v>
      </c>
      <c r="B1991" t="s">
        <v>4099</v>
      </c>
      <c r="C1991" s="23" t="s">
        <v>4128</v>
      </c>
      <c r="D1991" s="23" t="s">
        <v>687</v>
      </c>
      <c r="E1991" s="22">
        <v>29</v>
      </c>
      <c r="F1991" s="22">
        <v>11</v>
      </c>
      <c r="G1991" s="22">
        <v>2023</v>
      </c>
      <c r="H1991" s="23">
        <f t="shared" si="93"/>
        <v>45259</v>
      </c>
      <c r="I1991" s="25">
        <v>45288</v>
      </c>
      <c r="J1991" s="22">
        <f t="shared" si="94"/>
        <v>29</v>
      </c>
      <c r="K1991" t="s">
        <v>23</v>
      </c>
      <c r="L1991">
        <v>80148</v>
      </c>
      <c r="M1991">
        <v>2827</v>
      </c>
      <c r="N1991" s="26">
        <v>2527.57</v>
      </c>
      <c r="O1991" s="26">
        <f t="shared" si="95"/>
        <v>2527.57</v>
      </c>
      <c r="P1991">
        <v>192</v>
      </c>
      <c r="Q1991" t="b">
        <v>1</v>
      </c>
      <c r="S1991" t="s">
        <v>25</v>
      </c>
    </row>
    <row r="1992" spans="1:19">
      <c r="A1992" t="s">
        <v>4100</v>
      </c>
      <c r="B1992" t="s">
        <v>4101</v>
      </c>
      <c r="C1992" s="23" t="s">
        <v>4128</v>
      </c>
      <c r="D1992" s="23">
        <v>45081</v>
      </c>
      <c r="E1992" s="22">
        <v>6</v>
      </c>
      <c r="F1992" s="22">
        <v>4</v>
      </c>
      <c r="G1992" s="22">
        <v>2023</v>
      </c>
      <c r="H1992" s="23">
        <f t="shared" si="93"/>
        <v>45081</v>
      </c>
      <c r="I1992" s="25">
        <v>45086</v>
      </c>
      <c r="J1992" s="22">
        <f t="shared" si="94"/>
        <v>5</v>
      </c>
      <c r="K1992" t="s">
        <v>14</v>
      </c>
      <c r="L1992">
        <v>84186</v>
      </c>
      <c r="M1992">
        <v>1163</v>
      </c>
      <c r="N1992" s="26">
        <v>1405.34</v>
      </c>
      <c r="O1992" s="26">
        <f t="shared" si="95"/>
        <v>1405.34</v>
      </c>
      <c r="P1992">
        <v>114</v>
      </c>
      <c r="Q1992" t="b">
        <v>0</v>
      </c>
      <c r="S1992" t="s">
        <v>16</v>
      </c>
    </row>
    <row r="1993" spans="1:19">
      <c r="A1993" t="s">
        <v>4102</v>
      </c>
      <c r="B1993" t="s">
        <v>4103</v>
      </c>
      <c r="C1993" s="23" t="s">
        <v>4128</v>
      </c>
      <c r="D1993" s="23">
        <v>45138</v>
      </c>
      <c r="E1993" s="22">
        <v>7</v>
      </c>
      <c r="F1993" s="22">
        <v>31</v>
      </c>
      <c r="G1993" s="22">
        <v>2023</v>
      </c>
      <c r="H1993" s="23">
        <f t="shared" si="93"/>
        <v>45138</v>
      </c>
      <c r="I1993" s="25">
        <v>45168</v>
      </c>
      <c r="J1993" s="22">
        <f t="shared" si="94"/>
        <v>30</v>
      </c>
      <c r="K1993" t="s">
        <v>41</v>
      </c>
      <c r="L1993">
        <v>27745</v>
      </c>
      <c r="M1993">
        <v>392</v>
      </c>
      <c r="N1993" s="26">
        <v>386.71</v>
      </c>
      <c r="O1993" s="26">
        <f t="shared" si="95"/>
        <v>386.71</v>
      </c>
      <c r="P1993">
        <v>70</v>
      </c>
      <c r="Q1993" t="b">
        <v>1</v>
      </c>
      <c r="S1993" t="s">
        <v>42</v>
      </c>
    </row>
    <row r="1994" spans="1:19">
      <c r="A1994" t="s">
        <v>4104</v>
      </c>
      <c r="B1994" t="s">
        <v>4105</v>
      </c>
      <c r="C1994" s="23" t="s">
        <v>4129</v>
      </c>
      <c r="D1994" s="23">
        <v>45008</v>
      </c>
      <c r="E1994" s="22">
        <v>3</v>
      </c>
      <c r="F1994" s="22">
        <v>23</v>
      </c>
      <c r="G1994" s="22">
        <v>2023</v>
      </c>
      <c r="H1994" s="23">
        <f t="shared" si="93"/>
        <v>45008</v>
      </c>
      <c r="I1994" s="25">
        <v>45012</v>
      </c>
      <c r="J1994" s="22">
        <f t="shared" si="94"/>
        <v>4</v>
      </c>
      <c r="K1994" t="s">
        <v>41</v>
      </c>
      <c r="L1994">
        <v>32890</v>
      </c>
      <c r="M1994">
        <v>392</v>
      </c>
      <c r="N1994" s="26">
        <v>755.86</v>
      </c>
      <c r="O1994" s="26">
        <f t="shared" si="95"/>
        <v>755.86</v>
      </c>
      <c r="P1994">
        <v>33</v>
      </c>
      <c r="Q1994" t="b">
        <v>1</v>
      </c>
      <c r="S1994" t="s">
        <v>42</v>
      </c>
    </row>
    <row r="1995" spans="1:19">
      <c r="A1995" t="s">
        <v>4106</v>
      </c>
      <c r="B1995" t="s">
        <v>4107</v>
      </c>
      <c r="C1995" s="23" t="s">
        <v>4128</v>
      </c>
      <c r="D1995" s="23">
        <v>45101</v>
      </c>
      <c r="E1995" s="22">
        <v>6</v>
      </c>
      <c r="F1995" s="22">
        <v>24</v>
      </c>
      <c r="G1995" s="22">
        <v>2023</v>
      </c>
      <c r="H1995" s="23">
        <f t="shared" si="93"/>
        <v>45101</v>
      </c>
      <c r="I1995" s="25">
        <v>45124</v>
      </c>
      <c r="J1995" s="22">
        <f t="shared" si="94"/>
        <v>23</v>
      </c>
      <c r="K1995" t="s">
        <v>19</v>
      </c>
      <c r="L1995">
        <v>21022</v>
      </c>
      <c r="M1995">
        <v>698</v>
      </c>
      <c r="N1995" s="26">
        <v>1211.36</v>
      </c>
      <c r="O1995" s="26">
        <f t="shared" si="95"/>
        <v>1211.36</v>
      </c>
      <c r="P1995">
        <v>98</v>
      </c>
      <c r="Q1995" t="b">
        <v>1</v>
      </c>
      <c r="S1995" t="s">
        <v>20</v>
      </c>
    </row>
    <row r="1996" spans="1:19">
      <c r="A1996" t="s">
        <v>4108</v>
      </c>
      <c r="B1996" t="s">
        <v>4109</v>
      </c>
      <c r="C1996" s="23" t="s">
        <v>4127</v>
      </c>
      <c r="D1996" s="23">
        <v>45147</v>
      </c>
      <c r="E1996" s="22">
        <v>8</v>
      </c>
      <c r="F1996" s="22">
        <v>9</v>
      </c>
      <c r="G1996" s="22">
        <v>2023</v>
      </c>
      <c r="H1996" s="23">
        <f t="shared" si="93"/>
        <v>45147</v>
      </c>
      <c r="I1996" s="25">
        <v>45165</v>
      </c>
      <c r="J1996" s="22">
        <f t="shared" si="94"/>
        <v>18</v>
      </c>
      <c r="K1996" t="s">
        <v>14</v>
      </c>
      <c r="L1996">
        <v>53579</v>
      </c>
      <c r="M1996">
        <v>1448</v>
      </c>
      <c r="N1996" s="26">
        <v>2263.95</v>
      </c>
      <c r="O1996" s="26">
        <f t="shared" si="95"/>
        <v>2263.95</v>
      </c>
      <c r="P1996">
        <v>159</v>
      </c>
      <c r="Q1996" t="b">
        <v>1</v>
      </c>
      <c r="S1996" t="s">
        <v>16</v>
      </c>
    </row>
    <row r="1997" spans="1:19">
      <c r="A1997" t="s">
        <v>4110</v>
      </c>
      <c r="B1997" t="s">
        <v>4111</v>
      </c>
      <c r="C1997" s="23" t="s">
        <v>4131</v>
      </c>
      <c r="D1997" s="23">
        <v>45102</v>
      </c>
      <c r="E1997" s="22">
        <v>6</v>
      </c>
      <c r="F1997" s="22">
        <v>25</v>
      </c>
      <c r="G1997" s="22">
        <v>2023</v>
      </c>
      <c r="H1997" s="23">
        <f t="shared" si="93"/>
        <v>45102</v>
      </c>
      <c r="I1997" s="25">
        <v>45119</v>
      </c>
      <c r="J1997" s="22">
        <f t="shared" si="94"/>
        <v>17</v>
      </c>
      <c r="K1997" t="s">
        <v>41</v>
      </c>
      <c r="L1997">
        <v>71316</v>
      </c>
      <c r="M1997">
        <v>2276</v>
      </c>
      <c r="N1997" s="26">
        <v>3144.16</v>
      </c>
      <c r="O1997" s="26">
        <f t="shared" si="95"/>
        <v>3144.16</v>
      </c>
      <c r="P1997">
        <v>184</v>
      </c>
      <c r="Q1997" t="b">
        <v>1</v>
      </c>
      <c r="S1997" t="s">
        <v>42</v>
      </c>
    </row>
    <row r="1998" spans="1:19">
      <c r="A1998" t="s">
        <v>4112</v>
      </c>
      <c r="B1998" t="s">
        <v>4113</v>
      </c>
      <c r="C1998" s="23" t="s">
        <v>4129</v>
      </c>
      <c r="D1998" s="23">
        <v>45266</v>
      </c>
      <c r="E1998" s="22">
        <v>12</v>
      </c>
      <c r="F1998" s="22">
        <v>6</v>
      </c>
      <c r="G1998" s="22">
        <v>2023</v>
      </c>
      <c r="H1998" s="23">
        <f t="shared" si="93"/>
        <v>45266</v>
      </c>
      <c r="I1998" s="25">
        <v>45278</v>
      </c>
      <c r="J1998" s="22">
        <f t="shared" si="94"/>
        <v>12</v>
      </c>
      <c r="K1998" t="s">
        <v>19</v>
      </c>
      <c r="L1998">
        <v>84847</v>
      </c>
      <c r="M1998">
        <v>2616</v>
      </c>
      <c r="N1998" s="26">
        <v>4528</v>
      </c>
      <c r="O1998" s="26">
        <f t="shared" si="95"/>
        <v>3632.575</v>
      </c>
      <c r="P1998">
        <v>449</v>
      </c>
      <c r="Q1998" t="b">
        <v>0</v>
      </c>
      <c r="S1998" t="s">
        <v>20</v>
      </c>
    </row>
    <row r="1999" spans="1:19">
      <c r="A1999" t="s">
        <v>4114</v>
      </c>
      <c r="B1999" t="s">
        <v>4115</v>
      </c>
      <c r="C1999" s="23" t="s">
        <v>4131</v>
      </c>
      <c r="D1999" s="23">
        <v>45291</v>
      </c>
      <c r="E1999" s="22">
        <v>12</v>
      </c>
      <c r="F1999" s="22">
        <v>31</v>
      </c>
      <c r="G1999" s="22">
        <v>2023</v>
      </c>
      <c r="H1999" s="23">
        <f t="shared" si="93"/>
        <v>45291</v>
      </c>
      <c r="I1999" s="25">
        <v>45305</v>
      </c>
      <c r="J1999" s="22">
        <f t="shared" si="94"/>
        <v>14</v>
      </c>
      <c r="K1999" t="s">
        <v>33</v>
      </c>
      <c r="L1999">
        <v>29380</v>
      </c>
      <c r="M1999">
        <v>705</v>
      </c>
      <c r="N1999" s="26">
        <v>767.32</v>
      </c>
      <c r="O1999" s="26">
        <f t="shared" si="95"/>
        <v>767.32</v>
      </c>
      <c r="P1999">
        <v>0</v>
      </c>
      <c r="Q1999" t="b">
        <v>0</v>
      </c>
      <c r="S1999" t="s">
        <v>34</v>
      </c>
    </row>
    <row r="2000" spans="1:19">
      <c r="A2000" t="s">
        <v>4116</v>
      </c>
      <c r="B2000" t="s">
        <v>4117</v>
      </c>
      <c r="C2000" s="23" t="s">
        <v>4128</v>
      </c>
      <c r="D2000" s="23">
        <v>45230</v>
      </c>
      <c r="E2000" s="22">
        <v>10</v>
      </c>
      <c r="F2000" s="22">
        <v>31</v>
      </c>
      <c r="G2000" s="22">
        <v>2023</v>
      </c>
      <c r="H2000" s="23">
        <f t="shared" si="93"/>
        <v>45230</v>
      </c>
      <c r="I2000" s="25">
        <v>45254</v>
      </c>
      <c r="J2000" s="22">
        <f t="shared" si="94"/>
        <v>24</v>
      </c>
      <c r="K2000" t="s">
        <v>33</v>
      </c>
      <c r="L2000">
        <v>3356</v>
      </c>
      <c r="M2000">
        <v>124</v>
      </c>
      <c r="N2000" s="26">
        <v>145.24</v>
      </c>
      <c r="O2000" s="26">
        <f t="shared" si="95"/>
        <v>145.24</v>
      </c>
      <c r="P2000">
        <v>18</v>
      </c>
      <c r="Q2000" t="b">
        <v>0</v>
      </c>
      <c r="S2000" t="s">
        <v>34</v>
      </c>
    </row>
    <row r="2001" spans="1:19">
      <c r="A2001" t="s">
        <v>4118</v>
      </c>
      <c r="B2001" t="s">
        <v>4119</v>
      </c>
      <c r="C2001" s="23" t="s">
        <v>4129</v>
      </c>
      <c r="D2001" s="23">
        <v>44976</v>
      </c>
      <c r="E2001" s="22">
        <v>2</v>
      </c>
      <c r="F2001" s="22">
        <v>19</v>
      </c>
      <c r="G2001" s="22">
        <v>2023</v>
      </c>
      <c r="H2001" s="23">
        <f t="shared" si="93"/>
        <v>44976</v>
      </c>
      <c r="I2001" s="25">
        <v>44989</v>
      </c>
      <c r="J2001" s="22">
        <f t="shared" si="94"/>
        <v>13</v>
      </c>
      <c r="K2001" t="s">
        <v>14</v>
      </c>
      <c r="L2001">
        <v>71326</v>
      </c>
      <c r="M2001">
        <v>2877</v>
      </c>
      <c r="N2001" s="26">
        <v>4588.82</v>
      </c>
      <c r="O2001" s="26">
        <f t="shared" si="95"/>
        <v>3632.575</v>
      </c>
      <c r="P2001">
        <v>245</v>
      </c>
      <c r="Q2001" t="b">
        <v>1</v>
      </c>
      <c r="S2001" t="s">
        <v>16</v>
      </c>
    </row>
    <row r="2002" spans="1:19">
      <c r="A2002" t="s">
        <v>3876</v>
      </c>
      <c r="B2002" t="s">
        <v>3877</v>
      </c>
      <c r="C2002" s="23" t="s">
        <v>4131</v>
      </c>
      <c r="D2002" s="23">
        <v>45288</v>
      </c>
      <c r="E2002" s="22">
        <v>12</v>
      </c>
      <c r="F2002" s="22">
        <v>28</v>
      </c>
      <c r="G2002" s="22">
        <v>2023</v>
      </c>
      <c r="H2002" s="23">
        <f t="shared" si="93"/>
        <v>45288</v>
      </c>
      <c r="I2002" s="25">
        <v>45301</v>
      </c>
      <c r="J2002" s="22">
        <f t="shared" si="94"/>
        <v>13</v>
      </c>
      <c r="K2002" t="s">
        <v>41</v>
      </c>
      <c r="L2002">
        <v>53098</v>
      </c>
      <c r="M2002">
        <v>559</v>
      </c>
      <c r="N2002" s="26">
        <v>992.65</v>
      </c>
      <c r="O2002" s="26">
        <f t="shared" si="95"/>
        <v>992.65</v>
      </c>
      <c r="P2002">
        <v>63</v>
      </c>
      <c r="Q2002" t="b">
        <v>0</v>
      </c>
      <c r="S2002" t="s">
        <v>42</v>
      </c>
    </row>
    <row r="2003" spans="1:19">
      <c r="A2003" t="s">
        <v>2677</v>
      </c>
      <c r="B2003" t="s">
        <v>2678</v>
      </c>
      <c r="C2003" s="23" t="s">
        <v>4129</v>
      </c>
      <c r="D2003" s="23">
        <v>45114</v>
      </c>
      <c r="E2003" s="22">
        <v>7</v>
      </c>
      <c r="F2003" s="22">
        <v>7</v>
      </c>
      <c r="G2003" s="22">
        <v>2023</v>
      </c>
      <c r="H2003" s="23">
        <f t="shared" si="93"/>
        <v>45114</v>
      </c>
      <c r="I2003" s="25">
        <v>45127</v>
      </c>
      <c r="J2003" s="22">
        <f t="shared" si="94"/>
        <v>13</v>
      </c>
      <c r="K2003" t="s">
        <v>41</v>
      </c>
      <c r="L2003">
        <v>39258</v>
      </c>
      <c r="M2003">
        <v>1290</v>
      </c>
      <c r="N2003" s="26">
        <v>2331</v>
      </c>
      <c r="O2003" s="26">
        <f t="shared" si="95"/>
        <v>2331</v>
      </c>
      <c r="P2003">
        <v>123</v>
      </c>
      <c r="Q2003" t="b">
        <v>0</v>
      </c>
      <c r="S2003" t="s">
        <v>42</v>
      </c>
    </row>
    <row r="2004" spans="1:19">
      <c r="A2004" t="s">
        <v>2948</v>
      </c>
      <c r="B2004" t="s">
        <v>2949</v>
      </c>
      <c r="C2004" s="23" t="s">
        <v>4128</v>
      </c>
      <c r="D2004" s="23">
        <v>44947</v>
      </c>
      <c r="E2004" s="22">
        <v>1</v>
      </c>
      <c r="F2004" s="22">
        <v>21</v>
      </c>
      <c r="G2004" s="22">
        <v>2023</v>
      </c>
      <c r="H2004" s="23">
        <f t="shared" si="93"/>
        <v>44947</v>
      </c>
      <c r="I2004" s="25">
        <v>44955</v>
      </c>
      <c r="J2004" s="22">
        <f t="shared" si="94"/>
        <v>8</v>
      </c>
      <c r="K2004" t="s">
        <v>23</v>
      </c>
      <c r="L2004">
        <v>30373</v>
      </c>
      <c r="M2004">
        <v>1454</v>
      </c>
      <c r="N2004" s="26">
        <v>2640.72</v>
      </c>
      <c r="O2004" s="26">
        <f t="shared" si="95"/>
        <v>2640.72</v>
      </c>
      <c r="P2004">
        <v>110</v>
      </c>
      <c r="Q2004" t="b">
        <v>1</v>
      </c>
      <c r="S2004" t="s">
        <v>25</v>
      </c>
    </row>
    <row r="2005" spans="1:19">
      <c r="A2005" t="s">
        <v>2211</v>
      </c>
      <c r="B2005" t="s">
        <v>2212</v>
      </c>
      <c r="C2005" s="23" t="s">
        <v>4127</v>
      </c>
      <c r="D2005" s="23">
        <v>45048</v>
      </c>
      <c r="E2005" s="22">
        <v>5</v>
      </c>
      <c r="F2005" s="22">
        <v>2</v>
      </c>
      <c r="G2005" s="22">
        <v>2023</v>
      </c>
      <c r="H2005" s="23">
        <f t="shared" si="93"/>
        <v>45048</v>
      </c>
      <c r="I2005" s="25">
        <v>45074</v>
      </c>
      <c r="J2005" s="22">
        <f t="shared" si="94"/>
        <v>26</v>
      </c>
      <c r="K2005" t="s">
        <v>19</v>
      </c>
      <c r="L2005">
        <v>64076</v>
      </c>
      <c r="M2005">
        <v>1065</v>
      </c>
      <c r="N2005" s="26">
        <v>1371.03</v>
      </c>
      <c r="O2005" s="26">
        <f t="shared" si="95"/>
        <v>1371.03</v>
      </c>
      <c r="P2005">
        <v>169</v>
      </c>
      <c r="Q2005" t="b">
        <v>1</v>
      </c>
      <c r="S2005" t="s">
        <v>20</v>
      </c>
    </row>
    <row r="2006" spans="1:19">
      <c r="A2006" t="s">
        <v>3309</v>
      </c>
      <c r="B2006" t="s">
        <v>3310</v>
      </c>
      <c r="C2006" s="23" t="s">
        <v>4129</v>
      </c>
      <c r="D2006" s="23">
        <v>45241</v>
      </c>
      <c r="E2006" s="22">
        <v>11</v>
      </c>
      <c r="F2006" s="22">
        <v>11</v>
      </c>
      <c r="G2006" s="22">
        <v>2023</v>
      </c>
      <c r="H2006" s="23">
        <f t="shared" si="93"/>
        <v>45241</v>
      </c>
      <c r="I2006" s="25">
        <v>45251</v>
      </c>
      <c r="J2006" s="22">
        <f t="shared" si="94"/>
        <v>10</v>
      </c>
      <c r="K2006" t="s">
        <v>41</v>
      </c>
      <c r="L2006">
        <v>11816</v>
      </c>
      <c r="M2006">
        <v>374</v>
      </c>
      <c r="N2006" s="26">
        <v>460.42</v>
      </c>
      <c r="O2006" s="26">
        <f t="shared" si="95"/>
        <v>460.42</v>
      </c>
      <c r="P2006">
        <v>67</v>
      </c>
      <c r="Q2006" t="b">
        <v>0</v>
      </c>
      <c r="S2006" t="s">
        <v>42</v>
      </c>
    </row>
    <row r="2007" spans="1:19">
      <c r="A2007" t="s">
        <v>2602</v>
      </c>
      <c r="B2007" t="s">
        <v>2603</v>
      </c>
      <c r="C2007" s="23" t="s">
        <v>4128</v>
      </c>
      <c r="D2007" s="23">
        <v>45186</v>
      </c>
      <c r="E2007" s="22">
        <v>9</v>
      </c>
      <c r="F2007" s="22">
        <v>17</v>
      </c>
      <c r="G2007" s="22">
        <v>2023</v>
      </c>
      <c r="H2007" s="23">
        <f t="shared" si="93"/>
        <v>45186</v>
      </c>
      <c r="I2007" s="25">
        <v>45209</v>
      </c>
      <c r="J2007" s="22">
        <f t="shared" si="94"/>
        <v>23</v>
      </c>
      <c r="K2007" t="s">
        <v>23</v>
      </c>
      <c r="L2007">
        <v>11395</v>
      </c>
      <c r="M2007">
        <v>320</v>
      </c>
      <c r="N2007" s="26">
        <v>232.66</v>
      </c>
      <c r="O2007" s="26">
        <f t="shared" si="95"/>
        <v>232.66</v>
      </c>
      <c r="P2007">
        <v>40</v>
      </c>
      <c r="Q2007" t="b">
        <v>1</v>
      </c>
      <c r="S2007" t="s">
        <v>25</v>
      </c>
    </row>
    <row r="2008" spans="1:19">
      <c r="A2008" t="s">
        <v>3221</v>
      </c>
      <c r="B2008" t="s">
        <v>3222</v>
      </c>
      <c r="C2008" s="23" t="s">
        <v>4129</v>
      </c>
      <c r="D2008" s="23">
        <v>45277</v>
      </c>
      <c r="E2008" s="22">
        <v>12</v>
      </c>
      <c r="F2008" s="22">
        <v>17</v>
      </c>
      <c r="G2008" s="22">
        <v>2023</v>
      </c>
      <c r="H2008" s="23">
        <f t="shared" si="93"/>
        <v>45277</v>
      </c>
      <c r="I2008" s="25">
        <v>45280</v>
      </c>
      <c r="J2008" s="22">
        <f t="shared" si="94"/>
        <v>3</v>
      </c>
      <c r="K2008" t="s">
        <v>41</v>
      </c>
      <c r="L2008">
        <v>79187</v>
      </c>
      <c r="M2008">
        <v>2248</v>
      </c>
      <c r="N2008" s="26">
        <v>1796.19</v>
      </c>
      <c r="O2008" s="26">
        <f t="shared" si="95"/>
        <v>1796.19</v>
      </c>
      <c r="P2008">
        <v>148</v>
      </c>
      <c r="Q2008" t="b">
        <v>1</v>
      </c>
      <c r="S2008" t="s">
        <v>42</v>
      </c>
    </row>
    <row r="2009" spans="1:19">
      <c r="A2009" t="s">
        <v>3080</v>
      </c>
      <c r="B2009" t="s">
        <v>3081</v>
      </c>
      <c r="C2009" s="23" t="s">
        <v>4127</v>
      </c>
      <c r="D2009" s="23">
        <v>45075</v>
      </c>
      <c r="E2009" s="22">
        <v>5</v>
      </c>
      <c r="F2009" s="22">
        <v>29</v>
      </c>
      <c r="G2009" s="22">
        <v>2023</v>
      </c>
      <c r="H2009" s="23">
        <f t="shared" si="93"/>
        <v>45075</v>
      </c>
      <c r="I2009" s="25">
        <v>45081</v>
      </c>
      <c r="J2009" s="22">
        <f t="shared" si="94"/>
        <v>6</v>
      </c>
      <c r="K2009" t="s">
        <v>138</v>
      </c>
      <c r="L2009">
        <v>7960</v>
      </c>
      <c r="M2009">
        <v>271</v>
      </c>
      <c r="N2009" s="26">
        <v>141.35</v>
      </c>
      <c r="O2009" s="26">
        <f t="shared" si="95"/>
        <v>141.35</v>
      </c>
      <c r="P2009">
        <v>35</v>
      </c>
      <c r="Q2009" t="b">
        <v>1</v>
      </c>
      <c r="S2009" t="s">
        <v>139</v>
      </c>
    </row>
    <row r="2010" spans="1:19">
      <c r="A2010" t="s">
        <v>2849</v>
      </c>
      <c r="B2010" t="s">
        <v>2850</v>
      </c>
      <c r="C2010" s="23" t="s">
        <v>4129</v>
      </c>
      <c r="D2010" s="23">
        <v>45281</v>
      </c>
      <c r="E2010" s="22">
        <v>12</v>
      </c>
      <c r="F2010" s="22">
        <v>21</v>
      </c>
      <c r="G2010" s="22">
        <v>2023</v>
      </c>
      <c r="H2010" s="23">
        <f t="shared" si="93"/>
        <v>45281</v>
      </c>
      <c r="I2010" s="25">
        <v>45289</v>
      </c>
      <c r="J2010" s="22">
        <f t="shared" si="94"/>
        <v>8</v>
      </c>
      <c r="K2010" t="s">
        <v>58</v>
      </c>
      <c r="L2010">
        <v>87143</v>
      </c>
      <c r="M2010">
        <v>2204</v>
      </c>
      <c r="N2010" s="26">
        <v>2649.14</v>
      </c>
      <c r="O2010" s="26">
        <f t="shared" si="95"/>
        <v>2649.14</v>
      </c>
      <c r="P2010">
        <v>391</v>
      </c>
      <c r="Q2010" t="b">
        <v>1</v>
      </c>
      <c r="S2010" t="s">
        <v>59</v>
      </c>
    </row>
    <row r="2011" spans="1:19">
      <c r="A2011" t="s">
        <v>2736</v>
      </c>
      <c r="B2011" t="s">
        <v>2737</v>
      </c>
      <c r="C2011" s="23" t="s">
        <v>4129</v>
      </c>
      <c r="D2011" s="23">
        <v>45110</v>
      </c>
      <c r="E2011" s="22">
        <v>7</v>
      </c>
      <c r="F2011" s="22">
        <v>3</v>
      </c>
      <c r="G2011" s="22">
        <v>2023</v>
      </c>
      <c r="H2011" s="23">
        <f t="shared" si="93"/>
        <v>45110</v>
      </c>
      <c r="I2011" s="25">
        <v>45128</v>
      </c>
      <c r="J2011" s="22">
        <f t="shared" si="94"/>
        <v>18</v>
      </c>
      <c r="K2011" t="s">
        <v>19</v>
      </c>
      <c r="L2011">
        <v>32480</v>
      </c>
      <c r="M2011">
        <v>943</v>
      </c>
      <c r="N2011" s="26">
        <v>1374.45</v>
      </c>
      <c r="O2011" s="26">
        <f t="shared" si="95"/>
        <v>1374.45</v>
      </c>
      <c r="P2011">
        <v>173</v>
      </c>
      <c r="Q2011" t="b">
        <v>1</v>
      </c>
      <c r="S2011" t="s">
        <v>20</v>
      </c>
    </row>
    <row r="2012" spans="1:19">
      <c r="A2012" t="s">
        <v>931</v>
      </c>
      <c r="B2012" t="s">
        <v>932</v>
      </c>
      <c r="C2012" s="23" t="s">
        <v>4128</v>
      </c>
      <c r="D2012" s="23">
        <v>45141</v>
      </c>
      <c r="E2012" s="22">
        <v>8</v>
      </c>
      <c r="F2012" s="22">
        <v>3</v>
      </c>
      <c r="G2012" s="22">
        <v>2023</v>
      </c>
      <c r="H2012" s="23">
        <f t="shared" si="93"/>
        <v>45141</v>
      </c>
      <c r="I2012" s="25">
        <v>45165</v>
      </c>
      <c r="J2012" s="22">
        <f t="shared" si="94"/>
        <v>24</v>
      </c>
      <c r="K2012" t="s">
        <v>41</v>
      </c>
      <c r="L2012">
        <v>88235</v>
      </c>
      <c r="M2012">
        <v>3182</v>
      </c>
      <c r="N2012" s="26">
        <v>5093.82</v>
      </c>
      <c r="O2012" s="26">
        <f t="shared" si="95"/>
        <v>3632.575</v>
      </c>
      <c r="P2012">
        <v>385</v>
      </c>
      <c r="Q2012" t="b">
        <v>1</v>
      </c>
      <c r="S2012" t="s">
        <v>42</v>
      </c>
    </row>
    <row r="2013" spans="1:19">
      <c r="A2013" t="s">
        <v>2137</v>
      </c>
      <c r="B2013" t="s">
        <v>2138</v>
      </c>
      <c r="C2013" s="23" t="s">
        <v>4127</v>
      </c>
      <c r="D2013" s="23">
        <v>45284</v>
      </c>
      <c r="E2013" s="22">
        <v>12</v>
      </c>
      <c r="F2013" s="22">
        <v>24</v>
      </c>
      <c r="G2013" s="22">
        <v>2023</v>
      </c>
      <c r="H2013" s="23">
        <f t="shared" si="93"/>
        <v>45284</v>
      </c>
      <c r="I2013" s="25">
        <v>45296</v>
      </c>
      <c r="J2013" s="22">
        <f t="shared" si="94"/>
        <v>12</v>
      </c>
      <c r="K2013" t="s">
        <v>14</v>
      </c>
      <c r="L2013">
        <v>54441</v>
      </c>
      <c r="M2013">
        <v>2158</v>
      </c>
      <c r="N2013" s="26">
        <v>2422.76</v>
      </c>
      <c r="O2013" s="26">
        <f t="shared" si="95"/>
        <v>2422.76</v>
      </c>
      <c r="P2013">
        <v>252</v>
      </c>
      <c r="Q2013" t="b">
        <v>1</v>
      </c>
      <c r="S2013" t="s">
        <v>16</v>
      </c>
    </row>
    <row r="2014" spans="1:19">
      <c r="A2014" t="s">
        <v>2489</v>
      </c>
      <c r="B2014" t="s">
        <v>2490</v>
      </c>
      <c r="C2014" s="23" t="s">
        <v>4131</v>
      </c>
      <c r="D2014" s="23">
        <v>45194</v>
      </c>
      <c r="E2014" s="22">
        <v>9</v>
      </c>
      <c r="F2014" s="22">
        <v>25</v>
      </c>
      <c r="G2014" s="22">
        <v>2023</v>
      </c>
      <c r="H2014" s="23">
        <f t="shared" si="93"/>
        <v>45194</v>
      </c>
      <c r="I2014" s="25">
        <v>45214</v>
      </c>
      <c r="J2014" s="22">
        <f t="shared" si="94"/>
        <v>20</v>
      </c>
      <c r="K2014" t="s">
        <v>23</v>
      </c>
      <c r="L2014">
        <v>54028</v>
      </c>
      <c r="M2014">
        <v>2254</v>
      </c>
      <c r="N2014" s="26">
        <v>1991.67</v>
      </c>
      <c r="O2014" s="26">
        <f t="shared" si="95"/>
        <v>1991.67</v>
      </c>
      <c r="P2014">
        <v>139</v>
      </c>
      <c r="Q2014" t="b">
        <v>0</v>
      </c>
      <c r="S2014" t="s">
        <v>25</v>
      </c>
    </row>
    <row r="2015" spans="1:19">
      <c r="A2015" t="s">
        <v>823</v>
      </c>
      <c r="B2015" t="s">
        <v>824</v>
      </c>
      <c r="C2015" s="23" t="s">
        <v>4127</v>
      </c>
      <c r="D2015" s="23">
        <v>45097</v>
      </c>
      <c r="E2015" s="22">
        <v>6</v>
      </c>
      <c r="F2015" s="22">
        <v>20</v>
      </c>
      <c r="G2015" s="22">
        <v>2023</v>
      </c>
      <c r="H2015" s="23">
        <f t="shared" si="93"/>
        <v>45097</v>
      </c>
      <c r="I2015" s="25">
        <v>45102</v>
      </c>
      <c r="J2015" s="22">
        <f t="shared" si="94"/>
        <v>5</v>
      </c>
      <c r="K2015" t="s">
        <v>14</v>
      </c>
      <c r="L2015">
        <v>57958</v>
      </c>
      <c r="M2015">
        <v>2328</v>
      </c>
      <c r="N2015" s="26">
        <v>2135.23</v>
      </c>
      <c r="O2015" s="26">
        <f t="shared" si="95"/>
        <v>2135.23</v>
      </c>
      <c r="P2015">
        <v>280</v>
      </c>
      <c r="Q2015" t="b">
        <v>1</v>
      </c>
      <c r="S2015" t="s">
        <v>16</v>
      </c>
    </row>
    <row r="2016" spans="1:19">
      <c r="A2016" t="s">
        <v>405</v>
      </c>
      <c r="B2016" t="s">
        <v>406</v>
      </c>
      <c r="C2016" s="23" t="s">
        <v>4128</v>
      </c>
      <c r="D2016" s="23">
        <v>45141</v>
      </c>
      <c r="E2016" s="22">
        <v>8</v>
      </c>
      <c r="F2016" s="22">
        <v>3</v>
      </c>
      <c r="G2016" s="22">
        <v>2023</v>
      </c>
      <c r="H2016" s="23">
        <f t="shared" si="93"/>
        <v>45141</v>
      </c>
      <c r="I2016" s="25">
        <v>45165</v>
      </c>
      <c r="J2016" s="22">
        <f t="shared" si="94"/>
        <v>24</v>
      </c>
      <c r="K2016" t="s">
        <v>266</v>
      </c>
      <c r="L2016">
        <v>56016</v>
      </c>
      <c r="M2016">
        <v>1728</v>
      </c>
      <c r="N2016" s="26">
        <v>1890.33</v>
      </c>
      <c r="O2016" s="26">
        <f t="shared" si="95"/>
        <v>1890.33</v>
      </c>
      <c r="P2016">
        <v>128</v>
      </c>
      <c r="Q2016" t="b">
        <v>0</v>
      </c>
      <c r="S2016" t="s">
        <v>20</v>
      </c>
    </row>
    <row r="2017" spans="1:19">
      <c r="A2017" t="s">
        <v>848</v>
      </c>
      <c r="B2017" t="s">
        <v>849</v>
      </c>
      <c r="C2017" s="23" t="s">
        <v>4127</v>
      </c>
      <c r="D2017" s="23">
        <v>45230</v>
      </c>
      <c r="E2017" s="22">
        <v>10</v>
      </c>
      <c r="F2017" s="22">
        <v>31</v>
      </c>
      <c r="G2017" s="22">
        <v>2023</v>
      </c>
      <c r="H2017" s="23">
        <f t="shared" si="93"/>
        <v>45230</v>
      </c>
      <c r="I2017" s="25">
        <v>45243</v>
      </c>
      <c r="J2017" s="22">
        <f t="shared" si="94"/>
        <v>13</v>
      </c>
      <c r="K2017" t="s">
        <v>14</v>
      </c>
      <c r="L2017">
        <v>30592</v>
      </c>
      <c r="M2017">
        <v>586</v>
      </c>
      <c r="N2017" s="26">
        <v>503.95</v>
      </c>
      <c r="O2017" s="26">
        <f t="shared" si="95"/>
        <v>503.95</v>
      </c>
      <c r="P2017">
        <v>77</v>
      </c>
      <c r="Q2017" t="b">
        <v>1</v>
      </c>
      <c r="S2017" t="s">
        <v>16</v>
      </c>
    </row>
    <row r="2018" spans="1:19">
      <c r="A2018" t="s">
        <v>2600</v>
      </c>
      <c r="B2018" t="s">
        <v>2601</v>
      </c>
      <c r="C2018" s="23" t="s">
        <v>4127</v>
      </c>
      <c r="D2018" s="23">
        <v>45170</v>
      </c>
      <c r="E2018" s="22">
        <v>9</v>
      </c>
      <c r="F2018" s="22">
        <v>1</v>
      </c>
      <c r="G2018" s="22">
        <v>2023</v>
      </c>
      <c r="H2018" s="23">
        <f t="shared" si="93"/>
        <v>45170</v>
      </c>
      <c r="I2018" s="25">
        <v>45195</v>
      </c>
      <c r="J2018" s="22">
        <f t="shared" si="94"/>
        <v>25</v>
      </c>
      <c r="K2018" t="s">
        <v>41</v>
      </c>
      <c r="L2018">
        <v>20097</v>
      </c>
      <c r="M2018">
        <v>897</v>
      </c>
      <c r="N2018" s="26">
        <v>1641</v>
      </c>
      <c r="O2018" s="26">
        <f t="shared" si="95"/>
        <v>1641</v>
      </c>
      <c r="P2018">
        <v>162</v>
      </c>
      <c r="Q2018" t="b">
        <v>0</v>
      </c>
      <c r="S2018" t="s">
        <v>42</v>
      </c>
    </row>
    <row r="2019" spans="1:19">
      <c r="A2019" t="s">
        <v>2183</v>
      </c>
      <c r="B2019" t="s">
        <v>2184</v>
      </c>
      <c r="C2019" s="23" t="s">
        <v>4128</v>
      </c>
      <c r="D2019" s="23">
        <v>44966</v>
      </c>
      <c r="E2019" s="22">
        <v>2</v>
      </c>
      <c r="F2019" s="22">
        <v>9</v>
      </c>
      <c r="G2019" s="22">
        <v>2023</v>
      </c>
      <c r="H2019" s="23">
        <f t="shared" si="93"/>
        <v>44966</v>
      </c>
      <c r="I2019" s="25">
        <v>44978</v>
      </c>
      <c r="J2019" s="22">
        <f t="shared" si="94"/>
        <v>12</v>
      </c>
      <c r="K2019" t="s">
        <v>33</v>
      </c>
      <c r="L2019">
        <v>33254</v>
      </c>
      <c r="M2019">
        <v>1117</v>
      </c>
      <c r="N2019" s="26">
        <v>883.82</v>
      </c>
      <c r="O2019" s="26">
        <f t="shared" si="95"/>
        <v>883.82</v>
      </c>
      <c r="P2019">
        <v>214</v>
      </c>
      <c r="Q2019" t="b">
        <v>0</v>
      </c>
      <c r="S2019" t="s">
        <v>34</v>
      </c>
    </row>
    <row r="2020" spans="1:19">
      <c r="A2020" t="s">
        <v>2321</v>
      </c>
      <c r="B2020" t="s">
        <v>2322</v>
      </c>
      <c r="C2020" s="23" t="s">
        <v>4129</v>
      </c>
      <c r="D2020" s="23">
        <v>45015</v>
      </c>
      <c r="E2020" s="22">
        <v>3</v>
      </c>
      <c r="F2020" s="22">
        <v>30</v>
      </c>
      <c r="G2020" s="22">
        <v>2023</v>
      </c>
      <c r="H2020" s="23">
        <f t="shared" si="93"/>
        <v>45015</v>
      </c>
      <c r="I2020" s="25">
        <v>45043</v>
      </c>
      <c r="J2020" s="22">
        <f t="shared" si="94"/>
        <v>28</v>
      </c>
      <c r="K2020" t="s">
        <v>19</v>
      </c>
      <c r="L2020">
        <v>68728</v>
      </c>
      <c r="M2020">
        <v>2960</v>
      </c>
      <c r="N2020" s="26">
        <v>4198.5</v>
      </c>
      <c r="O2020" s="26">
        <f t="shared" si="95"/>
        <v>3632.575</v>
      </c>
      <c r="P2020">
        <v>591</v>
      </c>
      <c r="Q2020" t="b">
        <v>1</v>
      </c>
      <c r="S2020" t="s">
        <v>20</v>
      </c>
    </row>
    <row r="2021" spans="1:19">
      <c r="A2021" t="s">
        <v>3211</v>
      </c>
      <c r="B2021" t="s">
        <v>3212</v>
      </c>
      <c r="C2021" s="23" t="s">
        <v>4128</v>
      </c>
      <c r="D2021" s="23">
        <v>45103</v>
      </c>
      <c r="E2021" s="22">
        <v>6</v>
      </c>
      <c r="F2021" s="22">
        <v>26</v>
      </c>
      <c r="G2021" s="22">
        <v>2023</v>
      </c>
      <c r="H2021" s="23">
        <f t="shared" si="93"/>
        <v>45103</v>
      </c>
      <c r="I2021" s="25">
        <v>45116</v>
      </c>
      <c r="J2021" s="22">
        <f t="shared" si="94"/>
        <v>13</v>
      </c>
      <c r="K2021" t="s">
        <v>23</v>
      </c>
      <c r="L2021">
        <v>96402</v>
      </c>
      <c r="M2021">
        <v>1090</v>
      </c>
      <c r="N2021" s="26">
        <v>1315.59</v>
      </c>
      <c r="O2021" s="26">
        <f t="shared" si="95"/>
        <v>1315.59</v>
      </c>
      <c r="P2021">
        <v>66</v>
      </c>
      <c r="Q2021" t="b">
        <v>1</v>
      </c>
      <c r="S2021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21"/>
  <sheetViews>
    <sheetView tabSelected="1" topLeftCell="L1" workbookViewId="0">
      <selection activeCell="D14" sqref="D14"/>
    </sheetView>
  </sheetViews>
  <sheetFormatPr defaultColWidth="8.88888888888889" defaultRowHeight="14.4"/>
  <cols>
    <col min="1" max="1" width="23.5555555555556" customWidth="1"/>
    <col min="2" max="2" width="29.5555555555556" customWidth="1"/>
    <col min="3" max="3" width="21.4444444444444" customWidth="1"/>
    <col min="4" max="4" width="26.5555555555556" customWidth="1"/>
    <col min="5" max="5" width="23.7777777777778" customWidth="1"/>
    <col min="6" max="6" width="26.7777777777778" customWidth="1"/>
    <col min="7" max="7" width="23.4444444444444" customWidth="1"/>
    <col min="8" max="8" width="24.2222222222222" customWidth="1"/>
    <col min="9" max="9" width="25.5555555555556" customWidth="1"/>
    <col min="10" max="10" width="19.7777777777778" customWidth="1"/>
    <col min="11" max="11" width="19.6666666666667" customWidth="1"/>
    <col min="12" max="12" width="18.8888888888889" customWidth="1"/>
    <col min="13" max="13" width="17.3333333333333" customWidth="1"/>
    <col min="14" max="14" width="17.6666666666667" customWidth="1"/>
    <col min="15" max="15" width="19.2222222222222" customWidth="1"/>
    <col min="16" max="16" width="20.7777777777778" customWidth="1"/>
    <col min="17" max="17" width="18.2222222222222" customWidth="1"/>
    <col min="18" max="18" width="14.6666666666667" customWidth="1"/>
    <col min="19" max="19" width="21.6666666666667" customWidth="1"/>
    <col min="21" max="21" width="20.6666666666667" customWidth="1"/>
    <col min="22" max="22" width="18.3333333333333" customWidth="1"/>
    <col min="23" max="23" width="19" customWidth="1"/>
    <col min="24" max="24" width="16.4444444444444" customWidth="1"/>
    <col min="27" max="27" width="19.3333333333333" customWidth="1"/>
    <col min="28" max="28" width="25.1111111111111" customWidth="1"/>
    <col min="29" max="29" width="20.6666666666667" customWidth="1"/>
    <col min="30" max="30" width="19" customWidth="1"/>
  </cols>
  <sheetData>
    <row r="1" spans="1:19">
      <c r="A1" s="1" t="s">
        <v>0</v>
      </c>
      <c r="B1" s="2" t="s">
        <v>1</v>
      </c>
      <c r="C1" s="2" t="s">
        <v>4120</v>
      </c>
      <c r="D1" s="2" t="s">
        <v>2</v>
      </c>
      <c r="E1" s="2" t="s">
        <v>4121</v>
      </c>
      <c r="F1" s="2" t="s">
        <v>4122</v>
      </c>
      <c r="G1" s="2" t="s">
        <v>4123</v>
      </c>
      <c r="H1" s="2" t="s">
        <v>4124</v>
      </c>
      <c r="I1" s="2" t="s">
        <v>3</v>
      </c>
      <c r="J1" s="2" t="s">
        <v>4137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4138</v>
      </c>
      <c r="P1" s="2" t="s">
        <v>8</v>
      </c>
      <c r="Q1" s="2" t="s">
        <v>9</v>
      </c>
      <c r="R1" s="2" t="s">
        <v>10</v>
      </c>
      <c r="S1" s="13" t="s">
        <v>11</v>
      </c>
    </row>
    <row r="2" spans="1:22">
      <c r="A2" s="3" t="s">
        <v>12</v>
      </c>
      <c r="B2" s="4" t="s">
        <v>13</v>
      </c>
      <c r="C2" s="5" t="s">
        <v>4127</v>
      </c>
      <c r="D2" s="5">
        <v>45254</v>
      </c>
      <c r="E2" s="4">
        <v>11</v>
      </c>
      <c r="F2" s="4">
        <v>24</v>
      </c>
      <c r="G2" s="4">
        <v>2023</v>
      </c>
      <c r="H2" s="5">
        <f t="shared" ref="H2:H65" si="0">IF(E2&gt;12,DATE(G2,F2,E2),D2)</f>
        <v>45254</v>
      </c>
      <c r="I2" s="9">
        <v>45273</v>
      </c>
      <c r="J2" s="4">
        <f t="shared" ref="J2:J65" si="1">DATEDIF(H2,I2,"D")</f>
        <v>19</v>
      </c>
      <c r="K2" s="4" t="s">
        <v>14</v>
      </c>
      <c r="L2" s="4">
        <v>16795</v>
      </c>
      <c r="M2" s="4">
        <v>197</v>
      </c>
      <c r="N2" s="10">
        <v>102.82</v>
      </c>
      <c r="O2" s="10">
        <f>IF(N2&lt;$V$6,$V$6,IF(N2&gt;$V$7,$V$7,N2))</f>
        <v>102.82</v>
      </c>
      <c r="P2" s="4">
        <v>20</v>
      </c>
      <c r="Q2" s="4" t="b">
        <v>1</v>
      </c>
      <c r="R2" s="4"/>
      <c r="S2" s="14" t="s">
        <v>16</v>
      </c>
      <c r="U2" t="s">
        <v>4130</v>
      </c>
      <c r="V2">
        <f>QUARTILE($N$2:$N$2021,1)</f>
        <v>649.9975</v>
      </c>
    </row>
    <row r="3" spans="1:22">
      <c r="A3" s="6" t="s">
        <v>17</v>
      </c>
      <c r="B3" s="7" t="s">
        <v>18</v>
      </c>
      <c r="C3" s="8" t="s">
        <v>4128</v>
      </c>
      <c r="D3" s="8">
        <v>45052</v>
      </c>
      <c r="E3" s="7">
        <v>5</v>
      </c>
      <c r="F3" s="7">
        <v>6</v>
      </c>
      <c r="G3" s="7">
        <v>2023</v>
      </c>
      <c r="H3" s="8">
        <f t="shared" si="0"/>
        <v>45052</v>
      </c>
      <c r="I3" s="11">
        <v>45058</v>
      </c>
      <c r="J3" s="7">
        <f t="shared" si="1"/>
        <v>6</v>
      </c>
      <c r="K3" s="7" t="s">
        <v>19</v>
      </c>
      <c r="L3" s="7">
        <v>1860</v>
      </c>
      <c r="M3" s="7">
        <v>30</v>
      </c>
      <c r="N3" s="12">
        <v>24.33</v>
      </c>
      <c r="O3" s="12">
        <f t="shared" ref="O3:O66" si="2">IF(N3&lt;$V$6,$V$6,IF(N3&gt;$V$7,$V$7,N3))</f>
        <v>24.33</v>
      </c>
      <c r="P3" s="7">
        <v>1</v>
      </c>
      <c r="Q3" s="7" t="b">
        <v>0</v>
      </c>
      <c r="R3" s="7"/>
      <c r="S3" s="15" t="s">
        <v>20</v>
      </c>
      <c r="U3" t="s">
        <v>4132</v>
      </c>
      <c r="V3">
        <f>QUARTILE($N$2:$N$2021,3)</f>
        <v>2638.3825</v>
      </c>
    </row>
    <row r="4" spans="1:19">
      <c r="A4" s="3" t="s">
        <v>21</v>
      </c>
      <c r="B4" s="4" t="s">
        <v>22</v>
      </c>
      <c r="C4" s="5" t="s">
        <v>4129</v>
      </c>
      <c r="D4" s="5">
        <v>45273</v>
      </c>
      <c r="E4" s="4">
        <v>12</v>
      </c>
      <c r="F4" s="4">
        <v>13</v>
      </c>
      <c r="G4" s="4">
        <v>2023</v>
      </c>
      <c r="H4" s="5">
        <f t="shared" si="0"/>
        <v>45273</v>
      </c>
      <c r="I4" s="9">
        <v>45280</v>
      </c>
      <c r="J4" s="4">
        <f t="shared" si="1"/>
        <v>7</v>
      </c>
      <c r="K4" s="4" t="s">
        <v>23</v>
      </c>
      <c r="L4" s="4">
        <v>77820</v>
      </c>
      <c r="M4" s="4">
        <v>843</v>
      </c>
      <c r="N4" s="10">
        <v>1323.39</v>
      </c>
      <c r="O4" s="10">
        <f t="shared" si="2"/>
        <v>1323.39</v>
      </c>
      <c r="P4" s="4">
        <v>51</v>
      </c>
      <c r="Q4" s="4" t="b">
        <v>0</v>
      </c>
      <c r="R4" s="4"/>
      <c r="S4" s="14" t="s">
        <v>25</v>
      </c>
    </row>
    <row r="5" spans="1:22">
      <c r="A5" s="6" t="s">
        <v>26</v>
      </c>
      <c r="B5" s="7" t="s">
        <v>27</v>
      </c>
      <c r="C5" s="8" t="s">
        <v>4131</v>
      </c>
      <c r="D5" s="8">
        <v>45229</v>
      </c>
      <c r="E5" s="7">
        <v>10</v>
      </c>
      <c r="F5" s="7">
        <v>30</v>
      </c>
      <c r="G5" s="7">
        <v>2023</v>
      </c>
      <c r="H5" s="8">
        <f t="shared" si="0"/>
        <v>45229</v>
      </c>
      <c r="I5" s="11">
        <v>45233</v>
      </c>
      <c r="J5" s="7">
        <f t="shared" si="1"/>
        <v>4</v>
      </c>
      <c r="K5" s="7" t="s">
        <v>14</v>
      </c>
      <c r="L5" s="7">
        <v>55886</v>
      </c>
      <c r="M5" s="7">
        <v>2019</v>
      </c>
      <c r="N5" s="12">
        <v>2180.38</v>
      </c>
      <c r="O5" s="12">
        <f t="shared" si="2"/>
        <v>2180.38</v>
      </c>
      <c r="P5" s="7">
        <v>135</v>
      </c>
      <c r="Q5" s="7" t="b">
        <v>1</v>
      </c>
      <c r="R5" s="7"/>
      <c r="S5" s="15" t="s">
        <v>16</v>
      </c>
      <c r="U5" t="s">
        <v>4133</v>
      </c>
      <c r="V5">
        <f>V3-V2</f>
        <v>1988.385</v>
      </c>
    </row>
    <row r="6" spans="1:22">
      <c r="A6" s="3" t="s">
        <v>28</v>
      </c>
      <c r="B6" s="4" t="s">
        <v>29</v>
      </c>
      <c r="C6" s="5" t="s">
        <v>4129</v>
      </c>
      <c r="D6" s="5">
        <v>45038</v>
      </c>
      <c r="E6" s="4">
        <v>4</v>
      </c>
      <c r="F6" s="4">
        <v>22</v>
      </c>
      <c r="G6" s="4">
        <v>2023</v>
      </c>
      <c r="H6" s="5">
        <f t="shared" si="0"/>
        <v>45038</v>
      </c>
      <c r="I6" s="9">
        <v>45039</v>
      </c>
      <c r="J6" s="4">
        <f t="shared" si="1"/>
        <v>1</v>
      </c>
      <c r="K6" s="4" t="s">
        <v>19</v>
      </c>
      <c r="L6" s="4">
        <v>7265</v>
      </c>
      <c r="M6" s="4">
        <v>169</v>
      </c>
      <c r="N6" s="10">
        <v>252.44</v>
      </c>
      <c r="O6" s="10">
        <f t="shared" si="2"/>
        <v>252.44</v>
      </c>
      <c r="P6" s="4">
        <v>30</v>
      </c>
      <c r="Q6" s="4" t="b">
        <v>1</v>
      </c>
      <c r="R6" s="4"/>
      <c r="S6" s="14" t="s">
        <v>20</v>
      </c>
      <c r="U6" t="s">
        <v>4134</v>
      </c>
      <c r="V6">
        <f>V2-(V5*0.5)</f>
        <v>-344.195</v>
      </c>
    </row>
    <row r="7" spans="1:22">
      <c r="A7" s="6" t="s">
        <v>31</v>
      </c>
      <c r="B7" s="7" t="s">
        <v>32</v>
      </c>
      <c r="C7" s="8" t="s">
        <v>4131</v>
      </c>
      <c r="D7" s="8">
        <v>45214</v>
      </c>
      <c r="E7" s="7">
        <v>10</v>
      </c>
      <c r="F7" s="7">
        <v>15</v>
      </c>
      <c r="G7" s="7">
        <v>2023</v>
      </c>
      <c r="H7" s="8">
        <f t="shared" si="0"/>
        <v>45214</v>
      </c>
      <c r="I7" s="11">
        <v>45227</v>
      </c>
      <c r="J7" s="7">
        <f t="shared" si="1"/>
        <v>13</v>
      </c>
      <c r="K7" s="7" t="s">
        <v>33</v>
      </c>
      <c r="L7" s="7">
        <v>83386</v>
      </c>
      <c r="M7" s="7">
        <v>2643</v>
      </c>
      <c r="N7" s="12">
        <v>2697.03</v>
      </c>
      <c r="O7" s="12">
        <f t="shared" si="2"/>
        <v>2697.03</v>
      </c>
      <c r="P7" s="7">
        <v>0</v>
      </c>
      <c r="Q7" s="7" t="b">
        <v>1</v>
      </c>
      <c r="R7" s="7"/>
      <c r="S7" s="15" t="s">
        <v>34</v>
      </c>
      <c r="U7" t="s">
        <v>4135</v>
      </c>
      <c r="V7">
        <f>V3+(V5*0.5)</f>
        <v>3632.575</v>
      </c>
    </row>
    <row r="8" spans="1:19">
      <c r="A8" s="3" t="s">
        <v>35</v>
      </c>
      <c r="B8" s="4" t="s">
        <v>36</v>
      </c>
      <c r="C8" s="5" t="s">
        <v>4128</v>
      </c>
      <c r="D8" s="5">
        <v>45206</v>
      </c>
      <c r="E8" s="4">
        <v>10</v>
      </c>
      <c r="F8" s="4">
        <v>7</v>
      </c>
      <c r="G8" s="4">
        <v>2023</v>
      </c>
      <c r="H8" s="5">
        <f t="shared" si="0"/>
        <v>45206</v>
      </c>
      <c r="I8" s="9">
        <v>45222</v>
      </c>
      <c r="J8" s="4">
        <f t="shared" si="1"/>
        <v>16</v>
      </c>
      <c r="K8" s="4" t="s">
        <v>19</v>
      </c>
      <c r="L8" s="4">
        <v>38194</v>
      </c>
      <c r="M8" s="4">
        <v>1135</v>
      </c>
      <c r="N8" s="10">
        <v>1232.76</v>
      </c>
      <c r="O8" s="10">
        <f t="shared" si="2"/>
        <v>1232.76</v>
      </c>
      <c r="P8" s="4">
        <v>178</v>
      </c>
      <c r="Q8" s="4" t="b">
        <v>1</v>
      </c>
      <c r="R8" s="4"/>
      <c r="S8" s="14" t="s">
        <v>20</v>
      </c>
    </row>
    <row r="9" spans="1:19">
      <c r="A9" s="6" t="s">
        <v>37</v>
      </c>
      <c r="B9" s="7" t="s">
        <v>38</v>
      </c>
      <c r="C9" s="8" t="s">
        <v>4128</v>
      </c>
      <c r="D9" s="8">
        <v>45069</v>
      </c>
      <c r="E9" s="7">
        <v>5</v>
      </c>
      <c r="F9" s="7">
        <v>23</v>
      </c>
      <c r="G9" s="7">
        <v>2023</v>
      </c>
      <c r="H9" s="8">
        <f t="shared" si="0"/>
        <v>45069</v>
      </c>
      <c r="I9" s="11">
        <v>45074</v>
      </c>
      <c r="J9" s="7">
        <f t="shared" si="1"/>
        <v>5</v>
      </c>
      <c r="K9" s="7" t="s">
        <v>33</v>
      </c>
      <c r="L9" s="7">
        <v>88498</v>
      </c>
      <c r="M9" s="7">
        <v>1173</v>
      </c>
      <c r="N9" s="12">
        <v>865.7</v>
      </c>
      <c r="O9" s="12">
        <f t="shared" si="2"/>
        <v>865.7</v>
      </c>
      <c r="P9" s="7">
        <v>127</v>
      </c>
      <c r="Q9" s="7" t="b">
        <v>1</v>
      </c>
      <c r="R9" s="7"/>
      <c r="S9" s="15" t="s">
        <v>34</v>
      </c>
    </row>
    <row r="10" spans="1:19">
      <c r="A10" s="3" t="s">
        <v>39</v>
      </c>
      <c r="B10" s="4" t="s">
        <v>40</v>
      </c>
      <c r="C10" s="5" t="s">
        <v>4131</v>
      </c>
      <c r="D10" s="5">
        <v>45008</v>
      </c>
      <c r="E10" s="4">
        <v>3</v>
      </c>
      <c r="F10" s="4">
        <v>23</v>
      </c>
      <c r="G10" s="4">
        <v>2023</v>
      </c>
      <c r="H10" s="5">
        <f t="shared" si="0"/>
        <v>45008</v>
      </c>
      <c r="I10" s="9">
        <v>45017</v>
      </c>
      <c r="J10" s="4">
        <f t="shared" si="1"/>
        <v>9</v>
      </c>
      <c r="K10" s="4" t="s">
        <v>41</v>
      </c>
      <c r="L10" s="4">
        <v>45131</v>
      </c>
      <c r="M10" s="4">
        <v>1179</v>
      </c>
      <c r="N10" s="10">
        <v>1046.18</v>
      </c>
      <c r="O10" s="10">
        <f t="shared" si="2"/>
        <v>1046.18</v>
      </c>
      <c r="P10" s="4">
        <v>104</v>
      </c>
      <c r="Q10" s="4" t="b">
        <v>1</v>
      </c>
      <c r="R10" s="4"/>
      <c r="S10" s="14" t="s">
        <v>42</v>
      </c>
    </row>
    <row r="11" spans="1:30">
      <c r="A11" s="6" t="s">
        <v>43</v>
      </c>
      <c r="B11" s="7" t="s">
        <v>44</v>
      </c>
      <c r="C11" s="8" t="s">
        <v>4129</v>
      </c>
      <c r="D11" s="8">
        <v>45006</v>
      </c>
      <c r="E11" s="7">
        <v>3</v>
      </c>
      <c r="F11" s="7">
        <v>21</v>
      </c>
      <c r="G11" s="7">
        <v>2023</v>
      </c>
      <c r="H11" s="8">
        <f t="shared" si="0"/>
        <v>45006</v>
      </c>
      <c r="I11" s="11">
        <v>45017</v>
      </c>
      <c r="J11" s="7">
        <f t="shared" si="1"/>
        <v>11</v>
      </c>
      <c r="K11" s="7" t="s">
        <v>23</v>
      </c>
      <c r="L11" s="7">
        <v>61263</v>
      </c>
      <c r="M11" s="7">
        <v>1153</v>
      </c>
      <c r="N11" s="12">
        <v>1623.56</v>
      </c>
      <c r="O11" s="12">
        <f t="shared" si="2"/>
        <v>1623.56</v>
      </c>
      <c r="P11" s="7">
        <v>0</v>
      </c>
      <c r="Q11" s="7" t="b">
        <v>0</v>
      </c>
      <c r="R11" s="7"/>
      <c r="S11" s="15" t="s">
        <v>25</v>
      </c>
      <c r="U11" s="1" t="s">
        <v>4139</v>
      </c>
      <c r="V11" s="2" t="s">
        <v>4140</v>
      </c>
      <c r="W11" s="2" t="s">
        <v>4141</v>
      </c>
      <c r="X11" s="13" t="s">
        <v>4125</v>
      </c>
      <c r="AA11" s="1" t="s">
        <v>4139</v>
      </c>
      <c r="AB11" s="2" t="s">
        <v>4142</v>
      </c>
      <c r="AC11" s="2" t="s">
        <v>4141</v>
      </c>
      <c r="AD11" s="13" t="s">
        <v>4125</v>
      </c>
    </row>
    <row r="12" spans="1:30">
      <c r="A12" s="3" t="s">
        <v>45</v>
      </c>
      <c r="B12" s="4" t="s">
        <v>46</v>
      </c>
      <c r="C12" s="5" t="s">
        <v>4128</v>
      </c>
      <c r="D12" s="5" t="s">
        <v>47</v>
      </c>
      <c r="E12" s="4">
        <v>22</v>
      </c>
      <c r="F12" s="4">
        <v>2</v>
      </c>
      <c r="G12" s="4">
        <v>2023</v>
      </c>
      <c r="H12" s="5">
        <f t="shared" si="0"/>
        <v>44979</v>
      </c>
      <c r="I12" s="9">
        <v>44986</v>
      </c>
      <c r="J12" s="4">
        <f t="shared" si="1"/>
        <v>7</v>
      </c>
      <c r="K12" s="4" t="s">
        <v>33</v>
      </c>
      <c r="L12" s="4">
        <v>17023</v>
      </c>
      <c r="M12" s="4">
        <v>455</v>
      </c>
      <c r="N12" s="10">
        <v>523.13</v>
      </c>
      <c r="O12" s="10">
        <f t="shared" si="2"/>
        <v>523.13</v>
      </c>
      <c r="P12" s="4">
        <v>76</v>
      </c>
      <c r="Q12" s="4" t="b">
        <v>1</v>
      </c>
      <c r="R12" s="4"/>
      <c r="S12" s="14" t="s">
        <v>34</v>
      </c>
      <c r="U12" s="3" t="str" cm="1">
        <f t="array" ref="U12">INDEX($A$1:$S$2021,MATCH(943,$P$1:$P$2021,0),3)</f>
        <v>Launch</v>
      </c>
      <c r="V12" s="4">
        <f>LARGE($P$2:$P$2021,1)</f>
        <v>943</v>
      </c>
      <c r="W12" s="10" cm="1">
        <f t="array" ref="W12">INDEX($A$1:$S$2021,MATCH(943,$P$1:$P$2021,0),15)</f>
        <v>2702.43</v>
      </c>
      <c r="X12" s="14" cm="1">
        <f t="array" ref="X12">INDEX($A$1:$S$2021,MATCH(943,$P$1:$P$2021,0),10)</f>
        <v>6</v>
      </c>
      <c r="AA12" s="3" t="str" cm="1">
        <f t="array" ref="AA12">INDEX($A$1:$S$2021,MATCH($AB$12,$P$1:$P$2021,0),3)</f>
        <v>BlackFriday</v>
      </c>
      <c r="AB12" s="4">
        <v>0</v>
      </c>
      <c r="AC12" s="10" cm="1">
        <f t="array" ref="AC12">INDEX($A$1:$S$2021,MATCH($AB$12,$P$1:$P$2021,0),15)</f>
        <v>2697.03</v>
      </c>
      <c r="AD12" s="14" cm="1">
        <f t="array" ref="AD12">INDEX($A$1:$S$2021,MATCH($AB$12,$P$1:$P$2021,0),10)</f>
        <v>13</v>
      </c>
    </row>
    <row r="13" spans="1:30">
      <c r="A13" s="6" t="s">
        <v>48</v>
      </c>
      <c r="B13" s="7" t="s">
        <v>49</v>
      </c>
      <c r="C13" s="8" t="s">
        <v>4128</v>
      </c>
      <c r="D13" s="8">
        <v>44976</v>
      </c>
      <c r="E13" s="7">
        <v>2</v>
      </c>
      <c r="F13" s="7">
        <v>19</v>
      </c>
      <c r="G13" s="7">
        <v>2023</v>
      </c>
      <c r="H13" s="8">
        <f t="shared" si="0"/>
        <v>44976</v>
      </c>
      <c r="I13" s="11">
        <v>44977</v>
      </c>
      <c r="J13" s="7">
        <f t="shared" si="1"/>
        <v>1</v>
      </c>
      <c r="K13" s="7" t="s">
        <v>41</v>
      </c>
      <c r="L13" s="7">
        <v>42090</v>
      </c>
      <c r="M13" s="7">
        <v>763</v>
      </c>
      <c r="N13" s="12">
        <v>1267.69</v>
      </c>
      <c r="O13" s="12">
        <f t="shared" si="2"/>
        <v>1267.69</v>
      </c>
      <c r="P13" s="7">
        <v>109</v>
      </c>
      <c r="Q13" s="7" t="b">
        <v>0</v>
      </c>
      <c r="R13" s="7"/>
      <c r="S13" s="15" t="s">
        <v>42</v>
      </c>
      <c r="U13" s="6"/>
      <c r="V13" s="7"/>
      <c r="W13" s="7"/>
      <c r="X13" s="15"/>
      <c r="AA13" s="6"/>
      <c r="AB13" s="7"/>
      <c r="AC13" s="7"/>
      <c r="AD13" s="15"/>
    </row>
    <row r="14" spans="1:30">
      <c r="A14" s="3" t="s">
        <v>50</v>
      </c>
      <c r="B14" s="4" t="s">
        <v>51</v>
      </c>
      <c r="C14" s="5" t="s">
        <v>4128</v>
      </c>
      <c r="D14" s="5">
        <v>45062</v>
      </c>
      <c r="E14" s="4">
        <v>5</v>
      </c>
      <c r="F14" s="4">
        <v>16</v>
      </c>
      <c r="G14" s="4">
        <v>2023</v>
      </c>
      <c r="H14" s="5">
        <f t="shared" si="0"/>
        <v>45062</v>
      </c>
      <c r="I14" s="9">
        <v>45078</v>
      </c>
      <c r="J14" s="4">
        <f t="shared" si="1"/>
        <v>16</v>
      </c>
      <c r="K14" s="4" t="s">
        <v>41</v>
      </c>
      <c r="L14" s="4">
        <v>68221</v>
      </c>
      <c r="M14" s="4">
        <v>2975</v>
      </c>
      <c r="N14" s="10">
        <v>5292.16</v>
      </c>
      <c r="O14" s="10">
        <f t="shared" si="2"/>
        <v>3632.575</v>
      </c>
      <c r="P14" s="4">
        <v>567</v>
      </c>
      <c r="Q14" s="4" t="b">
        <v>0</v>
      </c>
      <c r="R14" s="4"/>
      <c r="S14" s="14" t="s">
        <v>42</v>
      </c>
      <c r="U14" s="3"/>
      <c r="V14" s="4"/>
      <c r="W14" s="4"/>
      <c r="X14" s="14"/>
      <c r="AA14" s="3"/>
      <c r="AB14" s="4"/>
      <c r="AC14" s="4"/>
      <c r="AD14" s="14"/>
    </row>
    <row r="15" spans="1:30">
      <c r="A15" s="6" t="s">
        <v>52</v>
      </c>
      <c r="B15" s="7" t="s">
        <v>53</v>
      </c>
      <c r="C15" s="8" t="s">
        <v>4128</v>
      </c>
      <c r="D15" s="8">
        <v>45201</v>
      </c>
      <c r="E15" s="7">
        <v>10</v>
      </c>
      <c r="F15" s="7">
        <v>2</v>
      </c>
      <c r="G15" s="7">
        <v>2023</v>
      </c>
      <c r="H15" s="8">
        <f t="shared" si="0"/>
        <v>45201</v>
      </c>
      <c r="I15" s="11">
        <v>45214</v>
      </c>
      <c r="J15" s="7">
        <f t="shared" si="1"/>
        <v>13</v>
      </c>
      <c r="K15" s="7" t="s">
        <v>14</v>
      </c>
      <c r="L15" s="7">
        <v>65820</v>
      </c>
      <c r="M15" s="7">
        <v>1116</v>
      </c>
      <c r="N15" s="12">
        <v>1464.72</v>
      </c>
      <c r="O15" s="12">
        <f t="shared" si="2"/>
        <v>1464.72</v>
      </c>
      <c r="P15" s="7">
        <v>169</v>
      </c>
      <c r="Q15" s="7" t="b">
        <v>1</v>
      </c>
      <c r="R15" s="7"/>
      <c r="S15" s="15" t="s">
        <v>16</v>
      </c>
      <c r="U15" s="16"/>
      <c r="V15" s="17"/>
      <c r="W15" s="17"/>
      <c r="X15" s="18"/>
      <c r="AA15" s="16"/>
      <c r="AB15" s="17"/>
      <c r="AC15" s="17"/>
      <c r="AD15" s="18"/>
    </row>
    <row r="16" spans="1:19">
      <c r="A16" s="3" t="s">
        <v>54</v>
      </c>
      <c r="B16" s="4" t="s">
        <v>55</v>
      </c>
      <c r="C16" s="5" t="s">
        <v>4127</v>
      </c>
      <c r="D16" s="5">
        <v>44967</v>
      </c>
      <c r="E16" s="4">
        <v>2</v>
      </c>
      <c r="F16" s="4">
        <v>10</v>
      </c>
      <c r="G16" s="4">
        <v>2023</v>
      </c>
      <c r="H16" s="5">
        <f t="shared" si="0"/>
        <v>44967</v>
      </c>
      <c r="I16" s="9">
        <v>44973</v>
      </c>
      <c r="J16" s="4">
        <f t="shared" si="1"/>
        <v>6</v>
      </c>
      <c r="K16" s="4" t="s">
        <v>41</v>
      </c>
      <c r="L16" s="4">
        <v>1769</v>
      </c>
      <c r="M16" s="4">
        <v>85</v>
      </c>
      <c r="N16" s="10">
        <v>139.18</v>
      </c>
      <c r="O16" s="10">
        <f t="shared" si="2"/>
        <v>139.18</v>
      </c>
      <c r="P16" s="4">
        <v>11</v>
      </c>
      <c r="Q16" s="4" t="b">
        <v>1</v>
      </c>
      <c r="R16" s="4"/>
      <c r="S16" s="14" t="s">
        <v>42</v>
      </c>
    </row>
    <row r="17" spans="1:19">
      <c r="A17" s="6" t="s">
        <v>56</v>
      </c>
      <c r="B17" s="7" t="s">
        <v>57</v>
      </c>
      <c r="C17" s="8" t="s">
        <v>4131</v>
      </c>
      <c r="D17" s="8">
        <v>45243</v>
      </c>
      <c r="E17" s="7">
        <v>11</v>
      </c>
      <c r="F17" s="7">
        <v>13</v>
      </c>
      <c r="G17" s="7">
        <v>2023</v>
      </c>
      <c r="H17" s="8">
        <f t="shared" si="0"/>
        <v>45243</v>
      </c>
      <c r="I17" s="11">
        <v>45253</v>
      </c>
      <c r="J17" s="7">
        <f t="shared" si="1"/>
        <v>10</v>
      </c>
      <c r="K17" s="7" t="s">
        <v>23</v>
      </c>
      <c r="L17" s="7">
        <v>60735</v>
      </c>
      <c r="M17" s="7">
        <v>1617</v>
      </c>
      <c r="N17" s="12">
        <v>1552.9</v>
      </c>
      <c r="O17" s="12">
        <f t="shared" si="2"/>
        <v>1552.9</v>
      </c>
      <c r="P17" s="7">
        <v>228</v>
      </c>
      <c r="Q17" s="7" t="b">
        <v>1</v>
      </c>
      <c r="R17" s="7"/>
      <c r="S17" s="15" t="s">
        <v>59</v>
      </c>
    </row>
    <row r="18" spans="1:24">
      <c r="A18" s="3" t="s">
        <v>60</v>
      </c>
      <c r="B18" s="4" t="s">
        <v>61</v>
      </c>
      <c r="C18" s="5" t="s">
        <v>4129</v>
      </c>
      <c r="D18" s="5">
        <v>45025</v>
      </c>
      <c r="E18" s="4">
        <v>4</v>
      </c>
      <c r="F18" s="4">
        <v>9</v>
      </c>
      <c r="G18" s="4">
        <v>2023</v>
      </c>
      <c r="H18" s="5">
        <f t="shared" si="0"/>
        <v>45025</v>
      </c>
      <c r="I18" s="9">
        <v>45200</v>
      </c>
      <c r="J18" s="4">
        <f t="shared" si="1"/>
        <v>175</v>
      </c>
      <c r="K18" s="4" t="s">
        <v>23</v>
      </c>
      <c r="L18" s="4">
        <v>63955</v>
      </c>
      <c r="M18" s="4">
        <v>2804</v>
      </c>
      <c r="N18" s="10">
        <v>3147.37</v>
      </c>
      <c r="O18" s="10">
        <f t="shared" si="2"/>
        <v>3147.37</v>
      </c>
      <c r="P18" s="4">
        <v>536</v>
      </c>
      <c r="Q18" s="4" t="b">
        <v>0</v>
      </c>
      <c r="R18" s="4"/>
      <c r="S18" s="14" t="s">
        <v>25</v>
      </c>
      <c r="U18" s="1" t="s">
        <v>4139</v>
      </c>
      <c r="V18" s="2" t="s">
        <v>4143</v>
      </c>
      <c r="W18" s="2" t="s">
        <v>4141</v>
      </c>
      <c r="X18" s="13" t="s">
        <v>4125</v>
      </c>
    </row>
    <row r="19" spans="1:24">
      <c r="A19" s="6" t="s">
        <v>62</v>
      </c>
      <c r="B19" s="7" t="s">
        <v>63</v>
      </c>
      <c r="C19" s="8" t="s">
        <v>4131</v>
      </c>
      <c r="D19" s="8">
        <v>45043</v>
      </c>
      <c r="E19" s="7">
        <v>4</v>
      </c>
      <c r="F19" s="7">
        <v>27</v>
      </c>
      <c r="G19" s="7">
        <v>2023</v>
      </c>
      <c r="H19" s="8">
        <f t="shared" si="0"/>
        <v>45043</v>
      </c>
      <c r="I19" s="11">
        <v>45071</v>
      </c>
      <c r="J19" s="7">
        <f t="shared" si="1"/>
        <v>28</v>
      </c>
      <c r="K19" s="7" t="s">
        <v>33</v>
      </c>
      <c r="L19" s="7">
        <v>65925</v>
      </c>
      <c r="M19" s="7">
        <v>2317</v>
      </c>
      <c r="N19" s="12">
        <v>3635.76</v>
      </c>
      <c r="O19" s="12">
        <f t="shared" si="2"/>
        <v>3632.575</v>
      </c>
      <c r="P19" s="7">
        <v>389</v>
      </c>
      <c r="Q19" s="7" t="b">
        <v>1</v>
      </c>
      <c r="R19" s="7"/>
      <c r="S19" s="15" t="s">
        <v>34</v>
      </c>
      <c r="U19" s="3" t="str" cm="1">
        <f t="array" ref="U19">INDEX($A$1:$S$2021,MATCH(0,$P$1:$P$2021,0),3)</f>
        <v>BlackFriday</v>
      </c>
      <c r="V19" s="4">
        <f>MIN($P$2:$P$2021)</f>
        <v>0</v>
      </c>
      <c r="W19" s="10" cm="1">
        <f t="array" ref="W19">INDEX($A$1:$S$2021,MATCH(0,$P$1:$P$2021,0),15)</f>
        <v>2697.03</v>
      </c>
      <c r="X19" s="14" cm="1">
        <f t="array" ref="X19">INDEX($A$1:$S$2021,MATCH(0,$P$1:$P$2021,0),10)</f>
        <v>13</v>
      </c>
    </row>
    <row r="20" spans="1:24">
      <c r="A20" s="3" t="s">
        <v>64</v>
      </c>
      <c r="B20" s="4" t="s">
        <v>65</v>
      </c>
      <c r="C20" s="5" t="s">
        <v>4129</v>
      </c>
      <c r="D20" s="5">
        <v>45046</v>
      </c>
      <c r="E20" s="4">
        <v>4</v>
      </c>
      <c r="F20" s="4">
        <v>30</v>
      </c>
      <c r="G20" s="4">
        <v>2023</v>
      </c>
      <c r="H20" s="5">
        <f t="shared" si="0"/>
        <v>45046</v>
      </c>
      <c r="I20" s="9">
        <v>45064</v>
      </c>
      <c r="J20" s="4">
        <f t="shared" si="1"/>
        <v>18</v>
      </c>
      <c r="K20" s="4" t="s">
        <v>19</v>
      </c>
      <c r="L20" s="4">
        <v>68969</v>
      </c>
      <c r="M20" s="4">
        <v>2718</v>
      </c>
      <c r="N20" s="10">
        <v>2933.59</v>
      </c>
      <c r="O20" s="10">
        <f t="shared" si="2"/>
        <v>2933.59</v>
      </c>
      <c r="P20" s="4">
        <v>145</v>
      </c>
      <c r="Q20" s="4" t="b">
        <v>0</v>
      </c>
      <c r="R20" s="4"/>
      <c r="S20" s="14" t="s">
        <v>20</v>
      </c>
      <c r="U20" s="6"/>
      <c r="V20" s="7"/>
      <c r="W20" s="7"/>
      <c r="X20" s="15"/>
    </row>
    <row r="21" spans="1:24">
      <c r="A21" s="6" t="s">
        <v>66</v>
      </c>
      <c r="B21" s="7" t="s">
        <v>67</v>
      </c>
      <c r="C21" s="8" t="s">
        <v>4127</v>
      </c>
      <c r="D21" s="8">
        <v>45159</v>
      </c>
      <c r="E21" s="7">
        <v>8</v>
      </c>
      <c r="F21" s="7">
        <v>21</v>
      </c>
      <c r="G21" s="7">
        <v>2023</v>
      </c>
      <c r="H21" s="8">
        <f t="shared" si="0"/>
        <v>45159</v>
      </c>
      <c r="I21" s="11">
        <v>45168</v>
      </c>
      <c r="J21" s="7">
        <f t="shared" si="1"/>
        <v>9</v>
      </c>
      <c r="K21" s="7" t="s">
        <v>23</v>
      </c>
      <c r="L21" s="7">
        <v>6311</v>
      </c>
      <c r="M21" s="7">
        <v>256</v>
      </c>
      <c r="N21" s="12">
        <v>353.99</v>
      </c>
      <c r="O21" s="12">
        <f t="shared" si="2"/>
        <v>353.99</v>
      </c>
      <c r="P21" s="7">
        <v>0</v>
      </c>
      <c r="Q21" s="7" t="b">
        <v>1</v>
      </c>
      <c r="R21" s="7"/>
      <c r="S21" s="15" t="s">
        <v>68</v>
      </c>
      <c r="U21" s="3"/>
      <c r="V21" s="4"/>
      <c r="W21" s="4"/>
      <c r="X21" s="14"/>
    </row>
    <row r="22" spans="1:24">
      <c r="A22" s="3" t="s">
        <v>69</v>
      </c>
      <c r="B22" s="4" t="s">
        <v>70</v>
      </c>
      <c r="C22" s="5" t="s">
        <v>4131</v>
      </c>
      <c r="D22" s="5">
        <v>45116</v>
      </c>
      <c r="E22" s="4">
        <v>7</v>
      </c>
      <c r="F22" s="4">
        <v>9</v>
      </c>
      <c r="G22" s="4">
        <v>2023</v>
      </c>
      <c r="H22" s="5">
        <f t="shared" si="0"/>
        <v>45116</v>
      </c>
      <c r="I22" s="9">
        <v>45124</v>
      </c>
      <c r="J22" s="4">
        <f t="shared" si="1"/>
        <v>8</v>
      </c>
      <c r="K22" s="4" t="s">
        <v>19</v>
      </c>
      <c r="L22" s="4">
        <v>84104</v>
      </c>
      <c r="M22" s="4">
        <v>2539</v>
      </c>
      <c r="N22" s="10">
        <v>1975.49</v>
      </c>
      <c r="O22" s="10">
        <f t="shared" si="2"/>
        <v>1975.49</v>
      </c>
      <c r="P22" s="4">
        <v>0</v>
      </c>
      <c r="Q22" s="4" t="b">
        <v>1</v>
      </c>
      <c r="R22" s="4"/>
      <c r="S22" s="14" t="s">
        <v>20</v>
      </c>
      <c r="U22" s="16"/>
      <c r="V22" s="17"/>
      <c r="W22" s="17"/>
      <c r="X22" s="18"/>
    </row>
    <row r="23" spans="1:19">
      <c r="A23" s="6" t="s">
        <v>71</v>
      </c>
      <c r="B23" s="7" t="s">
        <v>72</v>
      </c>
      <c r="C23" s="8" t="s">
        <v>4131</v>
      </c>
      <c r="D23" s="8">
        <v>45286</v>
      </c>
      <c r="E23" s="7">
        <v>12</v>
      </c>
      <c r="F23" s="7">
        <v>26</v>
      </c>
      <c r="G23" s="7">
        <v>2023</v>
      </c>
      <c r="H23" s="8">
        <f t="shared" si="0"/>
        <v>45286</v>
      </c>
      <c r="I23" s="11">
        <v>45293</v>
      </c>
      <c r="J23" s="7">
        <f t="shared" si="1"/>
        <v>7</v>
      </c>
      <c r="K23" s="7" t="s">
        <v>41</v>
      </c>
      <c r="L23" s="7">
        <v>54707</v>
      </c>
      <c r="M23" s="7">
        <v>1735</v>
      </c>
      <c r="N23" s="12">
        <v>2428.4</v>
      </c>
      <c r="O23" s="12">
        <f t="shared" si="2"/>
        <v>2428.4</v>
      </c>
      <c r="P23" s="7">
        <v>0</v>
      </c>
      <c r="Q23" s="7" t="b">
        <v>1</v>
      </c>
      <c r="R23" s="7"/>
      <c r="S23" s="15" t="s">
        <v>42</v>
      </c>
    </row>
    <row r="24" spans="1:19">
      <c r="A24" s="3" t="s">
        <v>73</v>
      </c>
      <c r="B24" s="4" t="s">
        <v>74</v>
      </c>
      <c r="C24" s="5" t="s">
        <v>4129</v>
      </c>
      <c r="D24" s="5">
        <v>45238</v>
      </c>
      <c r="E24" s="4">
        <v>11</v>
      </c>
      <c r="F24" s="4">
        <v>8</v>
      </c>
      <c r="G24" s="4">
        <v>2023</v>
      </c>
      <c r="H24" s="5">
        <f t="shared" si="0"/>
        <v>45238</v>
      </c>
      <c r="I24" s="9">
        <v>45254</v>
      </c>
      <c r="J24" s="4">
        <f t="shared" si="1"/>
        <v>16</v>
      </c>
      <c r="K24" s="4" t="s">
        <v>41</v>
      </c>
      <c r="L24" s="4">
        <v>86305</v>
      </c>
      <c r="M24" s="4">
        <v>2637</v>
      </c>
      <c r="N24" s="10">
        <v>4726.22</v>
      </c>
      <c r="O24" s="10">
        <f t="shared" si="2"/>
        <v>3632.575</v>
      </c>
      <c r="P24" s="4">
        <v>216</v>
      </c>
      <c r="Q24" s="4" t="b">
        <v>0</v>
      </c>
      <c r="R24" s="4">
        <v>86385</v>
      </c>
      <c r="S24" s="14" t="s">
        <v>42</v>
      </c>
    </row>
    <row r="25" spans="1:19">
      <c r="A25" s="6" t="s">
        <v>75</v>
      </c>
      <c r="B25" s="7" t="s">
        <v>76</v>
      </c>
      <c r="C25" s="8" t="s">
        <v>4129</v>
      </c>
      <c r="D25" s="8">
        <v>45052</v>
      </c>
      <c r="E25" s="7">
        <v>5</v>
      </c>
      <c r="F25" s="7">
        <v>6</v>
      </c>
      <c r="G25" s="7">
        <v>2023</v>
      </c>
      <c r="H25" s="8">
        <f t="shared" si="0"/>
        <v>45052</v>
      </c>
      <c r="I25" s="11">
        <v>45047</v>
      </c>
      <c r="J25" s="7">
        <f t="shared" si="1"/>
        <v>-5</v>
      </c>
      <c r="K25" s="7" t="s">
        <v>33</v>
      </c>
      <c r="L25" s="7">
        <v>29693</v>
      </c>
      <c r="M25" s="7">
        <v>995</v>
      </c>
      <c r="N25" s="12">
        <v>1793.94</v>
      </c>
      <c r="O25" s="12">
        <f t="shared" si="2"/>
        <v>1793.94</v>
      </c>
      <c r="P25" s="7">
        <v>179</v>
      </c>
      <c r="Q25" s="7" t="b">
        <v>0</v>
      </c>
      <c r="R25" s="7"/>
      <c r="S25" s="15" t="s">
        <v>34</v>
      </c>
    </row>
    <row r="26" spans="1:19">
      <c r="A26" s="3" t="s">
        <v>77</v>
      </c>
      <c r="B26" s="4" t="s">
        <v>78</v>
      </c>
      <c r="C26" s="5" t="s">
        <v>4129</v>
      </c>
      <c r="D26" s="5">
        <v>45254</v>
      </c>
      <c r="E26" s="4">
        <v>11</v>
      </c>
      <c r="F26" s="4">
        <v>24</v>
      </c>
      <c r="G26" s="4">
        <v>2023</v>
      </c>
      <c r="H26" s="5">
        <f t="shared" si="0"/>
        <v>45254</v>
      </c>
      <c r="I26" s="9">
        <v>45278</v>
      </c>
      <c r="J26" s="4">
        <f t="shared" si="1"/>
        <v>24</v>
      </c>
      <c r="K26" s="4" t="s">
        <v>23</v>
      </c>
      <c r="L26" s="4">
        <v>72932</v>
      </c>
      <c r="M26" s="4">
        <v>815</v>
      </c>
      <c r="N26" s="10">
        <v>1293.01</v>
      </c>
      <c r="O26" s="10">
        <f t="shared" si="2"/>
        <v>1293.01</v>
      </c>
      <c r="P26" s="4">
        <v>157</v>
      </c>
      <c r="Q26" s="4" t="b">
        <v>0</v>
      </c>
      <c r="R26" s="4"/>
      <c r="S26" s="14" t="s">
        <v>25</v>
      </c>
    </row>
    <row r="27" spans="1:19">
      <c r="A27" s="6" t="s">
        <v>79</v>
      </c>
      <c r="B27" s="7" t="s">
        <v>80</v>
      </c>
      <c r="C27" s="8" t="s">
        <v>4129</v>
      </c>
      <c r="D27" s="8">
        <v>45093</v>
      </c>
      <c r="E27" s="7">
        <v>6</v>
      </c>
      <c r="F27" s="7">
        <v>16</v>
      </c>
      <c r="G27" s="7">
        <v>2023</v>
      </c>
      <c r="H27" s="8">
        <f t="shared" si="0"/>
        <v>45093</v>
      </c>
      <c r="I27" s="11">
        <v>45109</v>
      </c>
      <c r="J27" s="7">
        <f t="shared" si="1"/>
        <v>16</v>
      </c>
      <c r="K27" s="7" t="s">
        <v>41</v>
      </c>
      <c r="L27" s="7">
        <v>94016</v>
      </c>
      <c r="M27" s="7">
        <v>2427</v>
      </c>
      <c r="N27" s="12">
        <v>3928.42</v>
      </c>
      <c r="O27" s="12">
        <f t="shared" si="2"/>
        <v>3632.575</v>
      </c>
      <c r="P27" s="7">
        <v>207</v>
      </c>
      <c r="Q27" s="7" t="b">
        <v>0</v>
      </c>
      <c r="R27" s="7"/>
      <c r="S27" s="15" t="s">
        <v>42</v>
      </c>
    </row>
    <row r="28" spans="1:19">
      <c r="A28" s="3" t="s">
        <v>81</v>
      </c>
      <c r="B28" s="4" t="s">
        <v>82</v>
      </c>
      <c r="C28" s="5" t="s">
        <v>4129</v>
      </c>
      <c r="D28" s="5">
        <v>45044</v>
      </c>
      <c r="E28" s="4">
        <v>4</v>
      </c>
      <c r="F28" s="4">
        <v>28</v>
      </c>
      <c r="G28" s="4">
        <v>2023</v>
      </c>
      <c r="H28" s="5">
        <f t="shared" si="0"/>
        <v>45044</v>
      </c>
      <c r="I28" s="9">
        <v>45058</v>
      </c>
      <c r="J28" s="4">
        <f t="shared" si="1"/>
        <v>14</v>
      </c>
      <c r="K28" s="4" t="s">
        <v>14</v>
      </c>
      <c r="L28" s="4">
        <v>26658</v>
      </c>
      <c r="M28" s="4">
        <v>912</v>
      </c>
      <c r="N28" s="10">
        <v>1219.24</v>
      </c>
      <c r="O28" s="10">
        <f t="shared" si="2"/>
        <v>1219.24</v>
      </c>
      <c r="P28" s="4">
        <v>166</v>
      </c>
      <c r="Q28" s="4" t="b">
        <v>1</v>
      </c>
      <c r="R28" s="4"/>
      <c r="S28" s="14" t="s">
        <v>16</v>
      </c>
    </row>
    <row r="29" spans="1:19">
      <c r="A29" s="6" t="s">
        <v>83</v>
      </c>
      <c r="B29" s="7" t="s">
        <v>84</v>
      </c>
      <c r="C29" s="8" t="s">
        <v>4127</v>
      </c>
      <c r="D29" s="8">
        <v>45132</v>
      </c>
      <c r="E29" s="7">
        <v>7</v>
      </c>
      <c r="F29" s="7">
        <v>25</v>
      </c>
      <c r="G29" s="7">
        <v>2023</v>
      </c>
      <c r="H29" s="8">
        <f t="shared" si="0"/>
        <v>45132</v>
      </c>
      <c r="I29" s="11">
        <v>45146</v>
      </c>
      <c r="J29" s="7">
        <f t="shared" si="1"/>
        <v>14</v>
      </c>
      <c r="K29" s="7" t="s">
        <v>23</v>
      </c>
      <c r="L29" s="7">
        <v>85478</v>
      </c>
      <c r="M29" s="7">
        <v>2898</v>
      </c>
      <c r="N29" s="12">
        <v>3990.55</v>
      </c>
      <c r="O29" s="12">
        <f t="shared" si="2"/>
        <v>3632.575</v>
      </c>
      <c r="P29" s="7">
        <v>187</v>
      </c>
      <c r="Q29" s="7" t="b">
        <v>1</v>
      </c>
      <c r="R29" s="7"/>
      <c r="S29" s="15" t="s">
        <v>25</v>
      </c>
    </row>
    <row r="30" spans="1:19">
      <c r="A30" s="3" t="s">
        <v>85</v>
      </c>
      <c r="B30" s="4" t="s">
        <v>86</v>
      </c>
      <c r="C30" s="5" t="s">
        <v>4131</v>
      </c>
      <c r="D30" s="5">
        <v>45217</v>
      </c>
      <c r="E30" s="4">
        <v>10</v>
      </c>
      <c r="F30" s="4">
        <v>18</v>
      </c>
      <c r="G30" s="4">
        <v>2023</v>
      </c>
      <c r="H30" s="5">
        <f t="shared" si="0"/>
        <v>45217</v>
      </c>
      <c r="I30" s="9">
        <v>45245</v>
      </c>
      <c r="J30" s="4">
        <f t="shared" si="1"/>
        <v>28</v>
      </c>
      <c r="K30" s="4" t="s">
        <v>33</v>
      </c>
      <c r="L30" s="4">
        <v>19431</v>
      </c>
      <c r="M30" s="4">
        <v>810</v>
      </c>
      <c r="N30" s="10">
        <v>567.39</v>
      </c>
      <c r="O30" s="10">
        <f t="shared" si="2"/>
        <v>567.39</v>
      </c>
      <c r="P30" s="4">
        <v>47</v>
      </c>
      <c r="Q30" s="4" t="b">
        <v>1</v>
      </c>
      <c r="R30" s="4"/>
      <c r="S30" s="14" t="s">
        <v>34</v>
      </c>
    </row>
    <row r="31" spans="1:19">
      <c r="A31" s="6" t="s">
        <v>87</v>
      </c>
      <c r="B31" s="7" t="s">
        <v>88</v>
      </c>
      <c r="C31" s="8" t="s">
        <v>4127</v>
      </c>
      <c r="D31" s="8">
        <v>45262</v>
      </c>
      <c r="E31" s="7">
        <v>12</v>
      </c>
      <c r="F31" s="7">
        <v>2</v>
      </c>
      <c r="G31" s="7">
        <v>2023</v>
      </c>
      <c r="H31" s="8">
        <f t="shared" si="0"/>
        <v>45262</v>
      </c>
      <c r="I31" s="11">
        <v>45268</v>
      </c>
      <c r="J31" s="7">
        <f t="shared" si="1"/>
        <v>6</v>
      </c>
      <c r="K31" s="7" t="s">
        <v>33</v>
      </c>
      <c r="L31" s="7">
        <v>3747</v>
      </c>
      <c r="M31" s="7">
        <v>135</v>
      </c>
      <c r="N31" s="12">
        <v>157.38</v>
      </c>
      <c r="O31" s="12">
        <f t="shared" si="2"/>
        <v>157.38</v>
      </c>
      <c r="P31" s="7">
        <v>9</v>
      </c>
      <c r="Q31" s="7" t="b">
        <v>0</v>
      </c>
      <c r="R31" s="7"/>
      <c r="S31" s="15" t="s">
        <v>34</v>
      </c>
    </row>
    <row r="32" spans="1:19">
      <c r="A32" s="3" t="s">
        <v>89</v>
      </c>
      <c r="B32" s="4" t="s">
        <v>90</v>
      </c>
      <c r="C32" s="5" t="s">
        <v>4128</v>
      </c>
      <c r="D32" s="5">
        <v>45256</v>
      </c>
      <c r="E32" s="4">
        <v>11</v>
      </c>
      <c r="F32" s="4">
        <v>26</v>
      </c>
      <c r="G32" s="4">
        <v>2023</v>
      </c>
      <c r="H32" s="5">
        <f t="shared" si="0"/>
        <v>45256</v>
      </c>
      <c r="I32" s="9">
        <v>45272</v>
      </c>
      <c r="J32" s="4">
        <f t="shared" si="1"/>
        <v>16</v>
      </c>
      <c r="K32" s="4" t="s">
        <v>41</v>
      </c>
      <c r="L32" s="4">
        <v>60150</v>
      </c>
      <c r="M32" s="4">
        <v>2988</v>
      </c>
      <c r="N32" s="10">
        <v>3514.38</v>
      </c>
      <c r="O32" s="10">
        <f t="shared" si="2"/>
        <v>3514.38</v>
      </c>
      <c r="P32" s="4">
        <v>175</v>
      </c>
      <c r="Q32" s="4" t="b">
        <v>1</v>
      </c>
      <c r="R32" s="4"/>
      <c r="S32" s="14" t="s">
        <v>42</v>
      </c>
    </row>
    <row r="33" spans="1:19">
      <c r="A33" s="6" t="s">
        <v>91</v>
      </c>
      <c r="B33" s="7" t="s">
        <v>92</v>
      </c>
      <c r="C33" s="8" t="s">
        <v>4127</v>
      </c>
      <c r="D33" s="8">
        <v>45053</v>
      </c>
      <c r="E33" s="7">
        <v>5</v>
      </c>
      <c r="F33" s="7">
        <v>7</v>
      </c>
      <c r="G33" s="7">
        <v>2023</v>
      </c>
      <c r="H33" s="8">
        <f t="shared" si="0"/>
        <v>45053</v>
      </c>
      <c r="I33" s="11">
        <v>45075</v>
      </c>
      <c r="J33" s="7">
        <f t="shared" si="1"/>
        <v>22</v>
      </c>
      <c r="K33" s="7" t="s">
        <v>33</v>
      </c>
      <c r="L33" s="7">
        <v>66725</v>
      </c>
      <c r="M33" s="7">
        <v>1424</v>
      </c>
      <c r="N33" s="12">
        <v>2759.35</v>
      </c>
      <c r="O33" s="12">
        <f t="shared" si="2"/>
        <v>2759.35</v>
      </c>
      <c r="P33" s="7">
        <v>251</v>
      </c>
      <c r="Q33" s="7" t="b">
        <v>1</v>
      </c>
      <c r="R33" s="7"/>
      <c r="S33" s="15" t="s">
        <v>34</v>
      </c>
    </row>
    <row r="34" spans="1:19">
      <c r="A34" s="3" t="s">
        <v>93</v>
      </c>
      <c r="B34" s="4" t="s">
        <v>94</v>
      </c>
      <c r="C34" s="5" t="s">
        <v>4131</v>
      </c>
      <c r="D34" s="5">
        <v>45226</v>
      </c>
      <c r="E34" s="4">
        <v>10</v>
      </c>
      <c r="F34" s="4">
        <v>27</v>
      </c>
      <c r="G34" s="4">
        <v>2023</v>
      </c>
      <c r="H34" s="5">
        <f t="shared" si="0"/>
        <v>45226</v>
      </c>
      <c r="I34" s="9">
        <v>45228</v>
      </c>
      <c r="J34" s="4">
        <f t="shared" si="1"/>
        <v>2</v>
      </c>
      <c r="K34" s="4" t="s">
        <v>33</v>
      </c>
      <c r="L34" s="4">
        <v>85654</v>
      </c>
      <c r="M34" s="4">
        <v>2087</v>
      </c>
      <c r="N34" s="10">
        <v>2393.02</v>
      </c>
      <c r="O34" s="10">
        <f t="shared" si="2"/>
        <v>2393.02</v>
      </c>
      <c r="P34" s="4">
        <v>122</v>
      </c>
      <c r="Q34" s="4" t="b">
        <v>0</v>
      </c>
      <c r="R34" s="4"/>
      <c r="S34" s="14" t="s">
        <v>34</v>
      </c>
    </row>
    <row r="35" spans="1:19">
      <c r="A35" s="6" t="s">
        <v>95</v>
      </c>
      <c r="B35" s="7" t="s">
        <v>96</v>
      </c>
      <c r="C35" s="8" t="s">
        <v>4127</v>
      </c>
      <c r="D35" s="8">
        <v>45112</v>
      </c>
      <c r="E35" s="7">
        <v>7</v>
      </c>
      <c r="F35" s="7">
        <v>5</v>
      </c>
      <c r="G35" s="7">
        <v>2023</v>
      </c>
      <c r="H35" s="8">
        <f t="shared" si="0"/>
        <v>45112</v>
      </c>
      <c r="I35" s="11">
        <v>45124</v>
      </c>
      <c r="J35" s="7">
        <f t="shared" si="1"/>
        <v>12</v>
      </c>
      <c r="K35" s="7" t="s">
        <v>19</v>
      </c>
      <c r="L35" s="7">
        <v>36773</v>
      </c>
      <c r="M35" s="7">
        <v>932</v>
      </c>
      <c r="N35" s="12">
        <v>1233.98</v>
      </c>
      <c r="O35" s="12">
        <f t="shared" si="2"/>
        <v>1233.98</v>
      </c>
      <c r="P35" s="7">
        <v>84</v>
      </c>
      <c r="Q35" s="7" t="b">
        <v>0</v>
      </c>
      <c r="R35" s="7"/>
      <c r="S35" s="15" t="s">
        <v>20</v>
      </c>
    </row>
    <row r="36" spans="1:19">
      <c r="A36" s="3" t="s">
        <v>97</v>
      </c>
      <c r="B36" s="4" t="s">
        <v>98</v>
      </c>
      <c r="C36" s="5" t="s">
        <v>4127</v>
      </c>
      <c r="D36" s="5">
        <v>45187</v>
      </c>
      <c r="E36" s="4">
        <v>9</v>
      </c>
      <c r="F36" s="4">
        <v>18</v>
      </c>
      <c r="G36" s="4">
        <v>2023</v>
      </c>
      <c r="H36" s="5">
        <f t="shared" si="0"/>
        <v>45187</v>
      </c>
      <c r="I36" s="9">
        <v>45191</v>
      </c>
      <c r="J36" s="4">
        <f t="shared" si="1"/>
        <v>4</v>
      </c>
      <c r="K36" s="4" t="s">
        <v>33</v>
      </c>
      <c r="L36" s="4">
        <v>68435</v>
      </c>
      <c r="M36" s="4">
        <v>1959</v>
      </c>
      <c r="N36" s="10">
        <v>2546.46</v>
      </c>
      <c r="O36" s="10">
        <f t="shared" si="2"/>
        <v>2546.46</v>
      </c>
      <c r="P36" s="4">
        <v>128</v>
      </c>
      <c r="Q36" s="4" t="b">
        <v>1</v>
      </c>
      <c r="R36" s="4"/>
      <c r="S36" s="14" t="s">
        <v>34</v>
      </c>
    </row>
    <row r="37" spans="1:19">
      <c r="A37" s="6" t="s">
        <v>99</v>
      </c>
      <c r="B37" s="7" t="s">
        <v>100</v>
      </c>
      <c r="C37" s="8" t="s">
        <v>4128</v>
      </c>
      <c r="D37" s="8">
        <v>44983</v>
      </c>
      <c r="E37" s="7">
        <v>2</v>
      </c>
      <c r="F37" s="7">
        <v>26</v>
      </c>
      <c r="G37" s="7">
        <v>2023</v>
      </c>
      <c r="H37" s="8">
        <f t="shared" si="0"/>
        <v>44983</v>
      </c>
      <c r="I37" s="11">
        <v>44986</v>
      </c>
      <c r="J37" s="7">
        <f t="shared" si="1"/>
        <v>3</v>
      </c>
      <c r="K37" s="7" t="s">
        <v>14</v>
      </c>
      <c r="L37" s="7">
        <v>57886</v>
      </c>
      <c r="M37" s="7">
        <v>2514</v>
      </c>
      <c r="N37" s="12">
        <v>3658.23</v>
      </c>
      <c r="O37" s="12">
        <f t="shared" si="2"/>
        <v>3632.575</v>
      </c>
      <c r="P37" s="7">
        <v>237</v>
      </c>
      <c r="Q37" s="7" t="b">
        <v>1</v>
      </c>
      <c r="R37" s="7"/>
      <c r="S37" s="15" t="s">
        <v>16</v>
      </c>
    </row>
    <row r="38" spans="1:19">
      <c r="A38" s="3" t="s">
        <v>101</v>
      </c>
      <c r="B38" s="4" t="s">
        <v>102</v>
      </c>
      <c r="C38" s="5" t="s">
        <v>4129</v>
      </c>
      <c r="D38" s="5">
        <v>45275</v>
      </c>
      <c r="E38" s="4">
        <v>12</v>
      </c>
      <c r="F38" s="4">
        <v>15</v>
      </c>
      <c r="G38" s="4">
        <v>2023</v>
      </c>
      <c r="H38" s="5">
        <f t="shared" si="0"/>
        <v>45275</v>
      </c>
      <c r="I38" s="9">
        <v>45286</v>
      </c>
      <c r="J38" s="4">
        <f t="shared" si="1"/>
        <v>11</v>
      </c>
      <c r="K38" s="4" t="s">
        <v>33</v>
      </c>
      <c r="L38" s="4">
        <v>67803</v>
      </c>
      <c r="M38" s="4">
        <v>1317</v>
      </c>
      <c r="N38" s="10">
        <v>2136.63</v>
      </c>
      <c r="O38" s="10">
        <f t="shared" si="2"/>
        <v>2136.63</v>
      </c>
      <c r="P38" s="4">
        <v>83</v>
      </c>
      <c r="Q38" s="4" t="b">
        <v>1</v>
      </c>
      <c r="R38" s="4"/>
      <c r="S38" s="14" t="s">
        <v>34</v>
      </c>
    </row>
    <row r="39" spans="1:19">
      <c r="A39" s="6" t="s">
        <v>103</v>
      </c>
      <c r="B39" s="7" t="s">
        <v>104</v>
      </c>
      <c r="C39" s="8" t="s">
        <v>4129</v>
      </c>
      <c r="D39" s="8">
        <v>45122</v>
      </c>
      <c r="E39" s="7">
        <v>7</v>
      </c>
      <c r="F39" s="7">
        <v>15</v>
      </c>
      <c r="G39" s="7">
        <v>2023</v>
      </c>
      <c r="H39" s="8">
        <f t="shared" si="0"/>
        <v>45122</v>
      </c>
      <c r="I39" s="11">
        <v>45145</v>
      </c>
      <c r="J39" s="7">
        <f t="shared" si="1"/>
        <v>23</v>
      </c>
      <c r="K39" s="7" t="s">
        <v>14</v>
      </c>
      <c r="L39" s="7">
        <v>32551</v>
      </c>
      <c r="M39" s="7">
        <v>1335</v>
      </c>
      <c r="N39" s="12">
        <v>1118.15</v>
      </c>
      <c r="O39" s="12">
        <f t="shared" si="2"/>
        <v>1118.15</v>
      </c>
      <c r="P39" s="7">
        <v>200</v>
      </c>
      <c r="Q39" s="7" t="b">
        <v>1</v>
      </c>
      <c r="R39" s="7"/>
      <c r="S39" s="15" t="s">
        <v>16</v>
      </c>
    </row>
    <row r="40" spans="1:19">
      <c r="A40" s="3" t="s">
        <v>105</v>
      </c>
      <c r="B40" s="4" t="s">
        <v>106</v>
      </c>
      <c r="C40" s="5" t="s">
        <v>4128</v>
      </c>
      <c r="D40" s="5">
        <v>45055</v>
      </c>
      <c r="E40" s="4">
        <v>5</v>
      </c>
      <c r="F40" s="4">
        <v>9</v>
      </c>
      <c r="G40" s="4">
        <v>2023</v>
      </c>
      <c r="H40" s="5">
        <f t="shared" si="0"/>
        <v>45055</v>
      </c>
      <c r="I40" s="9">
        <v>45071</v>
      </c>
      <c r="J40" s="4">
        <f t="shared" si="1"/>
        <v>16</v>
      </c>
      <c r="K40" s="4" t="s">
        <v>23</v>
      </c>
      <c r="L40" s="4">
        <v>12394</v>
      </c>
      <c r="M40" s="4">
        <v>324</v>
      </c>
      <c r="N40" s="10">
        <v>418.96</v>
      </c>
      <c r="O40" s="10">
        <f t="shared" si="2"/>
        <v>418.96</v>
      </c>
      <c r="P40" s="4">
        <v>22</v>
      </c>
      <c r="Q40" s="4" t="b">
        <v>1</v>
      </c>
      <c r="R40" s="4"/>
      <c r="S40" s="14" t="s">
        <v>25</v>
      </c>
    </row>
    <row r="41" spans="1:19">
      <c r="A41" s="6" t="s">
        <v>107</v>
      </c>
      <c r="B41" s="7" t="s">
        <v>108</v>
      </c>
      <c r="C41" s="8" t="s">
        <v>4131</v>
      </c>
      <c r="D41" s="8">
        <v>44932</v>
      </c>
      <c r="E41" s="7">
        <v>1</v>
      </c>
      <c r="F41" s="7">
        <v>6</v>
      </c>
      <c r="G41" s="7">
        <v>2023</v>
      </c>
      <c r="H41" s="8">
        <f t="shared" si="0"/>
        <v>44932</v>
      </c>
      <c r="I41" s="11">
        <v>44952</v>
      </c>
      <c r="J41" s="7">
        <f t="shared" si="1"/>
        <v>20</v>
      </c>
      <c r="K41" s="7" t="s">
        <v>23</v>
      </c>
      <c r="L41" s="7">
        <v>70092</v>
      </c>
      <c r="M41" s="7">
        <v>2388</v>
      </c>
      <c r="N41" s="12">
        <v>4152.44</v>
      </c>
      <c r="O41" s="12">
        <f t="shared" si="2"/>
        <v>3632.575</v>
      </c>
      <c r="P41" s="7">
        <v>424</v>
      </c>
      <c r="Q41" s="7" t="b">
        <v>0</v>
      </c>
      <c r="R41" s="7"/>
      <c r="S41" s="15" t="s">
        <v>25</v>
      </c>
    </row>
    <row r="42" spans="1:19">
      <c r="A42" s="3" t="s">
        <v>109</v>
      </c>
      <c r="B42" s="4" t="s">
        <v>110</v>
      </c>
      <c r="C42" s="5" t="s">
        <v>4127</v>
      </c>
      <c r="D42" s="5">
        <v>45201</v>
      </c>
      <c r="E42" s="4">
        <v>10</v>
      </c>
      <c r="F42" s="4">
        <v>2</v>
      </c>
      <c r="G42" s="4">
        <v>2023</v>
      </c>
      <c r="H42" s="5">
        <f t="shared" si="0"/>
        <v>45201</v>
      </c>
      <c r="I42" s="9">
        <v>45211</v>
      </c>
      <c r="J42" s="4">
        <f t="shared" si="1"/>
        <v>10</v>
      </c>
      <c r="K42" s="4" t="s">
        <v>23</v>
      </c>
      <c r="L42" s="4">
        <v>4890</v>
      </c>
      <c r="M42" s="4">
        <v>172</v>
      </c>
      <c r="N42" s="10">
        <v>205.48</v>
      </c>
      <c r="O42" s="10">
        <f t="shared" si="2"/>
        <v>205.48</v>
      </c>
      <c r="P42" s="4">
        <v>29</v>
      </c>
      <c r="Q42" s="4" t="b">
        <v>1</v>
      </c>
      <c r="R42" s="4"/>
      <c r="S42" s="14" t="s">
        <v>25</v>
      </c>
    </row>
    <row r="43" spans="1:19">
      <c r="A43" s="6" t="s">
        <v>111</v>
      </c>
      <c r="B43" s="7" t="s">
        <v>112</v>
      </c>
      <c r="C43" s="8" t="s">
        <v>4127</v>
      </c>
      <c r="D43" s="8">
        <v>45101</v>
      </c>
      <c r="E43" s="7">
        <v>6</v>
      </c>
      <c r="F43" s="7">
        <v>24</v>
      </c>
      <c r="G43" s="7">
        <v>2023</v>
      </c>
      <c r="H43" s="8">
        <f t="shared" si="0"/>
        <v>45101</v>
      </c>
      <c r="I43" s="11">
        <v>45106</v>
      </c>
      <c r="J43" s="7">
        <f t="shared" si="1"/>
        <v>5</v>
      </c>
      <c r="K43" s="7" t="s">
        <v>14</v>
      </c>
      <c r="L43" s="7">
        <v>42606</v>
      </c>
      <c r="M43" s="7">
        <v>1061</v>
      </c>
      <c r="N43" s="12">
        <v>973.67</v>
      </c>
      <c r="O43" s="12">
        <f t="shared" si="2"/>
        <v>973.67</v>
      </c>
      <c r="P43" s="7">
        <v>55</v>
      </c>
      <c r="Q43" s="7" t="b">
        <v>1</v>
      </c>
      <c r="R43" s="7"/>
      <c r="S43" s="15" t="s">
        <v>16</v>
      </c>
    </row>
    <row r="44" spans="1:19">
      <c r="A44" s="3" t="s">
        <v>113</v>
      </c>
      <c r="B44" s="4" t="s">
        <v>114</v>
      </c>
      <c r="C44" s="5" t="s">
        <v>4127</v>
      </c>
      <c r="D44" s="5" t="s">
        <v>115</v>
      </c>
      <c r="E44" s="4">
        <v>21</v>
      </c>
      <c r="F44" s="4">
        <v>8</v>
      </c>
      <c r="G44" s="4">
        <v>2023</v>
      </c>
      <c r="H44" s="5">
        <f t="shared" si="0"/>
        <v>45159</v>
      </c>
      <c r="I44" s="9">
        <v>45167</v>
      </c>
      <c r="J44" s="4">
        <f t="shared" si="1"/>
        <v>8</v>
      </c>
      <c r="K44" s="4" t="s">
        <v>33</v>
      </c>
      <c r="L44" s="4">
        <v>97276</v>
      </c>
      <c r="M44" s="4">
        <v>2967</v>
      </c>
      <c r="N44" s="10">
        <v>4397.28</v>
      </c>
      <c r="O44" s="10">
        <f t="shared" si="2"/>
        <v>3632.575</v>
      </c>
      <c r="P44" s="4">
        <v>546</v>
      </c>
      <c r="Q44" s="4" t="b">
        <v>1</v>
      </c>
      <c r="R44" s="4"/>
      <c r="S44" s="14" t="s">
        <v>34</v>
      </c>
    </row>
    <row r="45" spans="1:19">
      <c r="A45" s="6" t="s">
        <v>116</v>
      </c>
      <c r="B45" s="7" t="s">
        <v>117</v>
      </c>
      <c r="C45" s="8" t="s">
        <v>4129</v>
      </c>
      <c r="D45" s="8">
        <v>45061</v>
      </c>
      <c r="E45" s="7">
        <v>5</v>
      </c>
      <c r="F45" s="7">
        <v>15</v>
      </c>
      <c r="G45" s="7">
        <v>2023</v>
      </c>
      <c r="H45" s="8">
        <f t="shared" si="0"/>
        <v>45061</v>
      </c>
      <c r="I45" s="11">
        <v>45078</v>
      </c>
      <c r="J45" s="7">
        <f t="shared" si="1"/>
        <v>17</v>
      </c>
      <c r="K45" s="7" t="s">
        <v>23</v>
      </c>
      <c r="L45" s="7">
        <v>81038</v>
      </c>
      <c r="M45" s="7">
        <v>2149</v>
      </c>
      <c r="N45" s="12">
        <v>3729.91</v>
      </c>
      <c r="O45" s="12">
        <f t="shared" si="2"/>
        <v>3632.575</v>
      </c>
      <c r="P45" s="7">
        <v>116</v>
      </c>
      <c r="Q45" s="7" t="b">
        <v>1</v>
      </c>
      <c r="R45" s="7">
        <v>81075</v>
      </c>
      <c r="S45" s="15" t="s">
        <v>59</v>
      </c>
    </row>
    <row r="46" spans="1:19">
      <c r="A46" s="3" t="s">
        <v>118</v>
      </c>
      <c r="B46" s="4" t="s">
        <v>119</v>
      </c>
      <c r="C46" s="5" t="s">
        <v>4127</v>
      </c>
      <c r="D46" s="5">
        <v>45186</v>
      </c>
      <c r="E46" s="4">
        <v>9</v>
      </c>
      <c r="F46" s="4">
        <v>17</v>
      </c>
      <c r="G46" s="4">
        <v>2023</v>
      </c>
      <c r="H46" s="5">
        <f t="shared" si="0"/>
        <v>45186</v>
      </c>
      <c r="I46" s="9">
        <v>45202</v>
      </c>
      <c r="J46" s="4">
        <f t="shared" si="1"/>
        <v>16</v>
      </c>
      <c r="K46" s="4" t="s">
        <v>14</v>
      </c>
      <c r="L46" s="4">
        <v>88313</v>
      </c>
      <c r="M46" s="4">
        <v>1127</v>
      </c>
      <c r="N46" s="10">
        <v>670.24</v>
      </c>
      <c r="O46" s="10">
        <f t="shared" si="2"/>
        <v>670.24</v>
      </c>
      <c r="P46" s="4">
        <v>96</v>
      </c>
      <c r="Q46" s="4" t="b">
        <v>0</v>
      </c>
      <c r="R46" s="4"/>
      <c r="S46" s="14" t="s">
        <v>16</v>
      </c>
    </row>
    <row r="47" spans="1:19">
      <c r="A47" s="6" t="s">
        <v>120</v>
      </c>
      <c r="B47" s="7" t="s">
        <v>121</v>
      </c>
      <c r="C47" s="8" t="s">
        <v>4128</v>
      </c>
      <c r="D47" s="8">
        <v>45079</v>
      </c>
      <c r="E47" s="7">
        <v>6</v>
      </c>
      <c r="F47" s="7">
        <v>2</v>
      </c>
      <c r="G47" s="7">
        <v>2023</v>
      </c>
      <c r="H47" s="8">
        <f t="shared" si="0"/>
        <v>45079</v>
      </c>
      <c r="I47" s="11">
        <v>45105</v>
      </c>
      <c r="J47" s="7">
        <f t="shared" si="1"/>
        <v>26</v>
      </c>
      <c r="K47" s="7" t="s">
        <v>33</v>
      </c>
      <c r="L47" s="7">
        <v>11627</v>
      </c>
      <c r="M47" s="7">
        <v>319</v>
      </c>
      <c r="N47" s="12">
        <v>531.19</v>
      </c>
      <c r="O47" s="12">
        <f t="shared" si="2"/>
        <v>531.19</v>
      </c>
      <c r="P47" s="7">
        <v>17</v>
      </c>
      <c r="Q47" s="7" t="b">
        <v>1</v>
      </c>
      <c r="R47" s="7"/>
      <c r="S47" s="15" t="s">
        <v>34</v>
      </c>
    </row>
    <row r="48" spans="1:19">
      <c r="A48" s="3" t="s">
        <v>122</v>
      </c>
      <c r="B48" s="4" t="s">
        <v>123</v>
      </c>
      <c r="C48" s="5" t="s">
        <v>4131</v>
      </c>
      <c r="D48" s="5">
        <v>45028</v>
      </c>
      <c r="E48" s="4">
        <v>4</v>
      </c>
      <c r="F48" s="4">
        <v>12</v>
      </c>
      <c r="G48" s="4">
        <v>2023</v>
      </c>
      <c r="H48" s="5">
        <f t="shared" si="0"/>
        <v>45028</v>
      </c>
      <c r="I48" s="9">
        <v>45035</v>
      </c>
      <c r="J48" s="4">
        <f t="shared" si="1"/>
        <v>7</v>
      </c>
      <c r="K48" s="4" t="s">
        <v>41</v>
      </c>
      <c r="L48" s="4">
        <v>9792</v>
      </c>
      <c r="M48" s="4">
        <v>136</v>
      </c>
      <c r="N48" s="10">
        <v>235.62</v>
      </c>
      <c r="O48" s="10">
        <f t="shared" si="2"/>
        <v>235.62</v>
      </c>
      <c r="P48" s="4">
        <v>13</v>
      </c>
      <c r="Q48" s="4" t="b">
        <v>1</v>
      </c>
      <c r="R48" s="4"/>
      <c r="S48" s="14" t="s">
        <v>42</v>
      </c>
    </row>
    <row r="49" spans="1:19">
      <c r="A49" s="6" t="s">
        <v>124</v>
      </c>
      <c r="B49" s="7" t="s">
        <v>125</v>
      </c>
      <c r="C49" s="8" t="s">
        <v>4129</v>
      </c>
      <c r="D49" s="8">
        <v>45203</v>
      </c>
      <c r="E49" s="7">
        <v>10</v>
      </c>
      <c r="F49" s="7">
        <v>4</v>
      </c>
      <c r="G49" s="7">
        <v>2023</v>
      </c>
      <c r="H49" s="8">
        <f t="shared" si="0"/>
        <v>45203</v>
      </c>
      <c r="I49" s="11">
        <v>45217</v>
      </c>
      <c r="J49" s="7">
        <f t="shared" si="1"/>
        <v>14</v>
      </c>
      <c r="K49" s="7" t="s">
        <v>23</v>
      </c>
      <c r="L49" s="7">
        <v>74969</v>
      </c>
      <c r="M49" s="7">
        <v>1964</v>
      </c>
      <c r="N49" s="12">
        <v>2341.65</v>
      </c>
      <c r="O49" s="12">
        <f t="shared" si="2"/>
        <v>2341.65</v>
      </c>
      <c r="P49" s="7">
        <v>249</v>
      </c>
      <c r="Q49" s="7" t="b">
        <v>1</v>
      </c>
      <c r="R49" s="7"/>
      <c r="S49" s="15" t="s">
        <v>25</v>
      </c>
    </row>
    <row r="50" spans="1:19">
      <c r="A50" s="3" t="s">
        <v>126</v>
      </c>
      <c r="B50" s="4" t="s">
        <v>127</v>
      </c>
      <c r="C50" s="5" t="s">
        <v>4129</v>
      </c>
      <c r="D50" s="5">
        <v>44927</v>
      </c>
      <c r="E50" s="4">
        <v>1</v>
      </c>
      <c r="F50" s="4">
        <v>1</v>
      </c>
      <c r="G50" s="4">
        <v>2023</v>
      </c>
      <c r="H50" s="5">
        <f t="shared" si="0"/>
        <v>44927</v>
      </c>
      <c r="I50" s="9">
        <v>44943</v>
      </c>
      <c r="J50" s="4">
        <f t="shared" si="1"/>
        <v>16</v>
      </c>
      <c r="K50" s="4" t="s">
        <v>19</v>
      </c>
      <c r="L50" s="4">
        <v>44001</v>
      </c>
      <c r="M50" s="4">
        <v>1483</v>
      </c>
      <c r="N50" s="10">
        <v>2928.86</v>
      </c>
      <c r="O50" s="10">
        <f t="shared" si="2"/>
        <v>2928.86</v>
      </c>
      <c r="P50" s="4">
        <v>0</v>
      </c>
      <c r="Q50" s="4" t="b">
        <v>0</v>
      </c>
      <c r="R50" s="4"/>
      <c r="S50" s="14" t="s">
        <v>20</v>
      </c>
    </row>
    <row r="51" spans="1:19">
      <c r="A51" s="6" t="s">
        <v>128</v>
      </c>
      <c r="B51" s="7" t="s">
        <v>129</v>
      </c>
      <c r="C51" s="8" t="s">
        <v>4127</v>
      </c>
      <c r="D51" s="8">
        <v>44984</v>
      </c>
      <c r="E51" s="7">
        <v>2</v>
      </c>
      <c r="F51" s="7">
        <v>27</v>
      </c>
      <c r="G51" s="7">
        <v>2023</v>
      </c>
      <c r="H51" s="8">
        <f t="shared" si="0"/>
        <v>44984</v>
      </c>
      <c r="I51" s="11">
        <v>44985</v>
      </c>
      <c r="J51" s="7">
        <f t="shared" si="1"/>
        <v>1</v>
      </c>
      <c r="K51" s="7" t="s">
        <v>23</v>
      </c>
      <c r="L51" s="7">
        <v>77552</v>
      </c>
      <c r="M51" s="7">
        <v>2572</v>
      </c>
      <c r="N51" s="12">
        <v>4321.12</v>
      </c>
      <c r="O51" s="12">
        <f t="shared" si="2"/>
        <v>3632.575</v>
      </c>
      <c r="P51" s="7">
        <v>258</v>
      </c>
      <c r="Q51" s="7" t="b">
        <v>1</v>
      </c>
      <c r="R51" s="7"/>
      <c r="S51" s="15" t="s">
        <v>68</v>
      </c>
    </row>
    <row r="52" spans="1:19">
      <c r="A52" s="3" t="s">
        <v>130</v>
      </c>
      <c r="B52" s="4" t="s">
        <v>131</v>
      </c>
      <c r="C52" s="5" t="s">
        <v>4129</v>
      </c>
      <c r="D52" s="5">
        <v>45084</v>
      </c>
      <c r="E52" s="4">
        <v>6</v>
      </c>
      <c r="F52" s="4">
        <v>7</v>
      </c>
      <c r="G52" s="4">
        <v>2023</v>
      </c>
      <c r="H52" s="5">
        <f t="shared" si="0"/>
        <v>45084</v>
      </c>
      <c r="I52" s="9">
        <v>45094</v>
      </c>
      <c r="J52" s="4">
        <f t="shared" si="1"/>
        <v>10</v>
      </c>
      <c r="K52" s="4" t="s">
        <v>41</v>
      </c>
      <c r="L52" s="4">
        <v>24897</v>
      </c>
      <c r="M52" s="4">
        <v>908</v>
      </c>
      <c r="N52" s="10">
        <v>1507.73</v>
      </c>
      <c r="O52" s="10">
        <f t="shared" si="2"/>
        <v>1507.73</v>
      </c>
      <c r="P52" s="4">
        <v>141</v>
      </c>
      <c r="Q52" s="4" t="b">
        <v>1</v>
      </c>
      <c r="R52" s="4"/>
      <c r="S52" s="14" t="s">
        <v>42</v>
      </c>
    </row>
    <row r="53" spans="1:19">
      <c r="A53" s="6" t="s">
        <v>132</v>
      </c>
      <c r="B53" s="7" t="s">
        <v>133</v>
      </c>
      <c r="C53" s="8" t="s">
        <v>4128</v>
      </c>
      <c r="D53" s="8">
        <v>45217</v>
      </c>
      <c r="E53" s="7">
        <v>10</v>
      </c>
      <c r="F53" s="7">
        <v>18</v>
      </c>
      <c r="G53" s="7">
        <v>2023</v>
      </c>
      <c r="H53" s="8">
        <f t="shared" si="0"/>
        <v>45217</v>
      </c>
      <c r="I53" s="11">
        <v>45238</v>
      </c>
      <c r="J53" s="7">
        <f t="shared" si="1"/>
        <v>21</v>
      </c>
      <c r="K53" s="7" t="s">
        <v>14</v>
      </c>
      <c r="L53" s="7">
        <v>69148</v>
      </c>
      <c r="M53" s="7">
        <v>954</v>
      </c>
      <c r="N53" s="12">
        <v>1547.16</v>
      </c>
      <c r="O53" s="12">
        <f t="shared" si="2"/>
        <v>1547.16</v>
      </c>
      <c r="P53" s="7">
        <v>74</v>
      </c>
      <c r="Q53" s="7" t="b">
        <v>0</v>
      </c>
      <c r="R53" s="7"/>
      <c r="S53" s="15" t="s">
        <v>16</v>
      </c>
    </row>
    <row r="54" spans="1:19">
      <c r="A54" s="3" t="s">
        <v>134</v>
      </c>
      <c r="B54" s="4" t="s">
        <v>135</v>
      </c>
      <c r="C54" s="5" t="s">
        <v>4129</v>
      </c>
      <c r="D54" s="5">
        <v>45175</v>
      </c>
      <c r="E54" s="4">
        <v>9</v>
      </c>
      <c r="F54" s="4">
        <v>6</v>
      </c>
      <c r="G54" s="4">
        <v>2023</v>
      </c>
      <c r="H54" s="5">
        <f t="shared" si="0"/>
        <v>45175</v>
      </c>
      <c r="I54" s="9">
        <v>45181</v>
      </c>
      <c r="J54" s="4">
        <f t="shared" si="1"/>
        <v>6</v>
      </c>
      <c r="K54" s="4" t="s">
        <v>19</v>
      </c>
      <c r="L54" s="4">
        <v>24483</v>
      </c>
      <c r="M54" s="4">
        <v>883</v>
      </c>
      <c r="N54" s="10">
        <v>640.98</v>
      </c>
      <c r="O54" s="10">
        <f t="shared" si="2"/>
        <v>640.98</v>
      </c>
      <c r="P54" s="4">
        <v>0</v>
      </c>
      <c r="Q54" s="4" t="b">
        <v>0</v>
      </c>
      <c r="R54" s="4"/>
      <c r="S54" s="14" t="s">
        <v>20</v>
      </c>
    </row>
    <row r="55" spans="1:19">
      <c r="A55" s="6" t="s">
        <v>136</v>
      </c>
      <c r="B55" s="7" t="s">
        <v>137</v>
      </c>
      <c r="C55" s="8" t="s">
        <v>4129</v>
      </c>
      <c r="D55" s="8">
        <v>45199</v>
      </c>
      <c r="E55" s="7">
        <v>9</v>
      </c>
      <c r="F55" s="7">
        <v>30</v>
      </c>
      <c r="G55" s="7">
        <v>2023</v>
      </c>
      <c r="H55" s="8">
        <f t="shared" si="0"/>
        <v>45199</v>
      </c>
      <c r="I55" s="11">
        <v>45210</v>
      </c>
      <c r="J55" s="7">
        <f t="shared" si="1"/>
        <v>11</v>
      </c>
      <c r="K55" s="7" t="s">
        <v>138</v>
      </c>
      <c r="L55" s="7">
        <v>49555</v>
      </c>
      <c r="M55" s="7">
        <v>1114</v>
      </c>
      <c r="N55" s="12">
        <v>919.99</v>
      </c>
      <c r="O55" s="12">
        <f t="shared" si="2"/>
        <v>919.99</v>
      </c>
      <c r="P55" s="7">
        <v>95</v>
      </c>
      <c r="Q55" s="7" t="b">
        <v>0</v>
      </c>
      <c r="R55" s="7"/>
      <c r="S55" s="15" t="s">
        <v>139</v>
      </c>
    </row>
    <row r="56" spans="1:19">
      <c r="A56" s="3" t="s">
        <v>140</v>
      </c>
      <c r="B56" s="4" t="s">
        <v>141</v>
      </c>
      <c r="C56" s="5" t="s">
        <v>4128</v>
      </c>
      <c r="D56" s="5">
        <v>45170</v>
      </c>
      <c r="E56" s="4">
        <v>9</v>
      </c>
      <c r="F56" s="4">
        <v>1</v>
      </c>
      <c r="G56" s="4">
        <v>2023</v>
      </c>
      <c r="H56" s="5">
        <f t="shared" si="0"/>
        <v>45170</v>
      </c>
      <c r="I56" s="9">
        <v>45165</v>
      </c>
      <c r="J56" s="4">
        <f t="shared" si="1"/>
        <v>-5</v>
      </c>
      <c r="K56" s="4" t="s">
        <v>41</v>
      </c>
      <c r="L56" s="4">
        <v>18159</v>
      </c>
      <c r="M56" s="4">
        <v>471</v>
      </c>
      <c r="N56" s="10">
        <v>563.31</v>
      </c>
      <c r="O56" s="10">
        <f t="shared" si="2"/>
        <v>563.31</v>
      </c>
      <c r="P56" s="4">
        <v>33</v>
      </c>
      <c r="Q56" s="4" t="b">
        <v>0</v>
      </c>
      <c r="R56" s="4"/>
      <c r="S56" s="14" t="s">
        <v>42</v>
      </c>
    </row>
    <row r="57" spans="1:19">
      <c r="A57" s="6" t="s">
        <v>142</v>
      </c>
      <c r="B57" s="7" t="s">
        <v>143</v>
      </c>
      <c r="C57" s="8" t="s">
        <v>4131</v>
      </c>
      <c r="D57" s="8">
        <v>45197</v>
      </c>
      <c r="E57" s="7">
        <v>9</v>
      </c>
      <c r="F57" s="7">
        <v>28</v>
      </c>
      <c r="G57" s="7">
        <v>2023</v>
      </c>
      <c r="H57" s="8">
        <f t="shared" si="0"/>
        <v>45197</v>
      </c>
      <c r="I57" s="11">
        <v>45207</v>
      </c>
      <c r="J57" s="7">
        <f t="shared" si="1"/>
        <v>10</v>
      </c>
      <c r="K57" s="7" t="s">
        <v>19</v>
      </c>
      <c r="L57" s="7">
        <v>81077</v>
      </c>
      <c r="M57" s="7">
        <v>3593</v>
      </c>
      <c r="N57" s="12">
        <v>3219.35</v>
      </c>
      <c r="O57" s="12">
        <f t="shared" si="2"/>
        <v>3219.35</v>
      </c>
      <c r="P57" s="7">
        <v>279</v>
      </c>
      <c r="Q57" s="7" t="b">
        <v>0</v>
      </c>
      <c r="R57" s="7"/>
      <c r="S57" s="15" t="s">
        <v>20</v>
      </c>
    </row>
    <row r="58" spans="1:19">
      <c r="A58" s="3" t="s">
        <v>144</v>
      </c>
      <c r="B58" s="4" t="s">
        <v>145</v>
      </c>
      <c r="C58" s="5" t="s">
        <v>4128</v>
      </c>
      <c r="D58" s="5">
        <v>45035</v>
      </c>
      <c r="E58" s="4">
        <v>4</v>
      </c>
      <c r="F58" s="4">
        <v>19</v>
      </c>
      <c r="G58" s="4">
        <v>2023</v>
      </c>
      <c r="H58" s="5">
        <f t="shared" si="0"/>
        <v>45035</v>
      </c>
      <c r="I58" s="9">
        <v>45057</v>
      </c>
      <c r="J58" s="4">
        <f t="shared" si="1"/>
        <v>22</v>
      </c>
      <c r="K58" s="4" t="s">
        <v>23</v>
      </c>
      <c r="L58" s="4">
        <v>36920</v>
      </c>
      <c r="M58" s="4">
        <v>382</v>
      </c>
      <c r="N58" s="10">
        <v>428.93</v>
      </c>
      <c r="O58" s="10">
        <f t="shared" si="2"/>
        <v>428.93</v>
      </c>
      <c r="P58" s="4">
        <v>29</v>
      </c>
      <c r="Q58" s="4" t="b">
        <v>1</v>
      </c>
      <c r="R58" s="4"/>
      <c r="S58" s="14" t="s">
        <v>25</v>
      </c>
    </row>
    <row r="59" spans="1:19">
      <c r="A59" s="6" t="s">
        <v>146</v>
      </c>
      <c r="B59" s="7" t="s">
        <v>147</v>
      </c>
      <c r="C59" s="8" t="s">
        <v>4127</v>
      </c>
      <c r="D59" s="8">
        <v>45280</v>
      </c>
      <c r="E59" s="7">
        <v>12</v>
      </c>
      <c r="F59" s="7">
        <v>20</v>
      </c>
      <c r="G59" s="7">
        <v>2023</v>
      </c>
      <c r="H59" s="8">
        <f t="shared" si="0"/>
        <v>45280</v>
      </c>
      <c r="I59" s="11">
        <v>45300</v>
      </c>
      <c r="J59" s="7">
        <f t="shared" si="1"/>
        <v>20</v>
      </c>
      <c r="K59" s="7" t="s">
        <v>14</v>
      </c>
      <c r="L59" s="7">
        <v>93067</v>
      </c>
      <c r="M59" s="7">
        <v>3121</v>
      </c>
      <c r="N59" s="12">
        <v>5719.84</v>
      </c>
      <c r="O59" s="12">
        <f t="shared" si="2"/>
        <v>3632.575</v>
      </c>
      <c r="P59" s="7">
        <v>396</v>
      </c>
      <c r="Q59" s="7" t="b">
        <v>1</v>
      </c>
      <c r="R59" s="7"/>
      <c r="S59" s="15" t="s">
        <v>16</v>
      </c>
    </row>
    <row r="60" spans="1:19">
      <c r="A60" s="3" t="s">
        <v>148</v>
      </c>
      <c r="B60" s="4" t="s">
        <v>149</v>
      </c>
      <c r="C60" s="5" t="s">
        <v>4128</v>
      </c>
      <c r="D60" s="5">
        <v>45270</v>
      </c>
      <c r="E60" s="4">
        <v>12</v>
      </c>
      <c r="F60" s="4">
        <v>10</v>
      </c>
      <c r="G60" s="4">
        <v>2023</v>
      </c>
      <c r="H60" s="5">
        <f t="shared" si="0"/>
        <v>45270</v>
      </c>
      <c r="I60" s="9">
        <v>45284</v>
      </c>
      <c r="J60" s="4">
        <f t="shared" si="1"/>
        <v>14</v>
      </c>
      <c r="K60" s="4" t="s">
        <v>19</v>
      </c>
      <c r="L60" s="4">
        <v>68121</v>
      </c>
      <c r="M60" s="4">
        <v>2312</v>
      </c>
      <c r="N60" s="10">
        <v>4014.77</v>
      </c>
      <c r="O60" s="10">
        <f t="shared" si="2"/>
        <v>3632.575</v>
      </c>
      <c r="P60" s="4">
        <v>408</v>
      </c>
      <c r="Q60" s="4" t="b">
        <v>1</v>
      </c>
      <c r="R60" s="4"/>
      <c r="S60" s="14" t="s">
        <v>20</v>
      </c>
    </row>
    <row r="61" spans="1:19">
      <c r="A61" s="6" t="s">
        <v>150</v>
      </c>
      <c r="B61" s="7" t="s">
        <v>151</v>
      </c>
      <c r="C61" s="8" t="s">
        <v>4131</v>
      </c>
      <c r="D61" s="8">
        <v>45191</v>
      </c>
      <c r="E61" s="7">
        <v>9</v>
      </c>
      <c r="F61" s="7">
        <v>22</v>
      </c>
      <c r="G61" s="7">
        <v>2023</v>
      </c>
      <c r="H61" s="8">
        <f t="shared" si="0"/>
        <v>45191</v>
      </c>
      <c r="I61" s="11">
        <v>45211</v>
      </c>
      <c r="J61" s="7">
        <f t="shared" si="1"/>
        <v>20</v>
      </c>
      <c r="K61" s="7" t="s">
        <v>23</v>
      </c>
      <c r="L61" s="7">
        <v>70479</v>
      </c>
      <c r="M61" s="7">
        <v>1823</v>
      </c>
      <c r="N61" s="12">
        <v>2634.34</v>
      </c>
      <c r="O61" s="12">
        <f t="shared" si="2"/>
        <v>2634.34</v>
      </c>
      <c r="P61" s="7">
        <v>112</v>
      </c>
      <c r="Q61" s="7" t="b">
        <v>1</v>
      </c>
      <c r="R61" s="7"/>
      <c r="S61" s="15" t="s">
        <v>25</v>
      </c>
    </row>
    <row r="62" spans="1:19">
      <c r="A62" s="3" t="s">
        <v>152</v>
      </c>
      <c r="B62" s="4" t="s">
        <v>153</v>
      </c>
      <c r="C62" s="5" t="s">
        <v>4127</v>
      </c>
      <c r="D62" s="5">
        <v>44959</v>
      </c>
      <c r="E62" s="4">
        <v>2</v>
      </c>
      <c r="F62" s="4">
        <v>2</v>
      </c>
      <c r="G62" s="4">
        <v>2023</v>
      </c>
      <c r="H62" s="5">
        <f t="shared" si="0"/>
        <v>44959</v>
      </c>
      <c r="I62" s="9">
        <v>44963</v>
      </c>
      <c r="J62" s="4">
        <f t="shared" si="1"/>
        <v>4</v>
      </c>
      <c r="K62" s="4" t="s">
        <v>41</v>
      </c>
      <c r="L62" s="4">
        <v>90475</v>
      </c>
      <c r="M62" s="4">
        <v>1762</v>
      </c>
      <c r="N62" s="10">
        <v>3149.01</v>
      </c>
      <c r="O62" s="10">
        <f t="shared" si="2"/>
        <v>3149.01</v>
      </c>
      <c r="P62" s="4">
        <v>274</v>
      </c>
      <c r="Q62" s="4" t="b">
        <v>1</v>
      </c>
      <c r="R62" s="4"/>
      <c r="S62" s="14" t="s">
        <v>42</v>
      </c>
    </row>
    <row r="63" spans="1:19">
      <c r="A63" s="6" t="s">
        <v>154</v>
      </c>
      <c r="B63" s="7" t="s">
        <v>155</v>
      </c>
      <c r="C63" s="8" t="s">
        <v>4131</v>
      </c>
      <c r="D63" s="8">
        <v>45044</v>
      </c>
      <c r="E63" s="7">
        <v>4</v>
      </c>
      <c r="F63" s="7">
        <v>28</v>
      </c>
      <c r="G63" s="7">
        <v>2023</v>
      </c>
      <c r="H63" s="8">
        <f t="shared" si="0"/>
        <v>45044</v>
      </c>
      <c r="I63" s="11">
        <v>45064</v>
      </c>
      <c r="J63" s="7">
        <f t="shared" si="1"/>
        <v>20</v>
      </c>
      <c r="K63" s="7" t="s">
        <v>41</v>
      </c>
      <c r="L63" s="7">
        <v>20457</v>
      </c>
      <c r="M63" s="7">
        <v>396</v>
      </c>
      <c r="N63" s="12">
        <v>663.56</v>
      </c>
      <c r="O63" s="12">
        <f t="shared" si="2"/>
        <v>663.56</v>
      </c>
      <c r="P63" s="7">
        <v>58</v>
      </c>
      <c r="Q63" s="7" t="b">
        <v>1</v>
      </c>
      <c r="R63" s="7"/>
      <c r="S63" s="15" t="s">
        <v>42</v>
      </c>
    </row>
    <row r="64" spans="1:19">
      <c r="A64" s="3" t="s">
        <v>156</v>
      </c>
      <c r="B64" s="4" t="s">
        <v>157</v>
      </c>
      <c r="C64" s="5" t="s">
        <v>4127</v>
      </c>
      <c r="D64" s="5">
        <v>45289</v>
      </c>
      <c r="E64" s="4">
        <v>12</v>
      </c>
      <c r="F64" s="4">
        <v>29</v>
      </c>
      <c r="G64" s="4">
        <v>2023</v>
      </c>
      <c r="H64" s="5">
        <f t="shared" si="0"/>
        <v>45289</v>
      </c>
      <c r="I64" s="9">
        <v>45294</v>
      </c>
      <c r="J64" s="4">
        <f t="shared" si="1"/>
        <v>5</v>
      </c>
      <c r="K64" s="4" t="s">
        <v>19</v>
      </c>
      <c r="L64" s="4">
        <v>67557</v>
      </c>
      <c r="M64" s="4">
        <v>3063</v>
      </c>
      <c r="N64" s="10">
        <v>3502.47</v>
      </c>
      <c r="O64" s="10">
        <f t="shared" si="2"/>
        <v>3502.47</v>
      </c>
      <c r="P64" s="4">
        <v>554</v>
      </c>
      <c r="Q64" s="4" t="b">
        <v>0</v>
      </c>
      <c r="R64" s="4"/>
      <c r="S64" s="14" t="s">
        <v>20</v>
      </c>
    </row>
    <row r="65" spans="1:19">
      <c r="A65" s="6" t="s">
        <v>158</v>
      </c>
      <c r="B65" s="7" t="s">
        <v>159</v>
      </c>
      <c r="C65" s="8" t="s">
        <v>4131</v>
      </c>
      <c r="D65" s="8">
        <v>44943</v>
      </c>
      <c r="E65" s="7">
        <v>1</v>
      </c>
      <c r="F65" s="7">
        <v>17</v>
      </c>
      <c r="G65" s="7">
        <v>2023</v>
      </c>
      <c r="H65" s="8">
        <f t="shared" si="0"/>
        <v>44943</v>
      </c>
      <c r="I65" s="11">
        <v>44960</v>
      </c>
      <c r="J65" s="7">
        <f t="shared" si="1"/>
        <v>17</v>
      </c>
      <c r="K65" s="7" t="s">
        <v>23</v>
      </c>
      <c r="L65" s="7">
        <v>78189</v>
      </c>
      <c r="M65" s="7">
        <v>2164</v>
      </c>
      <c r="N65" s="12">
        <v>1734.66</v>
      </c>
      <c r="O65" s="12">
        <f t="shared" si="2"/>
        <v>1734.66</v>
      </c>
      <c r="P65" s="7">
        <v>187</v>
      </c>
      <c r="Q65" s="7" t="b">
        <v>1</v>
      </c>
      <c r="R65" s="7">
        <v>78213</v>
      </c>
      <c r="S65" s="15" t="s">
        <v>25</v>
      </c>
    </row>
    <row r="66" spans="1:19">
      <c r="A66" s="3" t="s">
        <v>160</v>
      </c>
      <c r="B66" s="4" t="s">
        <v>161</v>
      </c>
      <c r="C66" s="5" t="s">
        <v>4127</v>
      </c>
      <c r="D66" s="5">
        <v>45048</v>
      </c>
      <c r="E66" s="4">
        <v>5</v>
      </c>
      <c r="F66" s="4">
        <v>2</v>
      </c>
      <c r="G66" s="4">
        <v>2023</v>
      </c>
      <c r="H66" s="5">
        <f t="shared" ref="H66:H129" si="3">IF(E66&gt;12,DATE(G66,F66,E66),D66)</f>
        <v>45048</v>
      </c>
      <c r="I66" s="9">
        <v>45058</v>
      </c>
      <c r="J66" s="4">
        <f t="shared" ref="J66:J129" si="4">DATEDIF(H66,I66,"D")</f>
        <v>10</v>
      </c>
      <c r="K66" s="4" t="s">
        <v>23</v>
      </c>
      <c r="L66" s="4">
        <v>79953</v>
      </c>
      <c r="M66" s="4">
        <v>1857</v>
      </c>
      <c r="N66" s="10">
        <v>2360.81</v>
      </c>
      <c r="O66" s="10">
        <f t="shared" si="2"/>
        <v>2360.81</v>
      </c>
      <c r="P66" s="4">
        <v>218</v>
      </c>
      <c r="Q66" s="4" t="b">
        <v>0</v>
      </c>
      <c r="R66" s="4"/>
      <c r="S66" s="14" t="s">
        <v>25</v>
      </c>
    </row>
    <row r="67" spans="1:19">
      <c r="A67" s="6" t="s">
        <v>162</v>
      </c>
      <c r="B67" s="7" t="s">
        <v>163</v>
      </c>
      <c r="C67" s="8" t="s">
        <v>4129</v>
      </c>
      <c r="D67" s="8">
        <v>45203</v>
      </c>
      <c r="E67" s="7">
        <v>10</v>
      </c>
      <c r="F67" s="7">
        <v>4</v>
      </c>
      <c r="G67" s="7">
        <v>2023</v>
      </c>
      <c r="H67" s="8">
        <f t="shared" si="3"/>
        <v>45203</v>
      </c>
      <c r="I67" s="11">
        <v>45214</v>
      </c>
      <c r="J67" s="7">
        <f t="shared" si="4"/>
        <v>11</v>
      </c>
      <c r="K67" s="7" t="s">
        <v>14</v>
      </c>
      <c r="L67" s="7">
        <v>53995</v>
      </c>
      <c r="M67" s="7">
        <v>1509</v>
      </c>
      <c r="N67" s="12">
        <v>2420.95</v>
      </c>
      <c r="O67" s="12">
        <f t="shared" ref="O67:O130" si="5">IF(N67&lt;$V$6,$V$6,IF(N67&gt;$V$7,$V$7,N67))</f>
        <v>2420.95</v>
      </c>
      <c r="P67" s="7">
        <v>285</v>
      </c>
      <c r="Q67" s="7" t="b">
        <v>1</v>
      </c>
      <c r="R67" s="7"/>
      <c r="S67" s="15" t="s">
        <v>16</v>
      </c>
    </row>
    <row r="68" spans="1:19">
      <c r="A68" s="3" t="s">
        <v>164</v>
      </c>
      <c r="B68" s="4" t="s">
        <v>165</v>
      </c>
      <c r="C68" s="5" t="s">
        <v>4131</v>
      </c>
      <c r="D68" s="5">
        <v>45219</v>
      </c>
      <c r="E68" s="4">
        <v>10</v>
      </c>
      <c r="F68" s="4">
        <v>20</v>
      </c>
      <c r="G68" s="4">
        <v>2023</v>
      </c>
      <c r="H68" s="5">
        <f t="shared" si="3"/>
        <v>45219</v>
      </c>
      <c r="I68" s="9">
        <v>45243</v>
      </c>
      <c r="J68" s="4">
        <f t="shared" si="4"/>
        <v>24</v>
      </c>
      <c r="K68" s="4" t="s">
        <v>41</v>
      </c>
      <c r="L68" s="4">
        <v>41757</v>
      </c>
      <c r="M68" s="4">
        <v>1535</v>
      </c>
      <c r="N68" s="10">
        <v>1772.36</v>
      </c>
      <c r="O68" s="10">
        <f t="shared" si="5"/>
        <v>1772.36</v>
      </c>
      <c r="P68" s="4">
        <v>0</v>
      </c>
      <c r="Q68" s="4" t="b">
        <v>1</v>
      </c>
      <c r="R68" s="4"/>
      <c r="S68" s="14" t="s">
        <v>42</v>
      </c>
    </row>
    <row r="69" spans="1:19">
      <c r="A69" s="6" t="s">
        <v>166</v>
      </c>
      <c r="B69" s="7" t="s">
        <v>167</v>
      </c>
      <c r="C69" s="8" t="s">
        <v>4129</v>
      </c>
      <c r="D69" s="8">
        <v>45169</v>
      </c>
      <c r="E69" s="7">
        <v>8</v>
      </c>
      <c r="F69" s="7">
        <v>31</v>
      </c>
      <c r="G69" s="7">
        <v>2023</v>
      </c>
      <c r="H69" s="8">
        <f t="shared" si="3"/>
        <v>45169</v>
      </c>
      <c r="I69" s="11">
        <v>45181</v>
      </c>
      <c r="J69" s="7">
        <f t="shared" si="4"/>
        <v>12</v>
      </c>
      <c r="K69" s="7" t="s">
        <v>19</v>
      </c>
      <c r="L69" s="7">
        <v>10692</v>
      </c>
      <c r="M69" s="7">
        <v>169</v>
      </c>
      <c r="N69" s="12">
        <v>253.53</v>
      </c>
      <c r="O69" s="12">
        <f t="shared" si="5"/>
        <v>253.53</v>
      </c>
      <c r="P69" s="7">
        <v>18</v>
      </c>
      <c r="Q69" s="7" t="b">
        <v>1</v>
      </c>
      <c r="R69" s="7"/>
      <c r="S69" s="15" t="s">
        <v>20</v>
      </c>
    </row>
    <row r="70" spans="1:19">
      <c r="A70" s="3" t="s">
        <v>168</v>
      </c>
      <c r="B70" s="4" t="s">
        <v>169</v>
      </c>
      <c r="C70" s="5" t="s">
        <v>4129</v>
      </c>
      <c r="D70" s="5">
        <v>44976</v>
      </c>
      <c r="E70" s="4">
        <v>2</v>
      </c>
      <c r="F70" s="4">
        <v>19</v>
      </c>
      <c r="G70" s="4">
        <v>2023</v>
      </c>
      <c r="H70" s="5">
        <f t="shared" si="3"/>
        <v>44976</v>
      </c>
      <c r="I70" s="9">
        <v>45002</v>
      </c>
      <c r="J70" s="4">
        <f t="shared" si="4"/>
        <v>26</v>
      </c>
      <c r="K70" s="4" t="s">
        <v>23</v>
      </c>
      <c r="L70" s="4">
        <v>46758</v>
      </c>
      <c r="M70" s="4">
        <v>1308</v>
      </c>
      <c r="N70" s="10">
        <v>839.07</v>
      </c>
      <c r="O70" s="10">
        <f t="shared" si="5"/>
        <v>839.07</v>
      </c>
      <c r="P70" s="4">
        <v>91</v>
      </c>
      <c r="Q70" s="4" t="b">
        <v>1</v>
      </c>
      <c r="R70" s="4"/>
      <c r="S70" s="14" t="s">
        <v>25</v>
      </c>
    </row>
    <row r="71" spans="1:19">
      <c r="A71" s="6" t="s">
        <v>170</v>
      </c>
      <c r="B71" s="7" t="s">
        <v>171</v>
      </c>
      <c r="C71" s="8" t="s">
        <v>4127</v>
      </c>
      <c r="D71" s="8">
        <v>45137</v>
      </c>
      <c r="E71" s="7">
        <v>7</v>
      </c>
      <c r="F71" s="7">
        <v>30</v>
      </c>
      <c r="G71" s="7">
        <v>2023</v>
      </c>
      <c r="H71" s="8">
        <f t="shared" si="3"/>
        <v>45137</v>
      </c>
      <c r="I71" s="11">
        <v>45160</v>
      </c>
      <c r="J71" s="7">
        <f t="shared" si="4"/>
        <v>23</v>
      </c>
      <c r="K71" s="7" t="s">
        <v>23</v>
      </c>
      <c r="L71" s="7">
        <v>73409</v>
      </c>
      <c r="M71" s="7">
        <v>2460</v>
      </c>
      <c r="N71" s="12">
        <v>3990.14</v>
      </c>
      <c r="O71" s="12">
        <f t="shared" si="5"/>
        <v>3632.575</v>
      </c>
      <c r="P71" s="7">
        <v>219</v>
      </c>
      <c r="Q71" s="7" t="b">
        <v>1</v>
      </c>
      <c r="R71" s="7"/>
      <c r="S71" s="15" t="s">
        <v>25</v>
      </c>
    </row>
    <row r="72" spans="1:19">
      <c r="A72" s="3" t="s">
        <v>172</v>
      </c>
      <c r="B72" s="4" t="s">
        <v>173</v>
      </c>
      <c r="C72" s="5" t="s">
        <v>4128</v>
      </c>
      <c r="D72" s="5">
        <v>45271</v>
      </c>
      <c r="E72" s="4">
        <v>12</v>
      </c>
      <c r="F72" s="4">
        <v>11</v>
      </c>
      <c r="G72" s="4">
        <v>2023</v>
      </c>
      <c r="H72" s="5">
        <f t="shared" si="3"/>
        <v>45271</v>
      </c>
      <c r="I72" s="9">
        <v>45299</v>
      </c>
      <c r="J72" s="4">
        <f t="shared" si="4"/>
        <v>28</v>
      </c>
      <c r="K72" s="4" t="s">
        <v>14</v>
      </c>
      <c r="L72" s="4">
        <v>72211</v>
      </c>
      <c r="M72" s="4">
        <v>3462</v>
      </c>
      <c r="N72" s="10">
        <v>5951.42</v>
      </c>
      <c r="O72" s="10">
        <f t="shared" si="5"/>
        <v>3632.575</v>
      </c>
      <c r="P72" s="4">
        <v>474</v>
      </c>
      <c r="Q72" s="4" t="b">
        <v>1</v>
      </c>
      <c r="R72" s="4"/>
      <c r="S72" s="14" t="s">
        <v>16</v>
      </c>
    </row>
    <row r="73" spans="1:19">
      <c r="A73" s="6" t="s">
        <v>174</v>
      </c>
      <c r="B73" s="7" t="s">
        <v>175</v>
      </c>
      <c r="C73" s="8" t="s">
        <v>4127</v>
      </c>
      <c r="D73" s="8">
        <v>44958</v>
      </c>
      <c r="E73" s="7">
        <v>2</v>
      </c>
      <c r="F73" s="7">
        <v>1</v>
      </c>
      <c r="G73" s="7">
        <v>2023</v>
      </c>
      <c r="H73" s="8">
        <f t="shared" si="3"/>
        <v>44958</v>
      </c>
      <c r="I73" s="11">
        <v>44953</v>
      </c>
      <c r="J73" s="7">
        <f t="shared" si="4"/>
        <v>-5</v>
      </c>
      <c r="K73" s="7" t="s">
        <v>23</v>
      </c>
      <c r="L73" s="7">
        <v>66697</v>
      </c>
      <c r="M73" s="7">
        <v>1340</v>
      </c>
      <c r="N73" s="12">
        <v>2090.74</v>
      </c>
      <c r="O73" s="12">
        <f t="shared" si="5"/>
        <v>2090.74</v>
      </c>
      <c r="P73" s="7">
        <v>0</v>
      </c>
      <c r="Q73" s="7" t="b">
        <v>1</v>
      </c>
      <c r="R73" s="7"/>
      <c r="S73" s="15" t="s">
        <v>25</v>
      </c>
    </row>
    <row r="74" spans="1:19">
      <c r="A74" s="3" t="s">
        <v>176</v>
      </c>
      <c r="B74" s="4" t="s">
        <v>177</v>
      </c>
      <c r="C74" s="5" t="s">
        <v>4127</v>
      </c>
      <c r="D74" s="5">
        <v>44982</v>
      </c>
      <c r="E74" s="4">
        <v>2</v>
      </c>
      <c r="F74" s="4">
        <v>25</v>
      </c>
      <c r="G74" s="4">
        <v>2023</v>
      </c>
      <c r="H74" s="5">
        <f t="shared" si="3"/>
        <v>44982</v>
      </c>
      <c r="I74" s="9">
        <v>44994</v>
      </c>
      <c r="J74" s="4">
        <f t="shared" si="4"/>
        <v>12</v>
      </c>
      <c r="K74" s="4" t="s">
        <v>41</v>
      </c>
      <c r="L74" s="4">
        <v>38065</v>
      </c>
      <c r="M74" s="4">
        <v>927</v>
      </c>
      <c r="N74" s="10">
        <v>1808.48</v>
      </c>
      <c r="O74" s="10">
        <f t="shared" si="5"/>
        <v>1808.48</v>
      </c>
      <c r="P74" s="4">
        <v>0</v>
      </c>
      <c r="Q74" s="4" t="b">
        <v>0</v>
      </c>
      <c r="R74" s="4"/>
      <c r="S74" s="14" t="s">
        <v>42</v>
      </c>
    </row>
    <row r="75" spans="1:19">
      <c r="A75" s="6" t="s">
        <v>178</v>
      </c>
      <c r="B75" s="7" t="s">
        <v>179</v>
      </c>
      <c r="C75" s="8" t="s">
        <v>4127</v>
      </c>
      <c r="D75" s="8">
        <v>45156</v>
      </c>
      <c r="E75" s="7">
        <v>8</v>
      </c>
      <c r="F75" s="7">
        <v>18</v>
      </c>
      <c r="G75" s="7">
        <v>2023</v>
      </c>
      <c r="H75" s="8">
        <f t="shared" si="3"/>
        <v>45156</v>
      </c>
      <c r="I75" s="11">
        <v>45175</v>
      </c>
      <c r="J75" s="7">
        <f t="shared" si="4"/>
        <v>19</v>
      </c>
      <c r="K75" s="7" t="s">
        <v>23</v>
      </c>
      <c r="L75" s="7">
        <v>93093</v>
      </c>
      <c r="M75" s="7">
        <v>2343</v>
      </c>
      <c r="N75" s="12">
        <v>4076.77</v>
      </c>
      <c r="O75" s="12">
        <f t="shared" si="5"/>
        <v>3632.575</v>
      </c>
      <c r="P75" s="7">
        <v>327</v>
      </c>
      <c r="Q75" s="7" t="b">
        <v>0</v>
      </c>
      <c r="R75" s="7"/>
      <c r="S75" s="15" t="s">
        <v>59</v>
      </c>
    </row>
    <row r="76" spans="1:19">
      <c r="A76" s="3" t="s">
        <v>180</v>
      </c>
      <c r="B76" s="4" t="s">
        <v>181</v>
      </c>
      <c r="C76" s="5" t="s">
        <v>4131</v>
      </c>
      <c r="D76" s="5">
        <v>45163</v>
      </c>
      <c r="E76" s="4">
        <v>8</v>
      </c>
      <c r="F76" s="4">
        <v>25</v>
      </c>
      <c r="G76" s="4">
        <v>2023</v>
      </c>
      <c r="H76" s="5">
        <f t="shared" si="3"/>
        <v>45163</v>
      </c>
      <c r="I76" s="9">
        <v>45179</v>
      </c>
      <c r="J76" s="4">
        <f t="shared" si="4"/>
        <v>16</v>
      </c>
      <c r="K76" s="4" t="s">
        <v>14</v>
      </c>
      <c r="L76" s="4">
        <v>33606</v>
      </c>
      <c r="M76" s="4">
        <v>1150</v>
      </c>
      <c r="N76" s="10">
        <v>2132.84</v>
      </c>
      <c r="O76" s="10">
        <f t="shared" si="5"/>
        <v>2132.84</v>
      </c>
      <c r="P76" s="4">
        <v>152</v>
      </c>
      <c r="Q76" s="4" t="b">
        <v>1</v>
      </c>
      <c r="R76" s="4"/>
      <c r="S76" s="14" t="s">
        <v>16</v>
      </c>
    </row>
    <row r="77" spans="1:19">
      <c r="A77" s="6" t="s">
        <v>182</v>
      </c>
      <c r="B77" s="7" t="s">
        <v>183</v>
      </c>
      <c r="C77" s="8" t="s">
        <v>4129</v>
      </c>
      <c r="D77" s="8">
        <v>45153</v>
      </c>
      <c r="E77" s="7">
        <v>8</v>
      </c>
      <c r="F77" s="7">
        <v>15</v>
      </c>
      <c r="G77" s="7">
        <v>2023</v>
      </c>
      <c r="H77" s="8">
        <f t="shared" si="3"/>
        <v>45153</v>
      </c>
      <c r="I77" s="11">
        <v>45156</v>
      </c>
      <c r="J77" s="7">
        <f t="shared" si="4"/>
        <v>3</v>
      </c>
      <c r="K77" s="7" t="s">
        <v>23</v>
      </c>
      <c r="L77" s="7">
        <v>12534</v>
      </c>
      <c r="M77" s="7">
        <v>304</v>
      </c>
      <c r="N77" s="12">
        <v>577.71</v>
      </c>
      <c r="O77" s="12">
        <f t="shared" si="5"/>
        <v>577.71</v>
      </c>
      <c r="P77" s="7">
        <v>38</v>
      </c>
      <c r="Q77" s="7" t="b">
        <v>1</v>
      </c>
      <c r="R77" s="7"/>
      <c r="S77" s="15" t="s">
        <v>25</v>
      </c>
    </row>
    <row r="78" spans="1:19">
      <c r="A78" s="3" t="s">
        <v>184</v>
      </c>
      <c r="B78" s="4" t="s">
        <v>185</v>
      </c>
      <c r="C78" s="5" t="s">
        <v>4128</v>
      </c>
      <c r="D78" s="5" t="s">
        <v>186</v>
      </c>
      <c r="E78" s="4">
        <v>20</v>
      </c>
      <c r="F78" s="4">
        <v>2</v>
      </c>
      <c r="G78" s="4">
        <v>2023</v>
      </c>
      <c r="H78" s="5">
        <f t="shared" si="3"/>
        <v>44977</v>
      </c>
      <c r="I78" s="9">
        <v>44978</v>
      </c>
      <c r="J78" s="4">
        <f t="shared" si="4"/>
        <v>1</v>
      </c>
      <c r="K78" s="4" t="s">
        <v>41</v>
      </c>
      <c r="L78" s="4">
        <v>95663</v>
      </c>
      <c r="M78" s="4">
        <v>2998</v>
      </c>
      <c r="N78" s="10">
        <v>5102.66</v>
      </c>
      <c r="O78" s="10">
        <f t="shared" si="5"/>
        <v>3632.575</v>
      </c>
      <c r="P78" s="4">
        <v>460</v>
      </c>
      <c r="Q78" s="4" t="b">
        <v>0</v>
      </c>
      <c r="R78" s="4"/>
      <c r="S78" s="14" t="s">
        <v>42</v>
      </c>
    </row>
    <row r="79" spans="1:19">
      <c r="A79" s="6" t="s">
        <v>187</v>
      </c>
      <c r="B79" s="7" t="s">
        <v>188</v>
      </c>
      <c r="C79" s="8" t="s">
        <v>4129</v>
      </c>
      <c r="D79" s="8">
        <v>45203</v>
      </c>
      <c r="E79" s="7">
        <v>10</v>
      </c>
      <c r="F79" s="7">
        <v>4</v>
      </c>
      <c r="G79" s="7">
        <v>2023</v>
      </c>
      <c r="H79" s="8">
        <f t="shared" si="3"/>
        <v>45203</v>
      </c>
      <c r="I79" s="11">
        <v>45218</v>
      </c>
      <c r="J79" s="7">
        <f t="shared" si="4"/>
        <v>15</v>
      </c>
      <c r="K79" s="7" t="s">
        <v>23</v>
      </c>
      <c r="L79" s="7">
        <v>41397</v>
      </c>
      <c r="M79" s="7">
        <v>1708</v>
      </c>
      <c r="N79" s="12">
        <v>2581.45</v>
      </c>
      <c r="O79" s="12">
        <f t="shared" si="5"/>
        <v>2581.45</v>
      </c>
      <c r="P79" s="7">
        <v>299</v>
      </c>
      <c r="Q79" s="7" t="b">
        <v>0</v>
      </c>
      <c r="R79" s="7"/>
      <c r="S79" s="15" t="s">
        <v>25</v>
      </c>
    </row>
    <row r="80" spans="1:19">
      <c r="A80" s="3" t="s">
        <v>189</v>
      </c>
      <c r="B80" s="4" t="s">
        <v>190</v>
      </c>
      <c r="C80" s="5" t="s">
        <v>4131</v>
      </c>
      <c r="D80" s="5">
        <v>45048</v>
      </c>
      <c r="E80" s="4">
        <v>5</v>
      </c>
      <c r="F80" s="4">
        <v>2</v>
      </c>
      <c r="G80" s="4">
        <v>2023</v>
      </c>
      <c r="H80" s="5">
        <f t="shared" si="3"/>
        <v>45048</v>
      </c>
      <c r="I80" s="9">
        <v>45060</v>
      </c>
      <c r="J80" s="4">
        <f t="shared" si="4"/>
        <v>12</v>
      </c>
      <c r="K80" s="4" t="s">
        <v>191</v>
      </c>
      <c r="L80" s="4">
        <v>92387</v>
      </c>
      <c r="M80" s="4">
        <v>3530</v>
      </c>
      <c r="N80" s="10">
        <v>1795.28</v>
      </c>
      <c r="O80" s="10">
        <f t="shared" si="5"/>
        <v>1795.28</v>
      </c>
      <c r="P80" s="4">
        <v>347</v>
      </c>
      <c r="Q80" s="4" t="b">
        <v>1</v>
      </c>
      <c r="R80" s="4"/>
      <c r="S80" s="14" t="s">
        <v>42</v>
      </c>
    </row>
    <row r="81" spans="1:19">
      <c r="A81" s="6" t="s">
        <v>192</v>
      </c>
      <c r="B81" s="7" t="s">
        <v>193</v>
      </c>
      <c r="C81" s="8" t="s">
        <v>4127</v>
      </c>
      <c r="D81" s="8">
        <v>45036</v>
      </c>
      <c r="E81" s="7">
        <v>4</v>
      </c>
      <c r="F81" s="7">
        <v>20</v>
      </c>
      <c r="G81" s="7">
        <v>2023</v>
      </c>
      <c r="H81" s="8">
        <f t="shared" si="3"/>
        <v>45036</v>
      </c>
      <c r="I81" s="11">
        <v>45050</v>
      </c>
      <c r="J81" s="7">
        <f t="shared" si="4"/>
        <v>14</v>
      </c>
      <c r="K81" s="7" t="s">
        <v>19</v>
      </c>
      <c r="L81" s="7">
        <v>2016</v>
      </c>
      <c r="M81" s="7">
        <v>56</v>
      </c>
      <c r="N81" s="12">
        <v>67.13</v>
      </c>
      <c r="O81" s="12">
        <f t="shared" si="5"/>
        <v>67.13</v>
      </c>
      <c r="P81" s="7">
        <v>10</v>
      </c>
      <c r="Q81" s="7" t="b">
        <v>1</v>
      </c>
      <c r="R81" s="7"/>
      <c r="S81" s="15" t="s">
        <v>20</v>
      </c>
    </row>
    <row r="82" spans="1:19">
      <c r="A82" s="3" t="s">
        <v>194</v>
      </c>
      <c r="B82" s="4" t="s">
        <v>195</v>
      </c>
      <c r="C82" s="5" t="s">
        <v>4127</v>
      </c>
      <c r="D82" s="5">
        <v>45011</v>
      </c>
      <c r="E82" s="4">
        <v>3</v>
      </c>
      <c r="F82" s="4">
        <v>26</v>
      </c>
      <c r="G82" s="4">
        <v>2023</v>
      </c>
      <c r="H82" s="5">
        <f t="shared" si="3"/>
        <v>45011</v>
      </c>
      <c r="I82" s="9">
        <v>45019</v>
      </c>
      <c r="J82" s="4">
        <f t="shared" si="4"/>
        <v>8</v>
      </c>
      <c r="K82" s="4" t="s">
        <v>23</v>
      </c>
      <c r="L82" s="4">
        <v>90789</v>
      </c>
      <c r="M82" s="4">
        <v>4046</v>
      </c>
      <c r="N82" s="10">
        <v>5489.38</v>
      </c>
      <c r="O82" s="10">
        <f t="shared" si="5"/>
        <v>3632.575</v>
      </c>
      <c r="P82" s="4">
        <v>299</v>
      </c>
      <c r="Q82" s="4" t="b">
        <v>1</v>
      </c>
      <c r="R82" s="4"/>
      <c r="S82" s="14" t="s">
        <v>25</v>
      </c>
    </row>
    <row r="83" spans="1:19">
      <c r="A83" s="6" t="s">
        <v>196</v>
      </c>
      <c r="B83" s="7" t="s">
        <v>197</v>
      </c>
      <c r="C83" s="8" t="s">
        <v>4128</v>
      </c>
      <c r="D83" s="8">
        <v>45062</v>
      </c>
      <c r="E83" s="7">
        <v>5</v>
      </c>
      <c r="F83" s="7">
        <v>16</v>
      </c>
      <c r="G83" s="7">
        <v>2023</v>
      </c>
      <c r="H83" s="8">
        <f t="shared" si="3"/>
        <v>45062</v>
      </c>
      <c r="I83" s="11">
        <v>45069</v>
      </c>
      <c r="J83" s="7">
        <f t="shared" si="4"/>
        <v>7</v>
      </c>
      <c r="K83" s="7" t="s">
        <v>14</v>
      </c>
      <c r="L83" s="7">
        <v>56591</v>
      </c>
      <c r="M83" s="7">
        <v>1829</v>
      </c>
      <c r="N83" s="12">
        <v>1748.61</v>
      </c>
      <c r="O83" s="12">
        <f t="shared" si="5"/>
        <v>1748.61</v>
      </c>
      <c r="P83" s="7">
        <v>138</v>
      </c>
      <c r="Q83" s="7" t="b">
        <v>0</v>
      </c>
      <c r="R83" s="7"/>
      <c r="S83" s="15" t="s">
        <v>16</v>
      </c>
    </row>
    <row r="84" spans="1:19">
      <c r="A84" s="3" t="s">
        <v>198</v>
      </c>
      <c r="B84" s="4" t="s">
        <v>199</v>
      </c>
      <c r="C84" s="5" t="s">
        <v>4131</v>
      </c>
      <c r="D84" s="5">
        <v>45073</v>
      </c>
      <c r="E84" s="4">
        <v>5</v>
      </c>
      <c r="F84" s="4">
        <v>27</v>
      </c>
      <c r="G84" s="4">
        <v>2023</v>
      </c>
      <c r="H84" s="5">
        <f t="shared" si="3"/>
        <v>45073</v>
      </c>
      <c r="I84" s="9">
        <v>45084</v>
      </c>
      <c r="J84" s="4">
        <f t="shared" si="4"/>
        <v>11</v>
      </c>
      <c r="K84" s="4" t="s">
        <v>33</v>
      </c>
      <c r="L84" s="4">
        <v>90812</v>
      </c>
      <c r="M84" s="4">
        <v>2869</v>
      </c>
      <c r="N84" s="10">
        <v>2803.46</v>
      </c>
      <c r="O84" s="10">
        <f t="shared" si="5"/>
        <v>2803.46</v>
      </c>
      <c r="P84" s="4">
        <v>258</v>
      </c>
      <c r="Q84" s="4" t="b">
        <v>1</v>
      </c>
      <c r="R84" s="4"/>
      <c r="S84" s="14" t="s">
        <v>34</v>
      </c>
    </row>
    <row r="85" spans="1:19">
      <c r="A85" s="6" t="s">
        <v>200</v>
      </c>
      <c r="B85" s="7" t="s">
        <v>201</v>
      </c>
      <c r="C85" s="8" t="s">
        <v>4129</v>
      </c>
      <c r="D85" s="8">
        <v>45211</v>
      </c>
      <c r="E85" s="7">
        <v>10</v>
      </c>
      <c r="F85" s="7">
        <v>12</v>
      </c>
      <c r="G85" s="7">
        <v>2023</v>
      </c>
      <c r="H85" s="8">
        <f t="shared" si="3"/>
        <v>45211</v>
      </c>
      <c r="I85" s="11">
        <v>45234</v>
      </c>
      <c r="J85" s="7">
        <f t="shared" si="4"/>
        <v>23</v>
      </c>
      <c r="K85" s="7" t="s">
        <v>33</v>
      </c>
      <c r="L85" s="7">
        <v>24247</v>
      </c>
      <c r="M85" s="7">
        <v>275</v>
      </c>
      <c r="N85" s="12">
        <v>533.98</v>
      </c>
      <c r="O85" s="12">
        <f t="shared" si="5"/>
        <v>533.98</v>
      </c>
      <c r="P85" s="7">
        <v>18</v>
      </c>
      <c r="Q85" s="7" t="b">
        <v>0</v>
      </c>
      <c r="R85" s="7"/>
      <c r="S85" s="15" t="s">
        <v>34</v>
      </c>
    </row>
    <row r="86" spans="1:19">
      <c r="A86" s="3" t="s">
        <v>202</v>
      </c>
      <c r="B86" s="4" t="s">
        <v>203</v>
      </c>
      <c r="C86" s="5" t="s">
        <v>4127</v>
      </c>
      <c r="D86" s="5">
        <v>45024</v>
      </c>
      <c r="E86" s="4">
        <v>4</v>
      </c>
      <c r="F86" s="4">
        <v>8</v>
      </c>
      <c r="G86" s="4">
        <v>2023</v>
      </c>
      <c r="H86" s="5">
        <f t="shared" si="3"/>
        <v>45024</v>
      </c>
      <c r="I86" s="9">
        <v>45032</v>
      </c>
      <c r="J86" s="4">
        <f t="shared" si="4"/>
        <v>8</v>
      </c>
      <c r="K86" s="4" t="s">
        <v>23</v>
      </c>
      <c r="L86" s="4">
        <v>25300</v>
      </c>
      <c r="M86" s="4">
        <v>1251</v>
      </c>
      <c r="N86" s="10">
        <v>2298.8</v>
      </c>
      <c r="O86" s="10">
        <f t="shared" si="5"/>
        <v>2298.8</v>
      </c>
      <c r="P86" s="4">
        <v>105</v>
      </c>
      <c r="Q86" s="4" t="b">
        <v>1</v>
      </c>
      <c r="R86" s="4"/>
      <c r="S86" s="14" t="s">
        <v>25</v>
      </c>
    </row>
    <row r="87" spans="1:19">
      <c r="A87" s="6" t="s">
        <v>204</v>
      </c>
      <c r="B87" s="7" t="s">
        <v>205</v>
      </c>
      <c r="C87" s="8" t="s">
        <v>4129</v>
      </c>
      <c r="D87" s="8">
        <v>45223</v>
      </c>
      <c r="E87" s="7">
        <v>10</v>
      </c>
      <c r="F87" s="7">
        <v>24</v>
      </c>
      <c r="G87" s="7">
        <v>2023</v>
      </c>
      <c r="H87" s="8">
        <f t="shared" si="3"/>
        <v>45223</v>
      </c>
      <c r="I87" s="11">
        <v>45253</v>
      </c>
      <c r="J87" s="7">
        <f t="shared" si="4"/>
        <v>30</v>
      </c>
      <c r="K87" s="7" t="s">
        <v>41</v>
      </c>
      <c r="L87" s="7">
        <v>75065</v>
      </c>
      <c r="M87" s="7">
        <v>1119</v>
      </c>
      <c r="N87" s="12">
        <v>1984.85</v>
      </c>
      <c r="O87" s="12">
        <f t="shared" si="5"/>
        <v>1984.85</v>
      </c>
      <c r="P87" s="7">
        <v>73</v>
      </c>
      <c r="Q87" s="7" t="b">
        <v>1</v>
      </c>
      <c r="R87" s="7"/>
      <c r="S87" s="15" t="s">
        <v>68</v>
      </c>
    </row>
    <row r="88" spans="1:19">
      <c r="A88" s="3" t="s">
        <v>206</v>
      </c>
      <c r="B88" s="4" t="s">
        <v>207</v>
      </c>
      <c r="C88" s="5" t="s">
        <v>4129</v>
      </c>
      <c r="D88" s="5">
        <v>45205</v>
      </c>
      <c r="E88" s="4">
        <v>10</v>
      </c>
      <c r="F88" s="4">
        <v>6</v>
      </c>
      <c r="G88" s="4">
        <v>2023</v>
      </c>
      <c r="H88" s="5">
        <f t="shared" si="3"/>
        <v>45205</v>
      </c>
      <c r="I88" s="9">
        <v>45115</v>
      </c>
      <c r="J88" s="4">
        <f t="shared" si="4"/>
        <v>-90</v>
      </c>
      <c r="K88" s="4" t="s">
        <v>33</v>
      </c>
      <c r="L88" s="4">
        <v>83798</v>
      </c>
      <c r="M88" s="4">
        <v>1612</v>
      </c>
      <c r="N88" s="10">
        <v>1787.74</v>
      </c>
      <c r="O88" s="10">
        <f t="shared" si="5"/>
        <v>1787.74</v>
      </c>
      <c r="P88" s="4">
        <v>279</v>
      </c>
      <c r="Q88" s="4" t="b">
        <v>1</v>
      </c>
      <c r="R88" s="4"/>
      <c r="S88" s="14" t="s">
        <v>34</v>
      </c>
    </row>
    <row r="89" spans="1:19">
      <c r="A89" s="6" t="s">
        <v>208</v>
      </c>
      <c r="B89" s="7" t="s">
        <v>209</v>
      </c>
      <c r="C89" s="8" t="s">
        <v>4131</v>
      </c>
      <c r="D89" s="8">
        <v>45226</v>
      </c>
      <c r="E89" s="7">
        <v>10</v>
      </c>
      <c r="F89" s="7">
        <v>27</v>
      </c>
      <c r="G89" s="7">
        <v>2023</v>
      </c>
      <c r="H89" s="8">
        <f t="shared" si="3"/>
        <v>45226</v>
      </c>
      <c r="I89" s="11">
        <v>45255</v>
      </c>
      <c r="J89" s="7">
        <f t="shared" si="4"/>
        <v>29</v>
      </c>
      <c r="K89" s="7" t="s">
        <v>33</v>
      </c>
      <c r="L89" s="7">
        <v>10268</v>
      </c>
      <c r="M89" s="7">
        <v>123</v>
      </c>
      <c r="N89" s="12">
        <v>64.03</v>
      </c>
      <c r="O89" s="12">
        <f t="shared" si="5"/>
        <v>64.03</v>
      </c>
      <c r="P89" s="7">
        <v>8</v>
      </c>
      <c r="Q89" s="7" t="b">
        <v>0</v>
      </c>
      <c r="R89" s="7"/>
      <c r="S89" s="15" t="s">
        <v>34</v>
      </c>
    </row>
    <row r="90" spans="1:19">
      <c r="A90" s="3" t="s">
        <v>210</v>
      </c>
      <c r="B90" s="4" t="s">
        <v>211</v>
      </c>
      <c r="C90" s="5" t="s">
        <v>4129</v>
      </c>
      <c r="D90" s="5">
        <v>45198</v>
      </c>
      <c r="E90" s="4">
        <v>9</v>
      </c>
      <c r="F90" s="4">
        <v>29</v>
      </c>
      <c r="G90" s="4">
        <v>2023</v>
      </c>
      <c r="H90" s="5">
        <f t="shared" si="3"/>
        <v>45198</v>
      </c>
      <c r="I90" s="9">
        <v>45209</v>
      </c>
      <c r="J90" s="4">
        <f t="shared" si="4"/>
        <v>11</v>
      </c>
      <c r="K90" s="4" t="s">
        <v>138</v>
      </c>
      <c r="L90" s="4">
        <v>87807</v>
      </c>
      <c r="M90" s="4">
        <v>3125</v>
      </c>
      <c r="N90" s="10">
        <v>1938.54</v>
      </c>
      <c r="O90" s="10">
        <f t="shared" si="5"/>
        <v>1938.54</v>
      </c>
      <c r="P90" s="4">
        <v>506</v>
      </c>
      <c r="Q90" s="4" t="b">
        <v>1</v>
      </c>
      <c r="R90" s="4">
        <v>87884</v>
      </c>
      <c r="S90" s="14" t="s">
        <v>139</v>
      </c>
    </row>
    <row r="91" spans="1:19">
      <c r="A91" s="6" t="s">
        <v>212</v>
      </c>
      <c r="B91" s="7" t="s">
        <v>213</v>
      </c>
      <c r="C91" s="8" t="s">
        <v>4131</v>
      </c>
      <c r="D91" s="8">
        <v>44968</v>
      </c>
      <c r="E91" s="7">
        <v>2</v>
      </c>
      <c r="F91" s="7">
        <v>11</v>
      </c>
      <c r="G91" s="7">
        <v>2023</v>
      </c>
      <c r="H91" s="8">
        <f t="shared" si="3"/>
        <v>44968</v>
      </c>
      <c r="I91" s="11">
        <v>45253</v>
      </c>
      <c r="J91" s="7">
        <f t="shared" si="4"/>
        <v>285</v>
      </c>
      <c r="K91" s="7" t="s">
        <v>33</v>
      </c>
      <c r="L91" s="7">
        <v>13185</v>
      </c>
      <c r="M91" s="7">
        <v>250</v>
      </c>
      <c r="N91" s="12">
        <v>242.07</v>
      </c>
      <c r="O91" s="12">
        <f t="shared" si="5"/>
        <v>242.07</v>
      </c>
      <c r="P91" s="7">
        <v>14</v>
      </c>
      <c r="Q91" s="7" t="b">
        <v>1</v>
      </c>
      <c r="R91" s="7"/>
      <c r="S91" s="15" t="s">
        <v>34</v>
      </c>
    </row>
    <row r="92" spans="1:19">
      <c r="A92" s="3" t="s">
        <v>214</v>
      </c>
      <c r="B92" s="4" t="s">
        <v>215</v>
      </c>
      <c r="C92" s="5" t="s">
        <v>4128</v>
      </c>
      <c r="D92" s="5">
        <v>44961</v>
      </c>
      <c r="E92" s="4">
        <v>2</v>
      </c>
      <c r="F92" s="4">
        <v>4</v>
      </c>
      <c r="G92" s="4">
        <v>2023</v>
      </c>
      <c r="H92" s="5">
        <f t="shared" si="3"/>
        <v>44961</v>
      </c>
      <c r="I92" s="9">
        <v>44991</v>
      </c>
      <c r="J92" s="4">
        <f t="shared" si="4"/>
        <v>30</v>
      </c>
      <c r="K92" s="4" t="s">
        <v>33</v>
      </c>
      <c r="L92" s="4">
        <v>64704</v>
      </c>
      <c r="M92" s="4">
        <v>1112</v>
      </c>
      <c r="N92" s="10">
        <v>582.26</v>
      </c>
      <c r="O92" s="10">
        <f t="shared" si="5"/>
        <v>582.26</v>
      </c>
      <c r="P92" s="4">
        <v>213</v>
      </c>
      <c r="Q92" s="4" t="b">
        <v>1</v>
      </c>
      <c r="R92" s="4"/>
      <c r="S92" s="14" t="s">
        <v>34</v>
      </c>
    </row>
    <row r="93" spans="1:19">
      <c r="A93" s="6" t="s">
        <v>216</v>
      </c>
      <c r="B93" s="7" t="s">
        <v>217</v>
      </c>
      <c r="C93" s="8" t="s">
        <v>4128</v>
      </c>
      <c r="D93" s="8">
        <v>44988</v>
      </c>
      <c r="E93" s="7">
        <v>3</v>
      </c>
      <c r="F93" s="7">
        <v>3</v>
      </c>
      <c r="G93" s="7">
        <v>2023</v>
      </c>
      <c r="H93" s="8">
        <f t="shared" si="3"/>
        <v>44988</v>
      </c>
      <c r="I93" s="11">
        <v>45017</v>
      </c>
      <c r="J93" s="7">
        <f t="shared" si="4"/>
        <v>29</v>
      </c>
      <c r="K93" s="7" t="s">
        <v>41</v>
      </c>
      <c r="L93" s="7">
        <v>87779</v>
      </c>
      <c r="M93" s="7">
        <v>1188</v>
      </c>
      <c r="N93" s="12">
        <v>624.56</v>
      </c>
      <c r="O93" s="12">
        <f t="shared" si="5"/>
        <v>624.56</v>
      </c>
      <c r="P93" s="7">
        <v>186</v>
      </c>
      <c r="Q93" s="7" t="b">
        <v>0</v>
      </c>
      <c r="R93" s="7"/>
      <c r="S93" s="15" t="s">
        <v>42</v>
      </c>
    </row>
    <row r="94" spans="1:19">
      <c r="A94" s="3" t="s">
        <v>218</v>
      </c>
      <c r="B94" s="4" t="s">
        <v>219</v>
      </c>
      <c r="C94" s="5" t="s">
        <v>4129</v>
      </c>
      <c r="D94" s="5">
        <v>45223</v>
      </c>
      <c r="E94" s="4">
        <v>10</v>
      </c>
      <c r="F94" s="4">
        <v>24</v>
      </c>
      <c r="G94" s="4">
        <v>2023</v>
      </c>
      <c r="H94" s="5">
        <f t="shared" si="3"/>
        <v>45223</v>
      </c>
      <c r="I94" s="9">
        <v>45239</v>
      </c>
      <c r="J94" s="4">
        <f t="shared" si="4"/>
        <v>16</v>
      </c>
      <c r="K94" s="4" t="s">
        <v>41</v>
      </c>
      <c r="L94" s="4">
        <v>40099</v>
      </c>
      <c r="M94" s="4">
        <v>566</v>
      </c>
      <c r="N94" s="10">
        <v>1061.2</v>
      </c>
      <c r="O94" s="10">
        <f t="shared" si="5"/>
        <v>1061.2</v>
      </c>
      <c r="P94" s="4">
        <v>28</v>
      </c>
      <c r="Q94" s="4" t="b">
        <v>0</v>
      </c>
      <c r="R94" s="4"/>
      <c r="S94" s="14" t="s">
        <v>42</v>
      </c>
    </row>
    <row r="95" spans="1:19">
      <c r="A95" s="6" t="s">
        <v>220</v>
      </c>
      <c r="B95" s="7" t="s">
        <v>221</v>
      </c>
      <c r="C95" s="8" t="s">
        <v>4129</v>
      </c>
      <c r="D95" s="8">
        <v>45141</v>
      </c>
      <c r="E95" s="7">
        <v>8</v>
      </c>
      <c r="F95" s="7">
        <v>3</v>
      </c>
      <c r="G95" s="7">
        <v>2023</v>
      </c>
      <c r="H95" s="8">
        <f t="shared" si="3"/>
        <v>45141</v>
      </c>
      <c r="I95" s="11">
        <v>45167</v>
      </c>
      <c r="J95" s="7">
        <f t="shared" si="4"/>
        <v>26</v>
      </c>
      <c r="K95" s="7" t="s">
        <v>138</v>
      </c>
      <c r="L95" s="7">
        <v>9571</v>
      </c>
      <c r="M95" s="7">
        <v>319</v>
      </c>
      <c r="N95" s="12">
        <v>497.4</v>
      </c>
      <c r="O95" s="12">
        <f t="shared" si="5"/>
        <v>497.4</v>
      </c>
      <c r="P95" s="7">
        <v>52</v>
      </c>
      <c r="Q95" s="7" t="b">
        <v>0</v>
      </c>
      <c r="R95" s="7"/>
      <c r="S95" s="15" t="s">
        <v>139</v>
      </c>
    </row>
    <row r="96" spans="1:19">
      <c r="A96" s="3" t="s">
        <v>222</v>
      </c>
      <c r="B96" s="4" t="s">
        <v>223</v>
      </c>
      <c r="C96" s="5" t="s">
        <v>4127</v>
      </c>
      <c r="D96" s="5">
        <v>45088</v>
      </c>
      <c r="E96" s="4">
        <v>6</v>
      </c>
      <c r="F96" s="4">
        <v>11</v>
      </c>
      <c r="G96" s="4">
        <v>2023</v>
      </c>
      <c r="H96" s="5">
        <f t="shared" si="3"/>
        <v>45088</v>
      </c>
      <c r="I96" s="9">
        <v>45097</v>
      </c>
      <c r="J96" s="4">
        <f t="shared" si="4"/>
        <v>9</v>
      </c>
      <c r="K96" s="4" t="s">
        <v>14</v>
      </c>
      <c r="L96" s="4">
        <v>39044</v>
      </c>
      <c r="M96" s="4">
        <v>1465</v>
      </c>
      <c r="N96" s="10">
        <v>1411.43</v>
      </c>
      <c r="O96" s="10">
        <f t="shared" si="5"/>
        <v>1411.43</v>
      </c>
      <c r="P96" s="4">
        <v>186</v>
      </c>
      <c r="Q96" s="4" t="b">
        <v>1</v>
      </c>
      <c r="R96" s="4"/>
      <c r="S96" s="14" t="s">
        <v>16</v>
      </c>
    </row>
    <row r="97" spans="1:19">
      <c r="A97" s="6" t="s">
        <v>224</v>
      </c>
      <c r="B97" s="7" t="s">
        <v>225</v>
      </c>
      <c r="C97" s="8" t="s">
        <v>4129</v>
      </c>
      <c r="D97" s="8">
        <v>45087</v>
      </c>
      <c r="E97" s="7">
        <v>6</v>
      </c>
      <c r="F97" s="7">
        <v>10</v>
      </c>
      <c r="G97" s="7">
        <v>2023</v>
      </c>
      <c r="H97" s="8">
        <f t="shared" si="3"/>
        <v>45087</v>
      </c>
      <c r="I97" s="11">
        <v>45105</v>
      </c>
      <c r="J97" s="7">
        <f t="shared" si="4"/>
        <v>18</v>
      </c>
      <c r="K97" s="7" t="s">
        <v>41</v>
      </c>
      <c r="L97" s="7">
        <v>52214</v>
      </c>
      <c r="M97" s="7">
        <v>1352</v>
      </c>
      <c r="N97" s="12">
        <v>945</v>
      </c>
      <c r="O97" s="12">
        <f t="shared" si="5"/>
        <v>945</v>
      </c>
      <c r="P97" s="7">
        <v>225</v>
      </c>
      <c r="Q97" s="7" t="b">
        <v>0</v>
      </c>
      <c r="R97" s="7"/>
      <c r="S97" s="15" t="s">
        <v>42</v>
      </c>
    </row>
    <row r="98" spans="1:19">
      <c r="A98" s="3" t="s">
        <v>226</v>
      </c>
      <c r="B98" s="4" t="s">
        <v>227</v>
      </c>
      <c r="C98" s="5" t="s">
        <v>4127</v>
      </c>
      <c r="D98" s="5">
        <v>45270</v>
      </c>
      <c r="E98" s="4">
        <v>12</v>
      </c>
      <c r="F98" s="4">
        <v>10</v>
      </c>
      <c r="G98" s="4">
        <v>2023</v>
      </c>
      <c r="H98" s="5">
        <f t="shared" si="3"/>
        <v>45270</v>
      </c>
      <c r="I98" s="9">
        <v>45281</v>
      </c>
      <c r="J98" s="4">
        <f t="shared" si="4"/>
        <v>11</v>
      </c>
      <c r="K98" s="4" t="s">
        <v>23</v>
      </c>
      <c r="L98" s="4">
        <v>62228</v>
      </c>
      <c r="M98" s="4">
        <v>1816</v>
      </c>
      <c r="N98" s="10">
        <v>2301.7</v>
      </c>
      <c r="O98" s="10">
        <f t="shared" si="5"/>
        <v>2301.7</v>
      </c>
      <c r="P98" s="4">
        <v>233</v>
      </c>
      <c r="Q98" s="4" t="b">
        <v>0</v>
      </c>
      <c r="R98" s="4"/>
      <c r="S98" s="14" t="s">
        <v>25</v>
      </c>
    </row>
    <row r="99" spans="1:19">
      <c r="A99" s="6" t="s">
        <v>228</v>
      </c>
      <c r="B99" s="7" t="s">
        <v>229</v>
      </c>
      <c r="C99" s="8" t="s">
        <v>4127</v>
      </c>
      <c r="D99" s="8">
        <v>45109</v>
      </c>
      <c r="E99" s="7">
        <v>7</v>
      </c>
      <c r="F99" s="7">
        <v>2</v>
      </c>
      <c r="G99" s="7">
        <v>2023</v>
      </c>
      <c r="H99" s="8">
        <f t="shared" si="3"/>
        <v>45109</v>
      </c>
      <c r="I99" s="11">
        <v>44983</v>
      </c>
      <c r="J99" s="7">
        <f t="shared" si="4"/>
        <v>-126</v>
      </c>
      <c r="K99" s="7" t="s">
        <v>138</v>
      </c>
      <c r="L99" s="7">
        <v>49984</v>
      </c>
      <c r="M99" s="7">
        <v>1871</v>
      </c>
      <c r="N99" s="12">
        <v>950.5</v>
      </c>
      <c r="O99" s="12">
        <f t="shared" si="5"/>
        <v>950.5</v>
      </c>
      <c r="P99" s="7">
        <v>273</v>
      </c>
      <c r="Q99" s="7" t="b">
        <v>0</v>
      </c>
      <c r="R99" s="7"/>
      <c r="S99" s="15" t="s">
        <v>139</v>
      </c>
    </row>
    <row r="100" spans="1:19">
      <c r="A100" s="3" t="s">
        <v>230</v>
      </c>
      <c r="B100" s="4" t="s">
        <v>231</v>
      </c>
      <c r="C100" s="5" t="s">
        <v>4131</v>
      </c>
      <c r="D100" s="5">
        <v>45245</v>
      </c>
      <c r="E100" s="4">
        <v>11</v>
      </c>
      <c r="F100" s="4">
        <v>15</v>
      </c>
      <c r="G100" s="4">
        <v>2023</v>
      </c>
      <c r="H100" s="5">
        <f t="shared" si="3"/>
        <v>45245</v>
      </c>
      <c r="I100" s="9">
        <v>45271</v>
      </c>
      <c r="J100" s="4">
        <f t="shared" si="4"/>
        <v>26</v>
      </c>
      <c r="K100" s="4" t="s">
        <v>33</v>
      </c>
      <c r="L100" s="4">
        <v>41774</v>
      </c>
      <c r="M100" s="4">
        <v>446</v>
      </c>
      <c r="N100" s="10">
        <v>850.8</v>
      </c>
      <c r="O100" s="10">
        <f t="shared" si="5"/>
        <v>850.8</v>
      </c>
      <c r="P100" s="4">
        <v>74</v>
      </c>
      <c r="Q100" s="4" t="b">
        <v>0</v>
      </c>
      <c r="R100" s="4"/>
      <c r="S100" s="14" t="s">
        <v>34</v>
      </c>
    </row>
    <row r="101" spans="1:19">
      <c r="A101" s="6" t="s">
        <v>232</v>
      </c>
      <c r="B101" s="7" t="s">
        <v>233</v>
      </c>
      <c r="C101" s="8" t="s">
        <v>4131</v>
      </c>
      <c r="D101" s="8">
        <v>44964</v>
      </c>
      <c r="E101" s="7">
        <v>2</v>
      </c>
      <c r="F101" s="7">
        <v>7</v>
      </c>
      <c r="G101" s="7">
        <v>2023</v>
      </c>
      <c r="H101" s="8">
        <f t="shared" si="3"/>
        <v>44964</v>
      </c>
      <c r="I101" s="11">
        <v>44975</v>
      </c>
      <c r="J101" s="7">
        <f t="shared" si="4"/>
        <v>11</v>
      </c>
      <c r="K101" s="7" t="s">
        <v>234</v>
      </c>
      <c r="L101" s="7">
        <v>3568</v>
      </c>
      <c r="M101" s="7">
        <v>81</v>
      </c>
      <c r="N101" s="12">
        <v>90.9</v>
      </c>
      <c r="O101" s="12">
        <f t="shared" si="5"/>
        <v>90.9</v>
      </c>
      <c r="P101" s="7">
        <v>8</v>
      </c>
      <c r="Q101" s="7" t="b">
        <v>1</v>
      </c>
      <c r="R101" s="7"/>
      <c r="S101" s="15" t="s">
        <v>16</v>
      </c>
    </row>
    <row r="102" spans="1:19">
      <c r="A102" s="3" t="s">
        <v>235</v>
      </c>
      <c r="B102" s="4" t="s">
        <v>236</v>
      </c>
      <c r="C102" s="5" t="s">
        <v>4127</v>
      </c>
      <c r="D102" s="5">
        <v>44994</v>
      </c>
      <c r="E102" s="4">
        <v>3</v>
      </c>
      <c r="F102" s="4">
        <v>9</v>
      </c>
      <c r="G102" s="4">
        <v>2023</v>
      </c>
      <c r="H102" s="5">
        <f t="shared" si="3"/>
        <v>44994</v>
      </c>
      <c r="I102" s="9">
        <v>45017</v>
      </c>
      <c r="J102" s="4">
        <f t="shared" si="4"/>
        <v>23</v>
      </c>
      <c r="K102" s="4" t="s">
        <v>14</v>
      </c>
      <c r="L102" s="4">
        <v>63592</v>
      </c>
      <c r="M102" s="4">
        <v>3111</v>
      </c>
      <c r="N102" s="10">
        <v>3433</v>
      </c>
      <c r="O102" s="10">
        <f t="shared" si="5"/>
        <v>3433</v>
      </c>
      <c r="P102" s="4">
        <v>156</v>
      </c>
      <c r="Q102" s="4" t="b">
        <v>0</v>
      </c>
      <c r="R102" s="4"/>
      <c r="S102" s="14" t="s">
        <v>16</v>
      </c>
    </row>
    <row r="103" spans="1:19">
      <c r="A103" s="6" t="s">
        <v>237</v>
      </c>
      <c r="B103" s="7" t="s">
        <v>238</v>
      </c>
      <c r="C103" s="8" t="s">
        <v>4131</v>
      </c>
      <c r="D103" s="8">
        <v>45052</v>
      </c>
      <c r="E103" s="7">
        <v>5</v>
      </c>
      <c r="F103" s="7">
        <v>6</v>
      </c>
      <c r="G103" s="7">
        <v>2023</v>
      </c>
      <c r="H103" s="8">
        <f t="shared" si="3"/>
        <v>45052</v>
      </c>
      <c r="I103" s="11">
        <v>45059</v>
      </c>
      <c r="J103" s="7">
        <f t="shared" si="4"/>
        <v>7</v>
      </c>
      <c r="K103" s="7" t="s">
        <v>41</v>
      </c>
      <c r="L103" s="7">
        <v>68563</v>
      </c>
      <c r="M103" s="7">
        <v>2276</v>
      </c>
      <c r="N103" s="12">
        <v>2471.49</v>
      </c>
      <c r="O103" s="12">
        <f t="shared" si="5"/>
        <v>2471.49</v>
      </c>
      <c r="P103" s="7">
        <v>403</v>
      </c>
      <c r="Q103" s="7" t="b">
        <v>1</v>
      </c>
      <c r="R103" s="7"/>
      <c r="S103" s="15" t="s">
        <v>42</v>
      </c>
    </row>
    <row r="104" spans="1:19">
      <c r="A104" s="3" t="s">
        <v>239</v>
      </c>
      <c r="B104" s="4" t="s">
        <v>240</v>
      </c>
      <c r="C104" s="5" t="s">
        <v>4127</v>
      </c>
      <c r="D104" s="5">
        <v>45205</v>
      </c>
      <c r="E104" s="4">
        <v>10</v>
      </c>
      <c r="F104" s="4">
        <v>6</v>
      </c>
      <c r="G104" s="4">
        <v>2023</v>
      </c>
      <c r="H104" s="5">
        <f t="shared" si="3"/>
        <v>45205</v>
      </c>
      <c r="I104" s="9">
        <v>45234</v>
      </c>
      <c r="J104" s="4">
        <f t="shared" si="4"/>
        <v>29</v>
      </c>
      <c r="K104" s="4" t="s">
        <v>138</v>
      </c>
      <c r="L104" s="4">
        <v>3695</v>
      </c>
      <c r="M104" s="4">
        <v>74</v>
      </c>
      <c r="N104" s="10">
        <v>44.7</v>
      </c>
      <c r="O104" s="10">
        <f t="shared" si="5"/>
        <v>44.7</v>
      </c>
      <c r="P104" s="4">
        <v>7</v>
      </c>
      <c r="Q104" s="4" t="b">
        <v>0</v>
      </c>
      <c r="R104" s="4"/>
      <c r="S104" s="14" t="s">
        <v>139</v>
      </c>
    </row>
    <row r="105" spans="1:19">
      <c r="A105" s="6" t="s">
        <v>241</v>
      </c>
      <c r="B105" s="7" t="s">
        <v>242</v>
      </c>
      <c r="C105" s="8" t="s">
        <v>4129</v>
      </c>
      <c r="D105" s="8">
        <v>45261</v>
      </c>
      <c r="E105" s="7">
        <v>12</v>
      </c>
      <c r="F105" s="7">
        <v>1</v>
      </c>
      <c r="G105" s="7">
        <v>2023</v>
      </c>
      <c r="H105" s="8">
        <f t="shared" si="3"/>
        <v>45261</v>
      </c>
      <c r="I105" s="11">
        <v>45266</v>
      </c>
      <c r="J105" s="7">
        <f t="shared" si="4"/>
        <v>5</v>
      </c>
      <c r="K105" s="7" t="s">
        <v>23</v>
      </c>
      <c r="L105" s="7">
        <v>49190</v>
      </c>
      <c r="M105" s="7">
        <v>1518</v>
      </c>
      <c r="N105" s="12">
        <v>2212.46</v>
      </c>
      <c r="O105" s="12">
        <f t="shared" si="5"/>
        <v>2212.46</v>
      </c>
      <c r="P105" s="7">
        <v>188</v>
      </c>
      <c r="Q105" s="7" t="b">
        <v>1</v>
      </c>
      <c r="R105" s="7"/>
      <c r="S105" s="15" t="s">
        <v>25</v>
      </c>
    </row>
    <row r="106" spans="1:19">
      <c r="A106" s="3" t="s">
        <v>243</v>
      </c>
      <c r="B106" s="4" t="s">
        <v>244</v>
      </c>
      <c r="C106" s="5" t="s">
        <v>4131</v>
      </c>
      <c r="D106" s="5">
        <v>45210</v>
      </c>
      <c r="E106" s="4">
        <v>10</v>
      </c>
      <c r="F106" s="4">
        <v>11</v>
      </c>
      <c r="G106" s="4">
        <v>2023</v>
      </c>
      <c r="H106" s="5">
        <f t="shared" si="3"/>
        <v>45210</v>
      </c>
      <c r="I106" s="9">
        <v>45221</v>
      </c>
      <c r="J106" s="4">
        <f t="shared" si="4"/>
        <v>11</v>
      </c>
      <c r="K106" s="4" t="s">
        <v>14</v>
      </c>
      <c r="L106" s="4">
        <v>6258</v>
      </c>
      <c r="M106" s="4">
        <v>148</v>
      </c>
      <c r="N106" s="10">
        <v>236.73</v>
      </c>
      <c r="O106" s="10">
        <f t="shared" si="5"/>
        <v>236.73</v>
      </c>
      <c r="P106" s="4">
        <v>7</v>
      </c>
      <c r="Q106" s="4" t="b">
        <v>1</v>
      </c>
      <c r="R106" s="4"/>
      <c r="S106" s="14" t="s">
        <v>16</v>
      </c>
    </row>
    <row r="107" spans="1:19">
      <c r="A107" s="6" t="s">
        <v>245</v>
      </c>
      <c r="B107" s="7" t="s">
        <v>246</v>
      </c>
      <c r="C107" s="8" t="s">
        <v>4131</v>
      </c>
      <c r="D107" s="8">
        <v>44995</v>
      </c>
      <c r="E107" s="7">
        <v>3</v>
      </c>
      <c r="F107" s="7">
        <v>10</v>
      </c>
      <c r="G107" s="7">
        <v>2023</v>
      </c>
      <c r="H107" s="8">
        <f t="shared" si="3"/>
        <v>44995</v>
      </c>
      <c r="I107" s="11">
        <v>45021</v>
      </c>
      <c r="J107" s="7">
        <f t="shared" si="4"/>
        <v>26</v>
      </c>
      <c r="K107" s="7" t="s">
        <v>41</v>
      </c>
      <c r="L107" s="7">
        <v>88538</v>
      </c>
      <c r="M107" s="7">
        <v>2770</v>
      </c>
      <c r="N107" s="12">
        <v>4194.3</v>
      </c>
      <c r="O107" s="12">
        <f t="shared" si="5"/>
        <v>3632.575</v>
      </c>
      <c r="P107" s="7">
        <v>342</v>
      </c>
      <c r="Q107" s="7" t="b">
        <v>0</v>
      </c>
      <c r="R107" s="7"/>
      <c r="S107" s="15" t="s">
        <v>42</v>
      </c>
    </row>
    <row r="108" spans="1:19">
      <c r="A108" s="3" t="s">
        <v>247</v>
      </c>
      <c r="B108" s="4" t="s">
        <v>248</v>
      </c>
      <c r="C108" s="5" t="s">
        <v>4129</v>
      </c>
      <c r="D108" s="5">
        <v>45210</v>
      </c>
      <c r="E108" s="4">
        <v>10</v>
      </c>
      <c r="F108" s="4">
        <v>11</v>
      </c>
      <c r="G108" s="4">
        <v>2023</v>
      </c>
      <c r="H108" s="5">
        <f t="shared" si="3"/>
        <v>45210</v>
      </c>
      <c r="I108" s="9">
        <v>45231</v>
      </c>
      <c r="J108" s="4">
        <f t="shared" si="4"/>
        <v>21</v>
      </c>
      <c r="K108" s="4" t="s">
        <v>41</v>
      </c>
      <c r="L108" s="4">
        <v>40504</v>
      </c>
      <c r="M108" s="4">
        <v>608</v>
      </c>
      <c r="N108" s="10">
        <v>430.25</v>
      </c>
      <c r="O108" s="10">
        <f t="shared" si="5"/>
        <v>430.25</v>
      </c>
      <c r="P108" s="4">
        <v>120</v>
      </c>
      <c r="Q108" s="4" t="b">
        <v>0</v>
      </c>
      <c r="R108" s="4"/>
      <c r="S108" s="14" t="s">
        <v>42</v>
      </c>
    </row>
    <row r="109" spans="1:19">
      <c r="A109" s="6" t="s">
        <v>249</v>
      </c>
      <c r="B109" s="7" t="s">
        <v>250</v>
      </c>
      <c r="C109" s="8" t="s">
        <v>4128</v>
      </c>
      <c r="D109" s="8">
        <v>45034</v>
      </c>
      <c r="E109" s="7">
        <v>4</v>
      </c>
      <c r="F109" s="7">
        <v>18</v>
      </c>
      <c r="G109" s="7">
        <v>2023</v>
      </c>
      <c r="H109" s="8">
        <f t="shared" si="3"/>
        <v>45034</v>
      </c>
      <c r="I109" s="11">
        <v>45053</v>
      </c>
      <c r="J109" s="7">
        <f t="shared" si="4"/>
        <v>19</v>
      </c>
      <c r="K109" s="7" t="s">
        <v>41</v>
      </c>
      <c r="L109" s="7">
        <v>34159</v>
      </c>
      <c r="M109" s="7">
        <v>522</v>
      </c>
      <c r="N109" s="12">
        <v>714.23</v>
      </c>
      <c r="O109" s="12">
        <f t="shared" si="5"/>
        <v>714.23</v>
      </c>
      <c r="P109" s="7">
        <v>47</v>
      </c>
      <c r="Q109" s="7" t="b">
        <v>0</v>
      </c>
      <c r="R109" s="7"/>
      <c r="S109" s="15" t="s">
        <v>42</v>
      </c>
    </row>
    <row r="110" spans="1:19">
      <c r="A110" s="3" t="s">
        <v>251</v>
      </c>
      <c r="B110" s="4" t="s">
        <v>252</v>
      </c>
      <c r="C110" s="5" t="s">
        <v>4131</v>
      </c>
      <c r="D110" s="5">
        <v>45251</v>
      </c>
      <c r="E110" s="4">
        <v>11</v>
      </c>
      <c r="F110" s="4">
        <v>21</v>
      </c>
      <c r="G110" s="4">
        <v>2023</v>
      </c>
      <c r="H110" s="5">
        <f t="shared" si="3"/>
        <v>45251</v>
      </c>
      <c r="I110" s="9">
        <v>45281</v>
      </c>
      <c r="J110" s="4">
        <f t="shared" si="4"/>
        <v>30</v>
      </c>
      <c r="K110" s="4" t="s">
        <v>14</v>
      </c>
      <c r="L110" s="4">
        <v>14986</v>
      </c>
      <c r="M110" s="4">
        <v>235</v>
      </c>
      <c r="N110" s="10">
        <v>318.24</v>
      </c>
      <c r="O110" s="10">
        <f t="shared" si="5"/>
        <v>318.24</v>
      </c>
      <c r="P110" s="4">
        <v>25</v>
      </c>
      <c r="Q110" s="4" t="b">
        <v>1</v>
      </c>
      <c r="R110" s="4"/>
      <c r="S110" s="14" t="s">
        <v>16</v>
      </c>
    </row>
    <row r="111" spans="1:19">
      <c r="A111" s="6" t="s">
        <v>253</v>
      </c>
      <c r="B111" s="7" t="s">
        <v>254</v>
      </c>
      <c r="C111" s="8" t="s">
        <v>4128</v>
      </c>
      <c r="D111" s="8">
        <v>45055</v>
      </c>
      <c r="E111" s="7">
        <v>5</v>
      </c>
      <c r="F111" s="7">
        <v>9</v>
      </c>
      <c r="G111" s="7">
        <v>2023</v>
      </c>
      <c r="H111" s="8">
        <f t="shared" si="3"/>
        <v>45055</v>
      </c>
      <c r="I111" s="11">
        <v>45063</v>
      </c>
      <c r="J111" s="7">
        <f t="shared" si="4"/>
        <v>8</v>
      </c>
      <c r="K111" s="7" t="s">
        <v>33</v>
      </c>
      <c r="L111" s="7">
        <v>62858</v>
      </c>
      <c r="M111" s="7">
        <v>2991</v>
      </c>
      <c r="N111" s="12">
        <v>5391.63</v>
      </c>
      <c r="O111" s="12">
        <f t="shared" si="5"/>
        <v>3632.575</v>
      </c>
      <c r="P111" s="7">
        <v>457</v>
      </c>
      <c r="Q111" s="7" t="b">
        <v>0</v>
      </c>
      <c r="R111" s="7"/>
      <c r="S111" s="15" t="s">
        <v>34</v>
      </c>
    </row>
    <row r="112" spans="1:19">
      <c r="A112" s="3" t="s">
        <v>255</v>
      </c>
      <c r="B112" s="4" t="s">
        <v>256</v>
      </c>
      <c r="C112" s="5" t="s">
        <v>4129</v>
      </c>
      <c r="D112" s="5">
        <v>44974</v>
      </c>
      <c r="E112" s="4">
        <v>2</v>
      </c>
      <c r="F112" s="4">
        <v>17</v>
      </c>
      <c r="G112" s="4">
        <v>2023</v>
      </c>
      <c r="H112" s="5">
        <f t="shared" si="3"/>
        <v>44974</v>
      </c>
      <c r="I112" s="9">
        <v>44997</v>
      </c>
      <c r="J112" s="4">
        <f t="shared" si="4"/>
        <v>23</v>
      </c>
      <c r="K112" s="4" t="s">
        <v>23</v>
      </c>
      <c r="L112" s="4">
        <v>13666</v>
      </c>
      <c r="M112" s="4">
        <v>537</v>
      </c>
      <c r="N112" s="10">
        <v>573.89</v>
      </c>
      <c r="O112" s="10">
        <f t="shared" si="5"/>
        <v>573.89</v>
      </c>
      <c r="P112" s="4">
        <v>92</v>
      </c>
      <c r="Q112" s="4" t="b">
        <v>0</v>
      </c>
      <c r="R112" s="4"/>
      <c r="S112" s="14" t="s">
        <v>25</v>
      </c>
    </row>
    <row r="113" spans="1:19">
      <c r="A113" s="6" t="s">
        <v>257</v>
      </c>
      <c r="B113" s="7" t="s">
        <v>258</v>
      </c>
      <c r="C113" s="8" t="s">
        <v>4131</v>
      </c>
      <c r="D113" s="8" t="s">
        <v>259</v>
      </c>
      <c r="E113" s="7">
        <v>23</v>
      </c>
      <c r="F113" s="7">
        <v>1</v>
      </c>
      <c r="G113" s="7">
        <v>2023</v>
      </c>
      <c r="H113" s="8">
        <f t="shared" si="3"/>
        <v>44949</v>
      </c>
      <c r="I113" s="11">
        <v>44968</v>
      </c>
      <c r="J113" s="7">
        <f t="shared" si="4"/>
        <v>19</v>
      </c>
      <c r="K113" s="7" t="s">
        <v>23</v>
      </c>
      <c r="L113" s="7">
        <v>39660</v>
      </c>
      <c r="M113" s="7">
        <v>654</v>
      </c>
      <c r="N113" s="12">
        <v>691.43</v>
      </c>
      <c r="O113" s="12">
        <f t="shared" si="5"/>
        <v>691.43</v>
      </c>
      <c r="P113" s="7">
        <v>73</v>
      </c>
      <c r="Q113" s="7" t="b">
        <v>0</v>
      </c>
      <c r="R113" s="7"/>
      <c r="S113" s="15" t="s">
        <v>25</v>
      </c>
    </row>
    <row r="114" spans="1:19">
      <c r="A114" s="3" t="s">
        <v>260</v>
      </c>
      <c r="B114" s="4" t="s">
        <v>261</v>
      </c>
      <c r="C114" s="5" t="s">
        <v>4131</v>
      </c>
      <c r="D114" s="5">
        <v>44993</v>
      </c>
      <c r="E114" s="4">
        <v>3</v>
      </c>
      <c r="F114" s="4">
        <v>8</v>
      </c>
      <c r="G114" s="4">
        <v>2023</v>
      </c>
      <c r="H114" s="5">
        <f t="shared" si="3"/>
        <v>44993</v>
      </c>
      <c r="I114" s="9">
        <v>45013</v>
      </c>
      <c r="J114" s="4">
        <f t="shared" si="4"/>
        <v>20</v>
      </c>
      <c r="K114" s="4" t="s">
        <v>33</v>
      </c>
      <c r="L114" s="4">
        <v>4561</v>
      </c>
      <c r="M114" s="4">
        <v>79</v>
      </c>
      <c r="N114" s="10">
        <v>112.8</v>
      </c>
      <c r="O114" s="10">
        <f t="shared" si="5"/>
        <v>112.8</v>
      </c>
      <c r="P114" s="4">
        <v>7</v>
      </c>
      <c r="Q114" s="4" t="b">
        <v>0</v>
      </c>
      <c r="R114" s="4"/>
      <c r="S114" s="14" t="s">
        <v>34</v>
      </c>
    </row>
    <row r="115" spans="1:19">
      <c r="A115" s="6" t="s">
        <v>262</v>
      </c>
      <c r="B115" s="7" t="s">
        <v>263</v>
      </c>
      <c r="C115" s="8" t="s">
        <v>4128</v>
      </c>
      <c r="D115" s="8">
        <v>45153</v>
      </c>
      <c r="E115" s="7">
        <v>8</v>
      </c>
      <c r="F115" s="7">
        <v>15</v>
      </c>
      <c r="G115" s="7">
        <v>2023</v>
      </c>
      <c r="H115" s="8">
        <f t="shared" si="3"/>
        <v>45153</v>
      </c>
      <c r="I115" s="11">
        <v>45161</v>
      </c>
      <c r="J115" s="7">
        <f t="shared" si="4"/>
        <v>8</v>
      </c>
      <c r="K115" s="7" t="s">
        <v>19</v>
      </c>
      <c r="L115" s="7">
        <v>27854</v>
      </c>
      <c r="M115" s="7">
        <v>1092</v>
      </c>
      <c r="N115" s="12">
        <v>1582.97</v>
      </c>
      <c r="O115" s="12">
        <f t="shared" si="5"/>
        <v>1582.97</v>
      </c>
      <c r="P115" s="7">
        <v>208</v>
      </c>
      <c r="Q115" s="7" t="b">
        <v>1</v>
      </c>
      <c r="R115" s="7"/>
      <c r="S115" s="15" t="s">
        <v>20</v>
      </c>
    </row>
    <row r="116" spans="1:19">
      <c r="A116" s="3" t="s">
        <v>264</v>
      </c>
      <c r="B116" s="4" t="s">
        <v>265</v>
      </c>
      <c r="C116" s="5" t="s">
        <v>4131</v>
      </c>
      <c r="D116" s="5">
        <v>44931</v>
      </c>
      <c r="E116" s="4">
        <v>1</v>
      </c>
      <c r="F116" s="4">
        <v>5</v>
      </c>
      <c r="G116" s="4">
        <v>2023</v>
      </c>
      <c r="H116" s="5">
        <f t="shared" si="3"/>
        <v>44931</v>
      </c>
      <c r="I116" s="9">
        <v>44958</v>
      </c>
      <c r="J116" s="4">
        <f t="shared" si="4"/>
        <v>27</v>
      </c>
      <c r="K116" s="4" t="s">
        <v>266</v>
      </c>
      <c r="L116" s="4">
        <v>65505</v>
      </c>
      <c r="M116" s="4">
        <v>1064</v>
      </c>
      <c r="N116" s="10">
        <v>1280.98</v>
      </c>
      <c r="O116" s="10">
        <f t="shared" si="5"/>
        <v>1280.98</v>
      </c>
      <c r="P116" s="4">
        <v>161</v>
      </c>
      <c r="Q116" s="4" t="b">
        <v>1</v>
      </c>
      <c r="R116" s="4"/>
      <c r="S116" s="14" t="s">
        <v>20</v>
      </c>
    </row>
    <row r="117" spans="1:19">
      <c r="A117" s="6" t="s">
        <v>267</v>
      </c>
      <c r="B117" s="7" t="s">
        <v>268</v>
      </c>
      <c r="C117" s="8" t="s">
        <v>4127</v>
      </c>
      <c r="D117" s="8">
        <v>45280</v>
      </c>
      <c r="E117" s="7">
        <v>12</v>
      </c>
      <c r="F117" s="7">
        <v>20</v>
      </c>
      <c r="G117" s="7">
        <v>2023</v>
      </c>
      <c r="H117" s="8">
        <f t="shared" si="3"/>
        <v>45280</v>
      </c>
      <c r="I117" s="11">
        <v>45307</v>
      </c>
      <c r="J117" s="7">
        <f t="shared" si="4"/>
        <v>27</v>
      </c>
      <c r="K117" s="7" t="s">
        <v>19</v>
      </c>
      <c r="L117" s="7">
        <v>53251</v>
      </c>
      <c r="M117" s="7">
        <v>1032</v>
      </c>
      <c r="N117" s="12">
        <v>1201.86</v>
      </c>
      <c r="O117" s="12">
        <f t="shared" si="5"/>
        <v>1201.86</v>
      </c>
      <c r="P117" s="7">
        <v>70</v>
      </c>
      <c r="Q117" s="7" t="b">
        <v>1</v>
      </c>
      <c r="R117" s="7"/>
      <c r="S117" s="15" t="s">
        <v>20</v>
      </c>
    </row>
    <row r="118" spans="1:19">
      <c r="A118" s="3" t="s">
        <v>269</v>
      </c>
      <c r="B118" s="4" t="s">
        <v>270</v>
      </c>
      <c r="C118" s="5" t="s">
        <v>4127</v>
      </c>
      <c r="D118" s="5">
        <v>45116</v>
      </c>
      <c r="E118" s="4">
        <v>7</v>
      </c>
      <c r="F118" s="4">
        <v>9</v>
      </c>
      <c r="G118" s="4">
        <v>2023</v>
      </c>
      <c r="H118" s="5">
        <f t="shared" si="3"/>
        <v>45116</v>
      </c>
      <c r="I118" s="9">
        <v>45124</v>
      </c>
      <c r="J118" s="4">
        <f t="shared" si="4"/>
        <v>8</v>
      </c>
      <c r="K118" s="4" t="s">
        <v>14</v>
      </c>
      <c r="L118" s="4">
        <v>23662</v>
      </c>
      <c r="M118" s="4">
        <v>1148</v>
      </c>
      <c r="N118" s="10">
        <v>1424.92</v>
      </c>
      <c r="O118" s="10">
        <f t="shared" si="5"/>
        <v>1424.92</v>
      </c>
      <c r="P118" s="4">
        <v>0</v>
      </c>
      <c r="Q118" s="4" t="b">
        <v>1</v>
      </c>
      <c r="R118" s="4"/>
      <c r="S118" s="14" t="s">
        <v>16</v>
      </c>
    </row>
    <row r="119" spans="1:19">
      <c r="A119" s="6" t="s">
        <v>271</v>
      </c>
      <c r="B119" s="7" t="s">
        <v>272</v>
      </c>
      <c r="C119" s="8" t="s">
        <v>4127</v>
      </c>
      <c r="D119" s="8">
        <v>45110</v>
      </c>
      <c r="E119" s="7">
        <v>7</v>
      </c>
      <c r="F119" s="7">
        <v>3</v>
      </c>
      <c r="G119" s="7">
        <v>2023</v>
      </c>
      <c r="H119" s="8">
        <f t="shared" si="3"/>
        <v>45110</v>
      </c>
      <c r="I119" s="11">
        <v>45008</v>
      </c>
      <c r="J119" s="7">
        <f t="shared" si="4"/>
        <v>-102</v>
      </c>
      <c r="K119" s="7" t="s">
        <v>41</v>
      </c>
      <c r="L119" s="7">
        <v>9392</v>
      </c>
      <c r="M119" s="7">
        <v>189</v>
      </c>
      <c r="N119" s="12">
        <v>338.61</v>
      </c>
      <c r="O119" s="12">
        <f t="shared" si="5"/>
        <v>338.61</v>
      </c>
      <c r="P119" s="7">
        <v>23</v>
      </c>
      <c r="Q119" s="7" t="b">
        <v>1</v>
      </c>
      <c r="R119" s="7"/>
      <c r="S119" s="15" t="s">
        <v>42</v>
      </c>
    </row>
    <row r="120" spans="1:19">
      <c r="A120" s="3" t="s">
        <v>273</v>
      </c>
      <c r="B120" s="4" t="s">
        <v>274</v>
      </c>
      <c r="C120" s="5" t="s">
        <v>4128</v>
      </c>
      <c r="D120" s="5">
        <v>45113</v>
      </c>
      <c r="E120" s="4">
        <v>7</v>
      </c>
      <c r="F120" s="4">
        <v>6</v>
      </c>
      <c r="G120" s="4">
        <v>2023</v>
      </c>
      <c r="H120" s="5">
        <f t="shared" si="3"/>
        <v>45113</v>
      </c>
      <c r="I120" s="9">
        <v>45132</v>
      </c>
      <c r="J120" s="4">
        <f t="shared" si="4"/>
        <v>19</v>
      </c>
      <c r="K120" s="4" t="s">
        <v>266</v>
      </c>
      <c r="L120" s="4">
        <v>31535</v>
      </c>
      <c r="M120" s="4">
        <v>1149</v>
      </c>
      <c r="N120" s="10">
        <v>1369.32</v>
      </c>
      <c r="O120" s="10">
        <f t="shared" si="5"/>
        <v>1369.32</v>
      </c>
      <c r="P120" s="4">
        <v>95</v>
      </c>
      <c r="Q120" s="4" t="b">
        <v>1</v>
      </c>
      <c r="R120" s="4"/>
      <c r="S120" s="14" t="s">
        <v>20</v>
      </c>
    </row>
    <row r="121" spans="1:19">
      <c r="A121" s="6" t="s">
        <v>275</v>
      </c>
      <c r="B121" s="7" t="s">
        <v>276</v>
      </c>
      <c r="C121" s="8" t="s">
        <v>4128</v>
      </c>
      <c r="D121" s="8">
        <v>44947</v>
      </c>
      <c r="E121" s="7">
        <v>1</v>
      </c>
      <c r="F121" s="7">
        <v>21</v>
      </c>
      <c r="G121" s="7">
        <v>2023</v>
      </c>
      <c r="H121" s="8">
        <f t="shared" si="3"/>
        <v>44947</v>
      </c>
      <c r="I121" s="11">
        <v>44963</v>
      </c>
      <c r="J121" s="7">
        <f t="shared" si="4"/>
        <v>16</v>
      </c>
      <c r="K121" s="7" t="s">
        <v>19</v>
      </c>
      <c r="L121" s="7">
        <v>79603</v>
      </c>
      <c r="M121" s="7">
        <v>3912</v>
      </c>
      <c r="N121" s="12">
        <v>7471.52</v>
      </c>
      <c r="O121" s="12">
        <f t="shared" si="5"/>
        <v>3632.575</v>
      </c>
      <c r="P121" s="7">
        <v>344</v>
      </c>
      <c r="Q121" s="7" t="b">
        <v>0</v>
      </c>
      <c r="R121" s="7"/>
      <c r="S121" s="15" t="s">
        <v>20</v>
      </c>
    </row>
    <row r="122" spans="1:19">
      <c r="A122" s="3" t="s">
        <v>277</v>
      </c>
      <c r="B122" s="4" t="s">
        <v>278</v>
      </c>
      <c r="C122" s="5" t="s">
        <v>4129</v>
      </c>
      <c r="D122" s="5">
        <v>45054</v>
      </c>
      <c r="E122" s="4">
        <v>5</v>
      </c>
      <c r="F122" s="4">
        <v>8</v>
      </c>
      <c r="G122" s="4">
        <v>2023</v>
      </c>
      <c r="H122" s="5">
        <f t="shared" si="3"/>
        <v>45054</v>
      </c>
      <c r="I122" s="9">
        <v>45083</v>
      </c>
      <c r="J122" s="4">
        <f t="shared" si="4"/>
        <v>29</v>
      </c>
      <c r="K122" s="4" t="s">
        <v>23</v>
      </c>
      <c r="L122" s="4">
        <v>53256</v>
      </c>
      <c r="M122" s="4">
        <v>1329</v>
      </c>
      <c r="N122" s="10">
        <v>1669.23</v>
      </c>
      <c r="O122" s="10">
        <f t="shared" si="5"/>
        <v>1669.23</v>
      </c>
      <c r="P122" s="4">
        <v>241</v>
      </c>
      <c r="Q122" s="4" t="b">
        <v>0</v>
      </c>
      <c r="R122" s="4"/>
      <c r="S122" s="14" t="s">
        <v>25</v>
      </c>
    </row>
    <row r="123" spans="1:19">
      <c r="A123" s="6" t="s">
        <v>279</v>
      </c>
      <c r="B123" s="7" t="s">
        <v>280</v>
      </c>
      <c r="C123" s="8" t="s">
        <v>4128</v>
      </c>
      <c r="D123" s="8">
        <v>45213</v>
      </c>
      <c r="E123" s="7">
        <v>10</v>
      </c>
      <c r="F123" s="7">
        <v>14</v>
      </c>
      <c r="G123" s="7">
        <v>2023</v>
      </c>
      <c r="H123" s="8">
        <f t="shared" si="3"/>
        <v>45213</v>
      </c>
      <c r="I123" s="11">
        <v>45214</v>
      </c>
      <c r="J123" s="7">
        <f t="shared" si="4"/>
        <v>1</v>
      </c>
      <c r="K123" s="7" t="s">
        <v>33</v>
      </c>
      <c r="L123" s="7">
        <v>90135</v>
      </c>
      <c r="M123" s="7">
        <v>964</v>
      </c>
      <c r="N123" s="12">
        <v>1854.54</v>
      </c>
      <c r="O123" s="12">
        <f t="shared" si="5"/>
        <v>1854.54</v>
      </c>
      <c r="P123" s="7">
        <v>61</v>
      </c>
      <c r="Q123" s="7" t="b">
        <v>1</v>
      </c>
      <c r="R123" s="7"/>
      <c r="S123" s="15" t="s">
        <v>34</v>
      </c>
    </row>
    <row r="124" spans="1:19">
      <c r="A124" s="3" t="s">
        <v>281</v>
      </c>
      <c r="B124" s="4" t="s">
        <v>282</v>
      </c>
      <c r="C124" s="5" t="s">
        <v>4131</v>
      </c>
      <c r="D124" s="5">
        <v>45244</v>
      </c>
      <c r="E124" s="4">
        <v>11</v>
      </c>
      <c r="F124" s="4">
        <v>14</v>
      </c>
      <c r="G124" s="4">
        <v>2023</v>
      </c>
      <c r="H124" s="5">
        <f t="shared" si="3"/>
        <v>45244</v>
      </c>
      <c r="I124" s="9">
        <v>45255</v>
      </c>
      <c r="J124" s="4">
        <f t="shared" si="4"/>
        <v>11</v>
      </c>
      <c r="K124" s="4" t="s">
        <v>19</v>
      </c>
      <c r="L124" s="4">
        <v>36222</v>
      </c>
      <c r="M124" s="4">
        <v>715</v>
      </c>
      <c r="N124" s="10">
        <v>1250.71</v>
      </c>
      <c r="O124" s="10">
        <f t="shared" si="5"/>
        <v>1250.71</v>
      </c>
      <c r="P124" s="4">
        <v>112</v>
      </c>
      <c r="Q124" s="4" t="b">
        <v>1</v>
      </c>
      <c r="R124" s="4"/>
      <c r="S124" s="14" t="s">
        <v>20</v>
      </c>
    </row>
    <row r="125" spans="1:19">
      <c r="A125" s="6" t="s">
        <v>283</v>
      </c>
      <c r="B125" s="7" t="s">
        <v>284</v>
      </c>
      <c r="C125" s="8" t="s">
        <v>4128</v>
      </c>
      <c r="D125" s="8">
        <v>45048</v>
      </c>
      <c r="E125" s="7">
        <v>5</v>
      </c>
      <c r="F125" s="7">
        <v>2</v>
      </c>
      <c r="G125" s="7">
        <v>2023</v>
      </c>
      <c r="H125" s="8">
        <f t="shared" si="3"/>
        <v>45048</v>
      </c>
      <c r="I125" s="11">
        <v>45065</v>
      </c>
      <c r="J125" s="7">
        <f t="shared" si="4"/>
        <v>17</v>
      </c>
      <c r="K125" s="7" t="s">
        <v>138</v>
      </c>
      <c r="L125" s="7">
        <v>78373</v>
      </c>
      <c r="M125" s="7">
        <v>3388</v>
      </c>
      <c r="N125" s="12">
        <v>3535.88</v>
      </c>
      <c r="O125" s="12">
        <f t="shared" si="5"/>
        <v>3535.88</v>
      </c>
      <c r="P125" s="7">
        <v>307</v>
      </c>
      <c r="Q125" s="7" t="b">
        <v>1</v>
      </c>
      <c r="R125" s="7"/>
      <c r="S125" s="15" t="s">
        <v>139</v>
      </c>
    </row>
    <row r="126" spans="1:19">
      <c r="A126" s="3" t="s">
        <v>285</v>
      </c>
      <c r="B126" s="4" t="s">
        <v>286</v>
      </c>
      <c r="C126" s="5" t="s">
        <v>4127</v>
      </c>
      <c r="D126" s="5">
        <v>45017</v>
      </c>
      <c r="E126" s="4">
        <v>4</v>
      </c>
      <c r="F126" s="4">
        <v>1</v>
      </c>
      <c r="G126" s="4">
        <v>2023</v>
      </c>
      <c r="H126" s="5">
        <f t="shared" si="3"/>
        <v>45017</v>
      </c>
      <c r="I126" s="9">
        <v>44959</v>
      </c>
      <c r="J126" s="4">
        <f t="shared" si="4"/>
        <v>-58</v>
      </c>
      <c r="K126" s="4" t="s">
        <v>23</v>
      </c>
      <c r="L126" s="4">
        <v>80575</v>
      </c>
      <c r="M126" s="4">
        <v>3592</v>
      </c>
      <c r="N126" s="10">
        <v>6449.3</v>
      </c>
      <c r="O126" s="10">
        <f t="shared" si="5"/>
        <v>3632.575</v>
      </c>
      <c r="P126" s="4">
        <v>589</v>
      </c>
      <c r="Q126" s="4" t="b">
        <v>0</v>
      </c>
      <c r="R126" s="4"/>
      <c r="S126" s="14" t="s">
        <v>25</v>
      </c>
    </row>
    <row r="127" spans="1:19">
      <c r="A127" s="6" t="s">
        <v>287</v>
      </c>
      <c r="B127" s="7" t="s">
        <v>288</v>
      </c>
      <c r="C127" s="8" t="s">
        <v>4129</v>
      </c>
      <c r="D127" s="8">
        <v>45097</v>
      </c>
      <c r="E127" s="7">
        <v>6</v>
      </c>
      <c r="F127" s="7">
        <v>20</v>
      </c>
      <c r="G127" s="7">
        <v>2023</v>
      </c>
      <c r="H127" s="8">
        <f t="shared" si="3"/>
        <v>45097</v>
      </c>
      <c r="I127" s="11">
        <v>45101</v>
      </c>
      <c r="J127" s="7">
        <f t="shared" si="4"/>
        <v>4</v>
      </c>
      <c r="K127" s="7" t="s">
        <v>23</v>
      </c>
      <c r="L127" s="7">
        <v>97354</v>
      </c>
      <c r="M127" s="7">
        <v>3966</v>
      </c>
      <c r="N127" s="12">
        <v>2637.77</v>
      </c>
      <c r="O127" s="12">
        <f t="shared" si="5"/>
        <v>2637.77</v>
      </c>
      <c r="P127" s="7">
        <v>628</v>
      </c>
      <c r="Q127" s="7" t="b">
        <v>1</v>
      </c>
      <c r="R127" s="7"/>
      <c r="S127" s="15" t="s">
        <v>25</v>
      </c>
    </row>
    <row r="128" spans="1:19">
      <c r="A128" s="3" t="s">
        <v>289</v>
      </c>
      <c r="B128" s="4" t="s">
        <v>290</v>
      </c>
      <c r="C128" s="5" t="s">
        <v>4128</v>
      </c>
      <c r="D128" s="5">
        <v>45269</v>
      </c>
      <c r="E128" s="4">
        <v>12</v>
      </c>
      <c r="F128" s="4">
        <v>9</v>
      </c>
      <c r="G128" s="4">
        <v>2023</v>
      </c>
      <c r="H128" s="5">
        <f t="shared" si="3"/>
        <v>45269</v>
      </c>
      <c r="I128" s="9">
        <v>45282</v>
      </c>
      <c r="J128" s="4">
        <f t="shared" si="4"/>
        <v>13</v>
      </c>
      <c r="K128" s="4" t="s">
        <v>33</v>
      </c>
      <c r="L128" s="4">
        <v>85651</v>
      </c>
      <c r="M128" s="4">
        <v>1244</v>
      </c>
      <c r="N128" s="10">
        <v>2348.14</v>
      </c>
      <c r="O128" s="10">
        <f t="shared" si="5"/>
        <v>2348.14</v>
      </c>
      <c r="P128" s="4">
        <v>63</v>
      </c>
      <c r="Q128" s="4" t="b">
        <v>0</v>
      </c>
      <c r="R128" s="4"/>
      <c r="S128" s="14" t="s">
        <v>34</v>
      </c>
    </row>
    <row r="129" spans="1:19">
      <c r="A129" s="6" t="s">
        <v>291</v>
      </c>
      <c r="B129" s="7" t="s">
        <v>292</v>
      </c>
      <c r="C129" s="8" t="s">
        <v>4129</v>
      </c>
      <c r="D129" s="8">
        <v>45063</v>
      </c>
      <c r="E129" s="7">
        <v>5</v>
      </c>
      <c r="F129" s="7">
        <v>17</v>
      </c>
      <c r="G129" s="7">
        <v>2023</v>
      </c>
      <c r="H129" s="8">
        <f t="shared" si="3"/>
        <v>45063</v>
      </c>
      <c r="I129" s="11">
        <v>45088</v>
      </c>
      <c r="J129" s="7">
        <f t="shared" si="4"/>
        <v>25</v>
      </c>
      <c r="K129" s="7" t="s">
        <v>33</v>
      </c>
      <c r="L129" s="7">
        <v>64335</v>
      </c>
      <c r="M129" s="7">
        <v>2690</v>
      </c>
      <c r="N129" s="12">
        <v>3893.68</v>
      </c>
      <c r="O129" s="12">
        <f t="shared" si="5"/>
        <v>3632.575</v>
      </c>
      <c r="P129" s="7">
        <v>0</v>
      </c>
      <c r="Q129" s="7" t="b">
        <v>1</v>
      </c>
      <c r="R129" s="7"/>
      <c r="S129" s="15" t="s">
        <v>34</v>
      </c>
    </row>
    <row r="130" spans="1:19">
      <c r="A130" s="3" t="s">
        <v>293</v>
      </c>
      <c r="B130" s="4" t="s">
        <v>294</v>
      </c>
      <c r="C130" s="5" t="s">
        <v>4131</v>
      </c>
      <c r="D130" s="5">
        <v>45122</v>
      </c>
      <c r="E130" s="4">
        <v>7</v>
      </c>
      <c r="F130" s="4">
        <v>15</v>
      </c>
      <c r="G130" s="4">
        <v>2023</v>
      </c>
      <c r="H130" s="5">
        <f t="shared" ref="H130:H193" si="6">IF(E130&gt;12,DATE(G130,F130,E130),D130)</f>
        <v>45122</v>
      </c>
      <c r="I130" s="9">
        <v>45127</v>
      </c>
      <c r="J130" s="4">
        <f t="shared" ref="J130:J193" si="7">DATEDIF(H130,I130,"D")</f>
        <v>5</v>
      </c>
      <c r="K130" s="4" t="s">
        <v>14</v>
      </c>
      <c r="L130" s="4">
        <v>11965</v>
      </c>
      <c r="M130" s="4">
        <v>559</v>
      </c>
      <c r="N130" s="10">
        <v>325.11</v>
      </c>
      <c r="O130" s="10">
        <f t="shared" si="5"/>
        <v>325.11</v>
      </c>
      <c r="P130" s="4">
        <v>39</v>
      </c>
      <c r="Q130" s="4" t="b">
        <v>0</v>
      </c>
      <c r="R130" s="4"/>
      <c r="S130" s="14" t="s">
        <v>16</v>
      </c>
    </row>
    <row r="131" spans="1:19">
      <c r="A131" s="6" t="s">
        <v>295</v>
      </c>
      <c r="B131" s="7" t="s">
        <v>296</v>
      </c>
      <c r="C131" s="8" t="s">
        <v>4131</v>
      </c>
      <c r="D131" s="8">
        <v>45040</v>
      </c>
      <c r="E131" s="7">
        <v>4</v>
      </c>
      <c r="F131" s="7">
        <v>24</v>
      </c>
      <c r="G131" s="7">
        <v>2023</v>
      </c>
      <c r="H131" s="8">
        <f t="shared" si="6"/>
        <v>45040</v>
      </c>
      <c r="I131" s="11">
        <v>45060</v>
      </c>
      <c r="J131" s="7">
        <f t="shared" si="7"/>
        <v>20</v>
      </c>
      <c r="K131" s="7" t="s">
        <v>19</v>
      </c>
      <c r="L131" s="7">
        <v>25538</v>
      </c>
      <c r="M131" s="7">
        <v>868</v>
      </c>
      <c r="N131" s="12">
        <v>1272.82</v>
      </c>
      <c r="O131" s="12">
        <f t="shared" ref="O131:O194" si="8">IF(N131&lt;$V$6,$V$6,IF(N131&gt;$V$7,$V$7,N131))</f>
        <v>1272.82</v>
      </c>
      <c r="P131" s="7">
        <v>156</v>
      </c>
      <c r="Q131" s="7" t="b">
        <v>0</v>
      </c>
      <c r="R131" s="7"/>
      <c r="S131" s="15" t="s">
        <v>20</v>
      </c>
    </row>
    <row r="132" spans="1:19">
      <c r="A132" s="3" t="s">
        <v>297</v>
      </c>
      <c r="B132" s="4" t="s">
        <v>298</v>
      </c>
      <c r="C132" s="5" t="s">
        <v>4128</v>
      </c>
      <c r="D132" s="5">
        <v>45106</v>
      </c>
      <c r="E132" s="4">
        <v>6</v>
      </c>
      <c r="F132" s="4">
        <v>29</v>
      </c>
      <c r="G132" s="4">
        <v>2023</v>
      </c>
      <c r="H132" s="5">
        <f t="shared" si="6"/>
        <v>45106</v>
      </c>
      <c r="I132" s="9">
        <v>45117</v>
      </c>
      <c r="J132" s="4">
        <f t="shared" si="7"/>
        <v>11</v>
      </c>
      <c r="K132" s="4" t="s">
        <v>41</v>
      </c>
      <c r="L132" s="4">
        <v>71592</v>
      </c>
      <c r="M132" s="4">
        <v>3410</v>
      </c>
      <c r="N132" s="10">
        <v>6688.28</v>
      </c>
      <c r="O132" s="10">
        <f t="shared" si="8"/>
        <v>3632.575</v>
      </c>
      <c r="P132" s="4">
        <v>616</v>
      </c>
      <c r="Q132" s="4" t="b">
        <v>0</v>
      </c>
      <c r="R132" s="4"/>
      <c r="S132" s="14" t="s">
        <v>68</v>
      </c>
    </row>
    <row r="133" spans="1:19">
      <c r="A133" s="6" t="s">
        <v>299</v>
      </c>
      <c r="B133" s="7" t="s">
        <v>300</v>
      </c>
      <c r="C133" s="8" t="s">
        <v>4128</v>
      </c>
      <c r="D133" s="8">
        <v>45043</v>
      </c>
      <c r="E133" s="7">
        <v>4</v>
      </c>
      <c r="F133" s="7">
        <v>27</v>
      </c>
      <c r="G133" s="7">
        <v>2023</v>
      </c>
      <c r="H133" s="8">
        <f t="shared" si="6"/>
        <v>45043</v>
      </c>
      <c r="I133" s="11">
        <v>45046</v>
      </c>
      <c r="J133" s="7">
        <f t="shared" si="7"/>
        <v>3</v>
      </c>
      <c r="K133" s="7" t="s">
        <v>41</v>
      </c>
      <c r="L133" s="7">
        <v>99018</v>
      </c>
      <c r="M133" s="7">
        <v>4265</v>
      </c>
      <c r="N133" s="12">
        <v>2579.05</v>
      </c>
      <c r="O133" s="12">
        <f t="shared" si="8"/>
        <v>2579.05</v>
      </c>
      <c r="P133" s="7">
        <v>480</v>
      </c>
      <c r="Q133" s="7" t="b">
        <v>0</v>
      </c>
      <c r="R133" s="7"/>
      <c r="S133" s="15" t="s">
        <v>42</v>
      </c>
    </row>
    <row r="134" spans="1:19">
      <c r="A134" s="3" t="s">
        <v>301</v>
      </c>
      <c r="B134" s="4" t="s">
        <v>302</v>
      </c>
      <c r="C134" s="5" t="s">
        <v>4131</v>
      </c>
      <c r="D134" s="5">
        <v>45131</v>
      </c>
      <c r="E134" s="4">
        <v>7</v>
      </c>
      <c r="F134" s="4">
        <v>24</v>
      </c>
      <c r="G134" s="4">
        <v>2023</v>
      </c>
      <c r="H134" s="5">
        <f t="shared" si="6"/>
        <v>45131</v>
      </c>
      <c r="I134" s="9">
        <v>45148</v>
      </c>
      <c r="J134" s="4">
        <f t="shared" si="7"/>
        <v>17</v>
      </c>
      <c r="K134" s="4" t="s">
        <v>19</v>
      </c>
      <c r="L134" s="4">
        <v>9110</v>
      </c>
      <c r="M134" s="4">
        <v>334</v>
      </c>
      <c r="N134" s="10">
        <v>444.9</v>
      </c>
      <c r="O134" s="10">
        <f t="shared" si="8"/>
        <v>444.9</v>
      </c>
      <c r="P134" s="4">
        <v>38</v>
      </c>
      <c r="Q134" s="4" t="b">
        <v>1</v>
      </c>
      <c r="R134" s="4"/>
      <c r="S134" s="14" t="s">
        <v>20</v>
      </c>
    </row>
    <row r="135" spans="1:19">
      <c r="A135" s="6" t="s">
        <v>303</v>
      </c>
      <c r="B135" s="7" t="s">
        <v>304</v>
      </c>
      <c r="C135" s="8" t="s">
        <v>4127</v>
      </c>
      <c r="D135" s="8">
        <v>45069</v>
      </c>
      <c r="E135" s="7">
        <v>5</v>
      </c>
      <c r="F135" s="7">
        <v>23</v>
      </c>
      <c r="G135" s="7">
        <v>2023</v>
      </c>
      <c r="H135" s="8">
        <f t="shared" si="6"/>
        <v>45069</v>
      </c>
      <c r="I135" s="11">
        <v>45085</v>
      </c>
      <c r="J135" s="7">
        <f t="shared" si="7"/>
        <v>16</v>
      </c>
      <c r="K135" s="7" t="s">
        <v>19</v>
      </c>
      <c r="L135" s="7">
        <v>80309</v>
      </c>
      <c r="M135" s="7">
        <v>2657</v>
      </c>
      <c r="N135" s="12">
        <v>4308.83</v>
      </c>
      <c r="O135" s="12">
        <f t="shared" si="8"/>
        <v>3632.575</v>
      </c>
      <c r="P135" s="7">
        <v>253</v>
      </c>
      <c r="Q135" s="7" t="b">
        <v>1</v>
      </c>
      <c r="R135" s="7"/>
      <c r="S135" s="15" t="s">
        <v>20</v>
      </c>
    </row>
    <row r="136" spans="1:19">
      <c r="A136" s="3" t="s">
        <v>305</v>
      </c>
      <c r="B136" s="4" t="s">
        <v>306</v>
      </c>
      <c r="C136" s="5" t="s">
        <v>4128</v>
      </c>
      <c r="D136" s="5">
        <v>45274</v>
      </c>
      <c r="E136" s="4">
        <v>12</v>
      </c>
      <c r="F136" s="4">
        <v>14</v>
      </c>
      <c r="G136" s="4">
        <v>2023</v>
      </c>
      <c r="H136" s="5">
        <f t="shared" si="6"/>
        <v>45274</v>
      </c>
      <c r="I136" s="9">
        <v>45289</v>
      </c>
      <c r="J136" s="4">
        <f t="shared" si="7"/>
        <v>15</v>
      </c>
      <c r="K136" s="4" t="s">
        <v>41</v>
      </c>
      <c r="L136" s="4">
        <v>28266</v>
      </c>
      <c r="M136" s="4">
        <v>676</v>
      </c>
      <c r="N136" s="10">
        <v>1159.6</v>
      </c>
      <c r="O136" s="10">
        <f t="shared" si="8"/>
        <v>1159.6</v>
      </c>
      <c r="P136" s="4">
        <v>0</v>
      </c>
      <c r="Q136" s="4" t="b">
        <v>1</v>
      </c>
      <c r="R136" s="4"/>
      <c r="S136" s="14" t="s">
        <v>42</v>
      </c>
    </row>
    <row r="137" spans="1:19">
      <c r="A137" s="6" t="s">
        <v>307</v>
      </c>
      <c r="B137" s="7" t="s">
        <v>308</v>
      </c>
      <c r="C137" s="8" t="s">
        <v>4129</v>
      </c>
      <c r="D137" s="8">
        <v>44941</v>
      </c>
      <c r="E137" s="7">
        <v>1</v>
      </c>
      <c r="F137" s="7">
        <v>15</v>
      </c>
      <c r="G137" s="7">
        <v>2023</v>
      </c>
      <c r="H137" s="8">
        <f t="shared" si="6"/>
        <v>44941</v>
      </c>
      <c r="I137" s="11">
        <v>44961</v>
      </c>
      <c r="J137" s="7">
        <f t="shared" si="7"/>
        <v>20</v>
      </c>
      <c r="K137" s="7" t="s">
        <v>41</v>
      </c>
      <c r="L137" s="7">
        <v>53992</v>
      </c>
      <c r="M137" s="7">
        <v>883</v>
      </c>
      <c r="N137" s="12">
        <v>989.61</v>
      </c>
      <c r="O137" s="12">
        <f t="shared" si="8"/>
        <v>989.61</v>
      </c>
      <c r="P137" s="7">
        <v>91</v>
      </c>
      <c r="Q137" s="7" t="b">
        <v>1</v>
      </c>
      <c r="R137" s="7"/>
      <c r="S137" s="15" t="s">
        <v>42</v>
      </c>
    </row>
    <row r="138" spans="1:19">
      <c r="A138" s="3" t="s">
        <v>309</v>
      </c>
      <c r="B138" s="4" t="s">
        <v>310</v>
      </c>
      <c r="C138" s="5" t="s">
        <v>4127</v>
      </c>
      <c r="D138" s="5">
        <v>45018</v>
      </c>
      <c r="E138" s="4">
        <v>4</v>
      </c>
      <c r="F138" s="4">
        <v>2</v>
      </c>
      <c r="G138" s="4">
        <v>2023</v>
      </c>
      <c r="H138" s="5">
        <f t="shared" si="6"/>
        <v>45018</v>
      </c>
      <c r="I138" s="9">
        <v>45047</v>
      </c>
      <c r="J138" s="4">
        <f t="shared" si="7"/>
        <v>29</v>
      </c>
      <c r="K138" s="4" t="s">
        <v>41</v>
      </c>
      <c r="L138" s="4">
        <v>83948</v>
      </c>
      <c r="M138" s="4">
        <v>2870</v>
      </c>
      <c r="N138" s="10">
        <v>2313.94</v>
      </c>
      <c r="O138" s="10">
        <f t="shared" si="8"/>
        <v>2313.94</v>
      </c>
      <c r="P138" s="4">
        <v>258</v>
      </c>
      <c r="Q138" s="4" t="b">
        <v>1</v>
      </c>
      <c r="R138" s="4"/>
      <c r="S138" s="14" t="s">
        <v>42</v>
      </c>
    </row>
    <row r="139" spans="1:19">
      <c r="A139" s="6" t="s">
        <v>311</v>
      </c>
      <c r="B139" s="7" t="s">
        <v>312</v>
      </c>
      <c r="C139" s="8" t="s">
        <v>4127</v>
      </c>
      <c r="D139" s="8">
        <v>44946</v>
      </c>
      <c r="E139" s="7">
        <v>1</v>
      </c>
      <c r="F139" s="7">
        <v>20</v>
      </c>
      <c r="G139" s="7">
        <v>2023</v>
      </c>
      <c r="H139" s="8">
        <f t="shared" si="6"/>
        <v>44946</v>
      </c>
      <c r="I139" s="11">
        <v>44975</v>
      </c>
      <c r="J139" s="7">
        <f t="shared" si="7"/>
        <v>29</v>
      </c>
      <c r="K139" s="7" t="s">
        <v>19</v>
      </c>
      <c r="L139" s="7">
        <v>99806</v>
      </c>
      <c r="M139" s="7">
        <v>2268</v>
      </c>
      <c r="N139" s="12">
        <v>1278.05</v>
      </c>
      <c r="O139" s="12">
        <f t="shared" si="8"/>
        <v>1278.05</v>
      </c>
      <c r="P139" s="7">
        <v>260</v>
      </c>
      <c r="Q139" s="7" t="b">
        <v>1</v>
      </c>
      <c r="R139" s="7"/>
      <c r="S139" s="15" t="s">
        <v>20</v>
      </c>
    </row>
    <row r="140" spans="1:19">
      <c r="A140" s="3" t="s">
        <v>313</v>
      </c>
      <c r="B140" s="4" t="s">
        <v>314</v>
      </c>
      <c r="C140" s="5" t="s">
        <v>4128</v>
      </c>
      <c r="D140" s="5">
        <v>45087</v>
      </c>
      <c r="E140" s="4">
        <v>6</v>
      </c>
      <c r="F140" s="4">
        <v>10</v>
      </c>
      <c r="G140" s="4">
        <v>2023</v>
      </c>
      <c r="H140" s="5">
        <f t="shared" si="6"/>
        <v>45087</v>
      </c>
      <c r="I140" s="9">
        <v>45111</v>
      </c>
      <c r="J140" s="4">
        <f t="shared" si="7"/>
        <v>24</v>
      </c>
      <c r="K140" s="4" t="s">
        <v>33</v>
      </c>
      <c r="L140" s="4">
        <v>7910</v>
      </c>
      <c r="M140" s="4">
        <v>353</v>
      </c>
      <c r="N140" s="10">
        <v>483.47</v>
      </c>
      <c r="O140" s="10">
        <f t="shared" si="8"/>
        <v>483.47</v>
      </c>
      <c r="P140" s="4">
        <v>22</v>
      </c>
      <c r="Q140" s="4" t="b">
        <v>0</v>
      </c>
      <c r="R140" s="4"/>
      <c r="S140" s="14" t="s">
        <v>34</v>
      </c>
    </row>
    <row r="141" spans="1:19">
      <c r="A141" s="6" t="s">
        <v>315</v>
      </c>
      <c r="B141" s="7" t="s">
        <v>316</v>
      </c>
      <c r="C141" s="8" t="s">
        <v>4129</v>
      </c>
      <c r="D141" s="8">
        <v>44986</v>
      </c>
      <c r="E141" s="7">
        <v>3</v>
      </c>
      <c r="F141" s="7">
        <v>1</v>
      </c>
      <c r="G141" s="7">
        <v>2023</v>
      </c>
      <c r="H141" s="8">
        <f t="shared" si="6"/>
        <v>44986</v>
      </c>
      <c r="I141" s="11">
        <v>44995</v>
      </c>
      <c r="J141" s="7">
        <f t="shared" si="7"/>
        <v>9</v>
      </c>
      <c r="K141" s="7" t="s">
        <v>33</v>
      </c>
      <c r="L141" s="7">
        <v>91982</v>
      </c>
      <c r="M141" s="7">
        <v>4574</v>
      </c>
      <c r="N141" s="12">
        <v>5394.42</v>
      </c>
      <c r="O141" s="12">
        <f t="shared" si="8"/>
        <v>3632.575</v>
      </c>
      <c r="P141" s="7">
        <v>0</v>
      </c>
      <c r="Q141" s="7" t="b">
        <v>0</v>
      </c>
      <c r="R141" s="7">
        <v>92026</v>
      </c>
      <c r="S141" s="15" t="s">
        <v>34</v>
      </c>
    </row>
    <row r="142" spans="1:19">
      <c r="A142" s="3" t="s">
        <v>317</v>
      </c>
      <c r="B142" s="4" t="s">
        <v>318</v>
      </c>
      <c r="C142" s="5" t="s">
        <v>4129</v>
      </c>
      <c r="D142" s="5">
        <v>45235</v>
      </c>
      <c r="E142" s="4">
        <v>11</v>
      </c>
      <c r="F142" s="4">
        <v>5</v>
      </c>
      <c r="G142" s="4">
        <v>2023</v>
      </c>
      <c r="H142" s="5">
        <f t="shared" si="6"/>
        <v>45235</v>
      </c>
      <c r="I142" s="9">
        <v>45060</v>
      </c>
      <c r="J142" s="4">
        <f t="shared" si="7"/>
        <v>-175</v>
      </c>
      <c r="K142" s="4" t="s">
        <v>19</v>
      </c>
      <c r="L142" s="4">
        <v>1206</v>
      </c>
      <c r="M142" s="4">
        <v>48</v>
      </c>
      <c r="N142" s="10">
        <v>92.31</v>
      </c>
      <c r="O142" s="10">
        <f t="shared" si="8"/>
        <v>92.31</v>
      </c>
      <c r="P142" s="4">
        <v>2</v>
      </c>
      <c r="Q142" s="4" t="b">
        <v>1</v>
      </c>
      <c r="R142" s="4"/>
      <c r="S142" s="14" t="s">
        <v>20</v>
      </c>
    </row>
    <row r="143" spans="1:19">
      <c r="A143" s="6" t="s">
        <v>319</v>
      </c>
      <c r="B143" s="7" t="s">
        <v>320</v>
      </c>
      <c r="C143" s="8" t="s">
        <v>4128</v>
      </c>
      <c r="D143" s="8">
        <v>45268</v>
      </c>
      <c r="E143" s="7">
        <v>12</v>
      </c>
      <c r="F143" s="7">
        <v>8</v>
      </c>
      <c r="G143" s="7">
        <v>2023</v>
      </c>
      <c r="H143" s="8">
        <f t="shared" si="6"/>
        <v>45268</v>
      </c>
      <c r="I143" s="11">
        <v>45165</v>
      </c>
      <c r="J143" s="7">
        <f t="shared" si="7"/>
        <v>-103</v>
      </c>
      <c r="K143" s="7" t="s">
        <v>14</v>
      </c>
      <c r="L143" s="7">
        <v>88054</v>
      </c>
      <c r="M143" s="7">
        <v>1199</v>
      </c>
      <c r="N143" s="12">
        <v>708.5</v>
      </c>
      <c r="O143" s="12">
        <f t="shared" si="8"/>
        <v>708.5</v>
      </c>
      <c r="P143" s="7">
        <v>175</v>
      </c>
      <c r="Q143" s="7" t="b">
        <v>1</v>
      </c>
      <c r="R143" s="7"/>
      <c r="S143" s="15" t="s">
        <v>16</v>
      </c>
    </row>
    <row r="144" spans="1:19">
      <c r="A144" s="3" t="s">
        <v>321</v>
      </c>
      <c r="B144" s="4" t="s">
        <v>322</v>
      </c>
      <c r="C144" s="5" t="s">
        <v>4131</v>
      </c>
      <c r="D144" s="5">
        <v>45202</v>
      </c>
      <c r="E144" s="4">
        <v>10</v>
      </c>
      <c r="F144" s="4">
        <v>3</v>
      </c>
      <c r="G144" s="4">
        <v>2023</v>
      </c>
      <c r="H144" s="5">
        <f t="shared" si="6"/>
        <v>45202</v>
      </c>
      <c r="I144" s="9">
        <v>45215</v>
      </c>
      <c r="J144" s="4">
        <f t="shared" si="7"/>
        <v>13</v>
      </c>
      <c r="K144" s="4" t="s">
        <v>19</v>
      </c>
      <c r="L144" s="4">
        <v>88897</v>
      </c>
      <c r="M144" s="4">
        <v>1915</v>
      </c>
      <c r="N144" s="10">
        <v>2926.3</v>
      </c>
      <c r="O144" s="10">
        <f t="shared" si="8"/>
        <v>2926.3</v>
      </c>
      <c r="P144" s="4">
        <v>148</v>
      </c>
      <c r="Q144" s="4" t="b">
        <v>0</v>
      </c>
      <c r="R144" s="4"/>
      <c r="S144" s="14" t="s">
        <v>20</v>
      </c>
    </row>
    <row r="145" spans="1:19">
      <c r="A145" s="6" t="s">
        <v>323</v>
      </c>
      <c r="B145" s="7" t="s">
        <v>324</v>
      </c>
      <c r="C145" s="8" t="s">
        <v>4127</v>
      </c>
      <c r="D145" s="8">
        <v>45270</v>
      </c>
      <c r="E145" s="7">
        <v>12</v>
      </c>
      <c r="F145" s="7">
        <v>10</v>
      </c>
      <c r="G145" s="7">
        <v>2023</v>
      </c>
      <c r="H145" s="8">
        <f t="shared" si="6"/>
        <v>45270</v>
      </c>
      <c r="I145" s="11">
        <v>45295</v>
      </c>
      <c r="J145" s="7">
        <f t="shared" si="7"/>
        <v>25</v>
      </c>
      <c r="K145" s="7" t="s">
        <v>41</v>
      </c>
      <c r="L145" s="7">
        <v>24419</v>
      </c>
      <c r="M145" s="7">
        <v>350</v>
      </c>
      <c r="N145" s="12">
        <v>188.11</v>
      </c>
      <c r="O145" s="12">
        <f t="shared" si="8"/>
        <v>188.11</v>
      </c>
      <c r="P145" s="7">
        <v>29</v>
      </c>
      <c r="Q145" s="7" t="b">
        <v>0</v>
      </c>
      <c r="R145" s="7">
        <v>24436</v>
      </c>
      <c r="S145" s="15" t="s">
        <v>42</v>
      </c>
    </row>
    <row r="146" spans="1:19">
      <c r="A146" s="3" t="s">
        <v>325</v>
      </c>
      <c r="B146" s="4" t="s">
        <v>326</v>
      </c>
      <c r="C146" s="5" t="s">
        <v>4127</v>
      </c>
      <c r="D146" s="5">
        <v>45267</v>
      </c>
      <c r="E146" s="4">
        <v>12</v>
      </c>
      <c r="F146" s="4">
        <v>7</v>
      </c>
      <c r="G146" s="4">
        <v>2023</v>
      </c>
      <c r="H146" s="5">
        <f t="shared" si="6"/>
        <v>45267</v>
      </c>
      <c r="I146" s="9">
        <v>45274</v>
      </c>
      <c r="J146" s="4">
        <f t="shared" si="7"/>
        <v>7</v>
      </c>
      <c r="K146" s="4" t="s">
        <v>19</v>
      </c>
      <c r="L146" s="4">
        <v>51636</v>
      </c>
      <c r="M146" s="4">
        <v>1859</v>
      </c>
      <c r="N146" s="10">
        <v>-1407.54</v>
      </c>
      <c r="O146" s="10">
        <f t="shared" si="8"/>
        <v>-344.195</v>
      </c>
      <c r="P146" s="4">
        <v>270</v>
      </c>
      <c r="Q146" s="4" t="b">
        <v>1</v>
      </c>
      <c r="R146" s="4"/>
      <c r="S146" s="14" t="s">
        <v>20</v>
      </c>
    </row>
    <row r="147" spans="1:19">
      <c r="A147" s="6" t="s">
        <v>327</v>
      </c>
      <c r="B147" s="7" t="s">
        <v>328</v>
      </c>
      <c r="C147" s="8" t="s">
        <v>4128</v>
      </c>
      <c r="D147" s="8">
        <v>45266</v>
      </c>
      <c r="E147" s="7">
        <v>12</v>
      </c>
      <c r="F147" s="7">
        <v>6</v>
      </c>
      <c r="G147" s="7">
        <v>2023</v>
      </c>
      <c r="H147" s="8">
        <f t="shared" si="6"/>
        <v>45266</v>
      </c>
      <c r="I147" s="11">
        <v>45292</v>
      </c>
      <c r="J147" s="7">
        <f t="shared" si="7"/>
        <v>26</v>
      </c>
      <c r="K147" s="7" t="s">
        <v>41</v>
      </c>
      <c r="L147" s="7">
        <v>51015</v>
      </c>
      <c r="M147" s="7">
        <v>2071</v>
      </c>
      <c r="N147" s="12">
        <v>2444.54</v>
      </c>
      <c r="O147" s="12">
        <f t="shared" si="8"/>
        <v>2444.54</v>
      </c>
      <c r="P147" s="7">
        <v>0</v>
      </c>
      <c r="Q147" s="7" t="b">
        <v>0</v>
      </c>
      <c r="R147" s="7"/>
      <c r="S147" s="15" t="s">
        <v>42</v>
      </c>
    </row>
    <row r="148" spans="1:19">
      <c r="A148" s="3" t="s">
        <v>329</v>
      </c>
      <c r="B148" s="4" t="s">
        <v>330</v>
      </c>
      <c r="C148" s="5" t="s">
        <v>4131</v>
      </c>
      <c r="D148" s="5">
        <v>45080</v>
      </c>
      <c r="E148" s="4">
        <v>6</v>
      </c>
      <c r="F148" s="4">
        <v>3</v>
      </c>
      <c r="G148" s="4">
        <v>2023</v>
      </c>
      <c r="H148" s="5">
        <f t="shared" si="6"/>
        <v>45080</v>
      </c>
      <c r="I148" s="9">
        <v>45105</v>
      </c>
      <c r="J148" s="4">
        <f t="shared" si="7"/>
        <v>25</v>
      </c>
      <c r="K148" s="4" t="s">
        <v>19</v>
      </c>
      <c r="L148" s="4">
        <v>55268</v>
      </c>
      <c r="M148" s="4">
        <v>2599</v>
      </c>
      <c r="N148" s="10">
        <v>3072.82</v>
      </c>
      <c r="O148" s="10">
        <f t="shared" si="8"/>
        <v>3072.82</v>
      </c>
      <c r="P148" s="4">
        <v>433</v>
      </c>
      <c r="Q148" s="4" t="b">
        <v>1</v>
      </c>
      <c r="R148" s="4"/>
      <c r="S148" s="14" t="s">
        <v>20</v>
      </c>
    </row>
    <row r="149" spans="1:19">
      <c r="A149" s="6" t="s">
        <v>331</v>
      </c>
      <c r="B149" s="7" t="s">
        <v>332</v>
      </c>
      <c r="C149" s="8" t="s">
        <v>4128</v>
      </c>
      <c r="D149" s="8">
        <v>45094</v>
      </c>
      <c r="E149" s="7">
        <v>6</v>
      </c>
      <c r="F149" s="7">
        <v>17</v>
      </c>
      <c r="G149" s="7">
        <v>2023</v>
      </c>
      <c r="H149" s="8">
        <f t="shared" si="6"/>
        <v>45094</v>
      </c>
      <c r="I149" s="11">
        <v>45103</v>
      </c>
      <c r="J149" s="7">
        <f t="shared" si="7"/>
        <v>9</v>
      </c>
      <c r="K149" s="7" t="s">
        <v>33</v>
      </c>
      <c r="L149" s="7">
        <v>88939</v>
      </c>
      <c r="M149" s="7">
        <v>2448</v>
      </c>
      <c r="N149" s="12">
        <v>3741.89</v>
      </c>
      <c r="O149" s="12">
        <f t="shared" si="8"/>
        <v>3632.575</v>
      </c>
      <c r="P149" s="7">
        <v>205</v>
      </c>
      <c r="Q149" s="7" t="b">
        <v>1</v>
      </c>
      <c r="R149" s="7"/>
      <c r="S149" s="15" t="s">
        <v>34</v>
      </c>
    </row>
    <row r="150" spans="1:19">
      <c r="A150" s="3" t="s">
        <v>333</v>
      </c>
      <c r="B150" s="4" t="s">
        <v>334</v>
      </c>
      <c r="C150" s="5" t="s">
        <v>4131</v>
      </c>
      <c r="D150" s="5">
        <v>44992</v>
      </c>
      <c r="E150" s="4">
        <v>3</v>
      </c>
      <c r="F150" s="4">
        <v>7</v>
      </c>
      <c r="G150" s="4">
        <v>2023</v>
      </c>
      <c r="H150" s="5">
        <f t="shared" si="6"/>
        <v>44992</v>
      </c>
      <c r="I150" s="9">
        <v>45015</v>
      </c>
      <c r="J150" s="4">
        <f t="shared" si="7"/>
        <v>23</v>
      </c>
      <c r="K150" s="4" t="s">
        <v>19</v>
      </c>
      <c r="L150" s="4">
        <v>19141</v>
      </c>
      <c r="M150" s="4">
        <v>881</v>
      </c>
      <c r="N150" s="10">
        <v>1643.35</v>
      </c>
      <c r="O150" s="10">
        <f t="shared" si="8"/>
        <v>1643.35</v>
      </c>
      <c r="P150" s="4">
        <v>67</v>
      </c>
      <c r="Q150" s="4" t="b">
        <v>1</v>
      </c>
      <c r="R150" s="4"/>
      <c r="S150" s="14" t="s">
        <v>20</v>
      </c>
    </row>
    <row r="151" spans="1:19">
      <c r="A151" s="6" t="s">
        <v>335</v>
      </c>
      <c r="B151" s="7" t="s">
        <v>336</v>
      </c>
      <c r="C151" s="8" t="s">
        <v>4127</v>
      </c>
      <c r="D151" s="8">
        <v>45121</v>
      </c>
      <c r="E151" s="7">
        <v>7</v>
      </c>
      <c r="F151" s="7">
        <v>14</v>
      </c>
      <c r="G151" s="7">
        <v>2023</v>
      </c>
      <c r="H151" s="8">
        <f t="shared" si="6"/>
        <v>45121</v>
      </c>
      <c r="I151" s="11">
        <v>45126</v>
      </c>
      <c r="J151" s="7">
        <f t="shared" si="7"/>
        <v>5</v>
      </c>
      <c r="K151" s="7" t="s">
        <v>138</v>
      </c>
      <c r="L151" s="7">
        <v>81356</v>
      </c>
      <c r="M151" s="7">
        <v>3670</v>
      </c>
      <c r="N151" s="12">
        <v>5352.87</v>
      </c>
      <c r="O151" s="12">
        <f t="shared" si="8"/>
        <v>3632.575</v>
      </c>
      <c r="P151" s="7">
        <v>660</v>
      </c>
      <c r="Q151" s="7" t="b">
        <v>1</v>
      </c>
      <c r="R151" s="7"/>
      <c r="S151" s="15" t="s">
        <v>139</v>
      </c>
    </row>
    <row r="152" spans="1:19">
      <c r="A152" s="3" t="s">
        <v>337</v>
      </c>
      <c r="B152" s="4" t="s">
        <v>338</v>
      </c>
      <c r="C152" s="5" t="s">
        <v>4128</v>
      </c>
      <c r="D152" s="5">
        <v>45242</v>
      </c>
      <c r="E152" s="4">
        <v>11</v>
      </c>
      <c r="F152" s="4">
        <v>12</v>
      </c>
      <c r="G152" s="4">
        <v>2023</v>
      </c>
      <c r="H152" s="5">
        <f t="shared" si="6"/>
        <v>45242</v>
      </c>
      <c r="I152" s="9">
        <v>45254</v>
      </c>
      <c r="J152" s="4">
        <f t="shared" si="7"/>
        <v>12</v>
      </c>
      <c r="K152" s="4" t="s">
        <v>41</v>
      </c>
      <c r="L152" s="4">
        <v>72910</v>
      </c>
      <c r="M152" s="4">
        <v>1654</v>
      </c>
      <c r="N152" s="10">
        <v>3192.72</v>
      </c>
      <c r="O152" s="10">
        <f t="shared" si="8"/>
        <v>3192.72</v>
      </c>
      <c r="P152" s="4">
        <v>192</v>
      </c>
      <c r="Q152" s="4" t="b">
        <v>1</v>
      </c>
      <c r="R152" s="4"/>
      <c r="S152" s="14" t="s">
        <v>42</v>
      </c>
    </row>
    <row r="153" spans="1:19">
      <c r="A153" s="6" t="s">
        <v>339</v>
      </c>
      <c r="B153" s="7" t="s">
        <v>340</v>
      </c>
      <c r="C153" s="8" t="s">
        <v>4131</v>
      </c>
      <c r="D153" s="8">
        <v>44927</v>
      </c>
      <c r="E153" s="7">
        <v>1</v>
      </c>
      <c r="F153" s="7">
        <v>1</v>
      </c>
      <c r="G153" s="7">
        <v>2023</v>
      </c>
      <c r="H153" s="8">
        <f t="shared" si="6"/>
        <v>44927</v>
      </c>
      <c r="I153" s="11">
        <v>44955</v>
      </c>
      <c r="J153" s="7">
        <f t="shared" si="7"/>
        <v>28</v>
      </c>
      <c r="K153" s="7" t="s">
        <v>23</v>
      </c>
      <c r="L153" s="7">
        <v>57044</v>
      </c>
      <c r="M153" s="7">
        <v>2553</v>
      </c>
      <c r="N153" s="12">
        <v>4652.65</v>
      </c>
      <c r="O153" s="12">
        <f t="shared" si="8"/>
        <v>3632.575</v>
      </c>
      <c r="P153" s="7">
        <v>180</v>
      </c>
      <c r="Q153" s="7" t="b">
        <v>1</v>
      </c>
      <c r="R153" s="7"/>
      <c r="S153" s="15" t="s">
        <v>59</v>
      </c>
    </row>
    <row r="154" spans="1:19">
      <c r="A154" s="3" t="s">
        <v>341</v>
      </c>
      <c r="B154" s="4" t="s">
        <v>342</v>
      </c>
      <c r="C154" s="5" t="s">
        <v>4129</v>
      </c>
      <c r="D154" s="5">
        <v>45223</v>
      </c>
      <c r="E154" s="4">
        <v>10</v>
      </c>
      <c r="F154" s="4">
        <v>24</v>
      </c>
      <c r="G154" s="4">
        <v>2023</v>
      </c>
      <c r="H154" s="5">
        <f t="shared" si="6"/>
        <v>45223</v>
      </c>
      <c r="I154" s="9">
        <v>45248</v>
      </c>
      <c r="J154" s="4">
        <f t="shared" si="7"/>
        <v>25</v>
      </c>
      <c r="K154" s="4" t="s">
        <v>14</v>
      </c>
      <c r="L154" s="4">
        <v>68214</v>
      </c>
      <c r="M154" s="4">
        <v>1707</v>
      </c>
      <c r="N154" s="10">
        <v>2350.11</v>
      </c>
      <c r="O154" s="10">
        <f t="shared" si="8"/>
        <v>2350.11</v>
      </c>
      <c r="P154" s="4">
        <v>306</v>
      </c>
      <c r="Q154" s="4" t="b">
        <v>1</v>
      </c>
      <c r="R154" s="4"/>
      <c r="S154" s="14" t="s">
        <v>16</v>
      </c>
    </row>
    <row r="155" spans="1:19">
      <c r="A155" s="6" t="s">
        <v>343</v>
      </c>
      <c r="B155" s="7" t="s">
        <v>344</v>
      </c>
      <c r="C155" s="8" t="s">
        <v>4128</v>
      </c>
      <c r="D155" s="8">
        <v>45153</v>
      </c>
      <c r="E155" s="7">
        <v>8</v>
      </c>
      <c r="F155" s="7">
        <v>15</v>
      </c>
      <c r="G155" s="7">
        <v>2023</v>
      </c>
      <c r="H155" s="8">
        <f t="shared" si="6"/>
        <v>45153</v>
      </c>
      <c r="I155" s="11">
        <v>45155</v>
      </c>
      <c r="J155" s="7">
        <f t="shared" si="7"/>
        <v>2</v>
      </c>
      <c r="K155" s="7" t="s">
        <v>14</v>
      </c>
      <c r="L155" s="7">
        <v>34827</v>
      </c>
      <c r="M155" s="7">
        <v>761</v>
      </c>
      <c r="N155" s="12">
        <v>1332.27</v>
      </c>
      <c r="O155" s="12">
        <f t="shared" si="8"/>
        <v>1332.27</v>
      </c>
      <c r="P155" s="7">
        <v>131</v>
      </c>
      <c r="Q155" s="7" t="b">
        <v>0</v>
      </c>
      <c r="R155" s="7"/>
      <c r="S155" s="15" t="s">
        <v>16</v>
      </c>
    </row>
    <row r="156" spans="1:19">
      <c r="A156" s="3" t="s">
        <v>345</v>
      </c>
      <c r="B156" s="4" t="s">
        <v>346</v>
      </c>
      <c r="C156" s="5" t="s">
        <v>4128</v>
      </c>
      <c r="D156" s="5">
        <v>45169</v>
      </c>
      <c r="E156" s="4">
        <v>8</v>
      </c>
      <c r="F156" s="4">
        <v>31</v>
      </c>
      <c r="G156" s="4">
        <v>2023</v>
      </c>
      <c r="H156" s="5">
        <f t="shared" si="6"/>
        <v>45169</v>
      </c>
      <c r="I156" s="9">
        <v>45185</v>
      </c>
      <c r="J156" s="4">
        <f t="shared" si="7"/>
        <v>16</v>
      </c>
      <c r="K156" s="4" t="s">
        <v>19</v>
      </c>
      <c r="L156" s="4">
        <v>56820</v>
      </c>
      <c r="M156" s="4">
        <v>2043</v>
      </c>
      <c r="N156" s="10">
        <v>2990.68</v>
      </c>
      <c r="O156" s="10">
        <f t="shared" si="8"/>
        <v>2990.68</v>
      </c>
      <c r="P156" s="4">
        <v>403</v>
      </c>
      <c r="Q156" s="4" t="b">
        <v>1</v>
      </c>
      <c r="R156" s="4"/>
      <c r="S156" s="14" t="s">
        <v>68</v>
      </c>
    </row>
    <row r="157" spans="1:19">
      <c r="A157" s="6" t="s">
        <v>347</v>
      </c>
      <c r="B157" s="7" t="s">
        <v>348</v>
      </c>
      <c r="C157" s="8" t="s">
        <v>4128</v>
      </c>
      <c r="D157" s="8">
        <v>45013</v>
      </c>
      <c r="E157" s="7">
        <v>3</v>
      </c>
      <c r="F157" s="7">
        <v>28</v>
      </c>
      <c r="G157" s="7">
        <v>2023</v>
      </c>
      <c r="H157" s="8">
        <f t="shared" si="6"/>
        <v>45013</v>
      </c>
      <c r="I157" s="11">
        <v>45021</v>
      </c>
      <c r="J157" s="7">
        <f t="shared" si="7"/>
        <v>8</v>
      </c>
      <c r="K157" s="7" t="s">
        <v>19</v>
      </c>
      <c r="L157" s="7">
        <v>63623</v>
      </c>
      <c r="M157" s="7">
        <v>1471</v>
      </c>
      <c r="N157" s="12">
        <v>908.84</v>
      </c>
      <c r="O157" s="12">
        <f t="shared" si="8"/>
        <v>908.84</v>
      </c>
      <c r="P157" s="7">
        <v>274</v>
      </c>
      <c r="Q157" s="7" t="b">
        <v>1</v>
      </c>
      <c r="R157" s="7"/>
      <c r="S157" s="15" t="s">
        <v>20</v>
      </c>
    </row>
    <row r="158" spans="1:19">
      <c r="A158" s="3" t="s">
        <v>349</v>
      </c>
      <c r="B158" s="4" t="s">
        <v>350</v>
      </c>
      <c r="C158" s="5" t="s">
        <v>4128</v>
      </c>
      <c r="D158" s="5">
        <v>45266</v>
      </c>
      <c r="E158" s="4">
        <v>12</v>
      </c>
      <c r="F158" s="4">
        <v>6</v>
      </c>
      <c r="G158" s="4">
        <v>2023</v>
      </c>
      <c r="H158" s="5">
        <f t="shared" si="6"/>
        <v>45266</v>
      </c>
      <c r="I158" s="9">
        <v>45261</v>
      </c>
      <c r="J158" s="4">
        <f t="shared" si="7"/>
        <v>-5</v>
      </c>
      <c r="K158" s="4" t="s">
        <v>14</v>
      </c>
      <c r="L158" s="4">
        <v>82734</v>
      </c>
      <c r="M158" s="4">
        <v>2912</v>
      </c>
      <c r="N158" s="10">
        <v>4690.79</v>
      </c>
      <c r="O158" s="10">
        <f t="shared" si="8"/>
        <v>3632.575</v>
      </c>
      <c r="P158" s="4">
        <v>0</v>
      </c>
      <c r="Q158" s="4" t="b">
        <v>1</v>
      </c>
      <c r="R158" s="4">
        <v>82765</v>
      </c>
      <c r="S158" s="14" t="s">
        <v>16</v>
      </c>
    </row>
    <row r="159" spans="1:19">
      <c r="A159" s="6" t="s">
        <v>351</v>
      </c>
      <c r="B159" s="7" t="s">
        <v>352</v>
      </c>
      <c r="C159" s="8" t="s">
        <v>4129</v>
      </c>
      <c r="D159" s="8">
        <v>45047</v>
      </c>
      <c r="E159" s="7">
        <v>5</v>
      </c>
      <c r="F159" s="7">
        <v>1</v>
      </c>
      <c r="G159" s="7">
        <v>2023</v>
      </c>
      <c r="H159" s="8">
        <f t="shared" si="6"/>
        <v>45047</v>
      </c>
      <c r="I159" s="11">
        <v>45068</v>
      </c>
      <c r="J159" s="7">
        <f t="shared" si="7"/>
        <v>21</v>
      </c>
      <c r="K159" s="7" t="s">
        <v>23</v>
      </c>
      <c r="L159" s="7">
        <v>76450</v>
      </c>
      <c r="M159" s="7">
        <v>2629</v>
      </c>
      <c r="N159" s="12">
        <v>1688.77</v>
      </c>
      <c r="O159" s="12">
        <f t="shared" si="8"/>
        <v>1688.77</v>
      </c>
      <c r="P159" s="7">
        <v>0</v>
      </c>
      <c r="Q159" s="7" t="b">
        <v>1</v>
      </c>
      <c r="R159" s="7"/>
      <c r="S159" s="15" t="s">
        <v>68</v>
      </c>
    </row>
    <row r="160" spans="1:19">
      <c r="A160" s="3" t="s">
        <v>353</v>
      </c>
      <c r="B160" s="4" t="s">
        <v>354</v>
      </c>
      <c r="C160" s="5" t="s">
        <v>4129</v>
      </c>
      <c r="D160" s="5">
        <v>45028</v>
      </c>
      <c r="E160" s="4">
        <v>4</v>
      </c>
      <c r="F160" s="4">
        <v>12</v>
      </c>
      <c r="G160" s="4">
        <v>2023</v>
      </c>
      <c r="H160" s="5">
        <f t="shared" si="6"/>
        <v>45028</v>
      </c>
      <c r="I160" s="9">
        <v>45265</v>
      </c>
      <c r="J160" s="4">
        <f t="shared" si="7"/>
        <v>237</v>
      </c>
      <c r="K160" s="4" t="s">
        <v>41</v>
      </c>
      <c r="L160" s="4">
        <v>94426</v>
      </c>
      <c r="M160" s="4">
        <v>3072</v>
      </c>
      <c r="N160" s="10">
        <v>4273.53</v>
      </c>
      <c r="O160" s="10">
        <f t="shared" si="8"/>
        <v>3632.575</v>
      </c>
      <c r="P160" s="4">
        <v>201</v>
      </c>
      <c r="Q160" s="4" t="b">
        <v>1</v>
      </c>
      <c r="R160" s="4"/>
      <c r="S160" s="14" t="s">
        <v>42</v>
      </c>
    </row>
    <row r="161" spans="1:19">
      <c r="A161" s="6" t="s">
        <v>355</v>
      </c>
      <c r="B161" s="7" t="s">
        <v>356</v>
      </c>
      <c r="C161" s="8" t="s">
        <v>4131</v>
      </c>
      <c r="D161" s="8">
        <v>45170</v>
      </c>
      <c r="E161" s="7">
        <v>9</v>
      </c>
      <c r="F161" s="7">
        <v>1</v>
      </c>
      <c r="G161" s="7">
        <v>2023</v>
      </c>
      <c r="H161" s="8">
        <f t="shared" si="6"/>
        <v>45170</v>
      </c>
      <c r="I161" s="11">
        <v>45181</v>
      </c>
      <c r="J161" s="7">
        <f t="shared" si="7"/>
        <v>11</v>
      </c>
      <c r="K161" s="7" t="s">
        <v>41</v>
      </c>
      <c r="L161" s="7">
        <v>23299</v>
      </c>
      <c r="M161" s="7">
        <v>587</v>
      </c>
      <c r="N161" s="12">
        <v>912.17</v>
      </c>
      <c r="O161" s="12">
        <f t="shared" si="8"/>
        <v>912.17</v>
      </c>
      <c r="P161" s="7">
        <v>79</v>
      </c>
      <c r="Q161" s="7" t="b">
        <v>1</v>
      </c>
      <c r="R161" s="7"/>
      <c r="S161" s="15" t="s">
        <v>42</v>
      </c>
    </row>
    <row r="162" spans="1:19">
      <c r="A162" s="3" t="s">
        <v>357</v>
      </c>
      <c r="B162" s="4" t="s">
        <v>358</v>
      </c>
      <c r="C162" s="5" t="s">
        <v>4129</v>
      </c>
      <c r="D162" s="5">
        <v>45160</v>
      </c>
      <c r="E162" s="4">
        <v>8</v>
      </c>
      <c r="F162" s="4">
        <v>22</v>
      </c>
      <c r="G162" s="4">
        <v>2023</v>
      </c>
      <c r="H162" s="5">
        <f t="shared" si="6"/>
        <v>45160</v>
      </c>
      <c r="I162" s="9">
        <v>45172</v>
      </c>
      <c r="J162" s="4">
        <f t="shared" si="7"/>
        <v>12</v>
      </c>
      <c r="K162" s="4" t="s">
        <v>19</v>
      </c>
      <c r="L162" s="4">
        <v>44585</v>
      </c>
      <c r="M162" s="4">
        <v>1424</v>
      </c>
      <c r="N162" s="10">
        <v>854.1</v>
      </c>
      <c r="O162" s="10">
        <f t="shared" si="8"/>
        <v>854.1</v>
      </c>
      <c r="P162" s="4">
        <v>184</v>
      </c>
      <c r="Q162" s="4" t="b">
        <v>0</v>
      </c>
      <c r="R162" s="4"/>
      <c r="S162" s="14" t="s">
        <v>68</v>
      </c>
    </row>
    <row r="163" spans="1:19">
      <c r="A163" s="6" t="s">
        <v>359</v>
      </c>
      <c r="B163" s="7" t="s">
        <v>360</v>
      </c>
      <c r="C163" s="8" t="s">
        <v>4129</v>
      </c>
      <c r="D163" s="8">
        <v>45026</v>
      </c>
      <c r="E163" s="7">
        <v>4</v>
      </c>
      <c r="F163" s="7">
        <v>10</v>
      </c>
      <c r="G163" s="7">
        <v>2023</v>
      </c>
      <c r="H163" s="8">
        <f t="shared" si="6"/>
        <v>45026</v>
      </c>
      <c r="I163" s="11">
        <v>45053</v>
      </c>
      <c r="J163" s="7">
        <f t="shared" si="7"/>
        <v>27</v>
      </c>
      <c r="K163" s="7" t="s">
        <v>41</v>
      </c>
      <c r="L163" s="7">
        <v>65044</v>
      </c>
      <c r="M163" s="7">
        <v>2202</v>
      </c>
      <c r="N163" s="12">
        <v>1863.31</v>
      </c>
      <c r="O163" s="12">
        <f t="shared" si="8"/>
        <v>1863.31</v>
      </c>
      <c r="P163" s="7">
        <v>261</v>
      </c>
      <c r="Q163" s="7" t="b">
        <v>0</v>
      </c>
      <c r="R163" s="7"/>
      <c r="S163" s="15" t="s">
        <v>42</v>
      </c>
    </row>
    <row r="164" spans="1:19">
      <c r="A164" s="3" t="s">
        <v>361</v>
      </c>
      <c r="B164" s="4" t="s">
        <v>362</v>
      </c>
      <c r="C164" s="5" t="s">
        <v>4131</v>
      </c>
      <c r="D164" s="5">
        <v>45131</v>
      </c>
      <c r="E164" s="4">
        <v>7</v>
      </c>
      <c r="F164" s="4">
        <v>24</v>
      </c>
      <c r="G164" s="4">
        <v>2023</v>
      </c>
      <c r="H164" s="5">
        <f t="shared" si="6"/>
        <v>45131</v>
      </c>
      <c r="I164" s="9">
        <v>45151</v>
      </c>
      <c r="J164" s="4">
        <f t="shared" si="7"/>
        <v>20</v>
      </c>
      <c r="K164" s="4" t="s">
        <v>138</v>
      </c>
      <c r="L164" s="4">
        <v>43557</v>
      </c>
      <c r="M164" s="4">
        <v>1386</v>
      </c>
      <c r="N164" s="10">
        <v>2596.68</v>
      </c>
      <c r="O164" s="10">
        <f t="shared" si="8"/>
        <v>2596.68</v>
      </c>
      <c r="P164" s="4">
        <v>151</v>
      </c>
      <c r="Q164" s="4" t="b">
        <v>1</v>
      </c>
      <c r="R164" s="4"/>
      <c r="S164" s="14" t="s">
        <v>68</v>
      </c>
    </row>
    <row r="165" spans="1:19">
      <c r="A165" s="6" t="s">
        <v>363</v>
      </c>
      <c r="B165" s="7" t="s">
        <v>364</v>
      </c>
      <c r="C165" s="8" t="s">
        <v>4128</v>
      </c>
      <c r="D165" s="8">
        <v>44929</v>
      </c>
      <c r="E165" s="7">
        <v>1</v>
      </c>
      <c r="F165" s="7">
        <v>3</v>
      </c>
      <c r="G165" s="7">
        <v>2023</v>
      </c>
      <c r="H165" s="8">
        <f t="shared" si="6"/>
        <v>44929</v>
      </c>
      <c r="I165" s="11">
        <v>44945</v>
      </c>
      <c r="J165" s="7">
        <f t="shared" si="7"/>
        <v>16</v>
      </c>
      <c r="K165" s="7" t="s">
        <v>41</v>
      </c>
      <c r="L165" s="7">
        <v>50080</v>
      </c>
      <c r="M165" s="7">
        <v>1391</v>
      </c>
      <c r="N165" s="12">
        <v>1981.44</v>
      </c>
      <c r="O165" s="12">
        <f t="shared" si="8"/>
        <v>1981.44</v>
      </c>
      <c r="P165" s="7">
        <v>159</v>
      </c>
      <c r="Q165" s="7" t="b">
        <v>1</v>
      </c>
      <c r="R165" s="7"/>
      <c r="S165" s="15" t="s">
        <v>42</v>
      </c>
    </row>
    <row r="166" spans="1:19">
      <c r="A166" s="3" t="s">
        <v>365</v>
      </c>
      <c r="B166" s="4" t="s">
        <v>366</v>
      </c>
      <c r="C166" s="5" t="s">
        <v>4127</v>
      </c>
      <c r="D166" s="5">
        <v>44981</v>
      </c>
      <c r="E166" s="4">
        <v>2</v>
      </c>
      <c r="F166" s="4">
        <v>24</v>
      </c>
      <c r="G166" s="4">
        <v>2023</v>
      </c>
      <c r="H166" s="5">
        <f t="shared" si="6"/>
        <v>44981</v>
      </c>
      <c r="I166" s="9">
        <v>44999</v>
      </c>
      <c r="J166" s="4">
        <f t="shared" si="7"/>
        <v>18</v>
      </c>
      <c r="K166" s="4" t="s">
        <v>33</v>
      </c>
      <c r="L166" s="4">
        <v>3693</v>
      </c>
      <c r="M166" s="4">
        <v>39</v>
      </c>
      <c r="N166" s="10">
        <v>33.91</v>
      </c>
      <c r="O166" s="10">
        <f t="shared" si="8"/>
        <v>33.91</v>
      </c>
      <c r="P166" s="4">
        <v>0</v>
      </c>
      <c r="Q166" s="4" t="b">
        <v>0</v>
      </c>
      <c r="R166" s="4"/>
      <c r="S166" s="14" t="s">
        <v>34</v>
      </c>
    </row>
    <row r="167" spans="1:19">
      <c r="A167" s="6" t="s">
        <v>367</v>
      </c>
      <c r="B167" s="7" t="s">
        <v>368</v>
      </c>
      <c r="C167" s="8" t="s">
        <v>4129</v>
      </c>
      <c r="D167" s="8">
        <v>45283</v>
      </c>
      <c r="E167" s="7">
        <v>12</v>
      </c>
      <c r="F167" s="7">
        <v>23</v>
      </c>
      <c r="G167" s="7">
        <v>2023</v>
      </c>
      <c r="H167" s="8">
        <f t="shared" si="6"/>
        <v>45283</v>
      </c>
      <c r="I167" s="11">
        <v>45288</v>
      </c>
      <c r="J167" s="7">
        <f t="shared" si="7"/>
        <v>5</v>
      </c>
      <c r="K167" s="7" t="s">
        <v>14</v>
      </c>
      <c r="L167" s="7">
        <v>96003</v>
      </c>
      <c r="M167" s="7">
        <v>3214</v>
      </c>
      <c r="N167" s="12">
        <v>4936.77</v>
      </c>
      <c r="O167" s="12">
        <f t="shared" si="8"/>
        <v>3632.575</v>
      </c>
      <c r="P167" s="7">
        <v>161</v>
      </c>
      <c r="Q167" s="7" t="b">
        <v>1</v>
      </c>
      <c r="R167" s="7"/>
      <c r="S167" s="15" t="s">
        <v>16</v>
      </c>
    </row>
    <row r="168" spans="1:19">
      <c r="A168" s="3" t="s">
        <v>369</v>
      </c>
      <c r="B168" s="4" t="s">
        <v>370</v>
      </c>
      <c r="C168" s="5" t="s">
        <v>4127</v>
      </c>
      <c r="D168" s="5">
        <v>45054</v>
      </c>
      <c r="E168" s="4">
        <v>5</v>
      </c>
      <c r="F168" s="4">
        <v>8</v>
      </c>
      <c r="G168" s="4">
        <v>2023</v>
      </c>
      <c r="H168" s="5">
        <f t="shared" si="6"/>
        <v>45054</v>
      </c>
      <c r="I168" s="9">
        <v>45080</v>
      </c>
      <c r="J168" s="4">
        <f t="shared" si="7"/>
        <v>26</v>
      </c>
      <c r="K168" s="4" t="s">
        <v>41</v>
      </c>
      <c r="L168" s="4">
        <v>96259</v>
      </c>
      <c r="M168" s="4">
        <v>1611</v>
      </c>
      <c r="N168" s="10">
        <v>2247.61</v>
      </c>
      <c r="O168" s="10">
        <f t="shared" si="8"/>
        <v>2247.61</v>
      </c>
      <c r="P168" s="4">
        <v>143</v>
      </c>
      <c r="Q168" s="4" t="b">
        <v>1</v>
      </c>
      <c r="R168" s="4"/>
      <c r="S168" s="14" t="s">
        <v>42</v>
      </c>
    </row>
    <row r="169" spans="1:19">
      <c r="A169" s="6" t="s">
        <v>371</v>
      </c>
      <c r="B169" s="7" t="s">
        <v>372</v>
      </c>
      <c r="C169" s="8" t="s">
        <v>4129</v>
      </c>
      <c r="D169" s="8">
        <v>44995</v>
      </c>
      <c r="E169" s="7">
        <v>3</v>
      </c>
      <c r="F169" s="7">
        <v>10</v>
      </c>
      <c r="G169" s="7">
        <v>2023</v>
      </c>
      <c r="H169" s="8">
        <f t="shared" si="6"/>
        <v>44995</v>
      </c>
      <c r="I169" s="11">
        <v>45004</v>
      </c>
      <c r="J169" s="7">
        <f t="shared" si="7"/>
        <v>9</v>
      </c>
      <c r="K169" s="7" t="s">
        <v>19</v>
      </c>
      <c r="L169" s="7">
        <v>70163</v>
      </c>
      <c r="M169" s="7">
        <v>2505</v>
      </c>
      <c r="N169" s="12">
        <v>3137.17</v>
      </c>
      <c r="O169" s="12">
        <f t="shared" si="8"/>
        <v>3137.17</v>
      </c>
      <c r="P169" s="7">
        <v>0</v>
      </c>
      <c r="Q169" s="7" t="b">
        <v>1</v>
      </c>
      <c r="R169" s="7"/>
      <c r="S169" s="15" t="s">
        <v>20</v>
      </c>
    </row>
    <row r="170" spans="1:19">
      <c r="A170" s="3" t="s">
        <v>373</v>
      </c>
      <c r="B170" s="4" t="s">
        <v>374</v>
      </c>
      <c r="C170" s="5" t="s">
        <v>4128</v>
      </c>
      <c r="D170" s="5">
        <v>45213</v>
      </c>
      <c r="E170" s="4">
        <v>10</v>
      </c>
      <c r="F170" s="4">
        <v>14</v>
      </c>
      <c r="G170" s="4">
        <v>2023</v>
      </c>
      <c r="H170" s="5">
        <f t="shared" si="6"/>
        <v>45213</v>
      </c>
      <c r="I170" s="9">
        <v>45224</v>
      </c>
      <c r="J170" s="4">
        <f t="shared" si="7"/>
        <v>11</v>
      </c>
      <c r="K170" s="4" t="s">
        <v>41</v>
      </c>
      <c r="L170" s="4">
        <v>26939</v>
      </c>
      <c r="M170" s="4">
        <v>1087</v>
      </c>
      <c r="N170" s="10">
        <v>2135.17</v>
      </c>
      <c r="O170" s="10">
        <f t="shared" si="8"/>
        <v>2135.17</v>
      </c>
      <c r="P170" s="4">
        <v>172</v>
      </c>
      <c r="Q170" s="4" t="b">
        <v>1</v>
      </c>
      <c r="R170" s="4"/>
      <c r="S170" s="14" t="s">
        <v>42</v>
      </c>
    </row>
    <row r="171" spans="1:19">
      <c r="A171" s="6" t="s">
        <v>375</v>
      </c>
      <c r="B171" s="7" t="s">
        <v>376</v>
      </c>
      <c r="C171" s="8" t="s">
        <v>4128</v>
      </c>
      <c r="D171" s="8">
        <v>45153</v>
      </c>
      <c r="E171" s="7">
        <v>8</v>
      </c>
      <c r="F171" s="7">
        <v>15</v>
      </c>
      <c r="G171" s="7">
        <v>2023</v>
      </c>
      <c r="H171" s="8">
        <f t="shared" si="6"/>
        <v>45153</v>
      </c>
      <c r="I171" s="11">
        <v>45169</v>
      </c>
      <c r="J171" s="7">
        <f t="shared" si="7"/>
        <v>16</v>
      </c>
      <c r="K171" s="7" t="s">
        <v>14</v>
      </c>
      <c r="L171" s="7">
        <v>49925</v>
      </c>
      <c r="M171" s="7">
        <v>1498</v>
      </c>
      <c r="N171" s="12">
        <v>2284.72</v>
      </c>
      <c r="O171" s="12">
        <f t="shared" si="8"/>
        <v>2284.72</v>
      </c>
      <c r="P171" s="7">
        <v>114</v>
      </c>
      <c r="Q171" s="7" t="b">
        <v>1</v>
      </c>
      <c r="R171" s="7"/>
      <c r="S171" s="15" t="s">
        <v>16</v>
      </c>
    </row>
    <row r="172" spans="1:19">
      <c r="A172" s="3" t="s">
        <v>377</v>
      </c>
      <c r="B172" s="4" t="s">
        <v>378</v>
      </c>
      <c r="C172" s="5" t="s">
        <v>4131</v>
      </c>
      <c r="D172" s="5">
        <v>45185</v>
      </c>
      <c r="E172" s="4">
        <v>9</v>
      </c>
      <c r="F172" s="4">
        <v>16</v>
      </c>
      <c r="G172" s="4">
        <v>2023</v>
      </c>
      <c r="H172" s="5">
        <f t="shared" si="6"/>
        <v>45185</v>
      </c>
      <c r="I172" s="9">
        <v>45196</v>
      </c>
      <c r="J172" s="4">
        <f t="shared" si="7"/>
        <v>11</v>
      </c>
      <c r="K172" s="4" t="s">
        <v>138</v>
      </c>
      <c r="L172" s="4">
        <v>43941</v>
      </c>
      <c r="M172" s="4">
        <v>1392</v>
      </c>
      <c r="N172" s="10">
        <v>1479.92</v>
      </c>
      <c r="O172" s="10">
        <f t="shared" si="8"/>
        <v>1479.92</v>
      </c>
      <c r="P172" s="4">
        <v>183</v>
      </c>
      <c r="Q172" s="4" t="b">
        <v>1</v>
      </c>
      <c r="R172" s="4"/>
      <c r="S172" s="14" t="s">
        <v>139</v>
      </c>
    </row>
    <row r="173" spans="1:19">
      <c r="A173" s="6" t="s">
        <v>379</v>
      </c>
      <c r="B173" s="7" t="s">
        <v>380</v>
      </c>
      <c r="C173" s="8" t="s">
        <v>4129</v>
      </c>
      <c r="D173" s="8">
        <v>45155</v>
      </c>
      <c r="E173" s="7">
        <v>8</v>
      </c>
      <c r="F173" s="7">
        <v>17</v>
      </c>
      <c r="G173" s="7">
        <v>2023</v>
      </c>
      <c r="H173" s="8">
        <f t="shared" si="6"/>
        <v>45155</v>
      </c>
      <c r="I173" s="11">
        <v>45175</v>
      </c>
      <c r="J173" s="7">
        <f t="shared" si="7"/>
        <v>20</v>
      </c>
      <c r="K173" s="7" t="s">
        <v>19</v>
      </c>
      <c r="L173" s="7">
        <v>22834</v>
      </c>
      <c r="M173" s="7">
        <v>1097</v>
      </c>
      <c r="N173" s="12">
        <v>1865.02</v>
      </c>
      <c r="O173" s="12">
        <f t="shared" si="8"/>
        <v>1865.02</v>
      </c>
      <c r="P173" s="7">
        <v>172</v>
      </c>
      <c r="Q173" s="7" t="b">
        <v>0</v>
      </c>
      <c r="R173" s="7"/>
      <c r="S173" s="15" t="s">
        <v>20</v>
      </c>
    </row>
    <row r="174" spans="1:19">
      <c r="A174" s="3" t="s">
        <v>381</v>
      </c>
      <c r="B174" s="4" t="s">
        <v>382</v>
      </c>
      <c r="C174" s="5" t="s">
        <v>4131</v>
      </c>
      <c r="D174" s="5">
        <v>45170</v>
      </c>
      <c r="E174" s="4">
        <v>9</v>
      </c>
      <c r="F174" s="4">
        <v>1</v>
      </c>
      <c r="G174" s="4">
        <v>2023</v>
      </c>
      <c r="H174" s="5">
        <f t="shared" si="6"/>
        <v>45170</v>
      </c>
      <c r="I174" s="9">
        <v>45199</v>
      </c>
      <c r="J174" s="4">
        <f t="shared" si="7"/>
        <v>29</v>
      </c>
      <c r="K174" s="4" t="s">
        <v>23</v>
      </c>
      <c r="L174" s="4">
        <v>19047</v>
      </c>
      <c r="M174" s="4">
        <v>835</v>
      </c>
      <c r="N174" s="10">
        <v>1525.44</v>
      </c>
      <c r="O174" s="10">
        <f t="shared" si="8"/>
        <v>1525.44</v>
      </c>
      <c r="P174" s="4">
        <v>97</v>
      </c>
      <c r="Q174" s="4" t="b">
        <v>1</v>
      </c>
      <c r="R174" s="4"/>
      <c r="S174" s="14" t="s">
        <v>25</v>
      </c>
    </row>
    <row r="175" spans="1:19">
      <c r="A175" s="6" t="s">
        <v>383</v>
      </c>
      <c r="B175" s="7" t="s">
        <v>384</v>
      </c>
      <c r="C175" s="8" t="s">
        <v>4127</v>
      </c>
      <c r="D175" s="8">
        <v>45253</v>
      </c>
      <c r="E175" s="7">
        <v>11</v>
      </c>
      <c r="F175" s="7">
        <v>23</v>
      </c>
      <c r="G175" s="7">
        <v>2023</v>
      </c>
      <c r="H175" s="8">
        <f t="shared" si="6"/>
        <v>45253</v>
      </c>
      <c r="I175" s="11">
        <v>45271</v>
      </c>
      <c r="J175" s="7">
        <f t="shared" si="7"/>
        <v>18</v>
      </c>
      <c r="K175" s="7" t="s">
        <v>14</v>
      </c>
      <c r="L175" s="7">
        <v>27105</v>
      </c>
      <c r="M175" s="7">
        <v>1262</v>
      </c>
      <c r="N175" s="12">
        <v>868.04</v>
      </c>
      <c r="O175" s="12">
        <f t="shared" si="8"/>
        <v>868.04</v>
      </c>
      <c r="P175" s="7">
        <v>68</v>
      </c>
      <c r="Q175" s="7" t="b">
        <v>1</v>
      </c>
      <c r="R175" s="7"/>
      <c r="S175" s="15" t="s">
        <v>16</v>
      </c>
    </row>
    <row r="176" spans="1:19">
      <c r="A176" s="3" t="s">
        <v>385</v>
      </c>
      <c r="B176" s="4" t="s">
        <v>386</v>
      </c>
      <c r="C176" s="5" t="s">
        <v>4131</v>
      </c>
      <c r="D176" s="5">
        <v>45175</v>
      </c>
      <c r="E176" s="4">
        <v>9</v>
      </c>
      <c r="F176" s="4">
        <v>6</v>
      </c>
      <c r="G176" s="4">
        <v>2023</v>
      </c>
      <c r="H176" s="5">
        <f t="shared" si="6"/>
        <v>45175</v>
      </c>
      <c r="I176" s="9">
        <v>45182</v>
      </c>
      <c r="J176" s="4">
        <f t="shared" si="7"/>
        <v>7</v>
      </c>
      <c r="K176" s="4" t="s">
        <v>23</v>
      </c>
      <c r="L176" s="4">
        <v>76766</v>
      </c>
      <c r="M176" s="4">
        <v>3266</v>
      </c>
      <c r="N176" s="10">
        <v>2615.51</v>
      </c>
      <c r="O176" s="10">
        <f t="shared" si="8"/>
        <v>2615.51</v>
      </c>
      <c r="P176" s="4">
        <v>383</v>
      </c>
      <c r="Q176" s="4" t="b">
        <v>1</v>
      </c>
      <c r="R176" s="4"/>
      <c r="S176" s="14" t="s">
        <v>25</v>
      </c>
    </row>
    <row r="177" spans="1:19">
      <c r="A177" s="6" t="s">
        <v>387</v>
      </c>
      <c r="B177" s="7" t="s">
        <v>388</v>
      </c>
      <c r="C177" s="8" t="s">
        <v>4128</v>
      </c>
      <c r="D177" s="8">
        <v>44966</v>
      </c>
      <c r="E177" s="7">
        <v>2</v>
      </c>
      <c r="F177" s="7">
        <v>9</v>
      </c>
      <c r="G177" s="7">
        <v>2023</v>
      </c>
      <c r="H177" s="8">
        <f t="shared" si="6"/>
        <v>44966</v>
      </c>
      <c r="I177" s="11">
        <v>44993</v>
      </c>
      <c r="J177" s="7">
        <f t="shared" si="7"/>
        <v>27</v>
      </c>
      <c r="K177" s="7" t="s">
        <v>14</v>
      </c>
      <c r="L177" s="7">
        <v>16707</v>
      </c>
      <c r="M177" s="7">
        <v>239</v>
      </c>
      <c r="N177" s="12">
        <v>197.02</v>
      </c>
      <c r="O177" s="12">
        <f t="shared" si="8"/>
        <v>197.02</v>
      </c>
      <c r="P177" s="7">
        <v>22</v>
      </c>
      <c r="Q177" s="7" t="b">
        <v>0</v>
      </c>
      <c r="R177" s="7"/>
      <c r="S177" s="15" t="s">
        <v>16</v>
      </c>
    </row>
    <row r="178" spans="1:19">
      <c r="A178" s="3" t="s">
        <v>389</v>
      </c>
      <c r="B178" s="4" t="s">
        <v>390</v>
      </c>
      <c r="C178" s="5" t="s">
        <v>4128</v>
      </c>
      <c r="D178" s="5">
        <v>45098</v>
      </c>
      <c r="E178" s="4">
        <v>6</v>
      </c>
      <c r="F178" s="4">
        <v>21</v>
      </c>
      <c r="G178" s="4">
        <v>2023</v>
      </c>
      <c r="H178" s="5">
        <f t="shared" si="6"/>
        <v>45098</v>
      </c>
      <c r="I178" s="9">
        <v>45124</v>
      </c>
      <c r="J178" s="4">
        <f t="shared" si="7"/>
        <v>26</v>
      </c>
      <c r="K178" s="4" t="s">
        <v>14</v>
      </c>
      <c r="L178" s="4">
        <v>22976</v>
      </c>
      <c r="M178" s="4">
        <v>366</v>
      </c>
      <c r="N178" s="10">
        <v>562.48</v>
      </c>
      <c r="O178" s="10">
        <f t="shared" si="8"/>
        <v>562.48</v>
      </c>
      <c r="P178" s="4">
        <v>0</v>
      </c>
      <c r="Q178" s="4" t="b">
        <v>0</v>
      </c>
      <c r="R178" s="4"/>
      <c r="S178" s="14" t="s">
        <v>16</v>
      </c>
    </row>
    <row r="179" spans="1:19">
      <c r="A179" s="6" t="s">
        <v>391</v>
      </c>
      <c r="B179" s="7" t="s">
        <v>392</v>
      </c>
      <c r="C179" s="8" t="s">
        <v>4131</v>
      </c>
      <c r="D179" s="8">
        <v>44997</v>
      </c>
      <c r="E179" s="7">
        <v>3</v>
      </c>
      <c r="F179" s="7">
        <v>12</v>
      </c>
      <c r="G179" s="7">
        <v>2023</v>
      </c>
      <c r="H179" s="8">
        <f t="shared" si="6"/>
        <v>44997</v>
      </c>
      <c r="I179" s="11">
        <v>45018</v>
      </c>
      <c r="J179" s="7">
        <f t="shared" si="7"/>
        <v>21</v>
      </c>
      <c r="K179" s="7" t="s">
        <v>266</v>
      </c>
      <c r="L179" s="7">
        <v>45262</v>
      </c>
      <c r="M179" s="7">
        <v>1406</v>
      </c>
      <c r="N179" s="12">
        <v>1974.81</v>
      </c>
      <c r="O179" s="12">
        <f t="shared" si="8"/>
        <v>1974.81</v>
      </c>
      <c r="P179" s="7">
        <v>96</v>
      </c>
      <c r="Q179" s="7" t="b">
        <v>0</v>
      </c>
      <c r="R179" s="7"/>
      <c r="S179" s="15" t="s">
        <v>20</v>
      </c>
    </row>
    <row r="180" spans="1:19">
      <c r="A180" s="3" t="s">
        <v>393</v>
      </c>
      <c r="B180" s="4" t="s">
        <v>394</v>
      </c>
      <c r="C180" s="5" t="s">
        <v>4128</v>
      </c>
      <c r="D180" s="5">
        <v>45005</v>
      </c>
      <c r="E180" s="4">
        <v>3</v>
      </c>
      <c r="F180" s="4">
        <v>20</v>
      </c>
      <c r="G180" s="4">
        <v>2023</v>
      </c>
      <c r="H180" s="5">
        <f t="shared" si="6"/>
        <v>45005</v>
      </c>
      <c r="I180" s="9">
        <v>45012</v>
      </c>
      <c r="J180" s="4">
        <f t="shared" si="7"/>
        <v>7</v>
      </c>
      <c r="K180" s="4" t="s">
        <v>19</v>
      </c>
      <c r="L180" s="4">
        <v>24776</v>
      </c>
      <c r="M180" s="4">
        <v>491</v>
      </c>
      <c r="N180" s="10">
        <v>701.39</v>
      </c>
      <c r="O180" s="10">
        <f t="shared" si="8"/>
        <v>701.39</v>
      </c>
      <c r="P180" s="4">
        <v>72</v>
      </c>
      <c r="Q180" s="4" t="b">
        <v>0</v>
      </c>
      <c r="R180" s="4"/>
      <c r="S180" s="14" t="s">
        <v>20</v>
      </c>
    </row>
    <row r="181" spans="1:19">
      <c r="A181" s="6" t="s">
        <v>395</v>
      </c>
      <c r="B181" s="7" t="s">
        <v>396</v>
      </c>
      <c r="C181" s="8" t="s">
        <v>4127</v>
      </c>
      <c r="D181" s="8">
        <v>45135</v>
      </c>
      <c r="E181" s="7">
        <v>7</v>
      </c>
      <c r="F181" s="7">
        <v>28</v>
      </c>
      <c r="G181" s="7">
        <v>2023</v>
      </c>
      <c r="H181" s="8">
        <f t="shared" si="6"/>
        <v>45135</v>
      </c>
      <c r="I181" s="11">
        <v>45165</v>
      </c>
      <c r="J181" s="7">
        <f t="shared" si="7"/>
        <v>30</v>
      </c>
      <c r="K181" s="7" t="s">
        <v>19</v>
      </c>
      <c r="L181" s="7">
        <v>31080</v>
      </c>
      <c r="M181" s="7">
        <v>903</v>
      </c>
      <c r="N181" s="12">
        <v>1725.78</v>
      </c>
      <c r="O181" s="12">
        <f t="shared" si="8"/>
        <v>1725.78</v>
      </c>
      <c r="P181" s="7">
        <v>52</v>
      </c>
      <c r="Q181" s="7" t="b">
        <v>0</v>
      </c>
      <c r="R181" s="7"/>
      <c r="S181" s="15" t="s">
        <v>20</v>
      </c>
    </row>
    <row r="182" spans="1:19">
      <c r="A182" s="3" t="s">
        <v>397</v>
      </c>
      <c r="B182" s="4" t="s">
        <v>398</v>
      </c>
      <c r="C182" s="5" t="s">
        <v>4128</v>
      </c>
      <c r="D182" s="5">
        <v>44958</v>
      </c>
      <c r="E182" s="4">
        <v>2</v>
      </c>
      <c r="F182" s="4">
        <v>1</v>
      </c>
      <c r="G182" s="4">
        <v>2023</v>
      </c>
      <c r="H182" s="5">
        <f t="shared" si="6"/>
        <v>44958</v>
      </c>
      <c r="I182" s="9">
        <v>44978</v>
      </c>
      <c r="J182" s="4">
        <f t="shared" si="7"/>
        <v>20</v>
      </c>
      <c r="K182" s="4" t="s">
        <v>33</v>
      </c>
      <c r="L182" s="4">
        <v>67842</v>
      </c>
      <c r="M182" s="4">
        <v>1748</v>
      </c>
      <c r="N182" s="10">
        <v>2908.44</v>
      </c>
      <c r="O182" s="10">
        <f t="shared" si="8"/>
        <v>2908.44</v>
      </c>
      <c r="P182" s="4">
        <v>0</v>
      </c>
      <c r="Q182" s="4" t="b">
        <v>1</v>
      </c>
      <c r="R182" s="4"/>
      <c r="S182" s="14" t="s">
        <v>34</v>
      </c>
    </row>
    <row r="183" spans="1:19">
      <c r="A183" s="6" t="s">
        <v>399</v>
      </c>
      <c r="B183" s="7" t="s">
        <v>400</v>
      </c>
      <c r="C183" s="8" t="s">
        <v>4131</v>
      </c>
      <c r="D183" s="8">
        <v>45226</v>
      </c>
      <c r="E183" s="7">
        <v>10</v>
      </c>
      <c r="F183" s="7">
        <v>27</v>
      </c>
      <c r="G183" s="7">
        <v>2023</v>
      </c>
      <c r="H183" s="8">
        <f t="shared" si="6"/>
        <v>45226</v>
      </c>
      <c r="I183" s="11">
        <v>45246</v>
      </c>
      <c r="J183" s="7">
        <f t="shared" si="7"/>
        <v>20</v>
      </c>
      <c r="K183" s="7" t="s">
        <v>23</v>
      </c>
      <c r="L183" s="7">
        <v>62373</v>
      </c>
      <c r="M183" s="7">
        <v>1994</v>
      </c>
      <c r="N183" s="12">
        <v>1379.66</v>
      </c>
      <c r="O183" s="12">
        <f t="shared" si="8"/>
        <v>1379.66</v>
      </c>
      <c r="P183" s="7">
        <v>265</v>
      </c>
      <c r="Q183" s="7" t="b">
        <v>1</v>
      </c>
      <c r="R183" s="7"/>
      <c r="S183" s="15" t="s">
        <v>25</v>
      </c>
    </row>
    <row r="184" spans="1:19">
      <c r="A184" s="3" t="s">
        <v>401</v>
      </c>
      <c r="B184" s="4" t="s">
        <v>402</v>
      </c>
      <c r="C184" s="5" t="s">
        <v>4129</v>
      </c>
      <c r="D184" s="5">
        <v>45221</v>
      </c>
      <c r="E184" s="4">
        <v>10</v>
      </c>
      <c r="F184" s="4">
        <v>22</v>
      </c>
      <c r="G184" s="4">
        <v>2023</v>
      </c>
      <c r="H184" s="5">
        <f t="shared" si="6"/>
        <v>45221</v>
      </c>
      <c r="I184" s="9">
        <v>45225</v>
      </c>
      <c r="J184" s="4">
        <f t="shared" si="7"/>
        <v>4</v>
      </c>
      <c r="K184" s="4" t="s">
        <v>23</v>
      </c>
      <c r="L184" s="4">
        <v>7776</v>
      </c>
      <c r="M184" s="4">
        <v>310</v>
      </c>
      <c r="N184" s="10">
        <v>316.59</v>
      </c>
      <c r="O184" s="10">
        <f t="shared" si="8"/>
        <v>316.59</v>
      </c>
      <c r="P184" s="4">
        <v>29</v>
      </c>
      <c r="Q184" s="4" t="b">
        <v>1</v>
      </c>
      <c r="R184" s="4"/>
      <c r="S184" s="14" t="s">
        <v>25</v>
      </c>
    </row>
    <row r="185" spans="1:19">
      <c r="A185" s="6" t="s">
        <v>403</v>
      </c>
      <c r="B185" s="7" t="s">
        <v>404</v>
      </c>
      <c r="C185" s="8" t="s">
        <v>4128</v>
      </c>
      <c r="D185" s="8">
        <v>45107</v>
      </c>
      <c r="E185" s="7">
        <v>6</v>
      </c>
      <c r="F185" s="7">
        <v>30</v>
      </c>
      <c r="G185" s="7">
        <v>2023</v>
      </c>
      <c r="H185" s="8">
        <f t="shared" si="6"/>
        <v>45107</v>
      </c>
      <c r="I185" s="11">
        <v>45117</v>
      </c>
      <c r="J185" s="7">
        <f t="shared" si="7"/>
        <v>10</v>
      </c>
      <c r="K185" s="7" t="s">
        <v>23</v>
      </c>
      <c r="L185" s="7">
        <v>93787</v>
      </c>
      <c r="M185" s="7">
        <v>3622</v>
      </c>
      <c r="N185" s="12">
        <v>4176.49</v>
      </c>
      <c r="O185" s="12">
        <f t="shared" si="8"/>
        <v>3632.575</v>
      </c>
      <c r="P185" s="7">
        <v>428</v>
      </c>
      <c r="Q185" s="7" t="b">
        <v>0</v>
      </c>
      <c r="R185" s="7"/>
      <c r="S185" s="15" t="s">
        <v>25</v>
      </c>
    </row>
    <row r="186" spans="1:19">
      <c r="A186" s="3" t="s">
        <v>405</v>
      </c>
      <c r="B186" s="4" t="s">
        <v>406</v>
      </c>
      <c r="C186" s="5" t="s">
        <v>4128</v>
      </c>
      <c r="D186" s="5">
        <v>45141</v>
      </c>
      <c r="E186" s="4">
        <v>8</v>
      </c>
      <c r="F186" s="4">
        <v>3</v>
      </c>
      <c r="G186" s="4">
        <v>2023</v>
      </c>
      <c r="H186" s="5">
        <f t="shared" si="6"/>
        <v>45141</v>
      </c>
      <c r="I186" s="9">
        <v>45165</v>
      </c>
      <c r="J186" s="4">
        <f t="shared" si="7"/>
        <v>24</v>
      </c>
      <c r="K186" s="4" t="s">
        <v>266</v>
      </c>
      <c r="L186" s="4">
        <v>56016</v>
      </c>
      <c r="M186" s="4">
        <v>1728</v>
      </c>
      <c r="N186" s="10">
        <v>1890.33</v>
      </c>
      <c r="O186" s="10">
        <f t="shared" si="8"/>
        <v>1890.33</v>
      </c>
      <c r="P186" s="4">
        <v>128</v>
      </c>
      <c r="Q186" s="4" t="b">
        <v>0</v>
      </c>
      <c r="R186" s="4"/>
      <c r="S186" s="14" t="s">
        <v>20</v>
      </c>
    </row>
    <row r="187" spans="1:19">
      <c r="A187" s="6" t="s">
        <v>407</v>
      </c>
      <c r="B187" s="7" t="s">
        <v>408</v>
      </c>
      <c r="C187" s="8" t="s">
        <v>4127</v>
      </c>
      <c r="D187" s="8">
        <v>45235</v>
      </c>
      <c r="E187" s="7">
        <v>11</v>
      </c>
      <c r="F187" s="7">
        <v>5</v>
      </c>
      <c r="G187" s="7">
        <v>2023</v>
      </c>
      <c r="H187" s="8">
        <f t="shared" si="6"/>
        <v>45235</v>
      </c>
      <c r="I187" s="11">
        <v>45237</v>
      </c>
      <c r="J187" s="7">
        <f t="shared" si="7"/>
        <v>2</v>
      </c>
      <c r="K187" s="7" t="s">
        <v>33</v>
      </c>
      <c r="L187" s="7">
        <v>10474</v>
      </c>
      <c r="M187" s="7">
        <v>449</v>
      </c>
      <c r="N187" s="12">
        <v>675.28</v>
      </c>
      <c r="O187" s="12">
        <f t="shared" si="8"/>
        <v>675.28</v>
      </c>
      <c r="P187" s="7">
        <v>42</v>
      </c>
      <c r="Q187" s="7" t="b">
        <v>1</v>
      </c>
      <c r="R187" s="7"/>
      <c r="S187" s="15" t="s">
        <v>34</v>
      </c>
    </row>
    <row r="188" spans="1:19">
      <c r="A188" s="3" t="s">
        <v>409</v>
      </c>
      <c r="B188" s="4" t="s">
        <v>410</v>
      </c>
      <c r="C188" s="5" t="s">
        <v>4127</v>
      </c>
      <c r="D188" s="5">
        <v>45066</v>
      </c>
      <c r="E188" s="4">
        <v>5</v>
      </c>
      <c r="F188" s="4">
        <v>20</v>
      </c>
      <c r="G188" s="4">
        <v>2023</v>
      </c>
      <c r="H188" s="5">
        <f t="shared" si="6"/>
        <v>45066</v>
      </c>
      <c r="I188" s="9">
        <v>45090</v>
      </c>
      <c r="J188" s="4">
        <f t="shared" si="7"/>
        <v>24</v>
      </c>
      <c r="K188" s="4" t="s">
        <v>19</v>
      </c>
      <c r="L188" s="4">
        <v>59053</v>
      </c>
      <c r="M188" s="4">
        <v>1608</v>
      </c>
      <c r="N188" s="10">
        <v>2955.25</v>
      </c>
      <c r="O188" s="10">
        <f t="shared" si="8"/>
        <v>2955.25</v>
      </c>
      <c r="P188" s="4">
        <v>230</v>
      </c>
      <c r="Q188" s="4" t="b">
        <v>1</v>
      </c>
      <c r="R188" s="4"/>
      <c r="S188" s="14" t="s">
        <v>20</v>
      </c>
    </row>
    <row r="189" spans="1:19">
      <c r="A189" s="6" t="s">
        <v>411</v>
      </c>
      <c r="B189" s="7" t="s">
        <v>412</v>
      </c>
      <c r="C189" s="8" t="s">
        <v>4127</v>
      </c>
      <c r="D189" s="8">
        <v>45099</v>
      </c>
      <c r="E189" s="7">
        <v>6</v>
      </c>
      <c r="F189" s="7">
        <v>22</v>
      </c>
      <c r="G189" s="7">
        <v>2023</v>
      </c>
      <c r="H189" s="8">
        <f t="shared" si="6"/>
        <v>45099</v>
      </c>
      <c r="I189" s="11">
        <v>45128</v>
      </c>
      <c r="J189" s="7">
        <f t="shared" si="7"/>
        <v>29</v>
      </c>
      <c r="K189" s="7" t="s">
        <v>23</v>
      </c>
      <c r="L189" s="7">
        <v>22959</v>
      </c>
      <c r="M189" s="7">
        <v>1053</v>
      </c>
      <c r="N189" s="12">
        <v>1009.91</v>
      </c>
      <c r="O189" s="12">
        <f t="shared" si="8"/>
        <v>1009.91</v>
      </c>
      <c r="P189" s="7">
        <v>100</v>
      </c>
      <c r="Q189" s="7" t="b">
        <v>1</v>
      </c>
      <c r="R189" s="7"/>
      <c r="S189" s="15" t="s">
        <v>59</v>
      </c>
    </row>
    <row r="190" spans="1:19">
      <c r="A190" s="3" t="s">
        <v>413</v>
      </c>
      <c r="B190" s="4" t="s">
        <v>414</v>
      </c>
      <c r="C190" s="5" t="s">
        <v>4127</v>
      </c>
      <c r="D190" s="5">
        <v>45011</v>
      </c>
      <c r="E190" s="4">
        <v>3</v>
      </c>
      <c r="F190" s="4">
        <v>26</v>
      </c>
      <c r="G190" s="4">
        <v>2023</v>
      </c>
      <c r="H190" s="5">
        <f t="shared" si="6"/>
        <v>45011</v>
      </c>
      <c r="I190" s="9">
        <v>45018</v>
      </c>
      <c r="J190" s="4">
        <f t="shared" si="7"/>
        <v>7</v>
      </c>
      <c r="K190" s="4" t="s">
        <v>415</v>
      </c>
      <c r="L190" s="4">
        <v>6530</v>
      </c>
      <c r="M190" s="4">
        <v>83</v>
      </c>
      <c r="N190" s="10">
        <v>110.21</v>
      </c>
      <c r="O190" s="10">
        <f t="shared" si="8"/>
        <v>110.21</v>
      </c>
      <c r="P190" s="4">
        <v>15</v>
      </c>
      <c r="Q190" s="4" t="b">
        <v>1</v>
      </c>
      <c r="R190" s="4"/>
      <c r="S190" s="14" t="s">
        <v>34</v>
      </c>
    </row>
    <row r="191" spans="1:19">
      <c r="A191" s="6" t="s">
        <v>416</v>
      </c>
      <c r="B191" s="7" t="s">
        <v>417</v>
      </c>
      <c r="C191" s="8" t="s">
        <v>4127</v>
      </c>
      <c r="D191" s="8">
        <v>45245</v>
      </c>
      <c r="E191" s="7">
        <v>11</v>
      </c>
      <c r="F191" s="7">
        <v>15</v>
      </c>
      <c r="G191" s="7">
        <v>2023</v>
      </c>
      <c r="H191" s="8">
        <f t="shared" si="6"/>
        <v>45245</v>
      </c>
      <c r="I191" s="11">
        <v>45262</v>
      </c>
      <c r="J191" s="7">
        <f t="shared" si="7"/>
        <v>17</v>
      </c>
      <c r="K191" s="7" t="s">
        <v>19</v>
      </c>
      <c r="L191" s="7">
        <v>95856</v>
      </c>
      <c r="M191" s="7">
        <v>4618</v>
      </c>
      <c r="N191" s="12">
        <v>7777.24</v>
      </c>
      <c r="O191" s="12">
        <f t="shared" si="8"/>
        <v>3632.575</v>
      </c>
      <c r="P191" s="7">
        <v>0</v>
      </c>
      <c r="Q191" s="7" t="b">
        <v>1</v>
      </c>
      <c r="R191" s="7"/>
      <c r="S191" s="15" t="s">
        <v>20</v>
      </c>
    </row>
    <row r="192" spans="1:19">
      <c r="A192" s="3" t="s">
        <v>418</v>
      </c>
      <c r="B192" s="4" t="s">
        <v>419</v>
      </c>
      <c r="C192" s="5" t="s">
        <v>4127</v>
      </c>
      <c r="D192" s="5">
        <v>45230</v>
      </c>
      <c r="E192" s="4">
        <v>10</v>
      </c>
      <c r="F192" s="4">
        <v>31</v>
      </c>
      <c r="G192" s="4">
        <v>2023</v>
      </c>
      <c r="H192" s="5">
        <f t="shared" si="6"/>
        <v>45230</v>
      </c>
      <c r="I192" s="9">
        <v>45256</v>
      </c>
      <c r="J192" s="4">
        <f t="shared" si="7"/>
        <v>26</v>
      </c>
      <c r="K192" s="4" t="s">
        <v>19</v>
      </c>
      <c r="L192" s="4">
        <v>4748</v>
      </c>
      <c r="M192" s="4">
        <v>171</v>
      </c>
      <c r="N192" s="10">
        <v>192.26</v>
      </c>
      <c r="O192" s="10">
        <f t="shared" si="8"/>
        <v>192.26</v>
      </c>
      <c r="P192" s="4">
        <v>19</v>
      </c>
      <c r="Q192" s="4" t="b">
        <v>1</v>
      </c>
      <c r="R192" s="4"/>
      <c r="S192" s="14" t="s">
        <v>68</v>
      </c>
    </row>
    <row r="193" spans="1:19">
      <c r="A193" s="6" t="s">
        <v>420</v>
      </c>
      <c r="B193" s="7" t="s">
        <v>421</v>
      </c>
      <c r="C193" s="8" t="s">
        <v>4128</v>
      </c>
      <c r="D193" s="8">
        <v>45256</v>
      </c>
      <c r="E193" s="7">
        <v>11</v>
      </c>
      <c r="F193" s="7">
        <v>26</v>
      </c>
      <c r="G193" s="7">
        <v>2023</v>
      </c>
      <c r="H193" s="8">
        <f t="shared" si="6"/>
        <v>45256</v>
      </c>
      <c r="I193" s="11">
        <v>45273</v>
      </c>
      <c r="J193" s="7">
        <f t="shared" si="7"/>
        <v>17</v>
      </c>
      <c r="K193" s="7" t="s">
        <v>33</v>
      </c>
      <c r="L193" s="7">
        <v>98504</v>
      </c>
      <c r="M193" s="7">
        <v>2482</v>
      </c>
      <c r="N193" s="12">
        <v>1866.9</v>
      </c>
      <c r="O193" s="12">
        <f t="shared" si="8"/>
        <v>1866.9</v>
      </c>
      <c r="P193" s="7">
        <v>138</v>
      </c>
      <c r="Q193" s="7" t="b">
        <v>1</v>
      </c>
      <c r="R193" s="7"/>
      <c r="S193" s="15" t="s">
        <v>34</v>
      </c>
    </row>
    <row r="194" spans="1:19">
      <c r="A194" s="3" t="s">
        <v>422</v>
      </c>
      <c r="B194" s="4" t="s">
        <v>423</v>
      </c>
      <c r="C194" s="5" t="s">
        <v>4129</v>
      </c>
      <c r="D194" s="5">
        <v>45020</v>
      </c>
      <c r="E194" s="4">
        <v>4</v>
      </c>
      <c r="F194" s="4">
        <v>4</v>
      </c>
      <c r="G194" s="4">
        <v>2023</v>
      </c>
      <c r="H194" s="5">
        <f t="shared" ref="H194:H257" si="9">IF(E194&gt;12,DATE(G194,F194,E194),D194)</f>
        <v>45020</v>
      </c>
      <c r="I194" s="9">
        <v>45030</v>
      </c>
      <c r="J194" s="4">
        <f t="shared" ref="J194:J257" si="10">DATEDIF(H194,I194,"D")</f>
        <v>10</v>
      </c>
      <c r="K194" s="4" t="s">
        <v>19</v>
      </c>
      <c r="L194" s="4">
        <v>99098</v>
      </c>
      <c r="M194" s="4">
        <v>1772</v>
      </c>
      <c r="N194" s="10">
        <v>2148.42</v>
      </c>
      <c r="O194" s="10">
        <f t="shared" si="8"/>
        <v>2148.42</v>
      </c>
      <c r="P194" s="4">
        <v>221</v>
      </c>
      <c r="Q194" s="4" t="b">
        <v>1</v>
      </c>
      <c r="R194" s="4"/>
      <c r="S194" s="14" t="s">
        <v>20</v>
      </c>
    </row>
    <row r="195" spans="1:19">
      <c r="A195" s="6" t="s">
        <v>424</v>
      </c>
      <c r="B195" s="7" t="s">
        <v>425</v>
      </c>
      <c r="C195" s="8" t="s">
        <v>4128</v>
      </c>
      <c r="D195" s="8">
        <v>45121</v>
      </c>
      <c r="E195" s="7">
        <v>7</v>
      </c>
      <c r="F195" s="7">
        <v>14</v>
      </c>
      <c r="G195" s="7">
        <v>2023</v>
      </c>
      <c r="H195" s="8">
        <f t="shared" si="9"/>
        <v>45121</v>
      </c>
      <c r="I195" s="11">
        <v>45129</v>
      </c>
      <c r="J195" s="7">
        <f t="shared" si="10"/>
        <v>8</v>
      </c>
      <c r="K195" s="7" t="s">
        <v>19</v>
      </c>
      <c r="L195" s="7">
        <v>14545</v>
      </c>
      <c r="M195" s="7">
        <v>424</v>
      </c>
      <c r="N195" s="12">
        <v>247.12</v>
      </c>
      <c r="O195" s="12">
        <f t="shared" ref="O195:O258" si="11">IF(N195&lt;$V$6,$V$6,IF(N195&gt;$V$7,$V$7,N195))</f>
        <v>247.12</v>
      </c>
      <c r="P195" s="7">
        <v>69</v>
      </c>
      <c r="Q195" s="7" t="b">
        <v>1</v>
      </c>
      <c r="R195" s="7"/>
      <c r="S195" s="15" t="s">
        <v>20</v>
      </c>
    </row>
    <row r="196" spans="1:19">
      <c r="A196" s="3" t="s">
        <v>426</v>
      </c>
      <c r="B196" s="4" t="s">
        <v>427</v>
      </c>
      <c r="C196" s="5" t="s">
        <v>4129</v>
      </c>
      <c r="D196" s="5">
        <v>45099</v>
      </c>
      <c r="E196" s="4">
        <v>6</v>
      </c>
      <c r="F196" s="4">
        <v>22</v>
      </c>
      <c r="G196" s="4">
        <v>2023</v>
      </c>
      <c r="H196" s="5">
        <f t="shared" si="9"/>
        <v>45099</v>
      </c>
      <c r="I196" s="9">
        <v>45125</v>
      </c>
      <c r="J196" s="4">
        <f t="shared" si="10"/>
        <v>26</v>
      </c>
      <c r="K196" s="4" t="s">
        <v>23</v>
      </c>
      <c r="L196" s="4">
        <v>67199</v>
      </c>
      <c r="M196" s="4">
        <v>1194</v>
      </c>
      <c r="N196" s="10">
        <v>2284.81</v>
      </c>
      <c r="O196" s="10">
        <f t="shared" si="11"/>
        <v>2284.81</v>
      </c>
      <c r="P196" s="4">
        <v>107</v>
      </c>
      <c r="Q196" s="4" t="b">
        <v>1</v>
      </c>
      <c r="R196" s="4"/>
      <c r="S196" s="14" t="s">
        <v>25</v>
      </c>
    </row>
    <row r="197" spans="1:19">
      <c r="A197" s="6" t="s">
        <v>428</v>
      </c>
      <c r="B197" s="7" t="s">
        <v>429</v>
      </c>
      <c r="C197" s="8" t="s">
        <v>4127</v>
      </c>
      <c r="D197" s="8">
        <v>45142</v>
      </c>
      <c r="E197" s="7">
        <v>8</v>
      </c>
      <c r="F197" s="7">
        <v>4</v>
      </c>
      <c r="G197" s="7">
        <v>2023</v>
      </c>
      <c r="H197" s="8">
        <f t="shared" si="9"/>
        <v>45142</v>
      </c>
      <c r="I197" s="11">
        <v>45037</v>
      </c>
      <c r="J197" s="7">
        <f t="shared" si="10"/>
        <v>-105</v>
      </c>
      <c r="K197" s="7" t="s">
        <v>33</v>
      </c>
      <c r="L197" s="7">
        <v>35766</v>
      </c>
      <c r="M197" s="7">
        <v>595</v>
      </c>
      <c r="N197" s="12">
        <v>364.28</v>
      </c>
      <c r="O197" s="12">
        <f t="shared" si="11"/>
        <v>364.28</v>
      </c>
      <c r="P197" s="7">
        <v>101</v>
      </c>
      <c r="Q197" s="7" t="b">
        <v>1</v>
      </c>
      <c r="R197" s="7"/>
      <c r="S197" s="15" t="s">
        <v>34</v>
      </c>
    </row>
    <row r="198" spans="1:19">
      <c r="A198" s="3" t="s">
        <v>430</v>
      </c>
      <c r="B198" s="4" t="s">
        <v>431</v>
      </c>
      <c r="C198" s="5" t="s">
        <v>4128</v>
      </c>
      <c r="D198" s="5">
        <v>44936</v>
      </c>
      <c r="E198" s="4">
        <v>1</v>
      </c>
      <c r="F198" s="4">
        <v>10</v>
      </c>
      <c r="G198" s="4">
        <v>2023</v>
      </c>
      <c r="H198" s="5">
        <f t="shared" si="9"/>
        <v>44936</v>
      </c>
      <c r="I198" s="9">
        <v>45214</v>
      </c>
      <c r="J198" s="4">
        <f t="shared" si="10"/>
        <v>278</v>
      </c>
      <c r="K198" s="4" t="s">
        <v>33</v>
      </c>
      <c r="L198" s="4">
        <v>74530</v>
      </c>
      <c r="M198" s="4">
        <v>2585</v>
      </c>
      <c r="N198" s="10">
        <v>2992.62</v>
      </c>
      <c r="O198" s="10">
        <f t="shared" si="11"/>
        <v>2992.62</v>
      </c>
      <c r="P198" s="4">
        <v>226</v>
      </c>
      <c r="Q198" s="4" t="b">
        <v>1</v>
      </c>
      <c r="R198" s="4"/>
      <c r="S198" s="14" t="s">
        <v>34</v>
      </c>
    </row>
    <row r="199" spans="1:19">
      <c r="A199" s="6" t="s">
        <v>432</v>
      </c>
      <c r="B199" s="7" t="s">
        <v>433</v>
      </c>
      <c r="C199" s="8" t="s">
        <v>4128</v>
      </c>
      <c r="D199" s="8">
        <v>45106</v>
      </c>
      <c r="E199" s="7">
        <v>6</v>
      </c>
      <c r="F199" s="7">
        <v>29</v>
      </c>
      <c r="G199" s="7">
        <v>2023</v>
      </c>
      <c r="H199" s="8">
        <f t="shared" si="9"/>
        <v>45106</v>
      </c>
      <c r="I199" s="11">
        <v>45129</v>
      </c>
      <c r="J199" s="7">
        <f t="shared" si="10"/>
        <v>23</v>
      </c>
      <c r="K199" s="7" t="s">
        <v>14</v>
      </c>
      <c r="L199" s="7">
        <v>94557</v>
      </c>
      <c r="M199" s="7">
        <v>2924</v>
      </c>
      <c r="N199" s="12">
        <v>3786.06</v>
      </c>
      <c r="O199" s="12">
        <f t="shared" si="11"/>
        <v>3632.575</v>
      </c>
      <c r="P199" s="7">
        <v>507</v>
      </c>
      <c r="Q199" s="7" t="b">
        <v>1</v>
      </c>
      <c r="R199" s="7"/>
      <c r="S199" s="15" t="s">
        <v>16</v>
      </c>
    </row>
    <row r="200" spans="1:19">
      <c r="A200" s="3" t="s">
        <v>434</v>
      </c>
      <c r="B200" s="4" t="s">
        <v>435</v>
      </c>
      <c r="C200" s="5" t="s">
        <v>4131</v>
      </c>
      <c r="D200" s="5" t="s">
        <v>436</v>
      </c>
      <c r="E200" s="4">
        <v>30</v>
      </c>
      <c r="F200" s="4">
        <v>11</v>
      </c>
      <c r="G200" s="4">
        <v>2023</v>
      </c>
      <c r="H200" s="5">
        <f t="shared" si="9"/>
        <v>45260</v>
      </c>
      <c r="I200" s="9">
        <v>45287</v>
      </c>
      <c r="J200" s="4">
        <f t="shared" si="10"/>
        <v>27</v>
      </c>
      <c r="K200" s="4" t="s">
        <v>23</v>
      </c>
      <c r="L200" s="4">
        <v>62087</v>
      </c>
      <c r="M200" s="4">
        <v>2285</v>
      </c>
      <c r="N200" s="10">
        <v>4519.63</v>
      </c>
      <c r="O200" s="10">
        <f t="shared" si="11"/>
        <v>3632.575</v>
      </c>
      <c r="P200" s="4">
        <v>143</v>
      </c>
      <c r="Q200" s="4" t="b">
        <v>0</v>
      </c>
      <c r="R200" s="4"/>
      <c r="S200" s="14" t="s">
        <v>25</v>
      </c>
    </row>
    <row r="201" spans="1:19">
      <c r="A201" s="6" t="s">
        <v>437</v>
      </c>
      <c r="B201" s="7" t="s">
        <v>438</v>
      </c>
      <c r="C201" s="8" t="s">
        <v>4131</v>
      </c>
      <c r="D201" s="8">
        <v>44942</v>
      </c>
      <c r="E201" s="7">
        <v>1</v>
      </c>
      <c r="F201" s="7">
        <v>16</v>
      </c>
      <c r="G201" s="7">
        <v>2023</v>
      </c>
      <c r="H201" s="8">
        <f t="shared" si="9"/>
        <v>44942</v>
      </c>
      <c r="I201" s="11">
        <v>44970</v>
      </c>
      <c r="J201" s="7">
        <f t="shared" si="10"/>
        <v>28</v>
      </c>
      <c r="K201" s="7" t="s">
        <v>41</v>
      </c>
      <c r="L201" s="7">
        <v>96839</v>
      </c>
      <c r="M201" s="7">
        <v>4569</v>
      </c>
      <c r="N201" s="12">
        <v>3422.33</v>
      </c>
      <c r="O201" s="12">
        <f t="shared" si="11"/>
        <v>3422.33</v>
      </c>
      <c r="P201" s="7">
        <v>0</v>
      </c>
      <c r="Q201" s="7" t="b">
        <v>0</v>
      </c>
      <c r="R201" s="7"/>
      <c r="S201" s="15" t="s">
        <v>42</v>
      </c>
    </row>
    <row r="202" spans="1:19">
      <c r="A202" s="3" t="s">
        <v>439</v>
      </c>
      <c r="B202" s="4" t="s">
        <v>440</v>
      </c>
      <c r="C202" s="5" t="s">
        <v>4131</v>
      </c>
      <c r="D202" s="5">
        <v>44937</v>
      </c>
      <c r="E202" s="4">
        <v>1</v>
      </c>
      <c r="F202" s="4">
        <v>11</v>
      </c>
      <c r="G202" s="4">
        <v>2023</v>
      </c>
      <c r="H202" s="5">
        <f t="shared" si="9"/>
        <v>44937</v>
      </c>
      <c r="I202" s="9">
        <v>44932</v>
      </c>
      <c r="J202" s="4">
        <f t="shared" si="10"/>
        <v>-5</v>
      </c>
      <c r="K202" s="4" t="s">
        <v>33</v>
      </c>
      <c r="L202" s="4">
        <v>69840</v>
      </c>
      <c r="M202" s="4">
        <v>2185</v>
      </c>
      <c r="N202" s="10">
        <v>1467.55</v>
      </c>
      <c r="O202" s="10">
        <f t="shared" si="11"/>
        <v>1467.55</v>
      </c>
      <c r="P202" s="4">
        <v>272</v>
      </c>
      <c r="Q202" s="4" t="b">
        <v>1</v>
      </c>
      <c r="R202" s="4">
        <v>69935</v>
      </c>
      <c r="S202" s="14" t="s">
        <v>34</v>
      </c>
    </row>
    <row r="203" spans="1:19">
      <c r="A203" s="6" t="s">
        <v>441</v>
      </c>
      <c r="B203" s="7" t="s">
        <v>442</v>
      </c>
      <c r="C203" s="8" t="s">
        <v>4128</v>
      </c>
      <c r="D203" s="8">
        <v>45169</v>
      </c>
      <c r="E203" s="7">
        <v>8</v>
      </c>
      <c r="F203" s="7">
        <v>31</v>
      </c>
      <c r="G203" s="7">
        <v>2023</v>
      </c>
      <c r="H203" s="8">
        <f t="shared" si="9"/>
        <v>45169</v>
      </c>
      <c r="I203" s="11">
        <v>45179</v>
      </c>
      <c r="J203" s="7">
        <f t="shared" si="10"/>
        <v>10</v>
      </c>
      <c r="K203" s="7" t="s">
        <v>23</v>
      </c>
      <c r="L203" s="7">
        <v>55384</v>
      </c>
      <c r="M203" s="7">
        <v>1840</v>
      </c>
      <c r="N203" s="12">
        <v>944.03</v>
      </c>
      <c r="O203" s="12">
        <f t="shared" si="11"/>
        <v>944.03</v>
      </c>
      <c r="P203" s="7">
        <v>173</v>
      </c>
      <c r="Q203" s="7" t="b">
        <v>1</v>
      </c>
      <c r="R203" s="7"/>
      <c r="S203" s="15" t="s">
        <v>25</v>
      </c>
    </row>
    <row r="204" spans="1:19">
      <c r="A204" s="3" t="s">
        <v>443</v>
      </c>
      <c r="B204" s="4" t="s">
        <v>444</v>
      </c>
      <c r="C204" s="5" t="s">
        <v>4127</v>
      </c>
      <c r="D204" s="5">
        <v>45038</v>
      </c>
      <c r="E204" s="4">
        <v>4</v>
      </c>
      <c r="F204" s="4">
        <v>22</v>
      </c>
      <c r="G204" s="4">
        <v>2023</v>
      </c>
      <c r="H204" s="5">
        <f t="shared" si="9"/>
        <v>45038</v>
      </c>
      <c r="I204" s="9">
        <v>45047</v>
      </c>
      <c r="J204" s="4">
        <f t="shared" si="10"/>
        <v>9</v>
      </c>
      <c r="K204" s="4" t="s">
        <v>19</v>
      </c>
      <c r="L204" s="4">
        <v>52005</v>
      </c>
      <c r="M204" s="4">
        <v>706</v>
      </c>
      <c r="N204" s="10">
        <v>517.75</v>
      </c>
      <c r="O204" s="10">
        <f t="shared" si="11"/>
        <v>517.75</v>
      </c>
      <c r="P204" s="4">
        <v>63</v>
      </c>
      <c r="Q204" s="4" t="b">
        <v>0</v>
      </c>
      <c r="R204" s="4"/>
      <c r="S204" s="14" t="s">
        <v>20</v>
      </c>
    </row>
    <row r="205" spans="1:19">
      <c r="A205" s="6" t="s">
        <v>445</v>
      </c>
      <c r="B205" s="7" t="s">
        <v>446</v>
      </c>
      <c r="C205" s="8" t="s">
        <v>4127</v>
      </c>
      <c r="D205" s="8">
        <v>45115</v>
      </c>
      <c r="E205" s="7">
        <v>7</v>
      </c>
      <c r="F205" s="7">
        <v>8</v>
      </c>
      <c r="G205" s="7">
        <v>2023</v>
      </c>
      <c r="H205" s="8">
        <f t="shared" si="9"/>
        <v>45115</v>
      </c>
      <c r="I205" s="11">
        <v>45122</v>
      </c>
      <c r="J205" s="7">
        <f t="shared" si="10"/>
        <v>7</v>
      </c>
      <c r="K205" s="7" t="s">
        <v>33</v>
      </c>
      <c r="L205" s="7">
        <v>47576</v>
      </c>
      <c r="M205" s="7">
        <v>1841</v>
      </c>
      <c r="N205" s="12">
        <v>1492.88</v>
      </c>
      <c r="O205" s="12">
        <f t="shared" si="11"/>
        <v>1492.88</v>
      </c>
      <c r="P205" s="7">
        <v>211</v>
      </c>
      <c r="Q205" s="7" t="b">
        <v>0</v>
      </c>
      <c r="R205" s="7"/>
      <c r="S205" s="15" t="s">
        <v>34</v>
      </c>
    </row>
    <row r="206" spans="1:19">
      <c r="A206" s="3" t="s">
        <v>447</v>
      </c>
      <c r="B206" s="4" t="s">
        <v>448</v>
      </c>
      <c r="C206" s="5" t="s">
        <v>4127</v>
      </c>
      <c r="D206" s="5">
        <v>44985</v>
      </c>
      <c r="E206" s="4">
        <v>2</v>
      </c>
      <c r="F206" s="4">
        <v>28</v>
      </c>
      <c r="G206" s="4">
        <v>2023</v>
      </c>
      <c r="H206" s="5">
        <f t="shared" si="9"/>
        <v>44985</v>
      </c>
      <c r="I206" s="9">
        <v>44990</v>
      </c>
      <c r="J206" s="4">
        <f t="shared" si="10"/>
        <v>5</v>
      </c>
      <c r="K206" s="4" t="s">
        <v>33</v>
      </c>
      <c r="L206" s="4">
        <v>40353</v>
      </c>
      <c r="M206" s="4">
        <v>1049</v>
      </c>
      <c r="N206" s="10">
        <v>1516.72</v>
      </c>
      <c r="O206" s="10">
        <f t="shared" si="11"/>
        <v>1516.72</v>
      </c>
      <c r="P206" s="4">
        <v>209</v>
      </c>
      <c r="Q206" s="4" t="b">
        <v>1</v>
      </c>
      <c r="R206" s="4"/>
      <c r="S206" s="14" t="s">
        <v>34</v>
      </c>
    </row>
    <row r="207" spans="1:19">
      <c r="A207" s="6" t="s">
        <v>449</v>
      </c>
      <c r="B207" s="7" t="s">
        <v>450</v>
      </c>
      <c r="C207" s="8" t="s">
        <v>4131</v>
      </c>
      <c r="D207" s="8">
        <v>45086</v>
      </c>
      <c r="E207" s="7">
        <v>6</v>
      </c>
      <c r="F207" s="7">
        <v>9</v>
      </c>
      <c r="G207" s="7">
        <v>2023</v>
      </c>
      <c r="H207" s="8">
        <f t="shared" si="9"/>
        <v>45086</v>
      </c>
      <c r="I207" s="11">
        <v>45185</v>
      </c>
      <c r="J207" s="7">
        <f t="shared" si="10"/>
        <v>99</v>
      </c>
      <c r="K207" s="7" t="s">
        <v>23</v>
      </c>
      <c r="L207" s="7">
        <v>63003</v>
      </c>
      <c r="M207" s="7">
        <v>3091</v>
      </c>
      <c r="N207" s="12">
        <v>2564.17</v>
      </c>
      <c r="O207" s="12">
        <f t="shared" si="11"/>
        <v>2564.17</v>
      </c>
      <c r="P207" s="7">
        <v>256</v>
      </c>
      <c r="Q207" s="7" t="b">
        <v>1</v>
      </c>
      <c r="R207" s="7"/>
      <c r="S207" s="15" t="s">
        <v>25</v>
      </c>
    </row>
    <row r="208" spans="1:19">
      <c r="A208" s="3" t="s">
        <v>451</v>
      </c>
      <c r="B208" s="4" t="s">
        <v>452</v>
      </c>
      <c r="C208" s="5" t="s">
        <v>4131</v>
      </c>
      <c r="D208" s="5">
        <v>45086</v>
      </c>
      <c r="E208" s="4">
        <v>6</v>
      </c>
      <c r="F208" s="4">
        <v>9</v>
      </c>
      <c r="G208" s="4">
        <v>2023</v>
      </c>
      <c r="H208" s="5">
        <f t="shared" si="9"/>
        <v>45086</v>
      </c>
      <c r="I208" s="9">
        <v>45087</v>
      </c>
      <c r="J208" s="4">
        <f t="shared" si="10"/>
        <v>1</v>
      </c>
      <c r="K208" s="4" t="s">
        <v>33</v>
      </c>
      <c r="L208" s="4">
        <v>84211</v>
      </c>
      <c r="M208" s="4">
        <v>3614</v>
      </c>
      <c r="N208" s="10">
        <v>1918.24</v>
      </c>
      <c r="O208" s="10">
        <f t="shared" si="11"/>
        <v>1918.24</v>
      </c>
      <c r="P208" s="4">
        <v>236</v>
      </c>
      <c r="Q208" s="4" t="b">
        <v>0</v>
      </c>
      <c r="R208" s="4"/>
      <c r="S208" s="14" t="s">
        <v>34</v>
      </c>
    </row>
    <row r="209" spans="1:19">
      <c r="A209" s="6" t="s">
        <v>453</v>
      </c>
      <c r="B209" s="7" t="s">
        <v>454</v>
      </c>
      <c r="C209" s="8" t="s">
        <v>4128</v>
      </c>
      <c r="D209" s="8">
        <v>45119</v>
      </c>
      <c r="E209" s="7">
        <v>7</v>
      </c>
      <c r="F209" s="7">
        <v>12</v>
      </c>
      <c r="G209" s="7">
        <v>2023</v>
      </c>
      <c r="H209" s="8">
        <f t="shared" si="9"/>
        <v>45119</v>
      </c>
      <c r="I209" s="11">
        <v>45120</v>
      </c>
      <c r="J209" s="7">
        <f t="shared" si="10"/>
        <v>1</v>
      </c>
      <c r="K209" s="7" t="s">
        <v>19</v>
      </c>
      <c r="L209" s="7">
        <v>53733</v>
      </c>
      <c r="M209" s="7">
        <v>1660</v>
      </c>
      <c r="N209" s="12">
        <v>2888.28</v>
      </c>
      <c r="O209" s="12">
        <f t="shared" si="11"/>
        <v>2888.28</v>
      </c>
      <c r="P209" s="7">
        <v>228</v>
      </c>
      <c r="Q209" s="7" t="b">
        <v>1</v>
      </c>
      <c r="R209" s="7"/>
      <c r="S209" s="15" t="s">
        <v>20</v>
      </c>
    </row>
    <row r="210" spans="1:19">
      <c r="A210" s="3" t="s">
        <v>455</v>
      </c>
      <c r="B210" s="4" t="s">
        <v>456</v>
      </c>
      <c r="C210" s="5" t="s">
        <v>4128</v>
      </c>
      <c r="D210" s="5">
        <v>44965</v>
      </c>
      <c r="E210" s="4">
        <v>2</v>
      </c>
      <c r="F210" s="4">
        <v>8</v>
      </c>
      <c r="G210" s="4">
        <v>2023</v>
      </c>
      <c r="H210" s="5">
        <f t="shared" si="9"/>
        <v>44965</v>
      </c>
      <c r="I210" s="9">
        <v>44986</v>
      </c>
      <c r="J210" s="4">
        <f t="shared" si="10"/>
        <v>21</v>
      </c>
      <c r="K210" s="4" t="s">
        <v>138</v>
      </c>
      <c r="L210" s="4">
        <v>66318</v>
      </c>
      <c r="M210" s="4">
        <v>990</v>
      </c>
      <c r="N210" s="10">
        <v>1037.91</v>
      </c>
      <c r="O210" s="10">
        <f t="shared" si="11"/>
        <v>1037.91</v>
      </c>
      <c r="P210" s="4">
        <v>122</v>
      </c>
      <c r="Q210" s="4" t="b">
        <v>0</v>
      </c>
      <c r="R210" s="4"/>
      <c r="S210" s="14" t="s">
        <v>68</v>
      </c>
    </row>
    <row r="211" spans="1:19">
      <c r="A211" s="6" t="s">
        <v>457</v>
      </c>
      <c r="B211" s="7" t="s">
        <v>458</v>
      </c>
      <c r="C211" s="8" t="s">
        <v>4128</v>
      </c>
      <c r="D211" s="8">
        <v>45051</v>
      </c>
      <c r="E211" s="7">
        <v>5</v>
      </c>
      <c r="F211" s="7">
        <v>5</v>
      </c>
      <c r="G211" s="7">
        <v>2023</v>
      </c>
      <c r="H211" s="8">
        <f t="shared" si="9"/>
        <v>45051</v>
      </c>
      <c r="I211" s="11">
        <v>45072</v>
      </c>
      <c r="J211" s="7">
        <f t="shared" si="10"/>
        <v>21</v>
      </c>
      <c r="K211" s="7" t="s">
        <v>415</v>
      </c>
      <c r="L211" s="7">
        <v>90474</v>
      </c>
      <c r="M211" s="7">
        <v>4014</v>
      </c>
      <c r="N211" s="12">
        <v>4136.61</v>
      </c>
      <c r="O211" s="12">
        <f t="shared" si="11"/>
        <v>3632.575</v>
      </c>
      <c r="P211" s="7">
        <v>516</v>
      </c>
      <c r="Q211" s="7" t="b">
        <v>1</v>
      </c>
      <c r="R211" s="7"/>
      <c r="S211" s="15" t="s">
        <v>34</v>
      </c>
    </row>
    <row r="212" spans="1:19">
      <c r="A212" s="3" t="s">
        <v>459</v>
      </c>
      <c r="B212" s="4" t="s">
        <v>460</v>
      </c>
      <c r="C212" s="5" t="s">
        <v>4128</v>
      </c>
      <c r="D212" s="5">
        <v>45277</v>
      </c>
      <c r="E212" s="4">
        <v>12</v>
      </c>
      <c r="F212" s="4">
        <v>17</v>
      </c>
      <c r="G212" s="4">
        <v>2023</v>
      </c>
      <c r="H212" s="5">
        <f t="shared" si="9"/>
        <v>45277</v>
      </c>
      <c r="I212" s="9">
        <v>45302</v>
      </c>
      <c r="J212" s="4">
        <f t="shared" si="10"/>
        <v>25</v>
      </c>
      <c r="K212" s="4" t="s">
        <v>14</v>
      </c>
      <c r="L212" s="4">
        <v>24664</v>
      </c>
      <c r="M212" s="4">
        <v>1035</v>
      </c>
      <c r="N212" s="10">
        <v>987.1</v>
      </c>
      <c r="O212" s="10">
        <f t="shared" si="11"/>
        <v>987.1</v>
      </c>
      <c r="P212" s="4">
        <v>155</v>
      </c>
      <c r="Q212" s="4" t="b">
        <v>1</v>
      </c>
      <c r="R212" s="4"/>
      <c r="S212" s="14" t="s">
        <v>16</v>
      </c>
    </row>
    <row r="213" spans="1:19">
      <c r="A213" s="6" t="s">
        <v>461</v>
      </c>
      <c r="B213" s="7" t="s">
        <v>462</v>
      </c>
      <c r="C213" s="8" t="s">
        <v>4128</v>
      </c>
      <c r="D213" s="8">
        <v>45216</v>
      </c>
      <c r="E213" s="7">
        <v>10</v>
      </c>
      <c r="F213" s="7">
        <v>17</v>
      </c>
      <c r="G213" s="7">
        <v>2023</v>
      </c>
      <c r="H213" s="8">
        <f t="shared" si="9"/>
        <v>45216</v>
      </c>
      <c r="I213" s="11">
        <v>45230</v>
      </c>
      <c r="J213" s="7">
        <f t="shared" si="10"/>
        <v>14</v>
      </c>
      <c r="K213" s="7" t="s">
        <v>19</v>
      </c>
      <c r="L213" s="7">
        <v>68172</v>
      </c>
      <c r="M213" s="7">
        <v>1185</v>
      </c>
      <c r="N213" s="12">
        <v>2326.23</v>
      </c>
      <c r="O213" s="12">
        <f t="shared" si="11"/>
        <v>2326.23</v>
      </c>
      <c r="P213" s="7">
        <v>0</v>
      </c>
      <c r="Q213" s="7" t="b">
        <v>0</v>
      </c>
      <c r="R213" s="7"/>
      <c r="S213" s="15" t="s">
        <v>20</v>
      </c>
    </row>
    <row r="214" spans="1:19">
      <c r="A214" s="3" t="s">
        <v>463</v>
      </c>
      <c r="B214" s="4" t="s">
        <v>464</v>
      </c>
      <c r="C214" s="5" t="s">
        <v>4128</v>
      </c>
      <c r="D214" s="5">
        <v>45146</v>
      </c>
      <c r="E214" s="4">
        <v>8</v>
      </c>
      <c r="F214" s="4">
        <v>8</v>
      </c>
      <c r="G214" s="4">
        <v>2023</v>
      </c>
      <c r="H214" s="5">
        <f t="shared" si="9"/>
        <v>45146</v>
      </c>
      <c r="I214" s="9">
        <v>45149</v>
      </c>
      <c r="J214" s="4">
        <f t="shared" si="10"/>
        <v>3</v>
      </c>
      <c r="K214" s="4" t="s">
        <v>19</v>
      </c>
      <c r="L214" s="4">
        <v>86616</v>
      </c>
      <c r="M214" s="4">
        <v>1889</v>
      </c>
      <c r="N214" s="10">
        <v>1426.52</v>
      </c>
      <c r="O214" s="10">
        <f t="shared" si="11"/>
        <v>1426.52</v>
      </c>
      <c r="P214" s="4">
        <v>0</v>
      </c>
      <c r="Q214" s="4" t="b">
        <v>1</v>
      </c>
      <c r="R214" s="4"/>
      <c r="S214" s="14" t="s">
        <v>20</v>
      </c>
    </row>
    <row r="215" spans="1:19">
      <c r="A215" s="6" t="s">
        <v>465</v>
      </c>
      <c r="B215" s="7" t="s">
        <v>466</v>
      </c>
      <c r="C215" s="8" t="s">
        <v>4129</v>
      </c>
      <c r="D215" s="8">
        <v>45258</v>
      </c>
      <c r="E215" s="7">
        <v>11</v>
      </c>
      <c r="F215" s="7">
        <v>28</v>
      </c>
      <c r="G215" s="7">
        <v>2023</v>
      </c>
      <c r="H215" s="8">
        <f t="shared" si="9"/>
        <v>45258</v>
      </c>
      <c r="I215" s="11">
        <v>45270</v>
      </c>
      <c r="J215" s="7">
        <f t="shared" si="10"/>
        <v>12</v>
      </c>
      <c r="K215" s="7" t="s">
        <v>23</v>
      </c>
      <c r="L215" s="7">
        <v>94264</v>
      </c>
      <c r="M215" s="7">
        <v>3934</v>
      </c>
      <c r="N215" s="12">
        <v>7267.5</v>
      </c>
      <c r="O215" s="12">
        <f t="shared" si="11"/>
        <v>3632.575</v>
      </c>
      <c r="P215" s="7">
        <v>453</v>
      </c>
      <c r="Q215" s="7" t="b">
        <v>1</v>
      </c>
      <c r="R215" s="7"/>
      <c r="S215" s="15" t="s">
        <v>25</v>
      </c>
    </row>
    <row r="216" spans="1:19">
      <c r="A216" s="3" t="s">
        <v>467</v>
      </c>
      <c r="B216" s="4" t="s">
        <v>468</v>
      </c>
      <c r="C216" s="5" t="s">
        <v>4129</v>
      </c>
      <c r="D216" s="5">
        <v>45177</v>
      </c>
      <c r="E216" s="4">
        <v>9</v>
      </c>
      <c r="F216" s="4">
        <v>8</v>
      </c>
      <c r="G216" s="4">
        <v>2023</v>
      </c>
      <c r="H216" s="5">
        <f t="shared" si="9"/>
        <v>45177</v>
      </c>
      <c r="I216" s="9">
        <v>45192</v>
      </c>
      <c r="J216" s="4">
        <f t="shared" si="10"/>
        <v>15</v>
      </c>
      <c r="K216" s="4" t="s">
        <v>14</v>
      </c>
      <c r="L216" s="4">
        <v>27736</v>
      </c>
      <c r="M216" s="4">
        <v>482</v>
      </c>
      <c r="N216" s="10">
        <v>802.63</v>
      </c>
      <c r="O216" s="10">
        <f t="shared" si="11"/>
        <v>802.63</v>
      </c>
      <c r="P216" s="4">
        <v>33</v>
      </c>
      <c r="Q216" s="4" t="b">
        <v>1</v>
      </c>
      <c r="R216" s="4"/>
      <c r="S216" s="14" t="s">
        <v>16</v>
      </c>
    </row>
    <row r="217" spans="1:19">
      <c r="A217" s="6" t="s">
        <v>469</v>
      </c>
      <c r="B217" s="7" t="s">
        <v>470</v>
      </c>
      <c r="C217" s="8" t="s">
        <v>4129</v>
      </c>
      <c r="D217" s="8">
        <v>45252</v>
      </c>
      <c r="E217" s="7">
        <v>11</v>
      </c>
      <c r="F217" s="7">
        <v>22</v>
      </c>
      <c r="G217" s="7">
        <v>2023</v>
      </c>
      <c r="H217" s="8">
        <f t="shared" si="9"/>
        <v>45252</v>
      </c>
      <c r="I217" s="11">
        <v>45277</v>
      </c>
      <c r="J217" s="7">
        <f t="shared" si="10"/>
        <v>25</v>
      </c>
      <c r="K217" s="7" t="s">
        <v>14</v>
      </c>
      <c r="L217" s="7">
        <v>95209</v>
      </c>
      <c r="M217" s="7">
        <v>4447</v>
      </c>
      <c r="N217" s="12">
        <v>2733.66</v>
      </c>
      <c r="O217" s="12">
        <f t="shared" si="11"/>
        <v>2733.66</v>
      </c>
      <c r="P217" s="7">
        <v>717</v>
      </c>
      <c r="Q217" s="7" t="b">
        <v>1</v>
      </c>
      <c r="R217" s="7"/>
      <c r="S217" s="15" t="s">
        <v>16</v>
      </c>
    </row>
    <row r="218" spans="1:19">
      <c r="A218" s="3" t="s">
        <v>471</v>
      </c>
      <c r="B218" s="4" t="s">
        <v>472</v>
      </c>
      <c r="C218" s="5" t="s">
        <v>4128</v>
      </c>
      <c r="D218" s="5">
        <v>45005</v>
      </c>
      <c r="E218" s="4">
        <v>3</v>
      </c>
      <c r="F218" s="4">
        <v>20</v>
      </c>
      <c r="G218" s="4">
        <v>2023</v>
      </c>
      <c r="H218" s="5">
        <f t="shared" si="9"/>
        <v>45005</v>
      </c>
      <c r="I218" s="9">
        <v>45035</v>
      </c>
      <c r="J218" s="4">
        <f t="shared" si="10"/>
        <v>30</v>
      </c>
      <c r="K218" s="4" t="s">
        <v>33</v>
      </c>
      <c r="L218" s="4">
        <v>1854</v>
      </c>
      <c r="M218" s="4">
        <v>50</v>
      </c>
      <c r="N218" s="10">
        <v>99</v>
      </c>
      <c r="O218" s="10">
        <f t="shared" si="11"/>
        <v>99</v>
      </c>
      <c r="P218" s="4">
        <v>7</v>
      </c>
      <c r="Q218" s="4" t="b">
        <v>0</v>
      </c>
      <c r="R218" s="4"/>
      <c r="S218" s="14" t="s">
        <v>34</v>
      </c>
    </row>
    <row r="219" spans="1:19">
      <c r="A219" s="6" t="s">
        <v>473</v>
      </c>
      <c r="B219" s="7" t="s">
        <v>474</v>
      </c>
      <c r="C219" s="8" t="s">
        <v>4129</v>
      </c>
      <c r="D219" s="8">
        <v>45260</v>
      </c>
      <c r="E219" s="7">
        <v>11</v>
      </c>
      <c r="F219" s="7">
        <v>30</v>
      </c>
      <c r="G219" s="7">
        <v>2023</v>
      </c>
      <c r="H219" s="8">
        <f t="shared" si="9"/>
        <v>45260</v>
      </c>
      <c r="I219" s="11">
        <v>45265</v>
      </c>
      <c r="J219" s="7">
        <f t="shared" si="10"/>
        <v>5</v>
      </c>
      <c r="K219" s="7" t="s">
        <v>41</v>
      </c>
      <c r="L219" s="7">
        <v>91084</v>
      </c>
      <c r="M219" s="7">
        <v>1227</v>
      </c>
      <c r="N219" s="12">
        <v>1112.95</v>
      </c>
      <c r="O219" s="12">
        <f t="shared" si="11"/>
        <v>1112.95</v>
      </c>
      <c r="P219" s="7">
        <v>119</v>
      </c>
      <c r="Q219" s="7" t="b">
        <v>1</v>
      </c>
      <c r="R219" s="7"/>
      <c r="S219" s="15" t="s">
        <v>68</v>
      </c>
    </row>
    <row r="220" spans="1:19">
      <c r="A220" s="3" t="s">
        <v>475</v>
      </c>
      <c r="B220" s="4" t="s">
        <v>476</v>
      </c>
      <c r="C220" s="5" t="s">
        <v>4129</v>
      </c>
      <c r="D220" s="5">
        <v>45202</v>
      </c>
      <c r="E220" s="4">
        <v>10</v>
      </c>
      <c r="F220" s="4">
        <v>3</v>
      </c>
      <c r="G220" s="4">
        <v>2023</v>
      </c>
      <c r="H220" s="5">
        <f t="shared" si="9"/>
        <v>45202</v>
      </c>
      <c r="I220" s="9">
        <v>45197</v>
      </c>
      <c r="J220" s="4">
        <f t="shared" si="10"/>
        <v>-5</v>
      </c>
      <c r="K220" s="4" t="s">
        <v>14</v>
      </c>
      <c r="L220" s="4">
        <v>39623</v>
      </c>
      <c r="M220" s="4">
        <v>1689</v>
      </c>
      <c r="N220" s="10">
        <v>1094.26</v>
      </c>
      <c r="O220" s="10">
        <f t="shared" si="11"/>
        <v>1094.26</v>
      </c>
      <c r="P220" s="4">
        <v>241</v>
      </c>
      <c r="Q220" s="4" t="b">
        <v>0</v>
      </c>
      <c r="R220" s="4"/>
      <c r="S220" s="14" t="s">
        <v>16</v>
      </c>
    </row>
    <row r="221" spans="1:19">
      <c r="A221" s="6" t="s">
        <v>477</v>
      </c>
      <c r="B221" s="7" t="s">
        <v>478</v>
      </c>
      <c r="C221" s="8" t="s">
        <v>4127</v>
      </c>
      <c r="D221" s="8">
        <v>45230</v>
      </c>
      <c r="E221" s="7">
        <v>10</v>
      </c>
      <c r="F221" s="7">
        <v>31</v>
      </c>
      <c r="G221" s="7">
        <v>2023</v>
      </c>
      <c r="H221" s="8">
        <f t="shared" si="9"/>
        <v>45230</v>
      </c>
      <c r="I221" s="11">
        <v>45251</v>
      </c>
      <c r="J221" s="7">
        <f t="shared" si="10"/>
        <v>21</v>
      </c>
      <c r="K221" s="7" t="s">
        <v>33</v>
      </c>
      <c r="L221" s="7">
        <v>8392</v>
      </c>
      <c r="M221" s="7">
        <v>209</v>
      </c>
      <c r="N221" s="12">
        <v>364.49</v>
      </c>
      <c r="O221" s="12">
        <f t="shared" si="11"/>
        <v>364.49</v>
      </c>
      <c r="P221" s="7">
        <v>17</v>
      </c>
      <c r="Q221" s="7" t="b">
        <v>1</v>
      </c>
      <c r="R221" s="7"/>
      <c r="S221" s="15" t="s">
        <v>34</v>
      </c>
    </row>
    <row r="222" spans="1:19">
      <c r="A222" s="3" t="s">
        <v>479</v>
      </c>
      <c r="B222" s="4" t="s">
        <v>480</v>
      </c>
      <c r="C222" s="5" t="s">
        <v>4128</v>
      </c>
      <c r="D222" s="5">
        <v>44971</v>
      </c>
      <c r="E222" s="4">
        <v>2</v>
      </c>
      <c r="F222" s="4">
        <v>14</v>
      </c>
      <c r="G222" s="4">
        <v>2023</v>
      </c>
      <c r="H222" s="5">
        <f t="shared" si="9"/>
        <v>44971</v>
      </c>
      <c r="I222" s="9">
        <v>44984</v>
      </c>
      <c r="J222" s="4">
        <f t="shared" si="10"/>
        <v>13</v>
      </c>
      <c r="K222" s="4" t="s">
        <v>19</v>
      </c>
      <c r="L222" s="4">
        <v>56680</v>
      </c>
      <c r="M222" s="4">
        <v>1760</v>
      </c>
      <c r="N222" s="10">
        <v>2745.62</v>
      </c>
      <c r="O222" s="10">
        <f t="shared" si="11"/>
        <v>2745.62</v>
      </c>
      <c r="P222" s="4">
        <v>205</v>
      </c>
      <c r="Q222" s="4" t="b">
        <v>0</v>
      </c>
      <c r="R222" s="4"/>
      <c r="S222" s="14" t="s">
        <v>20</v>
      </c>
    </row>
    <row r="223" spans="1:19">
      <c r="A223" s="6" t="s">
        <v>481</v>
      </c>
      <c r="B223" s="7" t="s">
        <v>482</v>
      </c>
      <c r="C223" s="8" t="s">
        <v>4129</v>
      </c>
      <c r="D223" s="8">
        <v>45164</v>
      </c>
      <c r="E223" s="7">
        <v>8</v>
      </c>
      <c r="F223" s="7">
        <v>26</v>
      </c>
      <c r="G223" s="7">
        <v>2023</v>
      </c>
      <c r="H223" s="8">
        <f t="shared" si="9"/>
        <v>45164</v>
      </c>
      <c r="I223" s="11">
        <v>45159</v>
      </c>
      <c r="J223" s="7">
        <f t="shared" si="10"/>
        <v>-5</v>
      </c>
      <c r="K223" s="7" t="s">
        <v>14</v>
      </c>
      <c r="L223" s="7">
        <v>47717</v>
      </c>
      <c r="M223" s="7">
        <v>691</v>
      </c>
      <c r="N223" s="12">
        <v>985.25</v>
      </c>
      <c r="O223" s="12">
        <f t="shared" si="11"/>
        <v>985.25</v>
      </c>
      <c r="P223" s="7">
        <v>127</v>
      </c>
      <c r="Q223" s="7" t="b">
        <v>1</v>
      </c>
      <c r="R223" s="7"/>
      <c r="S223" s="15" t="s">
        <v>16</v>
      </c>
    </row>
    <row r="224" spans="1:19">
      <c r="A224" s="3" t="s">
        <v>483</v>
      </c>
      <c r="B224" s="4" t="s">
        <v>484</v>
      </c>
      <c r="C224" s="5" t="s">
        <v>4127</v>
      </c>
      <c r="D224" s="5" t="s">
        <v>485</v>
      </c>
      <c r="E224" s="4">
        <v>22</v>
      </c>
      <c r="F224" s="4">
        <v>6</v>
      </c>
      <c r="G224" s="4">
        <v>2023</v>
      </c>
      <c r="H224" s="5">
        <f t="shared" si="9"/>
        <v>45099</v>
      </c>
      <c r="I224" s="9">
        <v>45105</v>
      </c>
      <c r="J224" s="4">
        <f t="shared" si="10"/>
        <v>6</v>
      </c>
      <c r="K224" s="4" t="s">
        <v>19</v>
      </c>
      <c r="L224" s="4">
        <v>88092</v>
      </c>
      <c r="M224" s="4">
        <v>890</v>
      </c>
      <c r="N224" s="10">
        <v>653.23</v>
      </c>
      <c r="O224" s="10">
        <f t="shared" si="11"/>
        <v>653.23</v>
      </c>
      <c r="P224" s="4">
        <v>62</v>
      </c>
      <c r="Q224" s="4" t="b">
        <v>0</v>
      </c>
      <c r="R224" s="4"/>
      <c r="S224" s="14" t="s">
        <v>20</v>
      </c>
    </row>
    <row r="225" spans="1:19">
      <c r="A225" s="6" t="s">
        <v>486</v>
      </c>
      <c r="B225" s="7" t="s">
        <v>487</v>
      </c>
      <c r="C225" s="8" t="s">
        <v>4127</v>
      </c>
      <c r="D225" s="8">
        <v>45093</v>
      </c>
      <c r="E225" s="7">
        <v>6</v>
      </c>
      <c r="F225" s="7">
        <v>16</v>
      </c>
      <c r="G225" s="7">
        <v>2023</v>
      </c>
      <c r="H225" s="8">
        <f t="shared" si="9"/>
        <v>45093</v>
      </c>
      <c r="I225" s="11">
        <v>45113</v>
      </c>
      <c r="J225" s="7">
        <f t="shared" si="10"/>
        <v>20</v>
      </c>
      <c r="K225" s="7" t="s">
        <v>41</v>
      </c>
      <c r="L225" s="7">
        <v>51859</v>
      </c>
      <c r="M225" s="7">
        <v>1842</v>
      </c>
      <c r="N225" s="12">
        <v>2243.08</v>
      </c>
      <c r="O225" s="12">
        <f t="shared" si="11"/>
        <v>2243.08</v>
      </c>
      <c r="P225" s="7">
        <v>0</v>
      </c>
      <c r="Q225" s="7" t="b">
        <v>1</v>
      </c>
      <c r="R225" s="7"/>
      <c r="S225" s="15" t="s">
        <v>42</v>
      </c>
    </row>
    <row r="226" spans="1:19">
      <c r="A226" s="3" t="s">
        <v>488</v>
      </c>
      <c r="B226" s="4" t="s">
        <v>489</v>
      </c>
      <c r="C226" s="5" t="s">
        <v>4128</v>
      </c>
      <c r="D226" s="5">
        <v>45059</v>
      </c>
      <c r="E226" s="4">
        <v>5</v>
      </c>
      <c r="F226" s="4">
        <v>13</v>
      </c>
      <c r="G226" s="4">
        <v>2023</v>
      </c>
      <c r="H226" s="5">
        <f t="shared" si="9"/>
        <v>45059</v>
      </c>
      <c r="I226" s="9">
        <v>45074</v>
      </c>
      <c r="J226" s="4">
        <f t="shared" si="10"/>
        <v>15</v>
      </c>
      <c r="K226" s="4" t="s">
        <v>138</v>
      </c>
      <c r="L226" s="4">
        <v>27309</v>
      </c>
      <c r="M226" s="4">
        <v>835</v>
      </c>
      <c r="N226" s="10">
        <v>1395.15</v>
      </c>
      <c r="O226" s="10">
        <f t="shared" si="11"/>
        <v>1395.15</v>
      </c>
      <c r="P226" s="4">
        <v>144</v>
      </c>
      <c r="Q226" s="4" t="b">
        <v>1</v>
      </c>
      <c r="R226" s="4"/>
      <c r="S226" s="14" t="s">
        <v>68</v>
      </c>
    </row>
    <row r="227" spans="1:19">
      <c r="A227" s="6" t="s">
        <v>490</v>
      </c>
      <c r="B227" s="7" t="s">
        <v>491</v>
      </c>
      <c r="C227" s="8" t="s">
        <v>4129</v>
      </c>
      <c r="D227" s="8">
        <v>45286</v>
      </c>
      <c r="E227" s="7">
        <v>12</v>
      </c>
      <c r="F227" s="7">
        <v>26</v>
      </c>
      <c r="G227" s="7">
        <v>2023</v>
      </c>
      <c r="H227" s="8">
        <f t="shared" si="9"/>
        <v>45286</v>
      </c>
      <c r="I227" s="11">
        <v>45311</v>
      </c>
      <c r="J227" s="7">
        <f t="shared" si="10"/>
        <v>25</v>
      </c>
      <c r="K227" s="7" t="s">
        <v>33</v>
      </c>
      <c r="L227" s="7">
        <v>88455</v>
      </c>
      <c r="M227" s="7">
        <v>2984</v>
      </c>
      <c r="N227" s="12">
        <v>2851.02</v>
      </c>
      <c r="O227" s="12">
        <f t="shared" si="11"/>
        <v>2851.02</v>
      </c>
      <c r="P227" s="7">
        <v>583</v>
      </c>
      <c r="Q227" s="7" t="b">
        <v>1</v>
      </c>
      <c r="R227" s="7"/>
      <c r="S227" s="15" t="s">
        <v>34</v>
      </c>
    </row>
    <row r="228" spans="1:19">
      <c r="A228" s="3" t="s">
        <v>492</v>
      </c>
      <c r="B228" s="4" t="s">
        <v>493</v>
      </c>
      <c r="C228" s="5" t="s">
        <v>4129</v>
      </c>
      <c r="D228" s="5">
        <v>45191</v>
      </c>
      <c r="E228" s="4">
        <v>9</v>
      </c>
      <c r="F228" s="4">
        <v>22</v>
      </c>
      <c r="G228" s="4">
        <v>2023</v>
      </c>
      <c r="H228" s="5">
        <f t="shared" si="9"/>
        <v>45191</v>
      </c>
      <c r="I228" s="9">
        <v>45202</v>
      </c>
      <c r="J228" s="4">
        <f t="shared" si="10"/>
        <v>11</v>
      </c>
      <c r="K228" s="4" t="s">
        <v>23</v>
      </c>
      <c r="L228" s="4">
        <v>64734</v>
      </c>
      <c r="M228" s="4">
        <v>2702</v>
      </c>
      <c r="N228" s="10">
        <v>2614.28</v>
      </c>
      <c r="O228" s="10">
        <f t="shared" si="11"/>
        <v>2614.28</v>
      </c>
      <c r="P228" s="4">
        <v>319</v>
      </c>
      <c r="Q228" s="4" t="b">
        <v>0</v>
      </c>
      <c r="R228" s="4"/>
      <c r="S228" s="14" t="s">
        <v>25</v>
      </c>
    </row>
    <row r="229" spans="1:19">
      <c r="A229" s="6" t="s">
        <v>494</v>
      </c>
      <c r="B229" s="7" t="s">
        <v>495</v>
      </c>
      <c r="C229" s="8" t="s">
        <v>4129</v>
      </c>
      <c r="D229" s="8">
        <v>45135</v>
      </c>
      <c r="E229" s="7">
        <v>7</v>
      </c>
      <c r="F229" s="7">
        <v>28</v>
      </c>
      <c r="G229" s="7">
        <v>2023</v>
      </c>
      <c r="H229" s="8">
        <f t="shared" si="9"/>
        <v>45135</v>
      </c>
      <c r="I229" s="11">
        <v>45139</v>
      </c>
      <c r="J229" s="7">
        <f t="shared" si="10"/>
        <v>4</v>
      </c>
      <c r="K229" s="7" t="s">
        <v>23</v>
      </c>
      <c r="L229" s="7">
        <v>71467</v>
      </c>
      <c r="M229" s="7">
        <v>2563</v>
      </c>
      <c r="N229" s="12">
        <v>1293.58</v>
      </c>
      <c r="O229" s="12">
        <f t="shared" si="11"/>
        <v>1293.58</v>
      </c>
      <c r="P229" s="7">
        <v>323</v>
      </c>
      <c r="Q229" s="7" t="b">
        <v>0</v>
      </c>
      <c r="R229" s="7"/>
      <c r="S229" s="15" t="s">
        <v>25</v>
      </c>
    </row>
    <row r="230" spans="1:19">
      <c r="A230" s="3" t="s">
        <v>496</v>
      </c>
      <c r="B230" s="4" t="s">
        <v>497</v>
      </c>
      <c r="C230" s="5" t="s">
        <v>4128</v>
      </c>
      <c r="D230" s="5">
        <v>45280</v>
      </c>
      <c r="E230" s="4">
        <v>12</v>
      </c>
      <c r="F230" s="4">
        <v>20</v>
      </c>
      <c r="G230" s="4">
        <v>2023</v>
      </c>
      <c r="H230" s="5">
        <f t="shared" si="9"/>
        <v>45280</v>
      </c>
      <c r="I230" s="9">
        <v>45310</v>
      </c>
      <c r="J230" s="4">
        <f t="shared" si="10"/>
        <v>30</v>
      </c>
      <c r="K230" s="4" t="s">
        <v>23</v>
      </c>
      <c r="L230" s="4">
        <v>53662</v>
      </c>
      <c r="M230" s="4">
        <v>911</v>
      </c>
      <c r="N230" s="10">
        <v>693.6</v>
      </c>
      <c r="O230" s="10">
        <f t="shared" si="11"/>
        <v>693.6</v>
      </c>
      <c r="P230" s="4">
        <v>123</v>
      </c>
      <c r="Q230" s="4" t="b">
        <v>1</v>
      </c>
      <c r="R230" s="4"/>
      <c r="S230" s="14" t="s">
        <v>25</v>
      </c>
    </row>
    <row r="231" spans="1:19">
      <c r="A231" s="6" t="s">
        <v>498</v>
      </c>
      <c r="B231" s="7" t="s">
        <v>499</v>
      </c>
      <c r="C231" s="8" t="s">
        <v>4127</v>
      </c>
      <c r="D231" s="8">
        <v>45156</v>
      </c>
      <c r="E231" s="7">
        <v>8</v>
      </c>
      <c r="F231" s="7">
        <v>18</v>
      </c>
      <c r="G231" s="7">
        <v>2023</v>
      </c>
      <c r="H231" s="8">
        <f t="shared" si="9"/>
        <v>45156</v>
      </c>
      <c r="I231" s="11">
        <v>45165</v>
      </c>
      <c r="J231" s="7">
        <f t="shared" si="10"/>
        <v>9</v>
      </c>
      <c r="K231" s="7" t="s">
        <v>14</v>
      </c>
      <c r="L231" s="7">
        <v>99506</v>
      </c>
      <c r="M231" s="7">
        <v>2431</v>
      </c>
      <c r="N231" s="12">
        <v>4407.67</v>
      </c>
      <c r="O231" s="12">
        <f t="shared" si="11"/>
        <v>3632.575</v>
      </c>
      <c r="P231" s="7">
        <v>461</v>
      </c>
      <c r="Q231" s="7" t="b">
        <v>1</v>
      </c>
      <c r="R231" s="7"/>
      <c r="S231" s="15" t="s">
        <v>16</v>
      </c>
    </row>
    <row r="232" spans="1:19">
      <c r="A232" s="3" t="s">
        <v>500</v>
      </c>
      <c r="B232" s="4" t="s">
        <v>501</v>
      </c>
      <c r="C232" s="5" t="s">
        <v>4127</v>
      </c>
      <c r="D232" s="5">
        <v>45040</v>
      </c>
      <c r="E232" s="4">
        <v>4</v>
      </c>
      <c r="F232" s="4">
        <v>24</v>
      </c>
      <c r="G232" s="4">
        <v>2023</v>
      </c>
      <c r="H232" s="5">
        <f t="shared" si="9"/>
        <v>45040</v>
      </c>
      <c r="I232" s="9">
        <v>45055</v>
      </c>
      <c r="J232" s="4">
        <f t="shared" si="10"/>
        <v>15</v>
      </c>
      <c r="K232" s="4" t="s">
        <v>33</v>
      </c>
      <c r="L232" s="4">
        <v>13688</v>
      </c>
      <c r="M232" s="4">
        <v>632</v>
      </c>
      <c r="N232" s="10">
        <v>734.78</v>
      </c>
      <c r="O232" s="10">
        <f t="shared" si="11"/>
        <v>734.78</v>
      </c>
      <c r="P232" s="4">
        <v>112</v>
      </c>
      <c r="Q232" s="4" t="b">
        <v>1</v>
      </c>
      <c r="R232" s="4"/>
      <c r="S232" s="14" t="s">
        <v>68</v>
      </c>
    </row>
    <row r="233" spans="1:19">
      <c r="A233" s="6" t="s">
        <v>502</v>
      </c>
      <c r="B233" s="7" t="s">
        <v>503</v>
      </c>
      <c r="C233" s="8" t="s">
        <v>4127</v>
      </c>
      <c r="D233" s="8">
        <v>45266</v>
      </c>
      <c r="E233" s="7">
        <v>12</v>
      </c>
      <c r="F233" s="7">
        <v>6</v>
      </c>
      <c r="G233" s="7">
        <v>2023</v>
      </c>
      <c r="H233" s="8">
        <f t="shared" si="9"/>
        <v>45266</v>
      </c>
      <c r="I233" s="11">
        <v>45275</v>
      </c>
      <c r="J233" s="7">
        <f t="shared" si="10"/>
        <v>9</v>
      </c>
      <c r="K233" s="7" t="s">
        <v>138</v>
      </c>
      <c r="L233" s="7">
        <v>26342</v>
      </c>
      <c r="M233" s="7">
        <v>1074</v>
      </c>
      <c r="N233" s="12">
        <v>2122.6</v>
      </c>
      <c r="O233" s="12">
        <f t="shared" si="11"/>
        <v>2122.6</v>
      </c>
      <c r="P233" s="7">
        <v>81</v>
      </c>
      <c r="Q233" s="7" t="b">
        <v>1</v>
      </c>
      <c r="R233" s="7"/>
      <c r="S233" s="15" t="s">
        <v>139</v>
      </c>
    </row>
    <row r="234" spans="1:19">
      <c r="A234" s="3" t="s">
        <v>504</v>
      </c>
      <c r="B234" s="4" t="s">
        <v>505</v>
      </c>
      <c r="C234" s="5" t="s">
        <v>4127</v>
      </c>
      <c r="D234" s="5">
        <v>45198</v>
      </c>
      <c r="E234" s="4">
        <v>9</v>
      </c>
      <c r="F234" s="4">
        <v>29</v>
      </c>
      <c r="G234" s="4">
        <v>2023</v>
      </c>
      <c r="H234" s="5">
        <f t="shared" si="9"/>
        <v>45198</v>
      </c>
      <c r="I234" s="9">
        <v>45205</v>
      </c>
      <c r="J234" s="4">
        <f t="shared" si="10"/>
        <v>7</v>
      </c>
      <c r="K234" s="4" t="s">
        <v>33</v>
      </c>
      <c r="L234" s="4">
        <v>38157</v>
      </c>
      <c r="M234" s="4">
        <v>1231</v>
      </c>
      <c r="N234" s="10">
        <v>1346.17</v>
      </c>
      <c r="O234" s="10">
        <f t="shared" si="11"/>
        <v>1346.17</v>
      </c>
      <c r="P234" s="4">
        <v>142</v>
      </c>
      <c r="Q234" s="4" t="b">
        <v>1</v>
      </c>
      <c r="R234" s="4"/>
      <c r="S234" s="14" t="s">
        <v>34</v>
      </c>
    </row>
    <row r="235" spans="1:19">
      <c r="A235" s="6" t="s">
        <v>506</v>
      </c>
      <c r="B235" s="7" t="s">
        <v>507</v>
      </c>
      <c r="C235" s="8" t="s">
        <v>4127</v>
      </c>
      <c r="D235" s="8">
        <v>45208</v>
      </c>
      <c r="E235" s="7">
        <v>10</v>
      </c>
      <c r="F235" s="7">
        <v>9</v>
      </c>
      <c r="G235" s="7">
        <v>2023</v>
      </c>
      <c r="H235" s="8">
        <f t="shared" si="9"/>
        <v>45208</v>
      </c>
      <c r="I235" s="11">
        <v>45231</v>
      </c>
      <c r="J235" s="7">
        <f t="shared" si="10"/>
        <v>23</v>
      </c>
      <c r="K235" s="7" t="s">
        <v>14</v>
      </c>
      <c r="L235" s="7">
        <v>68863</v>
      </c>
      <c r="M235" s="7">
        <v>1392</v>
      </c>
      <c r="N235" s="12">
        <v>2189.31</v>
      </c>
      <c r="O235" s="12">
        <f t="shared" si="11"/>
        <v>2189.31</v>
      </c>
      <c r="P235" s="7">
        <v>166</v>
      </c>
      <c r="Q235" s="7" t="b">
        <v>0</v>
      </c>
      <c r="R235" s="7"/>
      <c r="S235" s="15" t="s">
        <v>16</v>
      </c>
    </row>
    <row r="236" spans="1:19">
      <c r="A236" s="3" t="s">
        <v>508</v>
      </c>
      <c r="B236" s="4" t="s">
        <v>509</v>
      </c>
      <c r="C236" s="5" t="s">
        <v>4129</v>
      </c>
      <c r="D236" s="5">
        <v>45065</v>
      </c>
      <c r="E236" s="4">
        <v>5</v>
      </c>
      <c r="F236" s="4">
        <v>19</v>
      </c>
      <c r="G236" s="4">
        <v>2023</v>
      </c>
      <c r="H236" s="5">
        <f t="shared" si="9"/>
        <v>45065</v>
      </c>
      <c r="I236" s="9">
        <v>45085</v>
      </c>
      <c r="J236" s="4">
        <f t="shared" si="10"/>
        <v>20</v>
      </c>
      <c r="K236" s="4" t="s">
        <v>33</v>
      </c>
      <c r="L236" s="4">
        <v>53083</v>
      </c>
      <c r="M236" s="4">
        <v>1172</v>
      </c>
      <c r="N236" s="10">
        <v>1081.61</v>
      </c>
      <c r="O236" s="10">
        <f t="shared" si="11"/>
        <v>1081.61</v>
      </c>
      <c r="P236" s="4">
        <v>197</v>
      </c>
      <c r="Q236" s="4" t="b">
        <v>1</v>
      </c>
      <c r="R236" s="4"/>
      <c r="S236" s="14" t="s">
        <v>34</v>
      </c>
    </row>
    <row r="237" spans="1:19">
      <c r="A237" s="6" t="s">
        <v>510</v>
      </c>
      <c r="B237" s="7" t="s">
        <v>511</v>
      </c>
      <c r="C237" s="8" t="s">
        <v>4131</v>
      </c>
      <c r="D237" s="8">
        <v>45025</v>
      </c>
      <c r="E237" s="7">
        <v>4</v>
      </c>
      <c r="F237" s="7">
        <v>9</v>
      </c>
      <c r="G237" s="7">
        <v>2023</v>
      </c>
      <c r="H237" s="8">
        <f t="shared" si="9"/>
        <v>45025</v>
      </c>
      <c r="I237" s="11">
        <v>45040</v>
      </c>
      <c r="J237" s="7">
        <f t="shared" si="10"/>
        <v>15</v>
      </c>
      <c r="K237" s="7" t="s">
        <v>19</v>
      </c>
      <c r="L237" s="7">
        <v>66733</v>
      </c>
      <c r="M237" s="7">
        <v>2621</v>
      </c>
      <c r="N237" s="12">
        <v>2740.82</v>
      </c>
      <c r="O237" s="12">
        <f t="shared" si="11"/>
        <v>2740.82</v>
      </c>
      <c r="P237" s="7">
        <v>0</v>
      </c>
      <c r="Q237" s="7" t="b">
        <v>0</v>
      </c>
      <c r="R237" s="7"/>
      <c r="S237" s="15" t="s">
        <v>20</v>
      </c>
    </row>
    <row r="238" spans="1:19">
      <c r="A238" s="3" t="s">
        <v>512</v>
      </c>
      <c r="B238" s="4" t="s">
        <v>513</v>
      </c>
      <c r="C238" s="5" t="s">
        <v>4127</v>
      </c>
      <c r="D238" s="5">
        <v>45280</v>
      </c>
      <c r="E238" s="4">
        <v>12</v>
      </c>
      <c r="F238" s="4">
        <v>20</v>
      </c>
      <c r="G238" s="4">
        <v>2023</v>
      </c>
      <c r="H238" s="5">
        <f t="shared" si="9"/>
        <v>45280</v>
      </c>
      <c r="I238" s="9">
        <v>45290</v>
      </c>
      <c r="J238" s="4">
        <f t="shared" si="10"/>
        <v>10</v>
      </c>
      <c r="K238" s="4" t="s">
        <v>138</v>
      </c>
      <c r="L238" s="4">
        <v>90045</v>
      </c>
      <c r="M238" s="4">
        <v>3966</v>
      </c>
      <c r="N238" s="10">
        <v>3117.63</v>
      </c>
      <c r="O238" s="10">
        <f t="shared" si="11"/>
        <v>3117.63</v>
      </c>
      <c r="P238" s="4">
        <v>587</v>
      </c>
      <c r="Q238" s="4" t="b">
        <v>1</v>
      </c>
      <c r="R238" s="4"/>
      <c r="S238" s="14" t="s">
        <v>139</v>
      </c>
    </row>
    <row r="239" spans="1:19">
      <c r="A239" s="6" t="s">
        <v>514</v>
      </c>
      <c r="B239" s="7" t="s">
        <v>515</v>
      </c>
      <c r="C239" s="8" t="s">
        <v>4128</v>
      </c>
      <c r="D239" s="8">
        <v>45174</v>
      </c>
      <c r="E239" s="7">
        <v>9</v>
      </c>
      <c r="F239" s="7">
        <v>5</v>
      </c>
      <c r="G239" s="7">
        <v>2023</v>
      </c>
      <c r="H239" s="8">
        <f t="shared" si="9"/>
        <v>45174</v>
      </c>
      <c r="I239" s="11">
        <v>45180</v>
      </c>
      <c r="J239" s="7">
        <f t="shared" si="10"/>
        <v>6</v>
      </c>
      <c r="K239" s="7" t="s">
        <v>138</v>
      </c>
      <c r="L239" s="7">
        <v>35698</v>
      </c>
      <c r="M239" s="7">
        <v>1315</v>
      </c>
      <c r="N239" s="12">
        <v>1342.08</v>
      </c>
      <c r="O239" s="12">
        <f t="shared" si="11"/>
        <v>1342.08</v>
      </c>
      <c r="P239" s="7">
        <v>262</v>
      </c>
      <c r="Q239" s="7" t="b">
        <v>0</v>
      </c>
      <c r="R239" s="7"/>
      <c r="S239" s="15" t="s">
        <v>139</v>
      </c>
    </row>
    <row r="240" spans="1:19">
      <c r="A240" s="3" t="s">
        <v>516</v>
      </c>
      <c r="B240" s="4" t="s">
        <v>517</v>
      </c>
      <c r="C240" s="5" t="s">
        <v>4129</v>
      </c>
      <c r="D240" s="5">
        <v>45195</v>
      </c>
      <c r="E240" s="4">
        <v>9</v>
      </c>
      <c r="F240" s="4">
        <v>26</v>
      </c>
      <c r="G240" s="4">
        <v>2023</v>
      </c>
      <c r="H240" s="5">
        <f t="shared" si="9"/>
        <v>45195</v>
      </c>
      <c r="I240" s="9">
        <v>45214</v>
      </c>
      <c r="J240" s="4">
        <f t="shared" si="10"/>
        <v>19</v>
      </c>
      <c r="K240" s="4" t="s">
        <v>138</v>
      </c>
      <c r="L240" s="4">
        <v>81623</v>
      </c>
      <c r="M240" s="4">
        <v>3459</v>
      </c>
      <c r="N240" s="10">
        <v>4568.84</v>
      </c>
      <c r="O240" s="10">
        <f t="shared" si="11"/>
        <v>3632.575</v>
      </c>
      <c r="P240" s="4">
        <v>211</v>
      </c>
      <c r="Q240" s="4" t="b">
        <v>0</v>
      </c>
      <c r="R240" s="4"/>
      <c r="S240" s="14" t="s">
        <v>139</v>
      </c>
    </row>
    <row r="241" spans="1:19">
      <c r="A241" s="6" t="s">
        <v>518</v>
      </c>
      <c r="B241" s="7" t="s">
        <v>519</v>
      </c>
      <c r="C241" s="8" t="s">
        <v>4127</v>
      </c>
      <c r="D241" s="8">
        <v>45026</v>
      </c>
      <c r="E241" s="7">
        <v>4</v>
      </c>
      <c r="F241" s="7">
        <v>10</v>
      </c>
      <c r="G241" s="7">
        <v>2023</v>
      </c>
      <c r="H241" s="8">
        <f t="shared" si="9"/>
        <v>45026</v>
      </c>
      <c r="I241" s="11">
        <v>45031</v>
      </c>
      <c r="J241" s="7">
        <f t="shared" si="10"/>
        <v>5</v>
      </c>
      <c r="K241" s="7" t="s">
        <v>234</v>
      </c>
      <c r="L241" s="7">
        <v>23671</v>
      </c>
      <c r="M241" s="7">
        <v>962</v>
      </c>
      <c r="N241" s="12">
        <v>1912.13</v>
      </c>
      <c r="O241" s="12">
        <f t="shared" si="11"/>
        <v>1912.13</v>
      </c>
      <c r="P241" s="7">
        <v>80</v>
      </c>
      <c r="Q241" s="7" t="b">
        <v>1</v>
      </c>
      <c r="R241" s="7"/>
      <c r="S241" s="15" t="s">
        <v>16</v>
      </c>
    </row>
    <row r="242" spans="1:19">
      <c r="A242" s="3" t="s">
        <v>520</v>
      </c>
      <c r="B242" s="4" t="s">
        <v>521</v>
      </c>
      <c r="C242" s="5" t="s">
        <v>4127</v>
      </c>
      <c r="D242" s="5">
        <v>45022</v>
      </c>
      <c r="E242" s="4">
        <v>4</v>
      </c>
      <c r="F242" s="4">
        <v>6</v>
      </c>
      <c r="G242" s="4">
        <v>2023</v>
      </c>
      <c r="H242" s="5">
        <f t="shared" si="9"/>
        <v>45022</v>
      </c>
      <c r="I242" s="9">
        <v>45092</v>
      </c>
      <c r="J242" s="4">
        <f t="shared" si="10"/>
        <v>70</v>
      </c>
      <c r="K242" s="4" t="s">
        <v>19</v>
      </c>
      <c r="L242" s="4">
        <v>26184</v>
      </c>
      <c r="M242" s="4">
        <v>418</v>
      </c>
      <c r="N242" s="10">
        <v>625.45</v>
      </c>
      <c r="O242" s="10">
        <f t="shared" si="11"/>
        <v>625.45</v>
      </c>
      <c r="P242" s="4">
        <v>46</v>
      </c>
      <c r="Q242" s="4" t="b">
        <v>1</v>
      </c>
      <c r="R242" s="4"/>
      <c r="S242" s="14" t="s">
        <v>20</v>
      </c>
    </row>
    <row r="243" spans="1:19">
      <c r="A243" s="6" t="s">
        <v>522</v>
      </c>
      <c r="B243" s="7" t="s">
        <v>523</v>
      </c>
      <c r="C243" s="8" t="s">
        <v>4127</v>
      </c>
      <c r="D243" s="8">
        <v>45200</v>
      </c>
      <c r="E243" s="7">
        <v>10</v>
      </c>
      <c r="F243" s="7">
        <v>1</v>
      </c>
      <c r="G243" s="7">
        <v>2023</v>
      </c>
      <c r="H243" s="8">
        <f t="shared" si="9"/>
        <v>45200</v>
      </c>
      <c r="I243" s="11">
        <v>44937</v>
      </c>
      <c r="J243" s="7">
        <f t="shared" si="10"/>
        <v>-263</v>
      </c>
      <c r="K243" s="7" t="s">
        <v>33</v>
      </c>
      <c r="L243" s="7">
        <v>94384</v>
      </c>
      <c r="M243" s="7">
        <v>2544</v>
      </c>
      <c r="N243" s="12">
        <v>2032.32</v>
      </c>
      <c r="O243" s="12">
        <f t="shared" si="11"/>
        <v>2032.32</v>
      </c>
      <c r="P243" s="7">
        <v>259</v>
      </c>
      <c r="Q243" s="7" t="b">
        <v>1</v>
      </c>
      <c r="R243" s="7"/>
      <c r="S243" s="15" t="s">
        <v>34</v>
      </c>
    </row>
    <row r="244" spans="1:19">
      <c r="A244" s="3" t="s">
        <v>524</v>
      </c>
      <c r="B244" s="4" t="s">
        <v>525</v>
      </c>
      <c r="C244" s="5" t="s">
        <v>4127</v>
      </c>
      <c r="D244" s="5">
        <v>44954</v>
      </c>
      <c r="E244" s="4">
        <v>1</v>
      </c>
      <c r="F244" s="4">
        <v>28</v>
      </c>
      <c r="G244" s="4">
        <v>2023</v>
      </c>
      <c r="H244" s="5">
        <f t="shared" si="9"/>
        <v>44954</v>
      </c>
      <c r="I244" s="9">
        <v>44958</v>
      </c>
      <c r="J244" s="4">
        <f t="shared" si="10"/>
        <v>4</v>
      </c>
      <c r="K244" s="4" t="s">
        <v>19</v>
      </c>
      <c r="L244" s="4">
        <v>43107</v>
      </c>
      <c r="M244" s="4">
        <v>694</v>
      </c>
      <c r="N244" s="10">
        <v>393.8</v>
      </c>
      <c r="O244" s="10">
        <f t="shared" si="11"/>
        <v>393.8</v>
      </c>
      <c r="P244" s="4">
        <v>36</v>
      </c>
      <c r="Q244" s="4" t="b">
        <v>0</v>
      </c>
      <c r="R244" s="4"/>
      <c r="S244" s="14" t="s">
        <v>20</v>
      </c>
    </row>
    <row r="245" spans="1:19">
      <c r="A245" s="6" t="s">
        <v>526</v>
      </c>
      <c r="B245" s="7" t="s">
        <v>527</v>
      </c>
      <c r="C245" s="8" t="s">
        <v>4128</v>
      </c>
      <c r="D245" s="8">
        <v>44991</v>
      </c>
      <c r="E245" s="7">
        <v>3</v>
      </c>
      <c r="F245" s="7">
        <v>6</v>
      </c>
      <c r="G245" s="7">
        <v>2023</v>
      </c>
      <c r="H245" s="8">
        <f t="shared" si="9"/>
        <v>44991</v>
      </c>
      <c r="I245" s="11">
        <v>44993</v>
      </c>
      <c r="J245" s="7">
        <f t="shared" si="10"/>
        <v>2</v>
      </c>
      <c r="K245" s="7" t="s">
        <v>19</v>
      </c>
      <c r="L245" s="7">
        <v>87202</v>
      </c>
      <c r="M245" s="7">
        <v>1692</v>
      </c>
      <c r="N245" s="12">
        <v>1166.69</v>
      </c>
      <c r="O245" s="12">
        <f t="shared" si="11"/>
        <v>1166.69</v>
      </c>
      <c r="P245" s="7">
        <v>107</v>
      </c>
      <c r="Q245" s="7" t="b">
        <v>1</v>
      </c>
      <c r="R245" s="7"/>
      <c r="S245" s="15" t="s">
        <v>20</v>
      </c>
    </row>
    <row r="246" spans="1:19">
      <c r="A246" s="3" t="s">
        <v>528</v>
      </c>
      <c r="B246" s="4" t="s">
        <v>529</v>
      </c>
      <c r="C246" s="5" t="s">
        <v>4131</v>
      </c>
      <c r="D246" s="5">
        <v>44979</v>
      </c>
      <c r="E246" s="4">
        <v>2</v>
      </c>
      <c r="F246" s="4">
        <v>22</v>
      </c>
      <c r="G246" s="4">
        <v>2023</v>
      </c>
      <c r="H246" s="5">
        <f t="shared" si="9"/>
        <v>44979</v>
      </c>
      <c r="I246" s="9">
        <v>45007</v>
      </c>
      <c r="J246" s="4">
        <f t="shared" si="10"/>
        <v>28</v>
      </c>
      <c r="K246" s="4" t="s">
        <v>33</v>
      </c>
      <c r="L246" s="4">
        <v>52663</v>
      </c>
      <c r="M246" s="4">
        <v>2357</v>
      </c>
      <c r="N246" s="10">
        <v>3167.41</v>
      </c>
      <c r="O246" s="10">
        <f t="shared" si="11"/>
        <v>3167.41</v>
      </c>
      <c r="P246" s="4">
        <v>358</v>
      </c>
      <c r="Q246" s="4" t="b">
        <v>1</v>
      </c>
      <c r="R246" s="4"/>
      <c r="S246" s="14" t="s">
        <v>34</v>
      </c>
    </row>
    <row r="247" spans="1:19">
      <c r="A247" s="6" t="s">
        <v>530</v>
      </c>
      <c r="B247" s="7" t="s">
        <v>531</v>
      </c>
      <c r="C247" s="8" t="s">
        <v>4129</v>
      </c>
      <c r="D247" s="8">
        <v>45167</v>
      </c>
      <c r="E247" s="7">
        <v>8</v>
      </c>
      <c r="F247" s="7">
        <v>29</v>
      </c>
      <c r="G247" s="7">
        <v>2023</v>
      </c>
      <c r="H247" s="8">
        <f t="shared" si="9"/>
        <v>45167</v>
      </c>
      <c r="I247" s="11">
        <v>45178</v>
      </c>
      <c r="J247" s="7">
        <f t="shared" si="10"/>
        <v>11</v>
      </c>
      <c r="K247" s="7" t="s">
        <v>23</v>
      </c>
      <c r="L247" s="7">
        <v>16708</v>
      </c>
      <c r="M247" s="7">
        <v>483</v>
      </c>
      <c r="N247" s="12">
        <v>795.86</v>
      </c>
      <c r="O247" s="12">
        <f t="shared" si="11"/>
        <v>795.86</v>
      </c>
      <c r="P247" s="7">
        <v>87</v>
      </c>
      <c r="Q247" s="7" t="b">
        <v>1</v>
      </c>
      <c r="R247" s="7"/>
      <c r="S247" s="15" t="s">
        <v>25</v>
      </c>
    </row>
    <row r="248" spans="1:19">
      <c r="A248" s="3" t="s">
        <v>532</v>
      </c>
      <c r="B248" s="4" t="s">
        <v>533</v>
      </c>
      <c r="C248" s="5" t="s">
        <v>4131</v>
      </c>
      <c r="D248" s="5">
        <v>44953</v>
      </c>
      <c r="E248" s="4">
        <v>1</v>
      </c>
      <c r="F248" s="4">
        <v>27</v>
      </c>
      <c r="G248" s="4">
        <v>2023</v>
      </c>
      <c r="H248" s="5">
        <f t="shared" si="9"/>
        <v>44953</v>
      </c>
      <c r="I248" s="9">
        <v>44971</v>
      </c>
      <c r="J248" s="4">
        <f t="shared" si="10"/>
        <v>18</v>
      </c>
      <c r="K248" s="4" t="s">
        <v>14</v>
      </c>
      <c r="L248" s="4">
        <v>92906</v>
      </c>
      <c r="M248" s="4">
        <v>2918</v>
      </c>
      <c r="N248" s="10">
        <v>5575.21</v>
      </c>
      <c r="O248" s="10">
        <f t="shared" si="11"/>
        <v>3632.575</v>
      </c>
      <c r="P248" s="4">
        <v>0</v>
      </c>
      <c r="Q248" s="4" t="b">
        <v>0</v>
      </c>
      <c r="R248" s="4"/>
      <c r="S248" s="14" t="s">
        <v>16</v>
      </c>
    </row>
    <row r="249" spans="1:19">
      <c r="A249" s="6" t="s">
        <v>534</v>
      </c>
      <c r="B249" s="7" t="s">
        <v>535</v>
      </c>
      <c r="C249" s="8" t="s">
        <v>4129</v>
      </c>
      <c r="D249" s="8">
        <v>44985</v>
      </c>
      <c r="E249" s="7">
        <v>2</v>
      </c>
      <c r="F249" s="7">
        <v>28</v>
      </c>
      <c r="G249" s="7">
        <v>2023</v>
      </c>
      <c r="H249" s="8">
        <f t="shared" si="9"/>
        <v>44985</v>
      </c>
      <c r="I249" s="11">
        <v>45001</v>
      </c>
      <c r="J249" s="7">
        <f t="shared" si="10"/>
        <v>16</v>
      </c>
      <c r="K249" s="7" t="s">
        <v>41</v>
      </c>
      <c r="L249" s="7">
        <v>50811</v>
      </c>
      <c r="M249" s="7">
        <v>870</v>
      </c>
      <c r="N249" s="12">
        <v>455.65</v>
      </c>
      <c r="O249" s="12">
        <f t="shared" si="11"/>
        <v>455.65</v>
      </c>
      <c r="P249" s="7">
        <v>0</v>
      </c>
      <c r="Q249" s="7" t="b">
        <v>1</v>
      </c>
      <c r="R249" s="7"/>
      <c r="S249" s="15" t="s">
        <v>42</v>
      </c>
    </row>
    <row r="250" spans="1:19">
      <c r="A250" s="3" t="s">
        <v>536</v>
      </c>
      <c r="B250" s="4" t="s">
        <v>537</v>
      </c>
      <c r="C250" s="5" t="s">
        <v>4127</v>
      </c>
      <c r="D250" s="5">
        <v>44964</v>
      </c>
      <c r="E250" s="4">
        <v>2</v>
      </c>
      <c r="F250" s="4">
        <v>7</v>
      </c>
      <c r="G250" s="4">
        <v>2023</v>
      </c>
      <c r="H250" s="5">
        <f t="shared" si="9"/>
        <v>44964</v>
      </c>
      <c r="I250" s="9">
        <v>44976</v>
      </c>
      <c r="J250" s="4">
        <f t="shared" si="10"/>
        <v>12</v>
      </c>
      <c r="K250" s="4" t="s">
        <v>19</v>
      </c>
      <c r="L250" s="4">
        <v>3811</v>
      </c>
      <c r="M250" s="4">
        <v>85</v>
      </c>
      <c r="N250" s="10">
        <v>109.15</v>
      </c>
      <c r="O250" s="10">
        <f t="shared" si="11"/>
        <v>109.15</v>
      </c>
      <c r="P250" s="4">
        <v>7</v>
      </c>
      <c r="Q250" s="4" t="b">
        <v>1</v>
      </c>
      <c r="R250" s="4"/>
      <c r="S250" s="14" t="s">
        <v>20</v>
      </c>
    </row>
    <row r="251" spans="1:19">
      <c r="A251" s="6" t="s">
        <v>538</v>
      </c>
      <c r="B251" s="7" t="s">
        <v>539</v>
      </c>
      <c r="C251" s="8" t="s">
        <v>4131</v>
      </c>
      <c r="D251" s="8">
        <v>45004</v>
      </c>
      <c r="E251" s="7">
        <v>3</v>
      </c>
      <c r="F251" s="7">
        <v>19</v>
      </c>
      <c r="G251" s="7">
        <v>2023</v>
      </c>
      <c r="H251" s="8">
        <f t="shared" si="9"/>
        <v>45004</v>
      </c>
      <c r="I251" s="11">
        <v>45009</v>
      </c>
      <c r="J251" s="7">
        <f t="shared" si="10"/>
        <v>5</v>
      </c>
      <c r="K251" s="7" t="s">
        <v>19</v>
      </c>
      <c r="L251" s="7">
        <v>57250</v>
      </c>
      <c r="M251" s="7">
        <v>1099</v>
      </c>
      <c r="N251" s="12">
        <v>1325.72</v>
      </c>
      <c r="O251" s="12">
        <f t="shared" si="11"/>
        <v>1325.72</v>
      </c>
      <c r="P251" s="7">
        <v>181</v>
      </c>
      <c r="Q251" s="7" t="b">
        <v>0</v>
      </c>
      <c r="R251" s="7"/>
      <c r="S251" s="15" t="s">
        <v>20</v>
      </c>
    </row>
    <row r="252" spans="1:19">
      <c r="A252" s="3" t="s">
        <v>540</v>
      </c>
      <c r="B252" s="4" t="s">
        <v>541</v>
      </c>
      <c r="C252" s="5" t="s">
        <v>4127</v>
      </c>
      <c r="D252" s="5">
        <v>45052</v>
      </c>
      <c r="E252" s="4">
        <v>5</v>
      </c>
      <c r="F252" s="4">
        <v>6</v>
      </c>
      <c r="G252" s="4">
        <v>2023</v>
      </c>
      <c r="H252" s="5">
        <f t="shared" si="9"/>
        <v>45052</v>
      </c>
      <c r="I252" s="9">
        <v>45093</v>
      </c>
      <c r="J252" s="4">
        <f t="shared" si="10"/>
        <v>41</v>
      </c>
      <c r="K252" s="4" t="s">
        <v>14</v>
      </c>
      <c r="L252" s="4">
        <v>73082</v>
      </c>
      <c r="M252" s="4">
        <v>1333</v>
      </c>
      <c r="N252" s="10">
        <v>1978.28</v>
      </c>
      <c r="O252" s="10">
        <f t="shared" si="11"/>
        <v>1978.28</v>
      </c>
      <c r="P252" s="4">
        <v>0</v>
      </c>
      <c r="Q252" s="4" t="b">
        <v>1</v>
      </c>
      <c r="R252" s="4"/>
      <c r="S252" s="14" t="s">
        <v>16</v>
      </c>
    </row>
    <row r="253" spans="1:19">
      <c r="A253" s="6" t="s">
        <v>542</v>
      </c>
      <c r="B253" s="7" t="s">
        <v>543</v>
      </c>
      <c r="C253" s="8" t="s">
        <v>4131</v>
      </c>
      <c r="D253" s="8">
        <v>45054</v>
      </c>
      <c r="E253" s="7">
        <v>5</v>
      </c>
      <c r="F253" s="7">
        <v>8</v>
      </c>
      <c r="G253" s="7">
        <v>2023</v>
      </c>
      <c r="H253" s="8">
        <f t="shared" si="9"/>
        <v>45054</v>
      </c>
      <c r="I253" s="11">
        <v>45081</v>
      </c>
      <c r="J253" s="7">
        <f t="shared" si="10"/>
        <v>27</v>
      </c>
      <c r="K253" s="7" t="s">
        <v>14</v>
      </c>
      <c r="L253" s="7">
        <v>35754</v>
      </c>
      <c r="M253" s="7">
        <v>1269</v>
      </c>
      <c r="N253" s="12">
        <v>1699.66</v>
      </c>
      <c r="O253" s="12">
        <f t="shared" si="11"/>
        <v>1699.66</v>
      </c>
      <c r="P253" s="7">
        <v>175</v>
      </c>
      <c r="Q253" s="7" t="b">
        <v>0</v>
      </c>
      <c r="R253" s="7"/>
      <c r="S253" s="15" t="s">
        <v>16</v>
      </c>
    </row>
    <row r="254" spans="1:19">
      <c r="A254" s="3" t="s">
        <v>544</v>
      </c>
      <c r="B254" s="4" t="s">
        <v>545</v>
      </c>
      <c r="C254" s="5" t="s">
        <v>4129</v>
      </c>
      <c r="D254" s="5">
        <v>45237</v>
      </c>
      <c r="E254" s="4">
        <v>11</v>
      </c>
      <c r="F254" s="4">
        <v>7</v>
      </c>
      <c r="G254" s="4">
        <v>2023</v>
      </c>
      <c r="H254" s="5">
        <f t="shared" si="9"/>
        <v>45237</v>
      </c>
      <c r="I254" s="9">
        <v>45261</v>
      </c>
      <c r="J254" s="4">
        <f t="shared" si="10"/>
        <v>24</v>
      </c>
      <c r="K254" s="4" t="s">
        <v>19</v>
      </c>
      <c r="L254" s="4">
        <v>96742</v>
      </c>
      <c r="M254" s="4">
        <v>1961</v>
      </c>
      <c r="N254" s="10">
        <v>3001.43</v>
      </c>
      <c r="O254" s="10">
        <f t="shared" si="11"/>
        <v>3001.43</v>
      </c>
      <c r="P254" s="4">
        <v>160</v>
      </c>
      <c r="Q254" s="4" t="b">
        <v>0</v>
      </c>
      <c r="R254" s="4"/>
      <c r="S254" s="14" t="s">
        <v>20</v>
      </c>
    </row>
    <row r="255" spans="1:19">
      <c r="A255" s="6" t="s">
        <v>546</v>
      </c>
      <c r="B255" s="7" t="s">
        <v>547</v>
      </c>
      <c r="C255" s="8" t="s">
        <v>4127</v>
      </c>
      <c r="D255" s="8">
        <v>45194</v>
      </c>
      <c r="E255" s="7">
        <v>9</v>
      </c>
      <c r="F255" s="7">
        <v>25</v>
      </c>
      <c r="G255" s="7">
        <v>2023</v>
      </c>
      <c r="H255" s="8">
        <f t="shared" si="9"/>
        <v>45194</v>
      </c>
      <c r="I255" s="11">
        <v>45207</v>
      </c>
      <c r="J255" s="7">
        <f t="shared" si="10"/>
        <v>13</v>
      </c>
      <c r="K255" s="7" t="s">
        <v>14</v>
      </c>
      <c r="L255" s="7">
        <v>12411</v>
      </c>
      <c r="M255" s="7">
        <v>437</v>
      </c>
      <c r="N255" s="12">
        <v>649.87</v>
      </c>
      <c r="O255" s="12">
        <f t="shared" si="11"/>
        <v>649.87</v>
      </c>
      <c r="P255" s="7">
        <v>28</v>
      </c>
      <c r="Q255" s="7" t="b">
        <v>1</v>
      </c>
      <c r="R255" s="7"/>
      <c r="S255" s="15" t="s">
        <v>16</v>
      </c>
    </row>
    <row r="256" spans="1:19">
      <c r="A256" s="3" t="s">
        <v>548</v>
      </c>
      <c r="B256" s="4" t="s">
        <v>549</v>
      </c>
      <c r="C256" s="5" t="s">
        <v>4129</v>
      </c>
      <c r="D256" s="5">
        <v>45079</v>
      </c>
      <c r="E256" s="4">
        <v>6</v>
      </c>
      <c r="F256" s="4">
        <v>2</v>
      </c>
      <c r="G256" s="4">
        <v>2023</v>
      </c>
      <c r="H256" s="5">
        <f t="shared" si="9"/>
        <v>45079</v>
      </c>
      <c r="I256" s="9">
        <v>45097</v>
      </c>
      <c r="J256" s="4">
        <f t="shared" si="10"/>
        <v>18</v>
      </c>
      <c r="K256" s="4" t="s">
        <v>14</v>
      </c>
      <c r="L256" s="4">
        <v>3911</v>
      </c>
      <c r="M256" s="4">
        <v>48</v>
      </c>
      <c r="N256" s="10">
        <v>32.42</v>
      </c>
      <c r="O256" s="10">
        <f t="shared" si="11"/>
        <v>32.42</v>
      </c>
      <c r="P256" s="4">
        <v>2</v>
      </c>
      <c r="Q256" s="4" t="b">
        <v>1</v>
      </c>
      <c r="R256" s="4"/>
      <c r="S256" s="14" t="s">
        <v>16</v>
      </c>
    </row>
    <row r="257" spans="1:19">
      <c r="A257" s="6" t="s">
        <v>550</v>
      </c>
      <c r="B257" s="7" t="s">
        <v>551</v>
      </c>
      <c r="C257" s="8" t="s">
        <v>4127</v>
      </c>
      <c r="D257" s="8">
        <v>45083</v>
      </c>
      <c r="E257" s="7">
        <v>6</v>
      </c>
      <c r="F257" s="7">
        <v>6</v>
      </c>
      <c r="G257" s="7">
        <v>2023</v>
      </c>
      <c r="H257" s="8">
        <f t="shared" si="9"/>
        <v>45083</v>
      </c>
      <c r="I257" s="11">
        <v>45084</v>
      </c>
      <c r="J257" s="7">
        <f t="shared" si="10"/>
        <v>1</v>
      </c>
      <c r="K257" s="7" t="s">
        <v>23</v>
      </c>
      <c r="L257" s="7">
        <v>68270</v>
      </c>
      <c r="M257" s="7">
        <v>1069</v>
      </c>
      <c r="N257" s="12">
        <v>1816.85</v>
      </c>
      <c r="O257" s="12">
        <f t="shared" si="11"/>
        <v>1816.85</v>
      </c>
      <c r="P257" s="7">
        <v>0</v>
      </c>
      <c r="Q257" s="7" t="b">
        <v>1</v>
      </c>
      <c r="R257" s="7"/>
      <c r="S257" s="15" t="s">
        <v>25</v>
      </c>
    </row>
    <row r="258" spans="1:19">
      <c r="A258" s="3" t="s">
        <v>552</v>
      </c>
      <c r="B258" s="4" t="s">
        <v>553</v>
      </c>
      <c r="C258" s="5" t="s">
        <v>4127</v>
      </c>
      <c r="D258" s="5">
        <v>44977</v>
      </c>
      <c r="E258" s="4">
        <v>2</v>
      </c>
      <c r="F258" s="4">
        <v>20</v>
      </c>
      <c r="G258" s="4">
        <v>2023</v>
      </c>
      <c r="H258" s="5">
        <f t="shared" ref="H258:H321" si="12">IF(E258&gt;12,DATE(G258,F258,E258),D258)</f>
        <v>44977</v>
      </c>
      <c r="I258" s="9">
        <v>44998</v>
      </c>
      <c r="J258" s="4">
        <f t="shared" ref="J258:J321" si="13">DATEDIF(H258,I258,"D")</f>
        <v>21</v>
      </c>
      <c r="K258" s="4" t="s">
        <v>14</v>
      </c>
      <c r="L258" s="4">
        <v>84763</v>
      </c>
      <c r="M258" s="4">
        <v>1778</v>
      </c>
      <c r="N258" s="10">
        <v>1217.66</v>
      </c>
      <c r="O258" s="10">
        <f t="shared" si="11"/>
        <v>1217.66</v>
      </c>
      <c r="P258" s="4">
        <v>308</v>
      </c>
      <c r="Q258" s="4" t="b">
        <v>1</v>
      </c>
      <c r="R258" s="4"/>
      <c r="S258" s="14" t="s">
        <v>16</v>
      </c>
    </row>
    <row r="259" spans="1:19">
      <c r="A259" s="6" t="s">
        <v>554</v>
      </c>
      <c r="B259" s="7" t="s">
        <v>555</v>
      </c>
      <c r="C259" s="8" t="s">
        <v>4129</v>
      </c>
      <c r="D259" s="8">
        <v>45035</v>
      </c>
      <c r="E259" s="7">
        <v>4</v>
      </c>
      <c r="F259" s="7">
        <v>19</v>
      </c>
      <c r="G259" s="7">
        <v>2023</v>
      </c>
      <c r="H259" s="8">
        <f t="shared" si="12"/>
        <v>45035</v>
      </c>
      <c r="I259" s="11">
        <v>45049</v>
      </c>
      <c r="J259" s="7">
        <f t="shared" si="13"/>
        <v>14</v>
      </c>
      <c r="K259" s="7" t="s">
        <v>14</v>
      </c>
      <c r="L259" s="7">
        <v>9680</v>
      </c>
      <c r="M259" s="7">
        <v>327</v>
      </c>
      <c r="N259" s="12">
        <v>506.13</v>
      </c>
      <c r="O259" s="12">
        <f t="shared" ref="O259:O322" si="14">IF(N259&lt;$V$6,$V$6,IF(N259&gt;$V$7,$V$7,N259))</f>
        <v>506.13</v>
      </c>
      <c r="P259" s="7">
        <v>58</v>
      </c>
      <c r="Q259" s="7" t="b">
        <v>0</v>
      </c>
      <c r="R259" s="7"/>
      <c r="S259" s="15" t="s">
        <v>16</v>
      </c>
    </row>
    <row r="260" spans="1:19">
      <c r="A260" s="3" t="s">
        <v>556</v>
      </c>
      <c r="B260" s="4" t="s">
        <v>557</v>
      </c>
      <c r="C260" s="5" t="s">
        <v>4127</v>
      </c>
      <c r="D260" s="5">
        <v>45049</v>
      </c>
      <c r="E260" s="4">
        <v>5</v>
      </c>
      <c r="F260" s="4">
        <v>3</v>
      </c>
      <c r="G260" s="4">
        <v>2023</v>
      </c>
      <c r="H260" s="5">
        <f t="shared" si="12"/>
        <v>45049</v>
      </c>
      <c r="I260" s="9">
        <v>45011</v>
      </c>
      <c r="J260" s="4">
        <f t="shared" si="13"/>
        <v>-38</v>
      </c>
      <c r="K260" s="4" t="s">
        <v>41</v>
      </c>
      <c r="L260" s="4">
        <v>85896</v>
      </c>
      <c r="M260" s="4">
        <v>3181</v>
      </c>
      <c r="N260" s="10">
        <v>3576.14</v>
      </c>
      <c r="O260" s="10">
        <f t="shared" si="14"/>
        <v>3576.14</v>
      </c>
      <c r="P260" s="4">
        <v>380</v>
      </c>
      <c r="Q260" s="4" t="b">
        <v>0</v>
      </c>
      <c r="R260" s="4"/>
      <c r="S260" s="14" t="s">
        <v>42</v>
      </c>
    </row>
    <row r="261" spans="1:19">
      <c r="A261" s="6" t="s">
        <v>558</v>
      </c>
      <c r="B261" s="7" t="s">
        <v>559</v>
      </c>
      <c r="C261" s="8" t="s">
        <v>4131</v>
      </c>
      <c r="D261" s="8">
        <v>44928</v>
      </c>
      <c r="E261" s="7">
        <v>1</v>
      </c>
      <c r="F261" s="7">
        <v>2</v>
      </c>
      <c r="G261" s="7">
        <v>2023</v>
      </c>
      <c r="H261" s="8">
        <f t="shared" si="12"/>
        <v>44928</v>
      </c>
      <c r="I261" s="11">
        <v>44939</v>
      </c>
      <c r="J261" s="7">
        <f t="shared" si="13"/>
        <v>11</v>
      </c>
      <c r="K261" s="7" t="s">
        <v>33</v>
      </c>
      <c r="L261" s="7">
        <v>84879</v>
      </c>
      <c r="M261" s="7">
        <v>2351</v>
      </c>
      <c r="N261" s="12">
        <v>2987.59</v>
      </c>
      <c r="O261" s="12">
        <f t="shared" si="14"/>
        <v>2987.59</v>
      </c>
      <c r="P261" s="7">
        <v>0</v>
      </c>
      <c r="Q261" s="7" t="b">
        <v>0</v>
      </c>
      <c r="R261" s="7"/>
      <c r="S261" s="15" t="s">
        <v>34</v>
      </c>
    </row>
    <row r="262" spans="1:19">
      <c r="A262" s="3" t="s">
        <v>560</v>
      </c>
      <c r="B262" s="4" t="s">
        <v>561</v>
      </c>
      <c r="C262" s="5" t="s">
        <v>4128</v>
      </c>
      <c r="D262" s="5">
        <v>45167</v>
      </c>
      <c r="E262" s="4">
        <v>8</v>
      </c>
      <c r="F262" s="4">
        <v>29</v>
      </c>
      <c r="G262" s="4">
        <v>2023</v>
      </c>
      <c r="H262" s="5">
        <f t="shared" si="12"/>
        <v>45167</v>
      </c>
      <c r="I262" s="9">
        <v>45180</v>
      </c>
      <c r="J262" s="4">
        <f t="shared" si="13"/>
        <v>13</v>
      </c>
      <c r="K262" s="4" t="s">
        <v>19</v>
      </c>
      <c r="L262" s="4">
        <v>72295</v>
      </c>
      <c r="M262" s="4">
        <v>2012</v>
      </c>
      <c r="N262" s="10">
        <v>3732.15</v>
      </c>
      <c r="O262" s="10">
        <f t="shared" si="14"/>
        <v>3632.575</v>
      </c>
      <c r="P262" s="4">
        <v>386</v>
      </c>
      <c r="Q262" s="4" t="b">
        <v>1</v>
      </c>
      <c r="R262" s="4"/>
      <c r="S262" s="14" t="s">
        <v>20</v>
      </c>
    </row>
    <row r="263" spans="1:19">
      <c r="A263" s="6" t="s">
        <v>562</v>
      </c>
      <c r="B263" s="7" t="s">
        <v>563</v>
      </c>
      <c r="C263" s="8" t="s">
        <v>4127</v>
      </c>
      <c r="D263" s="8">
        <v>45288</v>
      </c>
      <c r="E263" s="7">
        <v>12</v>
      </c>
      <c r="F263" s="7">
        <v>28</v>
      </c>
      <c r="G263" s="7">
        <v>2023</v>
      </c>
      <c r="H263" s="8">
        <f t="shared" si="12"/>
        <v>45288</v>
      </c>
      <c r="I263" s="11">
        <v>45294</v>
      </c>
      <c r="J263" s="7">
        <f t="shared" si="13"/>
        <v>6</v>
      </c>
      <c r="K263" s="7" t="s">
        <v>19</v>
      </c>
      <c r="L263" s="7">
        <v>89614</v>
      </c>
      <c r="M263" s="7">
        <v>3493</v>
      </c>
      <c r="N263" s="12">
        <v>6409.05</v>
      </c>
      <c r="O263" s="12">
        <f t="shared" si="14"/>
        <v>3632.575</v>
      </c>
      <c r="P263" s="7">
        <v>318</v>
      </c>
      <c r="Q263" s="7" t="b">
        <v>0</v>
      </c>
      <c r="R263" s="7"/>
      <c r="S263" s="15" t="s">
        <v>20</v>
      </c>
    </row>
    <row r="264" spans="1:19">
      <c r="A264" s="3" t="s">
        <v>564</v>
      </c>
      <c r="B264" s="4" t="s">
        <v>565</v>
      </c>
      <c r="C264" s="5" t="s">
        <v>4131</v>
      </c>
      <c r="D264" s="5">
        <v>44963</v>
      </c>
      <c r="E264" s="4">
        <v>2</v>
      </c>
      <c r="F264" s="4">
        <v>6</v>
      </c>
      <c r="G264" s="4">
        <v>2023</v>
      </c>
      <c r="H264" s="5">
        <f t="shared" si="12"/>
        <v>44963</v>
      </c>
      <c r="I264" s="9">
        <v>44974</v>
      </c>
      <c r="J264" s="4">
        <f t="shared" si="13"/>
        <v>11</v>
      </c>
      <c r="K264" s="4" t="s">
        <v>19</v>
      </c>
      <c r="L264" s="4">
        <v>12111</v>
      </c>
      <c r="M264" s="4">
        <v>128</v>
      </c>
      <c r="N264" s="10">
        <v>221.03</v>
      </c>
      <c r="O264" s="10">
        <f t="shared" si="14"/>
        <v>221.03</v>
      </c>
      <c r="P264" s="4">
        <v>0</v>
      </c>
      <c r="Q264" s="4" t="b">
        <v>1</v>
      </c>
      <c r="R264" s="4"/>
      <c r="S264" s="14" t="s">
        <v>20</v>
      </c>
    </row>
    <row r="265" spans="1:19">
      <c r="A265" s="6" t="s">
        <v>566</v>
      </c>
      <c r="B265" s="7" t="s">
        <v>567</v>
      </c>
      <c r="C265" s="8" t="s">
        <v>4128</v>
      </c>
      <c r="D265" s="8">
        <v>45247</v>
      </c>
      <c r="E265" s="7">
        <v>11</v>
      </c>
      <c r="F265" s="7">
        <v>17</v>
      </c>
      <c r="G265" s="7">
        <v>2023</v>
      </c>
      <c r="H265" s="8">
        <f t="shared" si="12"/>
        <v>45247</v>
      </c>
      <c r="I265" s="11">
        <v>45267</v>
      </c>
      <c r="J265" s="7">
        <f t="shared" si="13"/>
        <v>20</v>
      </c>
      <c r="K265" s="7" t="s">
        <v>14</v>
      </c>
      <c r="L265" s="7">
        <v>38504</v>
      </c>
      <c r="M265" s="7">
        <v>910</v>
      </c>
      <c r="N265" s="12">
        <v>1151.35</v>
      </c>
      <c r="O265" s="12">
        <f t="shared" si="14"/>
        <v>1151.35</v>
      </c>
      <c r="P265" s="7">
        <v>172</v>
      </c>
      <c r="Q265" s="7" t="b">
        <v>1</v>
      </c>
      <c r="R265" s="7"/>
      <c r="S265" s="15" t="s">
        <v>16</v>
      </c>
    </row>
    <row r="266" spans="1:19">
      <c r="A266" s="3" t="s">
        <v>568</v>
      </c>
      <c r="B266" s="4" t="s">
        <v>569</v>
      </c>
      <c r="C266" s="5" t="s">
        <v>4128</v>
      </c>
      <c r="D266" s="5">
        <v>45028</v>
      </c>
      <c r="E266" s="4">
        <v>4</v>
      </c>
      <c r="F266" s="4">
        <v>12</v>
      </c>
      <c r="G266" s="4">
        <v>2023</v>
      </c>
      <c r="H266" s="5">
        <f t="shared" si="12"/>
        <v>45028</v>
      </c>
      <c r="I266" s="9">
        <v>45055</v>
      </c>
      <c r="J266" s="4">
        <f t="shared" si="13"/>
        <v>27</v>
      </c>
      <c r="K266" s="4" t="s">
        <v>41</v>
      </c>
      <c r="L266" s="4">
        <v>2802</v>
      </c>
      <c r="M266" s="4">
        <v>119</v>
      </c>
      <c r="N266" s="10">
        <v>190.92</v>
      </c>
      <c r="O266" s="10">
        <f t="shared" si="14"/>
        <v>190.92</v>
      </c>
      <c r="P266" s="4">
        <v>11</v>
      </c>
      <c r="Q266" s="4" t="b">
        <v>1</v>
      </c>
      <c r="R266" s="4"/>
      <c r="S266" s="14" t="s">
        <v>42</v>
      </c>
    </row>
    <row r="267" spans="1:19">
      <c r="A267" s="6" t="s">
        <v>570</v>
      </c>
      <c r="B267" s="7" t="s">
        <v>571</v>
      </c>
      <c r="C267" s="8" t="s">
        <v>4131</v>
      </c>
      <c r="D267" s="8">
        <v>45258</v>
      </c>
      <c r="E267" s="7">
        <v>11</v>
      </c>
      <c r="F267" s="7">
        <v>28</v>
      </c>
      <c r="G267" s="7">
        <v>2023</v>
      </c>
      <c r="H267" s="8">
        <f t="shared" si="12"/>
        <v>45258</v>
      </c>
      <c r="I267" s="11">
        <v>45283</v>
      </c>
      <c r="J267" s="7">
        <f t="shared" si="13"/>
        <v>25</v>
      </c>
      <c r="K267" s="7" t="s">
        <v>41</v>
      </c>
      <c r="L267" s="7">
        <v>9155</v>
      </c>
      <c r="M267" s="7">
        <v>312</v>
      </c>
      <c r="N267" s="12">
        <v>396.04</v>
      </c>
      <c r="O267" s="12">
        <f t="shared" si="14"/>
        <v>396.04</v>
      </c>
      <c r="P267" s="7">
        <v>58</v>
      </c>
      <c r="Q267" s="7" t="b">
        <v>0</v>
      </c>
      <c r="R267" s="7"/>
      <c r="S267" s="15" t="s">
        <v>42</v>
      </c>
    </row>
    <row r="268" spans="1:19">
      <c r="A268" s="3" t="s">
        <v>572</v>
      </c>
      <c r="B268" s="4" t="s">
        <v>573</v>
      </c>
      <c r="C268" s="5" t="s">
        <v>4129</v>
      </c>
      <c r="D268" s="5" t="s">
        <v>574</v>
      </c>
      <c r="E268" s="4">
        <v>14</v>
      </c>
      <c r="F268" s="4">
        <v>3</v>
      </c>
      <c r="G268" s="4">
        <v>2023</v>
      </c>
      <c r="H268" s="5">
        <f t="shared" si="12"/>
        <v>44999</v>
      </c>
      <c r="I268" s="9">
        <v>45001</v>
      </c>
      <c r="J268" s="4">
        <f t="shared" si="13"/>
        <v>2</v>
      </c>
      <c r="K268" s="4" t="s">
        <v>23</v>
      </c>
      <c r="L268" s="4">
        <v>74656</v>
      </c>
      <c r="M268" s="4">
        <v>1753</v>
      </c>
      <c r="N268" s="10">
        <v>3163.13</v>
      </c>
      <c r="O268" s="10">
        <f t="shared" si="14"/>
        <v>3163.13</v>
      </c>
      <c r="P268" s="4">
        <v>345</v>
      </c>
      <c r="Q268" s="4" t="b">
        <v>0</v>
      </c>
      <c r="R268" s="4"/>
      <c r="S268" s="14" t="s">
        <v>25</v>
      </c>
    </row>
    <row r="269" spans="1:19">
      <c r="A269" s="6" t="s">
        <v>575</v>
      </c>
      <c r="B269" s="7" t="s">
        <v>576</v>
      </c>
      <c r="C269" s="8" t="s">
        <v>4128</v>
      </c>
      <c r="D269" s="8">
        <v>45011</v>
      </c>
      <c r="E269" s="7">
        <v>3</v>
      </c>
      <c r="F269" s="7">
        <v>26</v>
      </c>
      <c r="G269" s="7">
        <v>2023</v>
      </c>
      <c r="H269" s="8">
        <f t="shared" si="12"/>
        <v>45011</v>
      </c>
      <c r="I269" s="11">
        <v>45032</v>
      </c>
      <c r="J269" s="7">
        <f t="shared" si="13"/>
        <v>21</v>
      </c>
      <c r="K269" s="7" t="s">
        <v>23</v>
      </c>
      <c r="L269" s="7">
        <v>40384</v>
      </c>
      <c r="M269" s="7">
        <v>1866</v>
      </c>
      <c r="N269" s="12">
        <v>2060.37</v>
      </c>
      <c r="O269" s="12">
        <f t="shared" si="14"/>
        <v>2060.37</v>
      </c>
      <c r="P269" s="7">
        <v>278</v>
      </c>
      <c r="Q269" s="7" t="b">
        <v>1</v>
      </c>
      <c r="R269" s="7"/>
      <c r="S269" s="15" t="s">
        <v>25</v>
      </c>
    </row>
    <row r="270" spans="1:19">
      <c r="A270" s="3" t="s">
        <v>577</v>
      </c>
      <c r="B270" s="4" t="s">
        <v>578</v>
      </c>
      <c r="C270" s="5" t="s">
        <v>4131</v>
      </c>
      <c r="D270" s="5">
        <v>45218</v>
      </c>
      <c r="E270" s="4">
        <v>10</v>
      </c>
      <c r="F270" s="4">
        <v>19</v>
      </c>
      <c r="G270" s="4">
        <v>2023</v>
      </c>
      <c r="H270" s="5">
        <f t="shared" si="12"/>
        <v>45218</v>
      </c>
      <c r="I270" s="9">
        <v>45228</v>
      </c>
      <c r="J270" s="4">
        <f t="shared" si="13"/>
        <v>10</v>
      </c>
      <c r="K270" s="4" t="s">
        <v>33</v>
      </c>
      <c r="L270" s="4">
        <v>48254</v>
      </c>
      <c r="M270" s="4">
        <v>1973</v>
      </c>
      <c r="N270" s="10">
        <v>3857.91</v>
      </c>
      <c r="O270" s="10">
        <f t="shared" si="14"/>
        <v>3632.575</v>
      </c>
      <c r="P270" s="4">
        <v>340</v>
      </c>
      <c r="Q270" s="4" t="b">
        <v>0</v>
      </c>
      <c r="R270" s="4"/>
      <c r="S270" s="14" t="s">
        <v>34</v>
      </c>
    </row>
    <row r="271" spans="1:19">
      <c r="A271" s="6" t="s">
        <v>579</v>
      </c>
      <c r="B271" s="7" t="s">
        <v>580</v>
      </c>
      <c r="C271" s="8" t="s">
        <v>4129</v>
      </c>
      <c r="D271" s="8">
        <v>45166</v>
      </c>
      <c r="E271" s="7">
        <v>8</v>
      </c>
      <c r="F271" s="7">
        <v>28</v>
      </c>
      <c r="G271" s="7">
        <v>2023</v>
      </c>
      <c r="H271" s="8">
        <f t="shared" si="12"/>
        <v>45166</v>
      </c>
      <c r="I271" s="11">
        <v>45177</v>
      </c>
      <c r="J271" s="7">
        <f t="shared" si="13"/>
        <v>11</v>
      </c>
      <c r="K271" s="7" t="s">
        <v>23</v>
      </c>
      <c r="L271" s="7">
        <v>22918</v>
      </c>
      <c r="M271" s="7">
        <v>472</v>
      </c>
      <c r="N271" s="12">
        <v>896.08</v>
      </c>
      <c r="O271" s="12">
        <f t="shared" si="14"/>
        <v>896.08</v>
      </c>
      <c r="P271" s="7">
        <v>76</v>
      </c>
      <c r="Q271" s="7" t="b">
        <v>1</v>
      </c>
      <c r="R271" s="7"/>
      <c r="S271" s="15" t="s">
        <v>25</v>
      </c>
    </row>
    <row r="272" spans="1:19">
      <c r="A272" s="3" t="s">
        <v>581</v>
      </c>
      <c r="B272" s="4" t="s">
        <v>582</v>
      </c>
      <c r="C272" s="5" t="s">
        <v>4128</v>
      </c>
      <c r="D272" s="5">
        <v>45066</v>
      </c>
      <c r="E272" s="4">
        <v>5</v>
      </c>
      <c r="F272" s="4">
        <v>20</v>
      </c>
      <c r="G272" s="4">
        <v>2023</v>
      </c>
      <c r="H272" s="5">
        <f t="shared" si="12"/>
        <v>45066</v>
      </c>
      <c r="I272" s="9">
        <v>45085</v>
      </c>
      <c r="J272" s="4">
        <f t="shared" si="13"/>
        <v>19</v>
      </c>
      <c r="K272" s="4" t="s">
        <v>33</v>
      </c>
      <c r="L272" s="4">
        <v>86981</v>
      </c>
      <c r="M272" s="4">
        <v>3114</v>
      </c>
      <c r="N272" s="10">
        <v>5021.03</v>
      </c>
      <c r="O272" s="10">
        <f t="shared" si="14"/>
        <v>3632.575</v>
      </c>
      <c r="P272" s="4">
        <v>482</v>
      </c>
      <c r="Q272" s="4" t="b">
        <v>1</v>
      </c>
      <c r="R272" s="4"/>
      <c r="S272" s="14" t="s">
        <v>34</v>
      </c>
    </row>
    <row r="273" spans="1:19">
      <c r="A273" s="6" t="s">
        <v>583</v>
      </c>
      <c r="B273" s="7" t="s">
        <v>584</v>
      </c>
      <c r="C273" s="8" t="s">
        <v>4128</v>
      </c>
      <c r="D273" s="8">
        <v>44968</v>
      </c>
      <c r="E273" s="7">
        <v>2</v>
      </c>
      <c r="F273" s="7">
        <v>11</v>
      </c>
      <c r="G273" s="7">
        <v>2023</v>
      </c>
      <c r="H273" s="8">
        <f t="shared" si="12"/>
        <v>44968</v>
      </c>
      <c r="I273" s="11">
        <v>44993</v>
      </c>
      <c r="J273" s="7">
        <f t="shared" si="13"/>
        <v>25</v>
      </c>
      <c r="K273" s="7" t="s">
        <v>14</v>
      </c>
      <c r="L273" s="7">
        <v>61713</v>
      </c>
      <c r="M273" s="7">
        <v>2087</v>
      </c>
      <c r="N273" s="12">
        <v>1918.21</v>
      </c>
      <c r="O273" s="12">
        <f t="shared" si="14"/>
        <v>1918.21</v>
      </c>
      <c r="P273" s="7">
        <v>200</v>
      </c>
      <c r="Q273" s="7" t="b">
        <v>1</v>
      </c>
      <c r="R273" s="7"/>
      <c r="S273" s="15" t="s">
        <v>16</v>
      </c>
    </row>
    <row r="274" spans="1:19">
      <c r="A274" s="3" t="s">
        <v>585</v>
      </c>
      <c r="B274" s="4" t="s">
        <v>586</v>
      </c>
      <c r="C274" s="5" t="s">
        <v>4131</v>
      </c>
      <c r="D274" s="5">
        <v>45092</v>
      </c>
      <c r="E274" s="4">
        <v>6</v>
      </c>
      <c r="F274" s="4">
        <v>15</v>
      </c>
      <c r="G274" s="4">
        <v>2023</v>
      </c>
      <c r="H274" s="5">
        <f t="shared" si="12"/>
        <v>45092</v>
      </c>
      <c r="I274" s="9">
        <v>45111</v>
      </c>
      <c r="J274" s="4">
        <f t="shared" si="13"/>
        <v>19</v>
      </c>
      <c r="K274" s="4" t="s">
        <v>14</v>
      </c>
      <c r="L274" s="4">
        <v>31306</v>
      </c>
      <c r="M274" s="4">
        <v>815</v>
      </c>
      <c r="N274" s="10">
        <v>568.45</v>
      </c>
      <c r="O274" s="10">
        <f t="shared" si="14"/>
        <v>568.45</v>
      </c>
      <c r="P274" s="4">
        <v>47</v>
      </c>
      <c r="Q274" s="4" t="b">
        <v>0</v>
      </c>
      <c r="R274" s="4"/>
      <c r="S274" s="14" t="s">
        <v>16</v>
      </c>
    </row>
    <row r="275" spans="1:19">
      <c r="A275" s="6" t="s">
        <v>587</v>
      </c>
      <c r="B275" s="7" t="s">
        <v>588</v>
      </c>
      <c r="C275" s="8" t="s">
        <v>4128</v>
      </c>
      <c r="D275" s="8">
        <v>45044</v>
      </c>
      <c r="E275" s="7">
        <v>4</v>
      </c>
      <c r="F275" s="7">
        <v>28</v>
      </c>
      <c r="G275" s="7">
        <v>2023</v>
      </c>
      <c r="H275" s="8">
        <f t="shared" si="12"/>
        <v>45044</v>
      </c>
      <c r="I275" s="11">
        <v>45046</v>
      </c>
      <c r="J275" s="7">
        <f t="shared" si="13"/>
        <v>2</v>
      </c>
      <c r="K275" s="7" t="s">
        <v>33</v>
      </c>
      <c r="L275" s="7">
        <v>17646</v>
      </c>
      <c r="M275" s="7">
        <v>435</v>
      </c>
      <c r="N275" s="12">
        <v>775.19</v>
      </c>
      <c r="O275" s="12">
        <f t="shared" si="14"/>
        <v>775.19</v>
      </c>
      <c r="P275" s="7">
        <v>44</v>
      </c>
      <c r="Q275" s="7" t="b">
        <v>1</v>
      </c>
      <c r="R275" s="7"/>
      <c r="S275" s="15" t="s">
        <v>34</v>
      </c>
    </row>
    <row r="276" spans="1:19">
      <c r="A276" s="3" t="s">
        <v>589</v>
      </c>
      <c r="B276" s="4" t="s">
        <v>590</v>
      </c>
      <c r="C276" s="5" t="s">
        <v>4129</v>
      </c>
      <c r="D276" s="5">
        <v>45221</v>
      </c>
      <c r="E276" s="4">
        <v>10</v>
      </c>
      <c r="F276" s="4">
        <v>22</v>
      </c>
      <c r="G276" s="4">
        <v>2023</v>
      </c>
      <c r="H276" s="5">
        <f t="shared" si="12"/>
        <v>45221</v>
      </c>
      <c r="I276" s="9">
        <v>45250</v>
      </c>
      <c r="J276" s="4">
        <f t="shared" si="13"/>
        <v>29</v>
      </c>
      <c r="K276" s="4" t="s">
        <v>14</v>
      </c>
      <c r="L276" s="4">
        <v>47843</v>
      </c>
      <c r="M276" s="4">
        <v>1135</v>
      </c>
      <c r="N276" s="10">
        <v>848.93</v>
      </c>
      <c r="O276" s="10">
        <f t="shared" si="14"/>
        <v>848.93</v>
      </c>
      <c r="P276" s="4">
        <v>0</v>
      </c>
      <c r="Q276" s="4" t="b">
        <v>0</v>
      </c>
      <c r="R276" s="4"/>
      <c r="S276" s="14" t="s">
        <v>16</v>
      </c>
    </row>
    <row r="277" spans="1:19">
      <c r="A277" s="6" t="s">
        <v>591</v>
      </c>
      <c r="B277" s="7" t="s">
        <v>592</v>
      </c>
      <c r="C277" s="8" t="s">
        <v>4131</v>
      </c>
      <c r="D277" s="8">
        <v>45271</v>
      </c>
      <c r="E277" s="7">
        <v>12</v>
      </c>
      <c r="F277" s="7">
        <v>11</v>
      </c>
      <c r="G277" s="7">
        <v>2023</v>
      </c>
      <c r="H277" s="8">
        <f t="shared" si="12"/>
        <v>45271</v>
      </c>
      <c r="I277" s="11">
        <v>45288</v>
      </c>
      <c r="J277" s="7">
        <f t="shared" si="13"/>
        <v>17</v>
      </c>
      <c r="K277" s="7" t="s">
        <v>23</v>
      </c>
      <c r="L277" s="7">
        <v>97601</v>
      </c>
      <c r="M277" s="7">
        <v>3385</v>
      </c>
      <c r="N277" s="12">
        <v>6030.01</v>
      </c>
      <c r="O277" s="12">
        <f t="shared" si="14"/>
        <v>3632.575</v>
      </c>
      <c r="P277" s="7">
        <v>221</v>
      </c>
      <c r="Q277" s="7" t="b">
        <v>1</v>
      </c>
      <c r="R277" s="7"/>
      <c r="S277" s="15" t="s">
        <v>25</v>
      </c>
    </row>
    <row r="278" spans="1:19">
      <c r="A278" s="3" t="s">
        <v>593</v>
      </c>
      <c r="B278" s="4" t="s">
        <v>594</v>
      </c>
      <c r="C278" s="5" t="s">
        <v>4128</v>
      </c>
      <c r="D278" s="5">
        <v>45016</v>
      </c>
      <c r="E278" s="4">
        <v>3</v>
      </c>
      <c r="F278" s="4">
        <v>31</v>
      </c>
      <c r="G278" s="4">
        <v>2023</v>
      </c>
      <c r="H278" s="5">
        <f t="shared" si="12"/>
        <v>45016</v>
      </c>
      <c r="I278" s="9">
        <v>45018</v>
      </c>
      <c r="J278" s="4">
        <f t="shared" si="13"/>
        <v>2</v>
      </c>
      <c r="K278" s="4" t="s">
        <v>23</v>
      </c>
      <c r="L278" s="4">
        <v>91735</v>
      </c>
      <c r="M278" s="4">
        <v>2540</v>
      </c>
      <c r="N278" s="10">
        <v>3139.81</v>
      </c>
      <c r="O278" s="10">
        <f t="shared" si="14"/>
        <v>3139.81</v>
      </c>
      <c r="P278" s="4">
        <v>131</v>
      </c>
      <c r="Q278" s="4" t="b">
        <v>1</v>
      </c>
      <c r="R278" s="4"/>
      <c r="S278" s="14" t="s">
        <v>25</v>
      </c>
    </row>
    <row r="279" spans="1:19">
      <c r="A279" s="6" t="s">
        <v>595</v>
      </c>
      <c r="B279" s="7" t="s">
        <v>596</v>
      </c>
      <c r="C279" s="8" t="s">
        <v>4127</v>
      </c>
      <c r="D279" s="8">
        <v>45069</v>
      </c>
      <c r="E279" s="7">
        <v>5</v>
      </c>
      <c r="F279" s="7">
        <v>23</v>
      </c>
      <c r="G279" s="7">
        <v>2023</v>
      </c>
      <c r="H279" s="8">
        <f t="shared" si="12"/>
        <v>45069</v>
      </c>
      <c r="I279" s="11">
        <v>45093</v>
      </c>
      <c r="J279" s="7">
        <f t="shared" si="13"/>
        <v>24</v>
      </c>
      <c r="K279" s="7" t="s">
        <v>14</v>
      </c>
      <c r="L279" s="7">
        <v>17371</v>
      </c>
      <c r="M279" s="7">
        <v>751</v>
      </c>
      <c r="N279" s="12">
        <v>833.49</v>
      </c>
      <c r="O279" s="12">
        <f t="shared" si="14"/>
        <v>833.49</v>
      </c>
      <c r="P279" s="7">
        <v>53</v>
      </c>
      <c r="Q279" s="7" t="b">
        <v>1</v>
      </c>
      <c r="R279" s="7"/>
      <c r="S279" s="15" t="s">
        <v>16</v>
      </c>
    </row>
    <row r="280" spans="1:19">
      <c r="A280" s="3" t="s">
        <v>597</v>
      </c>
      <c r="B280" s="4" t="s">
        <v>598</v>
      </c>
      <c r="C280" s="5" t="s">
        <v>4128</v>
      </c>
      <c r="D280" s="5">
        <v>45252</v>
      </c>
      <c r="E280" s="4">
        <v>11</v>
      </c>
      <c r="F280" s="4">
        <v>22</v>
      </c>
      <c r="G280" s="4">
        <v>2023</v>
      </c>
      <c r="H280" s="5">
        <f t="shared" si="12"/>
        <v>45252</v>
      </c>
      <c r="I280" s="9">
        <v>45275</v>
      </c>
      <c r="J280" s="4">
        <f t="shared" si="13"/>
        <v>23</v>
      </c>
      <c r="K280" s="4" t="s">
        <v>19</v>
      </c>
      <c r="L280" s="4">
        <v>78371</v>
      </c>
      <c r="M280" s="4">
        <v>2882</v>
      </c>
      <c r="N280" s="10">
        <v>5345.49</v>
      </c>
      <c r="O280" s="10">
        <f t="shared" si="14"/>
        <v>3632.575</v>
      </c>
      <c r="P280" s="4">
        <v>453</v>
      </c>
      <c r="Q280" s="4" t="b">
        <v>0</v>
      </c>
      <c r="R280" s="4"/>
      <c r="S280" s="14" t="s">
        <v>20</v>
      </c>
    </row>
    <row r="281" spans="1:19">
      <c r="A281" s="6" t="s">
        <v>599</v>
      </c>
      <c r="B281" s="7" t="s">
        <v>600</v>
      </c>
      <c r="C281" s="8" t="s">
        <v>4131</v>
      </c>
      <c r="D281" s="8">
        <v>45167</v>
      </c>
      <c r="E281" s="7">
        <v>8</v>
      </c>
      <c r="F281" s="7">
        <v>29</v>
      </c>
      <c r="G281" s="7">
        <v>2023</v>
      </c>
      <c r="H281" s="8">
        <f t="shared" si="12"/>
        <v>45167</v>
      </c>
      <c r="I281" s="11">
        <v>45190</v>
      </c>
      <c r="J281" s="7">
        <f t="shared" si="13"/>
        <v>23</v>
      </c>
      <c r="K281" s="7" t="s">
        <v>23</v>
      </c>
      <c r="L281" s="7">
        <v>3049</v>
      </c>
      <c r="M281" s="7">
        <v>39</v>
      </c>
      <c r="N281" s="12">
        <v>54.83</v>
      </c>
      <c r="O281" s="12">
        <f t="shared" si="14"/>
        <v>54.83</v>
      </c>
      <c r="P281" s="7">
        <v>7</v>
      </c>
      <c r="Q281" s="7" t="b">
        <v>1</v>
      </c>
      <c r="R281" s="7"/>
      <c r="S281" s="15" t="s">
        <v>59</v>
      </c>
    </row>
    <row r="282" spans="1:19">
      <c r="A282" s="3" t="s">
        <v>601</v>
      </c>
      <c r="B282" s="4" t="s">
        <v>602</v>
      </c>
      <c r="C282" s="5" t="s">
        <v>4127</v>
      </c>
      <c r="D282" s="5">
        <v>45270</v>
      </c>
      <c r="E282" s="4">
        <v>12</v>
      </c>
      <c r="F282" s="4">
        <v>10</v>
      </c>
      <c r="G282" s="4">
        <v>2023</v>
      </c>
      <c r="H282" s="5">
        <f t="shared" si="12"/>
        <v>45270</v>
      </c>
      <c r="I282" s="9">
        <v>45265</v>
      </c>
      <c r="J282" s="4">
        <f t="shared" si="13"/>
        <v>-5</v>
      </c>
      <c r="K282" s="4" t="s">
        <v>23</v>
      </c>
      <c r="L282" s="4">
        <v>32616</v>
      </c>
      <c r="M282" s="4">
        <v>1161</v>
      </c>
      <c r="N282" s="10">
        <v>1584.67</v>
      </c>
      <c r="O282" s="10">
        <f t="shared" si="14"/>
        <v>1584.67</v>
      </c>
      <c r="P282" s="4">
        <v>229</v>
      </c>
      <c r="Q282" s="4" t="b">
        <v>1</v>
      </c>
      <c r="R282" s="4"/>
      <c r="S282" s="14" t="s">
        <v>25</v>
      </c>
    </row>
    <row r="283" spans="1:19">
      <c r="A283" s="6" t="s">
        <v>603</v>
      </c>
      <c r="B283" s="7" t="s">
        <v>604</v>
      </c>
      <c r="C283" s="8" t="s">
        <v>4129</v>
      </c>
      <c r="D283" s="8">
        <v>45137</v>
      </c>
      <c r="E283" s="7">
        <v>7</v>
      </c>
      <c r="F283" s="7">
        <v>30</v>
      </c>
      <c r="G283" s="7">
        <v>2023</v>
      </c>
      <c r="H283" s="8">
        <f t="shared" si="12"/>
        <v>45137</v>
      </c>
      <c r="I283" s="11">
        <v>45153</v>
      </c>
      <c r="J283" s="7">
        <f t="shared" si="13"/>
        <v>16</v>
      </c>
      <c r="K283" s="7" t="s">
        <v>19</v>
      </c>
      <c r="L283" s="7">
        <v>21932</v>
      </c>
      <c r="M283" s="7">
        <v>457</v>
      </c>
      <c r="N283" s="12">
        <v>611.53</v>
      </c>
      <c r="O283" s="12">
        <f t="shared" si="14"/>
        <v>611.53</v>
      </c>
      <c r="P283" s="7">
        <v>56</v>
      </c>
      <c r="Q283" s="7" t="b">
        <v>1</v>
      </c>
      <c r="R283" s="7"/>
      <c r="S283" s="15" t="s">
        <v>20</v>
      </c>
    </row>
    <row r="284" spans="1:19">
      <c r="A284" s="3" t="s">
        <v>605</v>
      </c>
      <c r="B284" s="4" t="s">
        <v>606</v>
      </c>
      <c r="C284" s="5" t="s">
        <v>4128</v>
      </c>
      <c r="D284" s="5">
        <v>45132</v>
      </c>
      <c r="E284" s="4">
        <v>7</v>
      </c>
      <c r="F284" s="4">
        <v>25</v>
      </c>
      <c r="G284" s="4">
        <v>2023</v>
      </c>
      <c r="H284" s="5">
        <f t="shared" si="12"/>
        <v>45132</v>
      </c>
      <c r="I284" s="9">
        <v>45135</v>
      </c>
      <c r="J284" s="4">
        <f t="shared" si="13"/>
        <v>3</v>
      </c>
      <c r="K284" s="4" t="s">
        <v>33</v>
      </c>
      <c r="L284" s="4">
        <v>30855</v>
      </c>
      <c r="M284" s="4">
        <v>1040</v>
      </c>
      <c r="N284" s="10">
        <v>1099.02</v>
      </c>
      <c r="O284" s="10">
        <f t="shared" si="14"/>
        <v>1099.02</v>
      </c>
      <c r="P284" s="4">
        <v>0</v>
      </c>
      <c r="Q284" s="4" t="b">
        <v>0</v>
      </c>
      <c r="R284" s="4"/>
      <c r="S284" s="14" t="s">
        <v>34</v>
      </c>
    </row>
    <row r="285" spans="1:19">
      <c r="A285" s="6" t="s">
        <v>607</v>
      </c>
      <c r="B285" s="7" t="s">
        <v>608</v>
      </c>
      <c r="C285" s="8" t="s">
        <v>4131</v>
      </c>
      <c r="D285" s="8" t="s">
        <v>115</v>
      </c>
      <c r="E285" s="7">
        <v>21</v>
      </c>
      <c r="F285" s="7">
        <v>8</v>
      </c>
      <c r="G285" s="7">
        <v>2023</v>
      </c>
      <c r="H285" s="8">
        <f t="shared" si="12"/>
        <v>45159</v>
      </c>
      <c r="I285" s="11">
        <v>45189</v>
      </c>
      <c r="J285" s="7">
        <f t="shared" si="13"/>
        <v>30</v>
      </c>
      <c r="K285" s="7" t="s">
        <v>19</v>
      </c>
      <c r="L285" s="7">
        <v>62434</v>
      </c>
      <c r="M285" s="7">
        <v>2322</v>
      </c>
      <c r="N285" s="12">
        <v>3897.39</v>
      </c>
      <c r="O285" s="12">
        <f t="shared" si="14"/>
        <v>3632.575</v>
      </c>
      <c r="P285" s="7">
        <v>372</v>
      </c>
      <c r="Q285" s="7" t="b">
        <v>1</v>
      </c>
      <c r="R285" s="7"/>
      <c r="S285" s="15" t="s">
        <v>68</v>
      </c>
    </row>
    <row r="286" spans="1:19">
      <c r="A286" s="3" t="s">
        <v>609</v>
      </c>
      <c r="B286" s="4" t="s">
        <v>610</v>
      </c>
      <c r="C286" s="5" t="s">
        <v>4127</v>
      </c>
      <c r="D286" s="5">
        <v>45056</v>
      </c>
      <c r="E286" s="4">
        <v>5</v>
      </c>
      <c r="F286" s="4">
        <v>10</v>
      </c>
      <c r="G286" s="4">
        <v>2023</v>
      </c>
      <c r="H286" s="5">
        <f t="shared" si="12"/>
        <v>45056</v>
      </c>
      <c r="I286" s="9">
        <v>45059</v>
      </c>
      <c r="J286" s="4">
        <f t="shared" si="13"/>
        <v>3</v>
      </c>
      <c r="K286" s="4" t="s">
        <v>138</v>
      </c>
      <c r="L286" s="4">
        <v>73694</v>
      </c>
      <c r="M286" s="4">
        <v>1417</v>
      </c>
      <c r="N286" s="10">
        <v>1245.82</v>
      </c>
      <c r="O286" s="10">
        <f t="shared" si="14"/>
        <v>1245.82</v>
      </c>
      <c r="P286" s="4">
        <v>177</v>
      </c>
      <c r="Q286" s="4" t="b">
        <v>1</v>
      </c>
      <c r="R286" s="4"/>
      <c r="S286" s="14" t="s">
        <v>139</v>
      </c>
    </row>
    <row r="287" spans="1:19">
      <c r="A287" s="6" t="s">
        <v>611</v>
      </c>
      <c r="B287" s="7" t="s">
        <v>612</v>
      </c>
      <c r="C287" s="8" t="s">
        <v>4131</v>
      </c>
      <c r="D287" s="8">
        <v>45133</v>
      </c>
      <c r="E287" s="7">
        <v>7</v>
      </c>
      <c r="F287" s="7">
        <v>26</v>
      </c>
      <c r="G287" s="7">
        <v>2023</v>
      </c>
      <c r="H287" s="8">
        <f t="shared" si="12"/>
        <v>45133</v>
      </c>
      <c r="I287" s="11">
        <v>45138</v>
      </c>
      <c r="J287" s="7">
        <f t="shared" si="13"/>
        <v>5</v>
      </c>
      <c r="K287" s="7" t="s">
        <v>33</v>
      </c>
      <c r="L287" s="7">
        <v>44016</v>
      </c>
      <c r="M287" s="7">
        <v>1244</v>
      </c>
      <c r="N287" s="12">
        <v>2373.98</v>
      </c>
      <c r="O287" s="12">
        <f t="shared" si="14"/>
        <v>2373.98</v>
      </c>
      <c r="P287" s="7">
        <v>0</v>
      </c>
      <c r="Q287" s="7" t="b">
        <v>1</v>
      </c>
      <c r="R287" s="7"/>
      <c r="S287" s="15" t="s">
        <v>34</v>
      </c>
    </row>
    <row r="288" spans="1:19">
      <c r="A288" s="3" t="s">
        <v>613</v>
      </c>
      <c r="B288" s="4" t="s">
        <v>614</v>
      </c>
      <c r="C288" s="5" t="s">
        <v>4129</v>
      </c>
      <c r="D288" s="5">
        <v>44927</v>
      </c>
      <c r="E288" s="4">
        <v>1</v>
      </c>
      <c r="F288" s="4">
        <v>1</v>
      </c>
      <c r="G288" s="4">
        <v>2023</v>
      </c>
      <c r="H288" s="5">
        <f t="shared" si="12"/>
        <v>44927</v>
      </c>
      <c r="I288" s="9">
        <v>44932</v>
      </c>
      <c r="J288" s="4">
        <f t="shared" si="13"/>
        <v>5</v>
      </c>
      <c r="K288" s="4" t="s">
        <v>33</v>
      </c>
      <c r="L288" s="4">
        <v>8400</v>
      </c>
      <c r="M288" s="4">
        <v>147</v>
      </c>
      <c r="N288" s="10">
        <v>270.62</v>
      </c>
      <c r="O288" s="10">
        <f t="shared" si="14"/>
        <v>270.62</v>
      </c>
      <c r="P288" s="4">
        <v>10</v>
      </c>
      <c r="Q288" s="4" t="b">
        <v>1</v>
      </c>
      <c r="R288" s="4"/>
      <c r="S288" s="14" t="s">
        <v>34</v>
      </c>
    </row>
    <row r="289" spans="1:19">
      <c r="A289" s="6" t="s">
        <v>615</v>
      </c>
      <c r="B289" s="7" t="s">
        <v>616</v>
      </c>
      <c r="C289" s="8" t="s">
        <v>4127</v>
      </c>
      <c r="D289" s="8" t="s">
        <v>617</v>
      </c>
      <c r="E289" s="7">
        <v>31</v>
      </c>
      <c r="F289" s="7">
        <v>7</v>
      </c>
      <c r="G289" s="7">
        <v>2023</v>
      </c>
      <c r="H289" s="8">
        <f t="shared" si="12"/>
        <v>45138</v>
      </c>
      <c r="I289" s="11">
        <v>45142</v>
      </c>
      <c r="J289" s="7">
        <f t="shared" si="13"/>
        <v>4</v>
      </c>
      <c r="K289" s="7" t="s">
        <v>266</v>
      </c>
      <c r="L289" s="7">
        <v>43642</v>
      </c>
      <c r="M289" s="7">
        <v>527</v>
      </c>
      <c r="N289" s="12">
        <v>530.28</v>
      </c>
      <c r="O289" s="12">
        <f t="shared" si="14"/>
        <v>530.28</v>
      </c>
      <c r="P289" s="7">
        <v>100</v>
      </c>
      <c r="Q289" s="7" t="b">
        <v>1</v>
      </c>
      <c r="R289" s="7"/>
      <c r="S289" s="15" t="s">
        <v>68</v>
      </c>
    </row>
    <row r="290" spans="1:19">
      <c r="A290" s="3" t="s">
        <v>618</v>
      </c>
      <c r="B290" s="4" t="s">
        <v>619</v>
      </c>
      <c r="C290" s="5" t="s">
        <v>4131</v>
      </c>
      <c r="D290" s="5">
        <v>45192</v>
      </c>
      <c r="E290" s="4">
        <v>9</v>
      </c>
      <c r="F290" s="4">
        <v>23</v>
      </c>
      <c r="G290" s="4">
        <v>2023</v>
      </c>
      <c r="H290" s="5">
        <f t="shared" si="12"/>
        <v>45192</v>
      </c>
      <c r="I290" s="9">
        <v>45209</v>
      </c>
      <c r="J290" s="4">
        <f t="shared" si="13"/>
        <v>17</v>
      </c>
      <c r="K290" s="4" t="s">
        <v>41</v>
      </c>
      <c r="L290" s="4">
        <v>16151</v>
      </c>
      <c r="M290" s="4">
        <v>406</v>
      </c>
      <c r="N290" s="10">
        <v>647.24</v>
      </c>
      <c r="O290" s="10">
        <f t="shared" si="14"/>
        <v>647.24</v>
      </c>
      <c r="P290" s="4">
        <v>41</v>
      </c>
      <c r="Q290" s="4" t="b">
        <v>0</v>
      </c>
      <c r="R290" s="4">
        <v>16169</v>
      </c>
      <c r="S290" s="14" t="s">
        <v>68</v>
      </c>
    </row>
    <row r="291" spans="1:19">
      <c r="A291" s="6" t="s">
        <v>620</v>
      </c>
      <c r="B291" s="7" t="s">
        <v>621</v>
      </c>
      <c r="C291" s="8" t="s">
        <v>4131</v>
      </c>
      <c r="D291" s="8">
        <v>45247</v>
      </c>
      <c r="E291" s="7">
        <v>11</v>
      </c>
      <c r="F291" s="7">
        <v>17</v>
      </c>
      <c r="G291" s="7">
        <v>2023</v>
      </c>
      <c r="H291" s="8">
        <f t="shared" si="12"/>
        <v>45247</v>
      </c>
      <c r="I291" s="11">
        <v>45253</v>
      </c>
      <c r="J291" s="7">
        <f t="shared" si="13"/>
        <v>6</v>
      </c>
      <c r="K291" s="7" t="s">
        <v>14</v>
      </c>
      <c r="L291" s="7">
        <v>52407</v>
      </c>
      <c r="M291" s="7">
        <v>1284</v>
      </c>
      <c r="N291" s="12">
        <v>1746.03</v>
      </c>
      <c r="O291" s="12">
        <f t="shared" si="14"/>
        <v>1746.03</v>
      </c>
      <c r="P291" s="7">
        <v>150</v>
      </c>
      <c r="Q291" s="7" t="b">
        <v>0</v>
      </c>
      <c r="R291" s="7"/>
      <c r="S291" s="15" t="s">
        <v>68</v>
      </c>
    </row>
    <row r="292" spans="1:19">
      <c r="A292" s="3" t="s">
        <v>622</v>
      </c>
      <c r="B292" s="4" t="s">
        <v>623</v>
      </c>
      <c r="C292" s="5" t="s">
        <v>4128</v>
      </c>
      <c r="D292" s="5">
        <v>45063</v>
      </c>
      <c r="E292" s="4">
        <v>5</v>
      </c>
      <c r="F292" s="4">
        <v>17</v>
      </c>
      <c r="G292" s="4">
        <v>2023</v>
      </c>
      <c r="H292" s="5">
        <f t="shared" si="12"/>
        <v>45063</v>
      </c>
      <c r="I292" s="9">
        <v>45086</v>
      </c>
      <c r="J292" s="4">
        <f t="shared" si="13"/>
        <v>23</v>
      </c>
      <c r="K292" s="4" t="s">
        <v>23</v>
      </c>
      <c r="L292" s="4">
        <v>67690</v>
      </c>
      <c r="M292" s="4">
        <v>3372</v>
      </c>
      <c r="N292" s="10">
        <v>3393.83</v>
      </c>
      <c r="O292" s="10">
        <f t="shared" si="14"/>
        <v>3393.83</v>
      </c>
      <c r="P292" s="4">
        <v>0</v>
      </c>
      <c r="Q292" s="4" t="b">
        <v>0</v>
      </c>
      <c r="R292" s="4"/>
      <c r="S292" s="14" t="s">
        <v>59</v>
      </c>
    </row>
    <row r="293" spans="1:19">
      <c r="A293" s="6" t="s">
        <v>624</v>
      </c>
      <c r="B293" s="7" t="s">
        <v>625</v>
      </c>
      <c r="C293" s="8" t="s">
        <v>4129</v>
      </c>
      <c r="D293" s="8">
        <v>45151</v>
      </c>
      <c r="E293" s="7">
        <v>8</v>
      </c>
      <c r="F293" s="7">
        <v>13</v>
      </c>
      <c r="G293" s="7">
        <v>2023</v>
      </c>
      <c r="H293" s="8">
        <f t="shared" si="12"/>
        <v>45151</v>
      </c>
      <c r="I293" s="11">
        <v>45159</v>
      </c>
      <c r="J293" s="7">
        <f t="shared" si="13"/>
        <v>8</v>
      </c>
      <c r="K293" s="7" t="s">
        <v>14</v>
      </c>
      <c r="L293" s="7">
        <v>5499</v>
      </c>
      <c r="M293" s="7">
        <v>153</v>
      </c>
      <c r="N293" s="12">
        <v>303.37</v>
      </c>
      <c r="O293" s="12">
        <f t="shared" si="14"/>
        <v>303.37</v>
      </c>
      <c r="P293" s="7">
        <v>15</v>
      </c>
      <c r="Q293" s="7" t="b">
        <v>1</v>
      </c>
      <c r="R293" s="7"/>
      <c r="S293" s="15" t="s">
        <v>16</v>
      </c>
    </row>
    <row r="294" spans="1:19">
      <c r="A294" s="3" t="s">
        <v>626</v>
      </c>
      <c r="B294" s="4" t="s">
        <v>627</v>
      </c>
      <c r="C294" s="5" t="s">
        <v>4128</v>
      </c>
      <c r="D294" s="5">
        <v>44941</v>
      </c>
      <c r="E294" s="4">
        <v>1</v>
      </c>
      <c r="F294" s="4">
        <v>15</v>
      </c>
      <c r="G294" s="4">
        <v>2023</v>
      </c>
      <c r="H294" s="5">
        <f t="shared" si="12"/>
        <v>44941</v>
      </c>
      <c r="I294" s="9">
        <v>44944</v>
      </c>
      <c r="J294" s="4">
        <f t="shared" si="13"/>
        <v>3</v>
      </c>
      <c r="K294" s="4" t="s">
        <v>33</v>
      </c>
      <c r="L294" s="4">
        <v>7295</v>
      </c>
      <c r="M294" s="4">
        <v>170</v>
      </c>
      <c r="N294" s="10">
        <v>91.44</v>
      </c>
      <c r="O294" s="10">
        <f t="shared" si="14"/>
        <v>91.44</v>
      </c>
      <c r="P294" s="4">
        <v>14</v>
      </c>
      <c r="Q294" s="4" t="b">
        <v>1</v>
      </c>
      <c r="R294" s="4"/>
      <c r="S294" s="14" t="s">
        <v>34</v>
      </c>
    </row>
    <row r="295" spans="1:19">
      <c r="A295" s="6" t="s">
        <v>628</v>
      </c>
      <c r="B295" s="7" t="s">
        <v>629</v>
      </c>
      <c r="C295" s="8" t="s">
        <v>4129</v>
      </c>
      <c r="D295" s="8">
        <v>45049</v>
      </c>
      <c r="E295" s="7">
        <v>5</v>
      </c>
      <c r="F295" s="7">
        <v>3</v>
      </c>
      <c r="G295" s="7">
        <v>2023</v>
      </c>
      <c r="H295" s="8">
        <f t="shared" si="12"/>
        <v>45049</v>
      </c>
      <c r="I295" s="11">
        <v>45074</v>
      </c>
      <c r="J295" s="7">
        <f t="shared" si="13"/>
        <v>25</v>
      </c>
      <c r="K295" s="7" t="s">
        <v>14</v>
      </c>
      <c r="L295" s="7">
        <v>60040</v>
      </c>
      <c r="M295" s="7">
        <v>1994</v>
      </c>
      <c r="N295" s="12">
        <v>1752.66</v>
      </c>
      <c r="O295" s="12">
        <f t="shared" si="14"/>
        <v>1752.66</v>
      </c>
      <c r="P295" s="7">
        <v>288</v>
      </c>
      <c r="Q295" s="7" t="b">
        <v>0</v>
      </c>
      <c r="R295" s="7"/>
      <c r="S295" s="15" t="s">
        <v>16</v>
      </c>
    </row>
    <row r="296" spans="1:19">
      <c r="A296" s="3" t="s">
        <v>630</v>
      </c>
      <c r="B296" s="4" t="s">
        <v>631</v>
      </c>
      <c r="C296" s="5" t="s">
        <v>4127</v>
      </c>
      <c r="D296" s="5">
        <v>44934</v>
      </c>
      <c r="E296" s="4">
        <v>1</v>
      </c>
      <c r="F296" s="4">
        <v>8</v>
      </c>
      <c r="G296" s="4">
        <v>2023</v>
      </c>
      <c r="H296" s="5">
        <f t="shared" si="12"/>
        <v>44934</v>
      </c>
      <c r="I296" s="9">
        <v>45151</v>
      </c>
      <c r="J296" s="4">
        <f t="shared" si="13"/>
        <v>217</v>
      </c>
      <c r="K296" s="4" t="s">
        <v>41</v>
      </c>
      <c r="L296" s="4">
        <v>13183</v>
      </c>
      <c r="M296" s="4">
        <v>178</v>
      </c>
      <c r="N296" s="10">
        <v>227.86</v>
      </c>
      <c r="O296" s="10">
        <f t="shared" si="14"/>
        <v>227.86</v>
      </c>
      <c r="P296" s="4">
        <v>9</v>
      </c>
      <c r="Q296" s="4" t="b">
        <v>0</v>
      </c>
      <c r="R296" s="4"/>
      <c r="S296" s="14" t="s">
        <v>42</v>
      </c>
    </row>
    <row r="297" spans="1:19">
      <c r="A297" s="6" t="s">
        <v>632</v>
      </c>
      <c r="B297" s="7" t="s">
        <v>633</v>
      </c>
      <c r="C297" s="8" t="s">
        <v>4127</v>
      </c>
      <c r="D297" s="8">
        <v>44985</v>
      </c>
      <c r="E297" s="7">
        <v>2</v>
      </c>
      <c r="F297" s="7">
        <v>28</v>
      </c>
      <c r="G297" s="7">
        <v>2023</v>
      </c>
      <c r="H297" s="8">
        <f t="shared" si="12"/>
        <v>44985</v>
      </c>
      <c r="I297" s="11">
        <v>44997</v>
      </c>
      <c r="J297" s="7">
        <f t="shared" si="13"/>
        <v>12</v>
      </c>
      <c r="K297" s="7" t="s">
        <v>19</v>
      </c>
      <c r="L297" s="7">
        <v>30299</v>
      </c>
      <c r="M297" s="7">
        <v>1468</v>
      </c>
      <c r="N297" s="12">
        <v>1883.34</v>
      </c>
      <c r="O297" s="12">
        <f t="shared" si="14"/>
        <v>1883.34</v>
      </c>
      <c r="P297" s="7">
        <v>232</v>
      </c>
      <c r="Q297" s="7" t="b">
        <v>1</v>
      </c>
      <c r="R297" s="7"/>
      <c r="S297" s="15" t="s">
        <v>20</v>
      </c>
    </row>
    <row r="298" spans="1:19">
      <c r="A298" s="3" t="s">
        <v>634</v>
      </c>
      <c r="B298" s="4" t="s">
        <v>635</v>
      </c>
      <c r="C298" s="5" t="s">
        <v>4128</v>
      </c>
      <c r="D298" s="5">
        <v>45005</v>
      </c>
      <c r="E298" s="4">
        <v>3</v>
      </c>
      <c r="F298" s="4">
        <v>20</v>
      </c>
      <c r="G298" s="4">
        <v>2023</v>
      </c>
      <c r="H298" s="5">
        <f t="shared" si="12"/>
        <v>45005</v>
      </c>
      <c r="I298" s="9">
        <v>45016</v>
      </c>
      <c r="J298" s="4">
        <f t="shared" si="13"/>
        <v>11</v>
      </c>
      <c r="K298" s="4" t="s">
        <v>19</v>
      </c>
      <c r="L298" s="4">
        <v>13874</v>
      </c>
      <c r="M298" s="4">
        <v>491</v>
      </c>
      <c r="N298" s="10">
        <v>679.25</v>
      </c>
      <c r="O298" s="10">
        <f t="shared" si="14"/>
        <v>679.25</v>
      </c>
      <c r="P298" s="4">
        <v>62</v>
      </c>
      <c r="Q298" s="4" t="b">
        <v>0</v>
      </c>
      <c r="R298" s="4"/>
      <c r="S298" s="14" t="s">
        <v>20</v>
      </c>
    </row>
    <row r="299" spans="1:19">
      <c r="A299" s="6" t="s">
        <v>636</v>
      </c>
      <c r="B299" s="7" t="s">
        <v>637</v>
      </c>
      <c r="C299" s="8" t="s">
        <v>4131</v>
      </c>
      <c r="D299" s="8">
        <v>45187</v>
      </c>
      <c r="E299" s="7">
        <v>9</v>
      </c>
      <c r="F299" s="7">
        <v>18</v>
      </c>
      <c r="G299" s="7">
        <v>2023</v>
      </c>
      <c r="H299" s="8">
        <f t="shared" si="12"/>
        <v>45187</v>
      </c>
      <c r="I299" s="11">
        <v>45190</v>
      </c>
      <c r="J299" s="7">
        <f t="shared" si="13"/>
        <v>3</v>
      </c>
      <c r="K299" s="7" t="s">
        <v>41</v>
      </c>
      <c r="L299" s="7">
        <v>33711</v>
      </c>
      <c r="M299" s="7">
        <v>1354</v>
      </c>
      <c r="N299" s="12">
        <v>2203.65</v>
      </c>
      <c r="O299" s="12">
        <f t="shared" si="14"/>
        <v>2203.65</v>
      </c>
      <c r="P299" s="7">
        <v>190</v>
      </c>
      <c r="Q299" s="7" t="b">
        <v>1</v>
      </c>
      <c r="R299" s="7"/>
      <c r="S299" s="15" t="s">
        <v>42</v>
      </c>
    </row>
    <row r="300" spans="1:19">
      <c r="A300" s="3" t="s">
        <v>638</v>
      </c>
      <c r="B300" s="4" t="s">
        <v>639</v>
      </c>
      <c r="C300" s="5" t="s">
        <v>4129</v>
      </c>
      <c r="D300" s="5">
        <v>45174</v>
      </c>
      <c r="E300" s="4">
        <v>9</v>
      </c>
      <c r="F300" s="4">
        <v>5</v>
      </c>
      <c r="G300" s="4">
        <v>2023</v>
      </c>
      <c r="H300" s="5">
        <f t="shared" si="12"/>
        <v>45174</v>
      </c>
      <c r="I300" s="9">
        <v>45188</v>
      </c>
      <c r="J300" s="4">
        <f t="shared" si="13"/>
        <v>14</v>
      </c>
      <c r="K300" s="4" t="s">
        <v>138</v>
      </c>
      <c r="L300" s="4">
        <v>6539</v>
      </c>
      <c r="M300" s="4">
        <v>109</v>
      </c>
      <c r="N300" s="10">
        <v>156.44</v>
      </c>
      <c r="O300" s="10">
        <f t="shared" si="14"/>
        <v>156.44</v>
      </c>
      <c r="P300" s="4">
        <v>15</v>
      </c>
      <c r="Q300" s="4" t="b">
        <v>0</v>
      </c>
      <c r="R300" s="4"/>
      <c r="S300" s="14" t="s">
        <v>139</v>
      </c>
    </row>
    <row r="301" spans="1:19">
      <c r="A301" s="6" t="s">
        <v>640</v>
      </c>
      <c r="B301" s="7" t="s">
        <v>641</v>
      </c>
      <c r="C301" s="8" t="s">
        <v>4128</v>
      </c>
      <c r="D301" s="8">
        <v>45209</v>
      </c>
      <c r="E301" s="7">
        <v>10</v>
      </c>
      <c r="F301" s="7">
        <v>10</v>
      </c>
      <c r="G301" s="7">
        <v>2023</v>
      </c>
      <c r="H301" s="8">
        <f t="shared" si="12"/>
        <v>45209</v>
      </c>
      <c r="I301" s="11">
        <v>45220</v>
      </c>
      <c r="J301" s="7">
        <f t="shared" si="13"/>
        <v>11</v>
      </c>
      <c r="K301" s="7" t="s">
        <v>41</v>
      </c>
      <c r="L301" s="7">
        <v>54351</v>
      </c>
      <c r="M301" s="7">
        <v>1433</v>
      </c>
      <c r="N301" s="12">
        <v>2006.8</v>
      </c>
      <c r="O301" s="12">
        <f t="shared" si="14"/>
        <v>2006.8</v>
      </c>
      <c r="P301" s="7">
        <v>184</v>
      </c>
      <c r="Q301" s="7" t="b">
        <v>1</v>
      </c>
      <c r="R301" s="7"/>
      <c r="S301" s="15" t="s">
        <v>42</v>
      </c>
    </row>
    <row r="302" spans="1:19">
      <c r="A302" s="3" t="s">
        <v>642</v>
      </c>
      <c r="B302" s="4" t="s">
        <v>643</v>
      </c>
      <c r="C302" s="5" t="s">
        <v>4127</v>
      </c>
      <c r="D302" s="5">
        <v>45233</v>
      </c>
      <c r="E302" s="4">
        <v>11</v>
      </c>
      <c r="F302" s="4">
        <v>3</v>
      </c>
      <c r="G302" s="4">
        <v>2023</v>
      </c>
      <c r="H302" s="5">
        <f t="shared" si="12"/>
        <v>45233</v>
      </c>
      <c r="I302" s="9">
        <v>45258</v>
      </c>
      <c r="J302" s="4">
        <f t="shared" si="13"/>
        <v>25</v>
      </c>
      <c r="K302" s="4" t="s">
        <v>23</v>
      </c>
      <c r="L302" s="4">
        <v>62267</v>
      </c>
      <c r="M302" s="4">
        <v>1675</v>
      </c>
      <c r="N302" s="10">
        <v>971.96</v>
      </c>
      <c r="O302" s="10">
        <f t="shared" si="14"/>
        <v>971.96</v>
      </c>
      <c r="P302" s="4">
        <v>230</v>
      </c>
      <c r="Q302" s="4" t="b">
        <v>1</v>
      </c>
      <c r="R302" s="4"/>
      <c r="S302" s="14" t="s">
        <v>25</v>
      </c>
    </row>
    <row r="303" spans="1:19">
      <c r="A303" s="6" t="s">
        <v>644</v>
      </c>
      <c r="B303" s="7" t="s">
        <v>645</v>
      </c>
      <c r="C303" s="8" t="s">
        <v>4128</v>
      </c>
      <c r="D303" s="8">
        <v>44962</v>
      </c>
      <c r="E303" s="7">
        <v>2</v>
      </c>
      <c r="F303" s="7">
        <v>5</v>
      </c>
      <c r="G303" s="7">
        <v>2023</v>
      </c>
      <c r="H303" s="8">
        <f t="shared" si="12"/>
        <v>44962</v>
      </c>
      <c r="I303" s="11">
        <v>44965</v>
      </c>
      <c r="J303" s="7">
        <f t="shared" si="13"/>
        <v>3</v>
      </c>
      <c r="K303" s="7" t="s">
        <v>33</v>
      </c>
      <c r="L303" s="7">
        <v>49354</v>
      </c>
      <c r="M303" s="7">
        <v>2115</v>
      </c>
      <c r="N303" s="12">
        <v>2252.04</v>
      </c>
      <c r="O303" s="12">
        <f t="shared" si="14"/>
        <v>2252.04</v>
      </c>
      <c r="P303" s="7">
        <v>322</v>
      </c>
      <c r="Q303" s="7" t="b">
        <v>1</v>
      </c>
      <c r="R303" s="7"/>
      <c r="S303" s="15" t="s">
        <v>34</v>
      </c>
    </row>
    <row r="304" spans="1:19">
      <c r="A304" s="3" t="s">
        <v>646</v>
      </c>
      <c r="B304" s="4" t="s">
        <v>647</v>
      </c>
      <c r="C304" s="5" t="s">
        <v>4127</v>
      </c>
      <c r="D304" s="5">
        <v>45139</v>
      </c>
      <c r="E304" s="4">
        <v>8</v>
      </c>
      <c r="F304" s="4">
        <v>1</v>
      </c>
      <c r="G304" s="4">
        <v>2023</v>
      </c>
      <c r="H304" s="5">
        <f t="shared" si="12"/>
        <v>45139</v>
      </c>
      <c r="I304" s="9">
        <v>45155</v>
      </c>
      <c r="J304" s="4">
        <f t="shared" si="13"/>
        <v>16</v>
      </c>
      <c r="K304" s="4" t="s">
        <v>19</v>
      </c>
      <c r="L304" s="4">
        <v>3557</v>
      </c>
      <c r="M304" s="4">
        <v>35</v>
      </c>
      <c r="N304" s="10">
        <v>29.68</v>
      </c>
      <c r="O304" s="10">
        <f t="shared" si="14"/>
        <v>29.68</v>
      </c>
      <c r="P304" s="4">
        <v>5</v>
      </c>
      <c r="Q304" s="4" t="b">
        <v>1</v>
      </c>
      <c r="R304" s="4"/>
      <c r="S304" s="14" t="s">
        <v>20</v>
      </c>
    </row>
    <row r="305" spans="1:19">
      <c r="A305" s="6" t="s">
        <v>648</v>
      </c>
      <c r="B305" s="7" t="s">
        <v>649</v>
      </c>
      <c r="C305" s="8" t="s">
        <v>4129</v>
      </c>
      <c r="D305" s="8">
        <v>45063</v>
      </c>
      <c r="E305" s="7">
        <v>5</v>
      </c>
      <c r="F305" s="7">
        <v>17</v>
      </c>
      <c r="G305" s="7">
        <v>2023</v>
      </c>
      <c r="H305" s="8">
        <f t="shared" si="12"/>
        <v>45063</v>
      </c>
      <c r="I305" s="11">
        <v>45058</v>
      </c>
      <c r="J305" s="7">
        <f t="shared" si="13"/>
        <v>-5</v>
      </c>
      <c r="K305" s="7" t="s">
        <v>41</v>
      </c>
      <c r="L305" s="7">
        <v>39360</v>
      </c>
      <c r="M305" s="7">
        <v>867</v>
      </c>
      <c r="N305" s="12">
        <v>778.61</v>
      </c>
      <c r="O305" s="12">
        <f t="shared" si="14"/>
        <v>778.61</v>
      </c>
      <c r="P305" s="7">
        <v>137</v>
      </c>
      <c r="Q305" s="7" t="b">
        <v>1</v>
      </c>
      <c r="R305" s="7"/>
      <c r="S305" s="15" t="s">
        <v>42</v>
      </c>
    </row>
    <row r="306" spans="1:19">
      <c r="A306" s="3" t="s">
        <v>650</v>
      </c>
      <c r="B306" s="4" t="s">
        <v>651</v>
      </c>
      <c r="C306" s="5" t="s">
        <v>4128</v>
      </c>
      <c r="D306" s="5">
        <v>45079</v>
      </c>
      <c r="E306" s="4">
        <v>6</v>
      </c>
      <c r="F306" s="4">
        <v>2</v>
      </c>
      <c r="G306" s="4">
        <v>2023</v>
      </c>
      <c r="H306" s="5">
        <f t="shared" si="12"/>
        <v>45079</v>
      </c>
      <c r="I306" s="9">
        <v>45097</v>
      </c>
      <c r="J306" s="4">
        <f t="shared" si="13"/>
        <v>18</v>
      </c>
      <c r="K306" s="4" t="s">
        <v>19</v>
      </c>
      <c r="L306" s="4">
        <v>83018</v>
      </c>
      <c r="M306" s="4">
        <v>4088</v>
      </c>
      <c r="N306" s="10">
        <v>5443.2</v>
      </c>
      <c r="O306" s="10">
        <f t="shared" si="14"/>
        <v>3632.575</v>
      </c>
      <c r="P306" s="4">
        <v>737</v>
      </c>
      <c r="Q306" s="4" t="b">
        <v>0</v>
      </c>
      <c r="R306" s="4"/>
      <c r="S306" s="14" t="s">
        <v>20</v>
      </c>
    </row>
    <row r="307" spans="1:19">
      <c r="A307" s="6" t="s">
        <v>652</v>
      </c>
      <c r="B307" s="7" t="s">
        <v>653</v>
      </c>
      <c r="C307" s="8" t="s">
        <v>4127</v>
      </c>
      <c r="D307" s="8">
        <v>45264</v>
      </c>
      <c r="E307" s="7">
        <v>12</v>
      </c>
      <c r="F307" s="7">
        <v>4</v>
      </c>
      <c r="G307" s="7">
        <v>2023</v>
      </c>
      <c r="H307" s="8">
        <f t="shared" si="12"/>
        <v>45264</v>
      </c>
      <c r="I307" s="11">
        <v>45266</v>
      </c>
      <c r="J307" s="7">
        <f t="shared" si="13"/>
        <v>2</v>
      </c>
      <c r="K307" s="7" t="s">
        <v>41</v>
      </c>
      <c r="L307" s="7">
        <v>3200</v>
      </c>
      <c r="M307" s="7">
        <v>92</v>
      </c>
      <c r="N307" s="12">
        <v>73.53</v>
      </c>
      <c r="O307" s="12">
        <f t="shared" si="14"/>
        <v>73.53</v>
      </c>
      <c r="P307" s="7">
        <v>7</v>
      </c>
      <c r="Q307" s="7" t="b">
        <v>1</v>
      </c>
      <c r="R307" s="7">
        <v>3228</v>
      </c>
      <c r="S307" s="15" t="s">
        <v>42</v>
      </c>
    </row>
    <row r="308" spans="1:19">
      <c r="A308" s="3" t="s">
        <v>654</v>
      </c>
      <c r="B308" s="4" t="s">
        <v>655</v>
      </c>
      <c r="C308" s="5" t="s">
        <v>4127</v>
      </c>
      <c r="D308" s="5">
        <v>45202</v>
      </c>
      <c r="E308" s="4">
        <v>10</v>
      </c>
      <c r="F308" s="4">
        <v>3</v>
      </c>
      <c r="G308" s="4">
        <v>2023</v>
      </c>
      <c r="H308" s="5">
        <f t="shared" si="12"/>
        <v>45202</v>
      </c>
      <c r="I308" s="9">
        <v>45219</v>
      </c>
      <c r="J308" s="4">
        <f t="shared" si="13"/>
        <v>17</v>
      </c>
      <c r="K308" s="4" t="s">
        <v>19</v>
      </c>
      <c r="L308" s="4">
        <v>69497</v>
      </c>
      <c r="M308" s="4">
        <v>1758</v>
      </c>
      <c r="N308" s="10">
        <v>1654.14</v>
      </c>
      <c r="O308" s="10">
        <f t="shared" si="14"/>
        <v>1654.14</v>
      </c>
      <c r="P308" s="4">
        <v>193</v>
      </c>
      <c r="Q308" s="4" t="b">
        <v>1</v>
      </c>
      <c r="R308" s="4"/>
      <c r="S308" s="14" t="s">
        <v>20</v>
      </c>
    </row>
    <row r="309" spans="1:19">
      <c r="A309" s="6" t="s">
        <v>656</v>
      </c>
      <c r="B309" s="7" t="s">
        <v>657</v>
      </c>
      <c r="C309" s="8" t="s">
        <v>4128</v>
      </c>
      <c r="D309" s="8">
        <v>45205</v>
      </c>
      <c r="E309" s="7">
        <v>10</v>
      </c>
      <c r="F309" s="7">
        <v>6</v>
      </c>
      <c r="G309" s="7">
        <v>2023</v>
      </c>
      <c r="H309" s="8">
        <f t="shared" si="12"/>
        <v>45205</v>
      </c>
      <c r="I309" s="11">
        <v>45219</v>
      </c>
      <c r="J309" s="7">
        <f t="shared" si="13"/>
        <v>14</v>
      </c>
      <c r="K309" s="7" t="s">
        <v>14</v>
      </c>
      <c r="L309" s="7">
        <v>47975</v>
      </c>
      <c r="M309" s="7">
        <v>709</v>
      </c>
      <c r="N309" s="12">
        <v>606.64</v>
      </c>
      <c r="O309" s="12">
        <f t="shared" si="14"/>
        <v>606.64</v>
      </c>
      <c r="P309" s="7">
        <v>136</v>
      </c>
      <c r="Q309" s="7" t="b">
        <v>0</v>
      </c>
      <c r="R309" s="7"/>
      <c r="S309" s="15" t="s">
        <v>16</v>
      </c>
    </row>
    <row r="310" spans="1:19">
      <c r="A310" s="3" t="s">
        <v>658</v>
      </c>
      <c r="B310" s="4" t="s">
        <v>659</v>
      </c>
      <c r="C310" s="5" t="s">
        <v>4129</v>
      </c>
      <c r="D310" s="5">
        <v>45023</v>
      </c>
      <c r="E310" s="4">
        <v>4</v>
      </c>
      <c r="F310" s="4">
        <v>7</v>
      </c>
      <c r="G310" s="4">
        <v>2023</v>
      </c>
      <c r="H310" s="5">
        <f t="shared" si="12"/>
        <v>45023</v>
      </c>
      <c r="I310" s="9">
        <v>45044</v>
      </c>
      <c r="J310" s="4">
        <f t="shared" si="13"/>
        <v>21</v>
      </c>
      <c r="K310" s="4" t="s">
        <v>41</v>
      </c>
      <c r="L310" s="4">
        <v>22357</v>
      </c>
      <c r="M310" s="4">
        <v>1094</v>
      </c>
      <c r="N310" s="10">
        <v>2103.49</v>
      </c>
      <c r="O310" s="10">
        <f t="shared" si="14"/>
        <v>2103.49</v>
      </c>
      <c r="P310" s="4">
        <v>119</v>
      </c>
      <c r="Q310" s="4" t="b">
        <v>1</v>
      </c>
      <c r="R310" s="4"/>
      <c r="S310" s="14" t="s">
        <v>42</v>
      </c>
    </row>
    <row r="311" spans="1:19">
      <c r="A311" s="6" t="s">
        <v>660</v>
      </c>
      <c r="B311" s="7" t="s">
        <v>661</v>
      </c>
      <c r="C311" s="8" t="s">
        <v>4127</v>
      </c>
      <c r="D311" s="8">
        <v>45123</v>
      </c>
      <c r="E311" s="7">
        <v>7</v>
      </c>
      <c r="F311" s="7">
        <v>16</v>
      </c>
      <c r="G311" s="7">
        <v>2023</v>
      </c>
      <c r="H311" s="8">
        <f t="shared" si="12"/>
        <v>45123</v>
      </c>
      <c r="I311" s="11">
        <v>45149</v>
      </c>
      <c r="J311" s="7">
        <f t="shared" si="13"/>
        <v>26</v>
      </c>
      <c r="K311" s="7" t="s">
        <v>23</v>
      </c>
      <c r="L311" s="7">
        <v>78505</v>
      </c>
      <c r="M311" s="7">
        <v>847</v>
      </c>
      <c r="N311" s="12">
        <v>1623.7</v>
      </c>
      <c r="O311" s="12">
        <f t="shared" si="14"/>
        <v>1623.7</v>
      </c>
      <c r="P311" s="7">
        <v>58</v>
      </c>
      <c r="Q311" s="7" t="b">
        <v>1</v>
      </c>
      <c r="R311" s="7"/>
      <c r="S311" s="15" t="s">
        <v>25</v>
      </c>
    </row>
    <row r="312" spans="1:19">
      <c r="A312" s="3" t="s">
        <v>662</v>
      </c>
      <c r="B312" s="4" t="s">
        <v>663</v>
      </c>
      <c r="C312" s="5" t="s">
        <v>4131</v>
      </c>
      <c r="D312" s="5">
        <v>44949</v>
      </c>
      <c r="E312" s="4">
        <v>1</v>
      </c>
      <c r="F312" s="4">
        <v>23</v>
      </c>
      <c r="G312" s="4">
        <v>2023</v>
      </c>
      <c r="H312" s="5">
        <f t="shared" si="12"/>
        <v>44949</v>
      </c>
      <c r="I312" s="9">
        <v>44962</v>
      </c>
      <c r="J312" s="4">
        <f t="shared" si="13"/>
        <v>13</v>
      </c>
      <c r="K312" s="4" t="s">
        <v>23</v>
      </c>
      <c r="L312" s="4">
        <v>3869</v>
      </c>
      <c r="M312" s="4">
        <v>152</v>
      </c>
      <c r="N312" s="10">
        <v>215.07</v>
      </c>
      <c r="O312" s="10">
        <f t="shared" si="14"/>
        <v>215.07</v>
      </c>
      <c r="P312" s="4">
        <v>19</v>
      </c>
      <c r="Q312" s="4" t="b">
        <v>1</v>
      </c>
      <c r="R312" s="4"/>
      <c r="S312" s="14" t="s">
        <v>25</v>
      </c>
    </row>
    <row r="313" spans="1:19">
      <c r="A313" s="6" t="s">
        <v>664</v>
      </c>
      <c r="B313" s="7" t="s">
        <v>665</v>
      </c>
      <c r="C313" s="8" t="s">
        <v>4127</v>
      </c>
      <c r="D313" s="8">
        <v>45122</v>
      </c>
      <c r="E313" s="7">
        <v>7</v>
      </c>
      <c r="F313" s="7">
        <v>15</v>
      </c>
      <c r="G313" s="7">
        <v>2023</v>
      </c>
      <c r="H313" s="8">
        <f t="shared" si="12"/>
        <v>45122</v>
      </c>
      <c r="I313" s="11">
        <v>45145</v>
      </c>
      <c r="J313" s="7">
        <f t="shared" si="13"/>
        <v>23</v>
      </c>
      <c r="K313" s="7" t="s">
        <v>33</v>
      </c>
      <c r="L313" s="7">
        <v>62135</v>
      </c>
      <c r="M313" s="7">
        <v>2531</v>
      </c>
      <c r="N313" s="12">
        <v>4775.45</v>
      </c>
      <c r="O313" s="12">
        <f t="shared" si="14"/>
        <v>3632.575</v>
      </c>
      <c r="P313" s="7">
        <v>168</v>
      </c>
      <c r="Q313" s="7" t="b">
        <v>1</v>
      </c>
      <c r="R313" s="7"/>
      <c r="S313" s="15" t="s">
        <v>34</v>
      </c>
    </row>
    <row r="314" spans="1:19">
      <c r="A314" s="3" t="s">
        <v>666</v>
      </c>
      <c r="B314" s="4" t="s">
        <v>667</v>
      </c>
      <c r="C314" s="5" t="s">
        <v>4127</v>
      </c>
      <c r="D314" s="5">
        <v>45260</v>
      </c>
      <c r="E314" s="4">
        <v>11</v>
      </c>
      <c r="F314" s="4">
        <v>30</v>
      </c>
      <c r="G314" s="4">
        <v>2023</v>
      </c>
      <c r="H314" s="5">
        <f t="shared" si="12"/>
        <v>45260</v>
      </c>
      <c r="I314" s="9">
        <v>45265</v>
      </c>
      <c r="J314" s="4">
        <f t="shared" si="13"/>
        <v>5</v>
      </c>
      <c r="K314" s="4" t="s">
        <v>41</v>
      </c>
      <c r="L314" s="4">
        <v>51108</v>
      </c>
      <c r="M314" s="4">
        <v>1009</v>
      </c>
      <c r="N314" s="10">
        <v>1693.83</v>
      </c>
      <c r="O314" s="10">
        <f t="shared" si="14"/>
        <v>1693.83</v>
      </c>
      <c r="P314" s="4">
        <v>81</v>
      </c>
      <c r="Q314" s="4" t="b">
        <v>0</v>
      </c>
      <c r="R314" s="4"/>
      <c r="S314" s="14" t="s">
        <v>42</v>
      </c>
    </row>
    <row r="315" spans="1:19">
      <c r="A315" s="6" t="s">
        <v>668</v>
      </c>
      <c r="B315" s="7" t="s">
        <v>669</v>
      </c>
      <c r="C315" s="8" t="s">
        <v>4131</v>
      </c>
      <c r="D315" s="8">
        <v>44945</v>
      </c>
      <c r="E315" s="7">
        <v>1</v>
      </c>
      <c r="F315" s="7">
        <v>19</v>
      </c>
      <c r="G315" s="7">
        <v>2023</v>
      </c>
      <c r="H315" s="8">
        <f t="shared" si="12"/>
        <v>44945</v>
      </c>
      <c r="I315" s="11">
        <v>44963</v>
      </c>
      <c r="J315" s="7">
        <f t="shared" si="13"/>
        <v>18</v>
      </c>
      <c r="K315" s="7" t="s">
        <v>19</v>
      </c>
      <c r="L315" s="7">
        <v>95179</v>
      </c>
      <c r="M315" s="7">
        <v>3508</v>
      </c>
      <c r="N315" s="12">
        <v>4858.31</v>
      </c>
      <c r="O315" s="12">
        <f t="shared" si="14"/>
        <v>3632.575</v>
      </c>
      <c r="P315" s="7">
        <v>700</v>
      </c>
      <c r="Q315" s="7" t="b">
        <v>0</v>
      </c>
      <c r="R315" s="7"/>
      <c r="S315" s="15" t="s">
        <v>20</v>
      </c>
    </row>
    <row r="316" spans="1:19">
      <c r="A316" s="3" t="s">
        <v>670</v>
      </c>
      <c r="B316" s="4" t="s">
        <v>671</v>
      </c>
      <c r="C316" s="5" t="s">
        <v>4131</v>
      </c>
      <c r="D316" s="5">
        <v>45096</v>
      </c>
      <c r="E316" s="4">
        <v>6</v>
      </c>
      <c r="F316" s="4">
        <v>19</v>
      </c>
      <c r="G316" s="4">
        <v>2023</v>
      </c>
      <c r="H316" s="5">
        <f t="shared" si="12"/>
        <v>45096</v>
      </c>
      <c r="I316" s="9">
        <v>45123</v>
      </c>
      <c r="J316" s="4">
        <f t="shared" si="13"/>
        <v>27</v>
      </c>
      <c r="K316" s="4" t="s">
        <v>23</v>
      </c>
      <c r="L316" s="4">
        <v>91272</v>
      </c>
      <c r="M316" s="4">
        <v>1251</v>
      </c>
      <c r="N316" s="10">
        <v>637.58</v>
      </c>
      <c r="O316" s="10">
        <f t="shared" si="14"/>
        <v>637.58</v>
      </c>
      <c r="P316" s="4">
        <v>164</v>
      </c>
      <c r="Q316" s="4" t="b">
        <v>0</v>
      </c>
      <c r="R316" s="4"/>
      <c r="S316" s="14" t="s">
        <v>25</v>
      </c>
    </row>
    <row r="317" spans="1:19">
      <c r="A317" s="6" t="s">
        <v>672</v>
      </c>
      <c r="B317" s="7" t="s">
        <v>673</v>
      </c>
      <c r="C317" s="8" t="s">
        <v>4128</v>
      </c>
      <c r="D317" s="8" t="s">
        <v>674</v>
      </c>
      <c r="E317" s="7">
        <v>14</v>
      </c>
      <c r="F317" s="7">
        <v>8</v>
      </c>
      <c r="G317" s="7">
        <v>2023</v>
      </c>
      <c r="H317" s="8">
        <f t="shared" si="12"/>
        <v>45152</v>
      </c>
      <c r="I317" s="11">
        <v>45155</v>
      </c>
      <c r="J317" s="7">
        <f t="shared" si="13"/>
        <v>3</v>
      </c>
      <c r="K317" s="7" t="s">
        <v>33</v>
      </c>
      <c r="L317" s="7">
        <v>39467</v>
      </c>
      <c r="M317" s="7">
        <v>800</v>
      </c>
      <c r="N317" s="12">
        <v>1327.02</v>
      </c>
      <c r="O317" s="12">
        <f t="shared" si="14"/>
        <v>1327.02</v>
      </c>
      <c r="P317" s="7">
        <v>0</v>
      </c>
      <c r="Q317" s="7" t="b">
        <v>0</v>
      </c>
      <c r="R317" s="7"/>
      <c r="S317" s="15" t="s">
        <v>34</v>
      </c>
    </row>
    <row r="318" spans="1:19">
      <c r="A318" s="3" t="s">
        <v>675</v>
      </c>
      <c r="B318" s="4" t="s">
        <v>676</v>
      </c>
      <c r="C318" s="5" t="s">
        <v>4131</v>
      </c>
      <c r="D318" s="5" t="s">
        <v>677</v>
      </c>
      <c r="E318" s="4">
        <v>22</v>
      </c>
      <c r="F318" s="4">
        <v>8</v>
      </c>
      <c r="G318" s="4">
        <v>2023</v>
      </c>
      <c r="H318" s="5">
        <f t="shared" si="12"/>
        <v>45160</v>
      </c>
      <c r="I318" s="9">
        <v>45187</v>
      </c>
      <c r="J318" s="4">
        <f t="shared" si="13"/>
        <v>27</v>
      </c>
      <c r="K318" s="4" t="s">
        <v>33</v>
      </c>
      <c r="L318" s="4">
        <v>24328</v>
      </c>
      <c r="M318" s="4">
        <v>1010</v>
      </c>
      <c r="N318" s="10">
        <v>1569.27</v>
      </c>
      <c r="O318" s="10">
        <f t="shared" si="14"/>
        <v>1569.27</v>
      </c>
      <c r="P318" s="4">
        <v>201</v>
      </c>
      <c r="Q318" s="4" t="b">
        <v>1</v>
      </c>
      <c r="R318" s="4"/>
      <c r="S318" s="14" t="s">
        <v>34</v>
      </c>
    </row>
    <row r="319" spans="1:19">
      <c r="A319" s="6" t="s">
        <v>678</v>
      </c>
      <c r="B319" s="7" t="s">
        <v>679</v>
      </c>
      <c r="C319" s="8" t="s">
        <v>4127</v>
      </c>
      <c r="D319" s="8">
        <v>45000</v>
      </c>
      <c r="E319" s="7">
        <v>3</v>
      </c>
      <c r="F319" s="7">
        <v>15</v>
      </c>
      <c r="G319" s="7">
        <v>2023</v>
      </c>
      <c r="H319" s="8">
        <f t="shared" si="12"/>
        <v>45000</v>
      </c>
      <c r="I319" s="11">
        <v>45007</v>
      </c>
      <c r="J319" s="7">
        <f t="shared" si="13"/>
        <v>7</v>
      </c>
      <c r="K319" s="7" t="s">
        <v>41</v>
      </c>
      <c r="L319" s="7">
        <v>92412</v>
      </c>
      <c r="M319" s="7">
        <v>4120</v>
      </c>
      <c r="N319" s="12">
        <v>5862.27</v>
      </c>
      <c r="O319" s="12">
        <f t="shared" si="14"/>
        <v>3632.575</v>
      </c>
      <c r="P319" s="7">
        <v>803</v>
      </c>
      <c r="Q319" s="7" t="b">
        <v>1</v>
      </c>
      <c r="R319" s="7"/>
      <c r="S319" s="15" t="s">
        <v>42</v>
      </c>
    </row>
    <row r="320" spans="1:19">
      <c r="A320" s="3" t="s">
        <v>680</v>
      </c>
      <c r="B320" s="4" t="s">
        <v>681</v>
      </c>
      <c r="C320" s="5" t="s">
        <v>4131</v>
      </c>
      <c r="D320" s="5" t="s">
        <v>682</v>
      </c>
      <c r="E320" s="4">
        <v>21</v>
      </c>
      <c r="F320" s="4">
        <v>3</v>
      </c>
      <c r="G320" s="4">
        <v>2023</v>
      </c>
      <c r="H320" s="5">
        <f t="shared" si="12"/>
        <v>45006</v>
      </c>
      <c r="I320" s="9">
        <v>45021</v>
      </c>
      <c r="J320" s="4">
        <f t="shared" si="13"/>
        <v>15</v>
      </c>
      <c r="K320" s="4" t="s">
        <v>14</v>
      </c>
      <c r="L320" s="4">
        <v>87831</v>
      </c>
      <c r="M320" s="4">
        <v>3016</v>
      </c>
      <c r="N320" s="10">
        <v>4948.16</v>
      </c>
      <c r="O320" s="10">
        <f t="shared" si="14"/>
        <v>3632.575</v>
      </c>
      <c r="P320" s="4">
        <v>350</v>
      </c>
      <c r="Q320" s="4" t="b">
        <v>0</v>
      </c>
      <c r="R320" s="4"/>
      <c r="S320" s="14" t="s">
        <v>16</v>
      </c>
    </row>
    <row r="321" spans="1:19">
      <c r="A321" s="6" t="s">
        <v>683</v>
      </c>
      <c r="B321" s="7" t="s">
        <v>684</v>
      </c>
      <c r="C321" s="8" t="s">
        <v>4128</v>
      </c>
      <c r="D321" s="8">
        <v>45062</v>
      </c>
      <c r="E321" s="7">
        <v>5</v>
      </c>
      <c r="F321" s="7">
        <v>16</v>
      </c>
      <c r="G321" s="7">
        <v>2023</v>
      </c>
      <c r="H321" s="8">
        <f t="shared" si="12"/>
        <v>45062</v>
      </c>
      <c r="I321" s="11">
        <v>45068</v>
      </c>
      <c r="J321" s="7">
        <f t="shared" si="13"/>
        <v>6</v>
      </c>
      <c r="K321" s="7" t="s">
        <v>19</v>
      </c>
      <c r="L321" s="7">
        <v>4987</v>
      </c>
      <c r="M321" s="7">
        <v>150</v>
      </c>
      <c r="N321" s="12">
        <v>190.41</v>
      </c>
      <c r="O321" s="12">
        <f t="shared" si="14"/>
        <v>190.41</v>
      </c>
      <c r="P321" s="7">
        <v>13</v>
      </c>
      <c r="Q321" s="7" t="b">
        <v>0</v>
      </c>
      <c r="R321" s="7"/>
      <c r="S321" s="15" t="s">
        <v>20</v>
      </c>
    </row>
    <row r="322" spans="1:19">
      <c r="A322" s="3" t="s">
        <v>685</v>
      </c>
      <c r="B322" s="4" t="s">
        <v>686</v>
      </c>
      <c r="C322" s="5" t="s">
        <v>4131</v>
      </c>
      <c r="D322" s="5" t="s">
        <v>687</v>
      </c>
      <c r="E322" s="4">
        <v>29</v>
      </c>
      <c r="F322" s="4">
        <v>11</v>
      </c>
      <c r="G322" s="4">
        <v>2023</v>
      </c>
      <c r="H322" s="5">
        <f t="shared" ref="H322:H385" si="15">IF(E322&gt;12,DATE(G322,F322,E322),D322)</f>
        <v>45259</v>
      </c>
      <c r="I322" s="9">
        <v>45263</v>
      </c>
      <c r="J322" s="4">
        <f t="shared" ref="J322:J385" si="16">DATEDIF(H322,I322,"D")</f>
        <v>4</v>
      </c>
      <c r="K322" s="4" t="s">
        <v>14</v>
      </c>
      <c r="L322" s="4">
        <v>59871</v>
      </c>
      <c r="M322" s="4">
        <v>980</v>
      </c>
      <c r="N322" s="10">
        <v>1525</v>
      </c>
      <c r="O322" s="10">
        <f t="shared" si="14"/>
        <v>1525</v>
      </c>
      <c r="P322" s="4">
        <v>172</v>
      </c>
      <c r="Q322" s="4" t="b">
        <v>0</v>
      </c>
      <c r="R322" s="4"/>
      <c r="S322" s="14" t="s">
        <v>16</v>
      </c>
    </row>
    <row r="323" spans="1:19">
      <c r="A323" s="6" t="s">
        <v>688</v>
      </c>
      <c r="B323" s="7" t="s">
        <v>689</v>
      </c>
      <c r="C323" s="8" t="s">
        <v>4127</v>
      </c>
      <c r="D323" s="8">
        <v>45095</v>
      </c>
      <c r="E323" s="7">
        <v>6</v>
      </c>
      <c r="F323" s="7">
        <v>18</v>
      </c>
      <c r="G323" s="7">
        <v>2023</v>
      </c>
      <c r="H323" s="8">
        <f t="shared" si="15"/>
        <v>45095</v>
      </c>
      <c r="I323" s="11">
        <v>45120</v>
      </c>
      <c r="J323" s="7">
        <f t="shared" si="16"/>
        <v>25</v>
      </c>
      <c r="K323" s="7" t="s">
        <v>23</v>
      </c>
      <c r="L323" s="7">
        <v>23399</v>
      </c>
      <c r="M323" s="7">
        <v>293</v>
      </c>
      <c r="N323" s="12">
        <v>557.51</v>
      </c>
      <c r="O323" s="12">
        <f t="shared" ref="O323:O386" si="17">IF(N323&lt;$V$6,$V$6,IF(N323&gt;$V$7,$V$7,N323))</f>
        <v>557.51</v>
      </c>
      <c r="P323" s="7">
        <v>46</v>
      </c>
      <c r="Q323" s="7" t="b">
        <v>1</v>
      </c>
      <c r="R323" s="7"/>
      <c r="S323" s="15" t="s">
        <v>25</v>
      </c>
    </row>
    <row r="324" spans="1:19">
      <c r="A324" s="3" t="s">
        <v>690</v>
      </c>
      <c r="B324" s="4" t="s">
        <v>691</v>
      </c>
      <c r="C324" s="5" t="s">
        <v>4127</v>
      </c>
      <c r="D324" s="5">
        <v>45121</v>
      </c>
      <c r="E324" s="4">
        <v>7</v>
      </c>
      <c r="F324" s="4">
        <v>14</v>
      </c>
      <c r="G324" s="4">
        <v>2023</v>
      </c>
      <c r="H324" s="5">
        <f t="shared" si="15"/>
        <v>45121</v>
      </c>
      <c r="I324" s="9">
        <v>45151</v>
      </c>
      <c r="J324" s="4">
        <f t="shared" si="16"/>
        <v>30</v>
      </c>
      <c r="K324" s="4" t="s">
        <v>138</v>
      </c>
      <c r="L324" s="4">
        <v>47214</v>
      </c>
      <c r="M324" s="4">
        <v>694</v>
      </c>
      <c r="N324" s="10">
        <v>738.21</v>
      </c>
      <c r="O324" s="10">
        <f t="shared" si="17"/>
        <v>738.21</v>
      </c>
      <c r="P324" s="4">
        <v>106</v>
      </c>
      <c r="Q324" s="4" t="b">
        <v>1</v>
      </c>
      <c r="R324" s="4"/>
      <c r="S324" s="14" t="s">
        <v>139</v>
      </c>
    </row>
    <row r="325" spans="1:19">
      <c r="A325" s="6" t="s">
        <v>692</v>
      </c>
      <c r="B325" s="7" t="s">
        <v>693</v>
      </c>
      <c r="C325" s="8" t="s">
        <v>4129</v>
      </c>
      <c r="D325" s="8">
        <v>45176</v>
      </c>
      <c r="E325" s="7">
        <v>9</v>
      </c>
      <c r="F325" s="7">
        <v>7</v>
      </c>
      <c r="G325" s="7">
        <v>2023</v>
      </c>
      <c r="H325" s="8">
        <f t="shared" si="15"/>
        <v>45176</v>
      </c>
      <c r="I325" s="11">
        <v>45144</v>
      </c>
      <c r="J325" s="7">
        <f t="shared" si="16"/>
        <v>-32</v>
      </c>
      <c r="K325" s="7" t="s">
        <v>23</v>
      </c>
      <c r="L325" s="7">
        <v>87416</v>
      </c>
      <c r="M325" s="7">
        <v>1669</v>
      </c>
      <c r="N325" s="12">
        <v>2607.28</v>
      </c>
      <c r="O325" s="12">
        <f t="shared" si="17"/>
        <v>2607.28</v>
      </c>
      <c r="P325" s="7">
        <v>307</v>
      </c>
      <c r="Q325" s="7" t="b">
        <v>1</v>
      </c>
      <c r="R325" s="7"/>
      <c r="S325" s="15" t="s">
        <v>25</v>
      </c>
    </row>
    <row r="326" spans="1:19">
      <c r="A326" s="3" t="s">
        <v>694</v>
      </c>
      <c r="B326" s="4" t="s">
        <v>695</v>
      </c>
      <c r="C326" s="5" t="s">
        <v>4131</v>
      </c>
      <c r="D326" s="5">
        <v>44962</v>
      </c>
      <c r="E326" s="4">
        <v>2</v>
      </c>
      <c r="F326" s="4">
        <v>5</v>
      </c>
      <c r="G326" s="4">
        <v>2023</v>
      </c>
      <c r="H326" s="5">
        <f t="shared" si="15"/>
        <v>44962</v>
      </c>
      <c r="I326" s="9">
        <v>44971</v>
      </c>
      <c r="J326" s="4">
        <f t="shared" si="16"/>
        <v>9</v>
      </c>
      <c r="K326" s="4" t="s">
        <v>14</v>
      </c>
      <c r="L326" s="4">
        <v>71271</v>
      </c>
      <c r="M326" s="4">
        <v>1686</v>
      </c>
      <c r="N326" s="10">
        <v>2046.01</v>
      </c>
      <c r="O326" s="10">
        <f t="shared" si="17"/>
        <v>2046.01</v>
      </c>
      <c r="P326" s="4">
        <v>258</v>
      </c>
      <c r="Q326" s="4" t="b">
        <v>1</v>
      </c>
      <c r="R326" s="4"/>
      <c r="S326" s="14" t="s">
        <v>16</v>
      </c>
    </row>
    <row r="327" spans="1:19">
      <c r="A327" s="6" t="s">
        <v>696</v>
      </c>
      <c r="B327" s="7" t="s">
        <v>697</v>
      </c>
      <c r="C327" s="8" t="s">
        <v>4129</v>
      </c>
      <c r="D327" s="8">
        <v>45074</v>
      </c>
      <c r="E327" s="7">
        <v>5</v>
      </c>
      <c r="F327" s="7">
        <v>28</v>
      </c>
      <c r="G327" s="7">
        <v>2023</v>
      </c>
      <c r="H327" s="8">
        <f t="shared" si="15"/>
        <v>45074</v>
      </c>
      <c r="I327" s="11">
        <v>45082</v>
      </c>
      <c r="J327" s="7">
        <f t="shared" si="16"/>
        <v>8</v>
      </c>
      <c r="K327" s="7" t="s">
        <v>19</v>
      </c>
      <c r="L327" s="7">
        <v>45064</v>
      </c>
      <c r="M327" s="7">
        <v>1137</v>
      </c>
      <c r="N327" s="12">
        <v>1718.69</v>
      </c>
      <c r="O327" s="12">
        <f t="shared" si="17"/>
        <v>1718.69</v>
      </c>
      <c r="P327" s="7">
        <v>105</v>
      </c>
      <c r="Q327" s="7" t="b">
        <v>1</v>
      </c>
      <c r="R327" s="7"/>
      <c r="S327" s="15" t="s">
        <v>20</v>
      </c>
    </row>
    <row r="328" spans="1:19">
      <c r="A328" s="3" t="s">
        <v>698</v>
      </c>
      <c r="B328" s="4" t="s">
        <v>699</v>
      </c>
      <c r="C328" s="5" t="s">
        <v>4127</v>
      </c>
      <c r="D328" s="5">
        <v>45149</v>
      </c>
      <c r="E328" s="4">
        <v>8</v>
      </c>
      <c r="F328" s="4">
        <v>11</v>
      </c>
      <c r="G328" s="4">
        <v>2023</v>
      </c>
      <c r="H328" s="5">
        <f t="shared" si="15"/>
        <v>45149</v>
      </c>
      <c r="I328" s="9">
        <v>45157</v>
      </c>
      <c r="J328" s="4">
        <f t="shared" si="16"/>
        <v>8</v>
      </c>
      <c r="K328" s="4" t="s">
        <v>138</v>
      </c>
      <c r="L328" s="4">
        <v>71091</v>
      </c>
      <c r="M328" s="4">
        <v>1695</v>
      </c>
      <c r="N328" s="10">
        <v>2787.16</v>
      </c>
      <c r="O328" s="10">
        <f t="shared" si="17"/>
        <v>2787.16</v>
      </c>
      <c r="P328" s="4">
        <v>261</v>
      </c>
      <c r="Q328" s="4" t="b">
        <v>0</v>
      </c>
      <c r="R328" s="4"/>
      <c r="S328" s="14" t="s">
        <v>139</v>
      </c>
    </row>
    <row r="329" spans="1:19">
      <c r="A329" s="6" t="s">
        <v>700</v>
      </c>
      <c r="B329" s="7" t="s">
        <v>701</v>
      </c>
      <c r="C329" s="8" t="s">
        <v>4131</v>
      </c>
      <c r="D329" s="8">
        <v>45287</v>
      </c>
      <c r="E329" s="7">
        <v>12</v>
      </c>
      <c r="F329" s="7">
        <v>27</v>
      </c>
      <c r="G329" s="7">
        <v>2023</v>
      </c>
      <c r="H329" s="8">
        <f t="shared" si="15"/>
        <v>45287</v>
      </c>
      <c r="I329" s="11">
        <v>45289</v>
      </c>
      <c r="J329" s="7">
        <f t="shared" si="16"/>
        <v>2</v>
      </c>
      <c r="K329" s="7" t="s">
        <v>14</v>
      </c>
      <c r="L329" s="7">
        <v>41818</v>
      </c>
      <c r="M329" s="7">
        <v>818</v>
      </c>
      <c r="N329" s="12">
        <v>464.77</v>
      </c>
      <c r="O329" s="12">
        <f t="shared" si="17"/>
        <v>464.77</v>
      </c>
      <c r="P329" s="7">
        <v>78</v>
      </c>
      <c r="Q329" s="7" t="b">
        <v>0</v>
      </c>
      <c r="R329" s="7"/>
      <c r="S329" s="15" t="s">
        <v>16</v>
      </c>
    </row>
    <row r="330" spans="1:19">
      <c r="A330" s="3" t="s">
        <v>702</v>
      </c>
      <c r="B330" s="4" t="s">
        <v>703</v>
      </c>
      <c r="C330" s="5" t="s">
        <v>4127</v>
      </c>
      <c r="D330" s="5">
        <v>45282</v>
      </c>
      <c r="E330" s="4">
        <v>12</v>
      </c>
      <c r="F330" s="4">
        <v>22</v>
      </c>
      <c r="G330" s="4">
        <v>2023</v>
      </c>
      <c r="H330" s="5">
        <f t="shared" si="15"/>
        <v>45282</v>
      </c>
      <c r="I330" s="9">
        <v>45303</v>
      </c>
      <c r="J330" s="4">
        <f t="shared" si="16"/>
        <v>21</v>
      </c>
      <c r="K330" s="4" t="s">
        <v>41</v>
      </c>
      <c r="L330" s="4">
        <v>46525</v>
      </c>
      <c r="M330" s="4">
        <v>1413</v>
      </c>
      <c r="N330" s="10">
        <v>2076.97</v>
      </c>
      <c r="O330" s="10">
        <f t="shared" si="17"/>
        <v>2076.97</v>
      </c>
      <c r="P330" s="4">
        <v>231</v>
      </c>
      <c r="Q330" s="4" t="b">
        <v>0</v>
      </c>
      <c r="R330" s="4"/>
      <c r="S330" s="14" t="s">
        <v>42</v>
      </c>
    </row>
    <row r="331" spans="1:19">
      <c r="A331" s="6" t="s">
        <v>704</v>
      </c>
      <c r="B331" s="7" t="s">
        <v>705</v>
      </c>
      <c r="C331" s="8" t="s">
        <v>4127</v>
      </c>
      <c r="D331" s="8">
        <v>45093</v>
      </c>
      <c r="E331" s="7">
        <v>6</v>
      </c>
      <c r="F331" s="7">
        <v>16</v>
      </c>
      <c r="G331" s="7">
        <v>2023</v>
      </c>
      <c r="H331" s="8">
        <f t="shared" si="15"/>
        <v>45093</v>
      </c>
      <c r="I331" s="11">
        <v>45115</v>
      </c>
      <c r="J331" s="7">
        <f t="shared" si="16"/>
        <v>22</v>
      </c>
      <c r="K331" s="7" t="s">
        <v>19</v>
      </c>
      <c r="L331" s="7">
        <v>20830</v>
      </c>
      <c r="M331" s="7">
        <v>895</v>
      </c>
      <c r="N331" s="12">
        <v>751.9</v>
      </c>
      <c r="O331" s="12">
        <f t="shared" si="17"/>
        <v>751.9</v>
      </c>
      <c r="P331" s="7">
        <v>127</v>
      </c>
      <c r="Q331" s="7" t="b">
        <v>0</v>
      </c>
      <c r="R331" s="7"/>
      <c r="S331" s="15" t="s">
        <v>20</v>
      </c>
    </row>
    <row r="332" spans="1:19">
      <c r="A332" s="3" t="s">
        <v>706</v>
      </c>
      <c r="B332" s="4" t="s">
        <v>707</v>
      </c>
      <c r="C332" s="5" t="s">
        <v>4127</v>
      </c>
      <c r="D332" s="5">
        <v>45118</v>
      </c>
      <c r="E332" s="4">
        <v>7</v>
      </c>
      <c r="F332" s="4">
        <v>11</v>
      </c>
      <c r="G332" s="4">
        <v>2023</v>
      </c>
      <c r="H332" s="5">
        <f t="shared" si="15"/>
        <v>45118</v>
      </c>
      <c r="I332" s="9">
        <v>45136</v>
      </c>
      <c r="J332" s="4">
        <f t="shared" si="16"/>
        <v>18</v>
      </c>
      <c r="K332" s="4" t="s">
        <v>41</v>
      </c>
      <c r="L332" s="4">
        <v>18429</v>
      </c>
      <c r="M332" s="4">
        <v>390</v>
      </c>
      <c r="N332" s="10">
        <v>586.97</v>
      </c>
      <c r="O332" s="10">
        <f t="shared" si="17"/>
        <v>586.97</v>
      </c>
      <c r="P332" s="4">
        <v>24</v>
      </c>
      <c r="Q332" s="4" t="b">
        <v>0</v>
      </c>
      <c r="R332" s="4"/>
      <c r="S332" s="14" t="s">
        <v>42</v>
      </c>
    </row>
    <row r="333" spans="1:19">
      <c r="A333" s="6" t="s">
        <v>708</v>
      </c>
      <c r="B333" s="7" t="s">
        <v>709</v>
      </c>
      <c r="C333" s="8" t="s">
        <v>4127</v>
      </c>
      <c r="D333" s="8">
        <v>45137</v>
      </c>
      <c r="E333" s="7">
        <v>7</v>
      </c>
      <c r="F333" s="7">
        <v>30</v>
      </c>
      <c r="G333" s="7">
        <v>2023</v>
      </c>
      <c r="H333" s="8">
        <f t="shared" si="15"/>
        <v>45137</v>
      </c>
      <c r="I333" s="11">
        <v>45138</v>
      </c>
      <c r="J333" s="7">
        <f t="shared" si="16"/>
        <v>1</v>
      </c>
      <c r="K333" s="7" t="s">
        <v>33</v>
      </c>
      <c r="L333" s="7">
        <v>7893</v>
      </c>
      <c r="M333" s="7">
        <v>376</v>
      </c>
      <c r="N333" s="12">
        <v>452.14</v>
      </c>
      <c r="O333" s="12">
        <f t="shared" si="17"/>
        <v>452.14</v>
      </c>
      <c r="P333" s="7">
        <v>47</v>
      </c>
      <c r="Q333" s="7" t="b">
        <v>0</v>
      </c>
      <c r="R333" s="7"/>
      <c r="S333" s="15" t="s">
        <v>34</v>
      </c>
    </row>
    <row r="334" spans="1:19">
      <c r="A334" s="3" t="s">
        <v>710</v>
      </c>
      <c r="B334" s="4" t="s">
        <v>711</v>
      </c>
      <c r="C334" s="5" t="s">
        <v>4131</v>
      </c>
      <c r="D334" s="5">
        <v>45014</v>
      </c>
      <c r="E334" s="4">
        <v>3</v>
      </c>
      <c r="F334" s="4">
        <v>29</v>
      </c>
      <c r="G334" s="4">
        <v>2023</v>
      </c>
      <c r="H334" s="5">
        <f t="shared" si="15"/>
        <v>45014</v>
      </c>
      <c r="I334" s="9">
        <v>45016</v>
      </c>
      <c r="J334" s="4">
        <f t="shared" si="16"/>
        <v>2</v>
      </c>
      <c r="K334" s="4" t="s">
        <v>33</v>
      </c>
      <c r="L334" s="4">
        <v>80909</v>
      </c>
      <c r="M334" s="4">
        <v>3635</v>
      </c>
      <c r="N334" s="10">
        <v>6035.3</v>
      </c>
      <c r="O334" s="10">
        <f t="shared" si="17"/>
        <v>3632.575</v>
      </c>
      <c r="P334" s="4">
        <v>368</v>
      </c>
      <c r="Q334" s="4" t="b">
        <v>0</v>
      </c>
      <c r="R334" s="4"/>
      <c r="S334" s="14" t="s">
        <v>34</v>
      </c>
    </row>
    <row r="335" spans="1:19">
      <c r="A335" s="6" t="s">
        <v>712</v>
      </c>
      <c r="B335" s="7" t="s">
        <v>713</v>
      </c>
      <c r="C335" s="8" t="s">
        <v>4131</v>
      </c>
      <c r="D335" s="8">
        <v>45122</v>
      </c>
      <c r="E335" s="7">
        <v>7</v>
      </c>
      <c r="F335" s="7">
        <v>15</v>
      </c>
      <c r="G335" s="7">
        <v>2023</v>
      </c>
      <c r="H335" s="8">
        <f t="shared" si="15"/>
        <v>45122</v>
      </c>
      <c r="I335" s="11">
        <v>45143</v>
      </c>
      <c r="J335" s="7">
        <f t="shared" si="16"/>
        <v>21</v>
      </c>
      <c r="K335" s="7" t="s">
        <v>19</v>
      </c>
      <c r="L335" s="7">
        <v>48333</v>
      </c>
      <c r="M335" s="7">
        <v>796</v>
      </c>
      <c r="N335" s="12">
        <v>545.34</v>
      </c>
      <c r="O335" s="12">
        <f t="shared" si="17"/>
        <v>545.34</v>
      </c>
      <c r="P335" s="7">
        <v>79</v>
      </c>
      <c r="Q335" s="7" t="b">
        <v>1</v>
      </c>
      <c r="R335" s="7"/>
      <c r="S335" s="15" t="s">
        <v>20</v>
      </c>
    </row>
    <row r="336" spans="1:19">
      <c r="A336" s="3" t="s">
        <v>714</v>
      </c>
      <c r="B336" s="4" t="s">
        <v>715</v>
      </c>
      <c r="C336" s="5" t="s">
        <v>4129</v>
      </c>
      <c r="D336" s="5">
        <v>45225</v>
      </c>
      <c r="E336" s="4">
        <v>10</v>
      </c>
      <c r="F336" s="4">
        <v>26</v>
      </c>
      <c r="G336" s="4">
        <v>2023</v>
      </c>
      <c r="H336" s="5">
        <f t="shared" si="15"/>
        <v>45225</v>
      </c>
      <c r="I336" s="9">
        <v>45252</v>
      </c>
      <c r="J336" s="4">
        <f t="shared" si="16"/>
        <v>27</v>
      </c>
      <c r="K336" s="4" t="s">
        <v>23</v>
      </c>
      <c r="L336" s="4">
        <v>4436</v>
      </c>
      <c r="M336" s="4">
        <v>183</v>
      </c>
      <c r="N336" s="10">
        <v>263.43</v>
      </c>
      <c r="O336" s="10">
        <f t="shared" si="17"/>
        <v>263.43</v>
      </c>
      <c r="P336" s="4">
        <v>25</v>
      </c>
      <c r="Q336" s="4" t="b">
        <v>0</v>
      </c>
      <c r="R336" s="4"/>
      <c r="S336" s="14" t="s">
        <v>25</v>
      </c>
    </row>
    <row r="337" spans="1:19">
      <c r="A337" s="6" t="s">
        <v>716</v>
      </c>
      <c r="B337" s="7" t="s">
        <v>717</v>
      </c>
      <c r="C337" s="8" t="s">
        <v>4127</v>
      </c>
      <c r="D337" s="8">
        <v>45057</v>
      </c>
      <c r="E337" s="7">
        <v>5</v>
      </c>
      <c r="F337" s="7">
        <v>11</v>
      </c>
      <c r="G337" s="7">
        <v>2023</v>
      </c>
      <c r="H337" s="8">
        <f t="shared" si="15"/>
        <v>45057</v>
      </c>
      <c r="I337" s="11">
        <v>45080</v>
      </c>
      <c r="J337" s="7">
        <f t="shared" si="16"/>
        <v>23</v>
      </c>
      <c r="K337" s="7" t="s">
        <v>14</v>
      </c>
      <c r="L337" s="7">
        <v>75290</v>
      </c>
      <c r="M337" s="7">
        <v>2483</v>
      </c>
      <c r="N337" s="12">
        <v>2278.66</v>
      </c>
      <c r="O337" s="12">
        <f t="shared" si="17"/>
        <v>2278.66</v>
      </c>
      <c r="P337" s="7">
        <v>244</v>
      </c>
      <c r="Q337" s="7" t="b">
        <v>1</v>
      </c>
      <c r="R337" s="7"/>
      <c r="S337" s="15" t="s">
        <v>16</v>
      </c>
    </row>
    <row r="338" spans="1:19">
      <c r="A338" s="3" t="s">
        <v>718</v>
      </c>
      <c r="B338" s="4" t="s">
        <v>719</v>
      </c>
      <c r="C338" s="5" t="s">
        <v>4131</v>
      </c>
      <c r="D338" s="5">
        <v>45165</v>
      </c>
      <c r="E338" s="4">
        <v>8</v>
      </c>
      <c r="F338" s="4">
        <v>27</v>
      </c>
      <c r="G338" s="4">
        <v>2023</v>
      </c>
      <c r="H338" s="5">
        <f t="shared" si="15"/>
        <v>45165</v>
      </c>
      <c r="I338" s="9">
        <v>45173</v>
      </c>
      <c r="J338" s="4">
        <f t="shared" si="16"/>
        <v>8</v>
      </c>
      <c r="K338" s="4" t="s">
        <v>14</v>
      </c>
      <c r="L338" s="4">
        <v>77213</v>
      </c>
      <c r="M338" s="4">
        <v>2522</v>
      </c>
      <c r="N338" s="10">
        <v>4487.83</v>
      </c>
      <c r="O338" s="10">
        <f t="shared" si="17"/>
        <v>3632.575</v>
      </c>
      <c r="P338" s="4">
        <v>419</v>
      </c>
      <c r="Q338" s="4" t="b">
        <v>1</v>
      </c>
      <c r="R338" s="4"/>
      <c r="S338" s="14" t="s">
        <v>16</v>
      </c>
    </row>
    <row r="339" spans="1:19">
      <c r="A339" s="6" t="s">
        <v>720</v>
      </c>
      <c r="B339" s="7" t="s">
        <v>721</v>
      </c>
      <c r="C339" s="8" t="s">
        <v>4128</v>
      </c>
      <c r="D339" s="8" t="s">
        <v>722</v>
      </c>
      <c r="E339" s="7">
        <v>22</v>
      </c>
      <c r="F339" s="7">
        <v>3</v>
      </c>
      <c r="G339" s="7">
        <v>2023</v>
      </c>
      <c r="H339" s="8">
        <f t="shared" si="15"/>
        <v>45007</v>
      </c>
      <c r="I339" s="11">
        <v>45023</v>
      </c>
      <c r="J339" s="7">
        <f t="shared" si="16"/>
        <v>16</v>
      </c>
      <c r="K339" s="7" t="s">
        <v>19</v>
      </c>
      <c r="L339" s="7">
        <v>6895</v>
      </c>
      <c r="M339" s="7">
        <v>176</v>
      </c>
      <c r="N339" s="12">
        <v>333.09</v>
      </c>
      <c r="O339" s="12">
        <f t="shared" si="17"/>
        <v>333.09</v>
      </c>
      <c r="P339" s="7">
        <v>10</v>
      </c>
      <c r="Q339" s="7" t="b">
        <v>0</v>
      </c>
      <c r="R339" s="7"/>
      <c r="S339" s="15" t="s">
        <v>20</v>
      </c>
    </row>
    <row r="340" spans="1:19">
      <c r="A340" s="3" t="s">
        <v>723</v>
      </c>
      <c r="B340" s="4" t="s">
        <v>724</v>
      </c>
      <c r="C340" s="5" t="s">
        <v>4127</v>
      </c>
      <c r="D340" s="5">
        <v>45103</v>
      </c>
      <c r="E340" s="4">
        <v>6</v>
      </c>
      <c r="F340" s="4">
        <v>26</v>
      </c>
      <c r="G340" s="4">
        <v>2023</v>
      </c>
      <c r="H340" s="5">
        <f t="shared" si="15"/>
        <v>45103</v>
      </c>
      <c r="I340" s="9">
        <v>45105</v>
      </c>
      <c r="J340" s="4">
        <f t="shared" si="16"/>
        <v>2</v>
      </c>
      <c r="K340" s="4" t="s">
        <v>266</v>
      </c>
      <c r="L340" s="4">
        <v>20738</v>
      </c>
      <c r="M340" s="4">
        <v>623</v>
      </c>
      <c r="N340" s="10">
        <v>1242.63</v>
      </c>
      <c r="O340" s="10">
        <f t="shared" si="17"/>
        <v>1242.63</v>
      </c>
      <c r="P340" s="4">
        <v>92</v>
      </c>
      <c r="Q340" s="4" t="b">
        <v>1</v>
      </c>
      <c r="R340" s="4"/>
      <c r="S340" s="14" t="s">
        <v>20</v>
      </c>
    </row>
    <row r="341" spans="1:19">
      <c r="A341" s="6" t="s">
        <v>725</v>
      </c>
      <c r="B341" s="7" t="s">
        <v>726</v>
      </c>
      <c r="C341" s="8" t="s">
        <v>4128</v>
      </c>
      <c r="D341" s="8">
        <v>45144</v>
      </c>
      <c r="E341" s="7">
        <v>8</v>
      </c>
      <c r="F341" s="7">
        <v>6</v>
      </c>
      <c r="G341" s="7">
        <v>2023</v>
      </c>
      <c r="H341" s="8">
        <f t="shared" si="15"/>
        <v>45144</v>
      </c>
      <c r="I341" s="11">
        <v>45146</v>
      </c>
      <c r="J341" s="7">
        <f t="shared" si="16"/>
        <v>2</v>
      </c>
      <c r="K341" s="7" t="s">
        <v>33</v>
      </c>
      <c r="L341" s="7">
        <v>31746</v>
      </c>
      <c r="M341" s="7">
        <v>821</v>
      </c>
      <c r="N341" s="12">
        <v>1390.78</v>
      </c>
      <c r="O341" s="12">
        <f t="shared" si="17"/>
        <v>1390.78</v>
      </c>
      <c r="P341" s="7">
        <v>140</v>
      </c>
      <c r="Q341" s="7" t="b">
        <v>1</v>
      </c>
      <c r="R341" s="7"/>
      <c r="S341" s="15" t="s">
        <v>34</v>
      </c>
    </row>
    <row r="342" spans="1:19">
      <c r="A342" s="3" t="s">
        <v>727</v>
      </c>
      <c r="B342" s="4" t="s">
        <v>728</v>
      </c>
      <c r="C342" s="5" t="s">
        <v>4131</v>
      </c>
      <c r="D342" s="5">
        <v>45081</v>
      </c>
      <c r="E342" s="4">
        <v>6</v>
      </c>
      <c r="F342" s="4">
        <v>4</v>
      </c>
      <c r="G342" s="4">
        <v>2023</v>
      </c>
      <c r="H342" s="5">
        <f t="shared" si="15"/>
        <v>45081</v>
      </c>
      <c r="I342" s="9">
        <v>45089</v>
      </c>
      <c r="J342" s="4">
        <f t="shared" si="16"/>
        <v>8</v>
      </c>
      <c r="K342" s="4" t="s">
        <v>23</v>
      </c>
      <c r="L342" s="4">
        <v>50377</v>
      </c>
      <c r="M342" s="4">
        <v>1591</v>
      </c>
      <c r="N342" s="10">
        <v>2594.29</v>
      </c>
      <c r="O342" s="10">
        <f t="shared" si="17"/>
        <v>2594.29</v>
      </c>
      <c r="P342" s="4">
        <v>240</v>
      </c>
      <c r="Q342" s="4" t="b">
        <v>1</v>
      </c>
      <c r="R342" s="4"/>
      <c r="S342" s="14" t="s">
        <v>25</v>
      </c>
    </row>
    <row r="343" spans="1:19">
      <c r="A343" s="6" t="s">
        <v>729</v>
      </c>
      <c r="B343" s="7" t="s">
        <v>730</v>
      </c>
      <c r="C343" s="8" t="s">
        <v>4128</v>
      </c>
      <c r="D343" s="8">
        <v>45174</v>
      </c>
      <c r="E343" s="7">
        <v>9</v>
      </c>
      <c r="F343" s="7">
        <v>5</v>
      </c>
      <c r="G343" s="7">
        <v>2023</v>
      </c>
      <c r="H343" s="8">
        <f t="shared" si="15"/>
        <v>45174</v>
      </c>
      <c r="I343" s="11">
        <v>45199</v>
      </c>
      <c r="J343" s="7">
        <f t="shared" si="16"/>
        <v>25</v>
      </c>
      <c r="K343" s="7" t="s">
        <v>14</v>
      </c>
      <c r="L343" s="7">
        <v>49404</v>
      </c>
      <c r="M343" s="7">
        <v>1734</v>
      </c>
      <c r="N343" s="12">
        <v>1427.52</v>
      </c>
      <c r="O343" s="12">
        <f t="shared" si="17"/>
        <v>1427.52</v>
      </c>
      <c r="P343" s="7">
        <v>216</v>
      </c>
      <c r="Q343" s="7" t="b">
        <v>1</v>
      </c>
      <c r="R343" s="7"/>
      <c r="S343" s="15" t="s">
        <v>16</v>
      </c>
    </row>
    <row r="344" spans="1:19">
      <c r="A344" s="3" t="s">
        <v>731</v>
      </c>
      <c r="B344" s="4" t="s">
        <v>732</v>
      </c>
      <c r="C344" s="5" t="s">
        <v>4127</v>
      </c>
      <c r="D344" s="5">
        <v>45110</v>
      </c>
      <c r="E344" s="4">
        <v>7</v>
      </c>
      <c r="F344" s="4">
        <v>3</v>
      </c>
      <c r="G344" s="4">
        <v>2023</v>
      </c>
      <c r="H344" s="5">
        <f t="shared" si="15"/>
        <v>45110</v>
      </c>
      <c r="I344" s="9">
        <v>45118</v>
      </c>
      <c r="J344" s="4">
        <f t="shared" si="16"/>
        <v>8</v>
      </c>
      <c r="K344" s="4" t="s">
        <v>41</v>
      </c>
      <c r="L344" s="4">
        <v>55045</v>
      </c>
      <c r="M344" s="4">
        <v>2035</v>
      </c>
      <c r="N344" s="10">
        <v>2043.16</v>
      </c>
      <c r="O344" s="10">
        <f t="shared" si="17"/>
        <v>2043.16</v>
      </c>
      <c r="P344" s="4">
        <v>391</v>
      </c>
      <c r="Q344" s="4" t="b">
        <v>0</v>
      </c>
      <c r="R344" s="4"/>
      <c r="S344" s="14" t="s">
        <v>42</v>
      </c>
    </row>
    <row r="345" spans="1:19">
      <c r="A345" s="6" t="s">
        <v>733</v>
      </c>
      <c r="B345" s="7" t="s">
        <v>734</v>
      </c>
      <c r="C345" s="8" t="s">
        <v>4131</v>
      </c>
      <c r="D345" s="8">
        <v>44932</v>
      </c>
      <c r="E345" s="7">
        <v>1</v>
      </c>
      <c r="F345" s="7">
        <v>6</v>
      </c>
      <c r="G345" s="7">
        <v>2023</v>
      </c>
      <c r="H345" s="8">
        <f t="shared" si="15"/>
        <v>44932</v>
      </c>
      <c r="I345" s="11">
        <v>45083</v>
      </c>
      <c r="J345" s="7">
        <f t="shared" si="16"/>
        <v>151</v>
      </c>
      <c r="K345" s="7" t="s">
        <v>23</v>
      </c>
      <c r="L345" s="7">
        <v>98888</v>
      </c>
      <c r="M345" s="7">
        <v>3095</v>
      </c>
      <c r="N345" s="12">
        <v>3709.43</v>
      </c>
      <c r="O345" s="12">
        <f t="shared" si="17"/>
        <v>3632.575</v>
      </c>
      <c r="P345" s="7">
        <v>293</v>
      </c>
      <c r="Q345" s="7" t="b">
        <v>1</v>
      </c>
      <c r="R345" s="7">
        <v>98941</v>
      </c>
      <c r="S345" s="15" t="s">
        <v>25</v>
      </c>
    </row>
    <row r="346" spans="1:19">
      <c r="A346" s="3" t="s">
        <v>735</v>
      </c>
      <c r="B346" s="4" t="s">
        <v>736</v>
      </c>
      <c r="C346" s="5" t="s">
        <v>4131</v>
      </c>
      <c r="D346" s="5">
        <v>45264</v>
      </c>
      <c r="E346" s="4">
        <v>12</v>
      </c>
      <c r="F346" s="4">
        <v>4</v>
      </c>
      <c r="G346" s="4">
        <v>2023</v>
      </c>
      <c r="H346" s="5">
        <f t="shared" si="15"/>
        <v>45264</v>
      </c>
      <c r="I346" s="9">
        <v>45056</v>
      </c>
      <c r="J346" s="4">
        <f t="shared" si="16"/>
        <v>-208</v>
      </c>
      <c r="K346" s="4" t="s">
        <v>14</v>
      </c>
      <c r="L346" s="4">
        <v>40790</v>
      </c>
      <c r="M346" s="4">
        <v>1584</v>
      </c>
      <c r="N346" s="10">
        <v>2629.55</v>
      </c>
      <c r="O346" s="10">
        <f t="shared" si="17"/>
        <v>2629.55</v>
      </c>
      <c r="P346" s="4">
        <v>83</v>
      </c>
      <c r="Q346" s="4" t="b">
        <v>0</v>
      </c>
      <c r="R346" s="4"/>
      <c r="S346" s="14" t="s">
        <v>16</v>
      </c>
    </row>
    <row r="347" spans="1:19">
      <c r="A347" s="6" t="s">
        <v>737</v>
      </c>
      <c r="B347" s="7" t="s">
        <v>738</v>
      </c>
      <c r="C347" s="8" t="s">
        <v>4129</v>
      </c>
      <c r="D347" s="8">
        <v>45278</v>
      </c>
      <c r="E347" s="7">
        <v>12</v>
      </c>
      <c r="F347" s="7">
        <v>18</v>
      </c>
      <c r="G347" s="7">
        <v>2023</v>
      </c>
      <c r="H347" s="8">
        <f t="shared" si="15"/>
        <v>45278</v>
      </c>
      <c r="I347" s="11">
        <v>45283</v>
      </c>
      <c r="J347" s="7">
        <f t="shared" si="16"/>
        <v>5</v>
      </c>
      <c r="K347" s="7" t="s">
        <v>23</v>
      </c>
      <c r="L347" s="7">
        <v>6600</v>
      </c>
      <c r="M347" s="7">
        <v>103</v>
      </c>
      <c r="N347" s="12">
        <v>192.86</v>
      </c>
      <c r="O347" s="12">
        <f t="shared" si="17"/>
        <v>192.86</v>
      </c>
      <c r="P347" s="7">
        <v>11</v>
      </c>
      <c r="Q347" s="7" t="b">
        <v>1</v>
      </c>
      <c r="R347" s="7"/>
      <c r="S347" s="15" t="s">
        <v>25</v>
      </c>
    </row>
    <row r="348" spans="1:19">
      <c r="A348" s="3" t="s">
        <v>739</v>
      </c>
      <c r="B348" s="4" t="s">
        <v>740</v>
      </c>
      <c r="C348" s="5" t="s">
        <v>4127</v>
      </c>
      <c r="D348" s="5">
        <v>45237</v>
      </c>
      <c r="E348" s="4">
        <v>11</v>
      </c>
      <c r="F348" s="4">
        <v>7</v>
      </c>
      <c r="G348" s="4">
        <v>2023</v>
      </c>
      <c r="H348" s="5">
        <f t="shared" si="15"/>
        <v>45237</v>
      </c>
      <c r="I348" s="9">
        <v>45232</v>
      </c>
      <c r="J348" s="4">
        <f t="shared" si="16"/>
        <v>-5</v>
      </c>
      <c r="K348" s="4" t="s">
        <v>41</v>
      </c>
      <c r="L348" s="4">
        <v>95660</v>
      </c>
      <c r="M348" s="4">
        <v>1767</v>
      </c>
      <c r="N348" s="10">
        <v>1384.81</v>
      </c>
      <c r="O348" s="10">
        <f t="shared" si="17"/>
        <v>1384.81</v>
      </c>
      <c r="P348" s="4">
        <v>0</v>
      </c>
      <c r="Q348" s="4" t="b">
        <v>0</v>
      </c>
      <c r="R348" s="4"/>
      <c r="S348" s="14" t="s">
        <v>42</v>
      </c>
    </row>
    <row r="349" spans="1:19">
      <c r="A349" s="6" t="s">
        <v>741</v>
      </c>
      <c r="B349" s="7" t="s">
        <v>742</v>
      </c>
      <c r="C349" s="8" t="s">
        <v>4127</v>
      </c>
      <c r="D349" s="8">
        <v>45073</v>
      </c>
      <c r="E349" s="7">
        <v>5</v>
      </c>
      <c r="F349" s="7">
        <v>27</v>
      </c>
      <c r="G349" s="7">
        <v>2023</v>
      </c>
      <c r="H349" s="8">
        <f t="shared" si="15"/>
        <v>45073</v>
      </c>
      <c r="I349" s="11">
        <v>45084</v>
      </c>
      <c r="J349" s="7">
        <f t="shared" si="16"/>
        <v>11</v>
      </c>
      <c r="K349" s="7" t="s">
        <v>41</v>
      </c>
      <c r="L349" s="7">
        <v>94179</v>
      </c>
      <c r="M349" s="7">
        <v>4026</v>
      </c>
      <c r="N349" s="12">
        <v>7583.18</v>
      </c>
      <c r="O349" s="12">
        <f t="shared" si="17"/>
        <v>3632.575</v>
      </c>
      <c r="P349" s="7">
        <v>777</v>
      </c>
      <c r="Q349" s="7" t="b">
        <v>0</v>
      </c>
      <c r="R349" s="7"/>
      <c r="S349" s="15" t="s">
        <v>42</v>
      </c>
    </row>
    <row r="350" spans="1:19">
      <c r="A350" s="3" t="s">
        <v>743</v>
      </c>
      <c r="B350" s="4" t="s">
        <v>744</v>
      </c>
      <c r="C350" s="5" t="s">
        <v>4127</v>
      </c>
      <c r="D350" s="5">
        <v>45107</v>
      </c>
      <c r="E350" s="4">
        <v>6</v>
      </c>
      <c r="F350" s="4">
        <v>30</v>
      </c>
      <c r="G350" s="4">
        <v>2023</v>
      </c>
      <c r="H350" s="5">
        <f t="shared" si="15"/>
        <v>45107</v>
      </c>
      <c r="I350" s="9">
        <v>45118</v>
      </c>
      <c r="J350" s="4">
        <f t="shared" si="16"/>
        <v>11</v>
      </c>
      <c r="K350" s="4" t="s">
        <v>41</v>
      </c>
      <c r="L350" s="4">
        <v>41764</v>
      </c>
      <c r="M350" s="4">
        <v>956</v>
      </c>
      <c r="N350" s="10">
        <v>1475.53</v>
      </c>
      <c r="O350" s="10">
        <f t="shared" si="17"/>
        <v>1475.53</v>
      </c>
      <c r="P350" s="4">
        <v>77</v>
      </c>
      <c r="Q350" s="4" t="b">
        <v>1</v>
      </c>
      <c r="R350" s="4"/>
      <c r="S350" s="14" t="s">
        <v>42</v>
      </c>
    </row>
    <row r="351" spans="1:19">
      <c r="A351" s="6" t="s">
        <v>745</v>
      </c>
      <c r="B351" s="7" t="s">
        <v>746</v>
      </c>
      <c r="C351" s="8" t="s">
        <v>4128</v>
      </c>
      <c r="D351" s="8">
        <v>45055</v>
      </c>
      <c r="E351" s="7">
        <v>5</v>
      </c>
      <c r="F351" s="7">
        <v>9</v>
      </c>
      <c r="G351" s="7">
        <v>2023</v>
      </c>
      <c r="H351" s="8">
        <f t="shared" si="15"/>
        <v>45055</v>
      </c>
      <c r="I351" s="11">
        <v>45068</v>
      </c>
      <c r="J351" s="7">
        <f t="shared" si="16"/>
        <v>13</v>
      </c>
      <c r="K351" s="7" t="s">
        <v>19</v>
      </c>
      <c r="L351" s="7">
        <v>75543</v>
      </c>
      <c r="M351" s="7">
        <v>824</v>
      </c>
      <c r="N351" s="12">
        <v>1166.91</v>
      </c>
      <c r="O351" s="12">
        <f t="shared" si="17"/>
        <v>1166.91</v>
      </c>
      <c r="P351" s="7">
        <v>138</v>
      </c>
      <c r="Q351" s="7" t="b">
        <v>1</v>
      </c>
      <c r="R351" s="7"/>
      <c r="S351" s="15" t="s">
        <v>20</v>
      </c>
    </row>
    <row r="352" spans="1:19">
      <c r="A352" s="3" t="s">
        <v>747</v>
      </c>
      <c r="B352" s="4" t="s">
        <v>748</v>
      </c>
      <c r="C352" s="5" t="s">
        <v>4129</v>
      </c>
      <c r="D352" s="5">
        <v>45264</v>
      </c>
      <c r="E352" s="4">
        <v>12</v>
      </c>
      <c r="F352" s="4">
        <v>4</v>
      </c>
      <c r="G352" s="4">
        <v>2023</v>
      </c>
      <c r="H352" s="5">
        <f t="shared" si="15"/>
        <v>45264</v>
      </c>
      <c r="I352" s="9">
        <v>45289</v>
      </c>
      <c r="J352" s="4">
        <f t="shared" si="16"/>
        <v>25</v>
      </c>
      <c r="K352" s="4" t="s">
        <v>41</v>
      </c>
      <c r="L352" s="4">
        <v>46714</v>
      </c>
      <c r="M352" s="4">
        <v>754</v>
      </c>
      <c r="N352" s="10">
        <v>603.02</v>
      </c>
      <c r="O352" s="10">
        <f t="shared" si="17"/>
        <v>603.02</v>
      </c>
      <c r="P352" s="4">
        <v>125</v>
      </c>
      <c r="Q352" s="4" t="b">
        <v>0</v>
      </c>
      <c r="R352" s="4"/>
      <c r="S352" s="14" t="s">
        <v>42</v>
      </c>
    </row>
    <row r="353" spans="1:19">
      <c r="A353" s="6" t="s">
        <v>749</v>
      </c>
      <c r="B353" s="7" t="s">
        <v>750</v>
      </c>
      <c r="C353" s="8" t="s">
        <v>4127</v>
      </c>
      <c r="D353" s="8">
        <v>44976</v>
      </c>
      <c r="E353" s="7">
        <v>2</v>
      </c>
      <c r="F353" s="7">
        <v>19</v>
      </c>
      <c r="G353" s="7">
        <v>2023</v>
      </c>
      <c r="H353" s="8">
        <f t="shared" si="15"/>
        <v>44976</v>
      </c>
      <c r="I353" s="11">
        <v>44997</v>
      </c>
      <c r="J353" s="7">
        <f t="shared" si="16"/>
        <v>21</v>
      </c>
      <c r="K353" s="7" t="s">
        <v>33</v>
      </c>
      <c r="L353" s="7">
        <v>57835</v>
      </c>
      <c r="M353" s="7">
        <v>1095</v>
      </c>
      <c r="N353" s="12">
        <v>638.7</v>
      </c>
      <c r="O353" s="12">
        <f t="shared" si="17"/>
        <v>638.7</v>
      </c>
      <c r="P353" s="7">
        <v>90</v>
      </c>
      <c r="Q353" s="7" t="b">
        <v>1</v>
      </c>
      <c r="R353" s="7"/>
      <c r="S353" s="15" t="s">
        <v>34</v>
      </c>
    </row>
    <row r="354" spans="1:19">
      <c r="A354" s="3" t="s">
        <v>751</v>
      </c>
      <c r="B354" s="4" t="s">
        <v>752</v>
      </c>
      <c r="C354" s="5" t="s">
        <v>4129</v>
      </c>
      <c r="D354" s="5">
        <v>45085</v>
      </c>
      <c r="E354" s="4">
        <v>6</v>
      </c>
      <c r="F354" s="4">
        <v>8</v>
      </c>
      <c r="G354" s="4">
        <v>2023</v>
      </c>
      <c r="H354" s="5">
        <f t="shared" si="15"/>
        <v>45085</v>
      </c>
      <c r="I354" s="9">
        <v>45166</v>
      </c>
      <c r="J354" s="4">
        <f t="shared" si="16"/>
        <v>81</v>
      </c>
      <c r="K354" s="4" t="s">
        <v>138</v>
      </c>
      <c r="L354" s="4">
        <v>74744</v>
      </c>
      <c r="M354" s="4">
        <v>3609</v>
      </c>
      <c r="N354" s="10">
        <v>4881.88</v>
      </c>
      <c r="O354" s="10">
        <f t="shared" si="17"/>
        <v>3632.575</v>
      </c>
      <c r="P354" s="4">
        <v>516</v>
      </c>
      <c r="Q354" s="4" t="b">
        <v>0</v>
      </c>
      <c r="R354" s="4"/>
      <c r="S354" s="14" t="s">
        <v>139</v>
      </c>
    </row>
    <row r="355" spans="1:19">
      <c r="A355" s="6" t="s">
        <v>753</v>
      </c>
      <c r="B355" s="7" t="s">
        <v>754</v>
      </c>
      <c r="C355" s="8" t="s">
        <v>4131</v>
      </c>
      <c r="D355" s="8">
        <v>45113</v>
      </c>
      <c r="E355" s="7">
        <v>7</v>
      </c>
      <c r="F355" s="7">
        <v>6</v>
      </c>
      <c r="G355" s="7">
        <v>2023</v>
      </c>
      <c r="H355" s="8">
        <f t="shared" si="15"/>
        <v>45113</v>
      </c>
      <c r="I355" s="11">
        <v>45097</v>
      </c>
      <c r="J355" s="7">
        <f t="shared" si="16"/>
        <v>-16</v>
      </c>
      <c r="K355" s="7" t="s">
        <v>41</v>
      </c>
      <c r="L355" s="7">
        <v>57491</v>
      </c>
      <c r="M355" s="7">
        <v>1892</v>
      </c>
      <c r="N355" s="12">
        <v>2795</v>
      </c>
      <c r="O355" s="12">
        <f t="shared" si="17"/>
        <v>2795</v>
      </c>
      <c r="P355" s="7">
        <v>108</v>
      </c>
      <c r="Q355" s="7" t="b">
        <v>1</v>
      </c>
      <c r="R355" s="7"/>
      <c r="S355" s="15" t="s">
        <v>42</v>
      </c>
    </row>
    <row r="356" spans="1:19">
      <c r="A356" s="3" t="s">
        <v>755</v>
      </c>
      <c r="B356" s="4" t="s">
        <v>756</v>
      </c>
      <c r="C356" s="5" t="s">
        <v>4129</v>
      </c>
      <c r="D356" s="5">
        <v>45078</v>
      </c>
      <c r="E356" s="4">
        <v>6</v>
      </c>
      <c r="F356" s="4">
        <v>1</v>
      </c>
      <c r="G356" s="4">
        <v>2023</v>
      </c>
      <c r="H356" s="5">
        <f t="shared" si="15"/>
        <v>45078</v>
      </c>
      <c r="I356" s="9">
        <v>45079</v>
      </c>
      <c r="J356" s="4">
        <f t="shared" si="16"/>
        <v>1</v>
      </c>
      <c r="K356" s="4" t="s">
        <v>33</v>
      </c>
      <c r="L356" s="4">
        <v>19589</v>
      </c>
      <c r="M356" s="4">
        <v>926</v>
      </c>
      <c r="N356" s="10">
        <v>755.78</v>
      </c>
      <c r="O356" s="10">
        <f t="shared" si="17"/>
        <v>755.78</v>
      </c>
      <c r="P356" s="4">
        <v>113</v>
      </c>
      <c r="Q356" s="4" t="b">
        <v>1</v>
      </c>
      <c r="R356" s="4"/>
      <c r="S356" s="14" t="s">
        <v>34</v>
      </c>
    </row>
    <row r="357" spans="1:19">
      <c r="A357" s="6" t="s">
        <v>757</v>
      </c>
      <c r="B357" s="7" t="s">
        <v>758</v>
      </c>
      <c r="C357" s="8" t="s">
        <v>4129</v>
      </c>
      <c r="D357" s="8">
        <v>45029</v>
      </c>
      <c r="E357" s="7">
        <v>4</v>
      </c>
      <c r="F357" s="7">
        <v>13</v>
      </c>
      <c r="G357" s="7">
        <v>2023</v>
      </c>
      <c r="H357" s="8">
        <f t="shared" si="15"/>
        <v>45029</v>
      </c>
      <c r="I357" s="11">
        <v>45046</v>
      </c>
      <c r="J357" s="7">
        <f t="shared" si="16"/>
        <v>17</v>
      </c>
      <c r="K357" s="7" t="s">
        <v>33</v>
      </c>
      <c r="L357" s="7">
        <v>44484</v>
      </c>
      <c r="M357" s="7">
        <v>1468</v>
      </c>
      <c r="N357" s="12">
        <v>1959.32</v>
      </c>
      <c r="O357" s="12">
        <f t="shared" si="17"/>
        <v>1959.32</v>
      </c>
      <c r="P357" s="7">
        <v>76</v>
      </c>
      <c r="Q357" s="7" t="b">
        <v>0</v>
      </c>
      <c r="R357" s="7"/>
      <c r="S357" s="15" t="s">
        <v>34</v>
      </c>
    </row>
    <row r="358" spans="1:19">
      <c r="A358" s="3" t="s">
        <v>759</v>
      </c>
      <c r="B358" s="4" t="s">
        <v>760</v>
      </c>
      <c r="C358" s="5" t="s">
        <v>4131</v>
      </c>
      <c r="D358" s="5">
        <v>45114</v>
      </c>
      <c r="E358" s="4">
        <v>7</v>
      </c>
      <c r="F358" s="4">
        <v>7</v>
      </c>
      <c r="G358" s="4">
        <v>2023</v>
      </c>
      <c r="H358" s="5">
        <f t="shared" si="15"/>
        <v>45114</v>
      </c>
      <c r="I358" s="9">
        <v>45139</v>
      </c>
      <c r="J358" s="4">
        <f t="shared" si="16"/>
        <v>25</v>
      </c>
      <c r="K358" s="4" t="s">
        <v>266</v>
      </c>
      <c r="L358" s="4">
        <v>83989</v>
      </c>
      <c r="M358" s="4">
        <v>2450</v>
      </c>
      <c r="N358" s="10">
        <v>4372.61</v>
      </c>
      <c r="O358" s="10">
        <f t="shared" si="17"/>
        <v>3632.575</v>
      </c>
      <c r="P358" s="4">
        <v>461</v>
      </c>
      <c r="Q358" s="4" t="b">
        <v>0</v>
      </c>
      <c r="R358" s="4"/>
      <c r="S358" s="14" t="s">
        <v>20</v>
      </c>
    </row>
    <row r="359" spans="1:19">
      <c r="A359" s="6" t="s">
        <v>761</v>
      </c>
      <c r="B359" s="7" t="s">
        <v>762</v>
      </c>
      <c r="C359" s="8" t="s">
        <v>4128</v>
      </c>
      <c r="D359" s="8">
        <v>45011</v>
      </c>
      <c r="E359" s="7">
        <v>3</v>
      </c>
      <c r="F359" s="7">
        <v>26</v>
      </c>
      <c r="G359" s="7">
        <v>2023</v>
      </c>
      <c r="H359" s="8">
        <f t="shared" si="15"/>
        <v>45011</v>
      </c>
      <c r="I359" s="11">
        <v>45021</v>
      </c>
      <c r="J359" s="7">
        <f t="shared" si="16"/>
        <v>10</v>
      </c>
      <c r="K359" s="7" t="s">
        <v>41</v>
      </c>
      <c r="L359" s="7">
        <v>37212</v>
      </c>
      <c r="M359" s="7">
        <v>839</v>
      </c>
      <c r="N359" s="12">
        <v>1470.43</v>
      </c>
      <c r="O359" s="12">
        <f t="shared" si="17"/>
        <v>1470.43</v>
      </c>
      <c r="P359" s="7">
        <v>164</v>
      </c>
      <c r="Q359" s="7" t="b">
        <v>0</v>
      </c>
      <c r="R359" s="7"/>
      <c r="S359" s="15" t="s">
        <v>42</v>
      </c>
    </row>
    <row r="360" spans="1:19">
      <c r="A360" s="3" t="s">
        <v>763</v>
      </c>
      <c r="B360" s="4" t="s">
        <v>764</v>
      </c>
      <c r="C360" s="5" t="s">
        <v>4128</v>
      </c>
      <c r="D360" s="5">
        <v>45173</v>
      </c>
      <c r="E360" s="4">
        <v>9</v>
      </c>
      <c r="F360" s="4">
        <v>4</v>
      </c>
      <c r="G360" s="4">
        <v>2023</v>
      </c>
      <c r="H360" s="5">
        <f t="shared" si="15"/>
        <v>45173</v>
      </c>
      <c r="I360" s="9">
        <v>45189</v>
      </c>
      <c r="J360" s="4">
        <f t="shared" si="16"/>
        <v>16</v>
      </c>
      <c r="K360" s="4" t="s">
        <v>14</v>
      </c>
      <c r="L360" s="4">
        <v>44525</v>
      </c>
      <c r="M360" s="4">
        <v>1525</v>
      </c>
      <c r="N360" s="10">
        <v>2883.82</v>
      </c>
      <c r="O360" s="10">
        <f t="shared" si="17"/>
        <v>2883.82</v>
      </c>
      <c r="P360" s="4">
        <v>127</v>
      </c>
      <c r="Q360" s="4" t="b">
        <v>1</v>
      </c>
      <c r="R360" s="4"/>
      <c r="S360" s="14" t="s">
        <v>16</v>
      </c>
    </row>
    <row r="361" spans="1:19">
      <c r="A361" s="6" t="s">
        <v>765</v>
      </c>
      <c r="B361" s="7" t="s">
        <v>766</v>
      </c>
      <c r="C361" s="8" t="s">
        <v>4127</v>
      </c>
      <c r="D361" s="8">
        <v>45100</v>
      </c>
      <c r="E361" s="7">
        <v>6</v>
      </c>
      <c r="F361" s="7">
        <v>23</v>
      </c>
      <c r="G361" s="7">
        <v>2023</v>
      </c>
      <c r="H361" s="8">
        <f t="shared" si="15"/>
        <v>45100</v>
      </c>
      <c r="I361" s="11">
        <v>45101</v>
      </c>
      <c r="J361" s="7">
        <f t="shared" si="16"/>
        <v>1</v>
      </c>
      <c r="K361" s="7" t="s">
        <v>33</v>
      </c>
      <c r="L361" s="7">
        <v>48202</v>
      </c>
      <c r="M361" s="7">
        <v>750</v>
      </c>
      <c r="N361" s="12">
        <v>786.62</v>
      </c>
      <c r="O361" s="12">
        <f t="shared" si="17"/>
        <v>786.62</v>
      </c>
      <c r="P361" s="7">
        <v>60</v>
      </c>
      <c r="Q361" s="7" t="b">
        <v>1</v>
      </c>
      <c r="R361" s="7"/>
      <c r="S361" s="15" t="s">
        <v>34</v>
      </c>
    </row>
    <row r="362" spans="1:19">
      <c r="A362" s="3" t="s">
        <v>767</v>
      </c>
      <c r="B362" s="4" t="s">
        <v>768</v>
      </c>
      <c r="C362" s="5" t="s">
        <v>4128</v>
      </c>
      <c r="D362" s="5">
        <v>44965</v>
      </c>
      <c r="E362" s="4">
        <v>2</v>
      </c>
      <c r="F362" s="4">
        <v>8</v>
      </c>
      <c r="G362" s="4">
        <v>2023</v>
      </c>
      <c r="H362" s="5">
        <f t="shared" si="15"/>
        <v>44965</v>
      </c>
      <c r="I362" s="9">
        <v>44987</v>
      </c>
      <c r="J362" s="4">
        <f t="shared" si="16"/>
        <v>22</v>
      </c>
      <c r="K362" s="4" t="s">
        <v>19</v>
      </c>
      <c r="L362" s="4">
        <v>33635</v>
      </c>
      <c r="M362" s="4">
        <v>1544</v>
      </c>
      <c r="N362" s="10">
        <v>1508.6</v>
      </c>
      <c r="O362" s="10">
        <f t="shared" si="17"/>
        <v>1508.6</v>
      </c>
      <c r="P362" s="4">
        <v>0</v>
      </c>
      <c r="Q362" s="4" t="b">
        <v>1</v>
      </c>
      <c r="R362" s="4"/>
      <c r="S362" s="14" t="s">
        <v>68</v>
      </c>
    </row>
    <row r="363" spans="1:19">
      <c r="A363" s="6" t="s">
        <v>769</v>
      </c>
      <c r="B363" s="7" t="s">
        <v>770</v>
      </c>
      <c r="C363" s="8" t="s">
        <v>4131</v>
      </c>
      <c r="D363" s="8">
        <v>45273</v>
      </c>
      <c r="E363" s="7">
        <v>12</v>
      </c>
      <c r="F363" s="7">
        <v>13</v>
      </c>
      <c r="G363" s="7">
        <v>2023</v>
      </c>
      <c r="H363" s="8">
        <f t="shared" si="15"/>
        <v>45273</v>
      </c>
      <c r="I363" s="11">
        <v>45296</v>
      </c>
      <c r="J363" s="7">
        <f t="shared" si="16"/>
        <v>23</v>
      </c>
      <c r="K363" s="7" t="s">
        <v>41</v>
      </c>
      <c r="L363" s="7">
        <v>64208</v>
      </c>
      <c r="M363" s="7">
        <v>2772</v>
      </c>
      <c r="N363" s="12">
        <v>4502.11</v>
      </c>
      <c r="O363" s="12">
        <f t="shared" si="17"/>
        <v>3632.575</v>
      </c>
      <c r="P363" s="7">
        <v>0</v>
      </c>
      <c r="Q363" s="7" t="b">
        <v>0</v>
      </c>
      <c r="R363" s="7"/>
      <c r="S363" s="15" t="s">
        <v>42</v>
      </c>
    </row>
    <row r="364" spans="1:19">
      <c r="A364" s="3" t="s">
        <v>771</v>
      </c>
      <c r="B364" s="4" t="s">
        <v>772</v>
      </c>
      <c r="C364" s="5" t="s">
        <v>4129</v>
      </c>
      <c r="D364" s="5">
        <v>45212</v>
      </c>
      <c r="E364" s="4">
        <v>10</v>
      </c>
      <c r="F364" s="4">
        <v>13</v>
      </c>
      <c r="G364" s="4">
        <v>2023</v>
      </c>
      <c r="H364" s="5">
        <f t="shared" si="15"/>
        <v>45212</v>
      </c>
      <c r="I364" s="9">
        <v>45235</v>
      </c>
      <c r="J364" s="4">
        <f t="shared" si="16"/>
        <v>23</v>
      </c>
      <c r="K364" s="4" t="s">
        <v>14</v>
      </c>
      <c r="L364" s="4">
        <v>34828</v>
      </c>
      <c r="M364" s="4">
        <v>790</v>
      </c>
      <c r="N364" s="10">
        <v>905.87</v>
      </c>
      <c r="O364" s="10">
        <f t="shared" si="17"/>
        <v>905.87</v>
      </c>
      <c r="P364" s="4">
        <v>0</v>
      </c>
      <c r="Q364" s="4" t="b">
        <v>0</v>
      </c>
      <c r="R364" s="4"/>
      <c r="S364" s="14" t="s">
        <v>16</v>
      </c>
    </row>
    <row r="365" spans="1:19">
      <c r="A365" s="6" t="s">
        <v>773</v>
      </c>
      <c r="B365" s="7" t="s">
        <v>774</v>
      </c>
      <c r="C365" s="8" t="s">
        <v>4127</v>
      </c>
      <c r="D365" s="8">
        <v>44934</v>
      </c>
      <c r="E365" s="7">
        <v>1</v>
      </c>
      <c r="F365" s="7">
        <v>8</v>
      </c>
      <c r="G365" s="7">
        <v>2023</v>
      </c>
      <c r="H365" s="8">
        <f t="shared" si="15"/>
        <v>44934</v>
      </c>
      <c r="I365" s="11">
        <v>44948</v>
      </c>
      <c r="J365" s="7">
        <f t="shared" si="16"/>
        <v>14</v>
      </c>
      <c r="K365" s="7" t="s">
        <v>33</v>
      </c>
      <c r="L365" s="7">
        <v>19711</v>
      </c>
      <c r="M365" s="7">
        <v>948</v>
      </c>
      <c r="N365" s="12">
        <v>598.49</v>
      </c>
      <c r="O365" s="12">
        <f t="shared" si="17"/>
        <v>598.49</v>
      </c>
      <c r="P365" s="7">
        <v>129</v>
      </c>
      <c r="Q365" s="7" t="b">
        <v>1</v>
      </c>
      <c r="R365" s="7"/>
      <c r="S365" s="15" t="s">
        <v>34</v>
      </c>
    </row>
    <row r="366" spans="1:19">
      <c r="A366" s="3" t="s">
        <v>775</v>
      </c>
      <c r="B366" s="4" t="s">
        <v>776</v>
      </c>
      <c r="C366" s="5" t="s">
        <v>4129</v>
      </c>
      <c r="D366" s="5">
        <v>45115</v>
      </c>
      <c r="E366" s="4">
        <v>7</v>
      </c>
      <c r="F366" s="4">
        <v>8</v>
      </c>
      <c r="G366" s="4">
        <v>2023</v>
      </c>
      <c r="H366" s="5">
        <f t="shared" si="15"/>
        <v>45115</v>
      </c>
      <c r="I366" s="9">
        <v>45133</v>
      </c>
      <c r="J366" s="4">
        <f t="shared" si="16"/>
        <v>18</v>
      </c>
      <c r="K366" s="4" t="s">
        <v>19</v>
      </c>
      <c r="L366" s="4">
        <v>4420</v>
      </c>
      <c r="M366" s="4">
        <v>190</v>
      </c>
      <c r="N366" s="10">
        <v>175.6</v>
      </c>
      <c r="O366" s="10">
        <f t="shared" si="17"/>
        <v>175.6</v>
      </c>
      <c r="P366" s="4">
        <v>19</v>
      </c>
      <c r="Q366" s="4" t="b">
        <v>1</v>
      </c>
      <c r="R366" s="4"/>
      <c r="S366" s="14" t="s">
        <v>20</v>
      </c>
    </row>
    <row r="367" spans="1:19">
      <c r="A367" s="6" t="s">
        <v>777</v>
      </c>
      <c r="B367" s="7" t="s">
        <v>778</v>
      </c>
      <c r="C367" s="8" t="s">
        <v>4128</v>
      </c>
      <c r="D367" s="8">
        <v>45226</v>
      </c>
      <c r="E367" s="7">
        <v>10</v>
      </c>
      <c r="F367" s="7">
        <v>27</v>
      </c>
      <c r="G367" s="7">
        <v>2023</v>
      </c>
      <c r="H367" s="8">
        <f t="shared" si="15"/>
        <v>45226</v>
      </c>
      <c r="I367" s="11">
        <v>45229</v>
      </c>
      <c r="J367" s="7">
        <f t="shared" si="16"/>
        <v>3</v>
      </c>
      <c r="K367" s="7" t="s">
        <v>14</v>
      </c>
      <c r="L367" s="7">
        <v>97752</v>
      </c>
      <c r="M367" s="7">
        <v>3582</v>
      </c>
      <c r="N367" s="12">
        <v>4040.04</v>
      </c>
      <c r="O367" s="12">
        <f t="shared" si="17"/>
        <v>3632.575</v>
      </c>
      <c r="P367" s="7">
        <v>626</v>
      </c>
      <c r="Q367" s="7" t="b">
        <v>1</v>
      </c>
      <c r="R367" s="7"/>
      <c r="S367" s="15" t="s">
        <v>16</v>
      </c>
    </row>
    <row r="368" spans="1:19">
      <c r="A368" s="3" t="s">
        <v>779</v>
      </c>
      <c r="B368" s="4" t="s">
        <v>780</v>
      </c>
      <c r="C368" s="5" t="s">
        <v>4131</v>
      </c>
      <c r="D368" s="5">
        <v>45117</v>
      </c>
      <c r="E368" s="4">
        <v>7</v>
      </c>
      <c r="F368" s="4">
        <v>10</v>
      </c>
      <c r="G368" s="4">
        <v>2023</v>
      </c>
      <c r="H368" s="5">
        <f t="shared" si="15"/>
        <v>45117</v>
      </c>
      <c r="I368" s="9">
        <v>45119</v>
      </c>
      <c r="J368" s="4">
        <f t="shared" si="16"/>
        <v>2</v>
      </c>
      <c r="K368" s="4" t="s">
        <v>33</v>
      </c>
      <c r="L368" s="4">
        <v>1301</v>
      </c>
      <c r="M368" s="4">
        <v>19</v>
      </c>
      <c r="N368" s="10">
        <v>17.84</v>
      </c>
      <c r="O368" s="10">
        <f t="shared" si="17"/>
        <v>17.84</v>
      </c>
      <c r="P368" s="4">
        <v>2</v>
      </c>
      <c r="Q368" s="4" t="b">
        <v>0</v>
      </c>
      <c r="R368" s="4"/>
      <c r="S368" s="14" t="s">
        <v>34</v>
      </c>
    </row>
    <row r="369" spans="1:19">
      <c r="A369" s="6" t="s">
        <v>781</v>
      </c>
      <c r="B369" s="7" t="s">
        <v>782</v>
      </c>
      <c r="C369" s="8" t="s">
        <v>4128</v>
      </c>
      <c r="D369" s="8">
        <v>44939</v>
      </c>
      <c r="E369" s="7">
        <v>1</v>
      </c>
      <c r="F369" s="7">
        <v>13</v>
      </c>
      <c r="G369" s="7">
        <v>2023</v>
      </c>
      <c r="H369" s="8">
        <f t="shared" si="15"/>
        <v>44939</v>
      </c>
      <c r="I369" s="11">
        <v>44946</v>
      </c>
      <c r="J369" s="7">
        <f t="shared" si="16"/>
        <v>7</v>
      </c>
      <c r="K369" s="7" t="s">
        <v>41</v>
      </c>
      <c r="L369" s="7">
        <v>46236</v>
      </c>
      <c r="M369" s="7">
        <v>1346</v>
      </c>
      <c r="N369" s="12">
        <v>1343.72</v>
      </c>
      <c r="O369" s="12">
        <f t="shared" si="17"/>
        <v>1343.72</v>
      </c>
      <c r="P369" s="7">
        <v>251</v>
      </c>
      <c r="Q369" s="7" t="b">
        <v>1</v>
      </c>
      <c r="R369" s="7"/>
      <c r="S369" s="15" t="s">
        <v>42</v>
      </c>
    </row>
    <row r="370" spans="1:19">
      <c r="A370" s="3" t="s">
        <v>783</v>
      </c>
      <c r="B370" s="4" t="s">
        <v>784</v>
      </c>
      <c r="C370" s="5" t="s">
        <v>4131</v>
      </c>
      <c r="D370" s="5">
        <v>45094</v>
      </c>
      <c r="E370" s="4">
        <v>6</v>
      </c>
      <c r="F370" s="4">
        <v>17</v>
      </c>
      <c r="G370" s="4">
        <v>2023</v>
      </c>
      <c r="H370" s="5">
        <f t="shared" si="15"/>
        <v>45094</v>
      </c>
      <c r="I370" s="9">
        <v>45113</v>
      </c>
      <c r="J370" s="4">
        <f t="shared" si="16"/>
        <v>19</v>
      </c>
      <c r="K370" s="4" t="s">
        <v>23</v>
      </c>
      <c r="L370" s="4">
        <v>67235</v>
      </c>
      <c r="M370" s="4">
        <v>2033</v>
      </c>
      <c r="N370" s="10">
        <v>1912.37</v>
      </c>
      <c r="O370" s="10">
        <f t="shared" si="17"/>
        <v>1912.37</v>
      </c>
      <c r="P370" s="4">
        <v>384</v>
      </c>
      <c r="Q370" s="4" t="b">
        <v>0</v>
      </c>
      <c r="R370" s="4"/>
      <c r="S370" s="14" t="s">
        <v>25</v>
      </c>
    </row>
    <row r="371" spans="1:19">
      <c r="A371" s="6" t="s">
        <v>785</v>
      </c>
      <c r="B371" s="7" t="s">
        <v>786</v>
      </c>
      <c r="C371" s="8" t="s">
        <v>4127</v>
      </c>
      <c r="D371" s="8">
        <v>44959</v>
      </c>
      <c r="E371" s="7">
        <v>2</v>
      </c>
      <c r="F371" s="7">
        <v>2</v>
      </c>
      <c r="G371" s="7">
        <v>2023</v>
      </c>
      <c r="H371" s="8">
        <f t="shared" si="15"/>
        <v>44959</v>
      </c>
      <c r="I371" s="11">
        <v>44961</v>
      </c>
      <c r="J371" s="7">
        <f t="shared" si="16"/>
        <v>2</v>
      </c>
      <c r="K371" s="7" t="s">
        <v>41</v>
      </c>
      <c r="L371" s="7">
        <v>55240</v>
      </c>
      <c r="M371" s="7">
        <v>1066</v>
      </c>
      <c r="N371" s="12">
        <v>599.36</v>
      </c>
      <c r="O371" s="12">
        <f t="shared" si="17"/>
        <v>599.36</v>
      </c>
      <c r="P371" s="7">
        <v>79</v>
      </c>
      <c r="Q371" s="7" t="b">
        <v>1</v>
      </c>
      <c r="R371" s="7"/>
      <c r="S371" s="15" t="s">
        <v>42</v>
      </c>
    </row>
    <row r="372" spans="1:19">
      <c r="A372" s="3" t="s">
        <v>787</v>
      </c>
      <c r="B372" s="4" t="s">
        <v>788</v>
      </c>
      <c r="C372" s="5" t="s">
        <v>4131</v>
      </c>
      <c r="D372" s="5">
        <v>45285</v>
      </c>
      <c r="E372" s="4">
        <v>12</v>
      </c>
      <c r="F372" s="4">
        <v>25</v>
      </c>
      <c r="G372" s="4">
        <v>2023</v>
      </c>
      <c r="H372" s="5">
        <f t="shared" si="15"/>
        <v>45285</v>
      </c>
      <c r="I372" s="9">
        <v>45292</v>
      </c>
      <c r="J372" s="4">
        <f t="shared" si="16"/>
        <v>7</v>
      </c>
      <c r="K372" s="4" t="s">
        <v>41</v>
      </c>
      <c r="L372" s="4">
        <v>66726</v>
      </c>
      <c r="M372" s="4">
        <v>880</v>
      </c>
      <c r="N372" s="10">
        <v>1280.97</v>
      </c>
      <c r="O372" s="10">
        <f t="shared" si="17"/>
        <v>1280.97</v>
      </c>
      <c r="P372" s="4">
        <v>44</v>
      </c>
      <c r="Q372" s="4" t="b">
        <v>1</v>
      </c>
      <c r="R372" s="4"/>
      <c r="S372" s="14" t="s">
        <v>42</v>
      </c>
    </row>
    <row r="373" spans="1:19">
      <c r="A373" s="6" t="s">
        <v>789</v>
      </c>
      <c r="B373" s="7" t="s">
        <v>790</v>
      </c>
      <c r="C373" s="8" t="s">
        <v>4129</v>
      </c>
      <c r="D373" s="8" t="s">
        <v>791</v>
      </c>
      <c r="E373" s="7">
        <v>13</v>
      </c>
      <c r="F373" s="7">
        <v>3</v>
      </c>
      <c r="G373" s="7">
        <v>2023</v>
      </c>
      <c r="H373" s="8">
        <f t="shared" si="15"/>
        <v>44998</v>
      </c>
      <c r="I373" s="11">
        <v>45006</v>
      </c>
      <c r="J373" s="7">
        <f t="shared" si="16"/>
        <v>8</v>
      </c>
      <c r="K373" s="7" t="s">
        <v>41</v>
      </c>
      <c r="L373" s="7">
        <v>11492</v>
      </c>
      <c r="M373" s="7">
        <v>471</v>
      </c>
      <c r="N373" s="12">
        <v>657.49</v>
      </c>
      <c r="O373" s="12">
        <f t="shared" si="17"/>
        <v>657.49</v>
      </c>
      <c r="P373" s="7">
        <v>93</v>
      </c>
      <c r="Q373" s="7" t="b">
        <v>1</v>
      </c>
      <c r="R373" s="7"/>
      <c r="S373" s="15" t="s">
        <v>42</v>
      </c>
    </row>
    <row r="374" spans="1:19">
      <c r="A374" s="3" t="s">
        <v>792</v>
      </c>
      <c r="B374" s="4" t="s">
        <v>793</v>
      </c>
      <c r="C374" s="5" t="s">
        <v>4128</v>
      </c>
      <c r="D374" s="5">
        <v>44946</v>
      </c>
      <c r="E374" s="4">
        <v>1</v>
      </c>
      <c r="F374" s="4">
        <v>20</v>
      </c>
      <c r="G374" s="4">
        <v>2023</v>
      </c>
      <c r="H374" s="5">
        <f t="shared" si="15"/>
        <v>44946</v>
      </c>
      <c r="I374" s="9">
        <v>44965</v>
      </c>
      <c r="J374" s="4">
        <f t="shared" si="16"/>
        <v>19</v>
      </c>
      <c r="K374" s="4" t="s">
        <v>23</v>
      </c>
      <c r="L374" s="4">
        <v>7102</v>
      </c>
      <c r="M374" s="4">
        <v>105</v>
      </c>
      <c r="N374" s="10">
        <v>155.41</v>
      </c>
      <c r="O374" s="10">
        <f t="shared" si="17"/>
        <v>155.41</v>
      </c>
      <c r="P374" s="4">
        <v>19</v>
      </c>
      <c r="Q374" s="4" t="b">
        <v>1</v>
      </c>
      <c r="R374" s="4"/>
      <c r="S374" s="14" t="s">
        <v>68</v>
      </c>
    </row>
    <row r="375" spans="1:19">
      <c r="A375" s="6" t="s">
        <v>794</v>
      </c>
      <c r="B375" s="7" t="s">
        <v>795</v>
      </c>
      <c r="C375" s="8" t="s">
        <v>4131</v>
      </c>
      <c r="D375" s="8">
        <v>44976</v>
      </c>
      <c r="E375" s="7">
        <v>2</v>
      </c>
      <c r="F375" s="7">
        <v>19</v>
      </c>
      <c r="G375" s="7">
        <v>2023</v>
      </c>
      <c r="H375" s="8">
        <f t="shared" si="15"/>
        <v>44976</v>
      </c>
      <c r="I375" s="11">
        <v>44992</v>
      </c>
      <c r="J375" s="7">
        <f t="shared" si="16"/>
        <v>16</v>
      </c>
      <c r="K375" s="7" t="s">
        <v>23</v>
      </c>
      <c r="L375" s="7">
        <v>51336</v>
      </c>
      <c r="M375" s="7">
        <v>1733</v>
      </c>
      <c r="N375" s="12">
        <v>1366.41</v>
      </c>
      <c r="O375" s="12">
        <f t="shared" si="17"/>
        <v>1366.41</v>
      </c>
      <c r="P375" s="7">
        <v>101</v>
      </c>
      <c r="Q375" s="7" t="b">
        <v>1</v>
      </c>
      <c r="R375" s="7"/>
      <c r="S375" s="15" t="s">
        <v>25</v>
      </c>
    </row>
    <row r="376" spans="1:19">
      <c r="A376" s="3" t="s">
        <v>796</v>
      </c>
      <c r="B376" s="4" t="s">
        <v>797</v>
      </c>
      <c r="C376" s="5" t="s">
        <v>4128</v>
      </c>
      <c r="D376" s="5">
        <v>45125</v>
      </c>
      <c r="E376" s="4">
        <v>7</v>
      </c>
      <c r="F376" s="4">
        <v>18</v>
      </c>
      <c r="G376" s="4">
        <v>2023</v>
      </c>
      <c r="H376" s="5">
        <f t="shared" si="15"/>
        <v>45125</v>
      </c>
      <c r="I376" s="9">
        <v>45126</v>
      </c>
      <c r="J376" s="4">
        <f t="shared" si="16"/>
        <v>1</v>
      </c>
      <c r="K376" s="4" t="s">
        <v>138</v>
      </c>
      <c r="L376" s="4">
        <v>86314</v>
      </c>
      <c r="M376" s="4">
        <v>4096</v>
      </c>
      <c r="N376" s="10">
        <v>3864.5</v>
      </c>
      <c r="O376" s="10">
        <f t="shared" si="17"/>
        <v>3632.575</v>
      </c>
      <c r="P376" s="4">
        <v>716</v>
      </c>
      <c r="Q376" s="4" t="b">
        <v>0</v>
      </c>
      <c r="R376" s="4"/>
      <c r="S376" s="14" t="s">
        <v>139</v>
      </c>
    </row>
    <row r="377" spans="1:19">
      <c r="A377" s="6" t="s">
        <v>798</v>
      </c>
      <c r="B377" s="7" t="s">
        <v>799</v>
      </c>
      <c r="C377" s="8" t="s">
        <v>4131</v>
      </c>
      <c r="D377" s="8">
        <v>45283</v>
      </c>
      <c r="E377" s="7">
        <v>12</v>
      </c>
      <c r="F377" s="7">
        <v>23</v>
      </c>
      <c r="G377" s="7">
        <v>2023</v>
      </c>
      <c r="H377" s="8">
        <f t="shared" si="15"/>
        <v>45283</v>
      </c>
      <c r="I377" s="11">
        <v>45295</v>
      </c>
      <c r="J377" s="7">
        <f t="shared" si="16"/>
        <v>12</v>
      </c>
      <c r="K377" s="7" t="s">
        <v>19</v>
      </c>
      <c r="L377" s="7">
        <v>27641</v>
      </c>
      <c r="M377" s="7">
        <v>1245</v>
      </c>
      <c r="N377" s="12">
        <v>1779.63</v>
      </c>
      <c r="O377" s="12">
        <f t="shared" si="17"/>
        <v>1779.63</v>
      </c>
      <c r="P377" s="7">
        <v>147</v>
      </c>
      <c r="Q377" s="7" t="b">
        <v>1</v>
      </c>
      <c r="R377" s="7"/>
      <c r="S377" s="15" t="s">
        <v>20</v>
      </c>
    </row>
    <row r="378" spans="1:19">
      <c r="A378" s="3" t="s">
        <v>800</v>
      </c>
      <c r="B378" s="4" t="s">
        <v>801</v>
      </c>
      <c r="C378" s="5" t="s">
        <v>4127</v>
      </c>
      <c r="D378" s="5">
        <v>45006</v>
      </c>
      <c r="E378" s="4">
        <v>3</v>
      </c>
      <c r="F378" s="4">
        <v>21</v>
      </c>
      <c r="G378" s="4">
        <v>2023</v>
      </c>
      <c r="H378" s="5">
        <f t="shared" si="15"/>
        <v>45006</v>
      </c>
      <c r="I378" s="9">
        <v>45029</v>
      </c>
      <c r="J378" s="4">
        <f t="shared" si="16"/>
        <v>23</v>
      </c>
      <c r="K378" s="4" t="s">
        <v>19</v>
      </c>
      <c r="L378" s="4">
        <v>35584</v>
      </c>
      <c r="M378" s="4">
        <v>751</v>
      </c>
      <c r="N378" s="10">
        <v>1050.98</v>
      </c>
      <c r="O378" s="10">
        <f t="shared" si="17"/>
        <v>1050.98</v>
      </c>
      <c r="P378" s="4">
        <v>66</v>
      </c>
      <c r="Q378" s="4" t="b">
        <v>0</v>
      </c>
      <c r="R378" s="4"/>
      <c r="S378" s="14" t="s">
        <v>20</v>
      </c>
    </row>
    <row r="379" spans="1:19">
      <c r="A379" s="6" t="s">
        <v>802</v>
      </c>
      <c r="B379" s="7" t="s">
        <v>803</v>
      </c>
      <c r="C379" s="8" t="s">
        <v>4128</v>
      </c>
      <c r="D379" s="8">
        <v>45177</v>
      </c>
      <c r="E379" s="7">
        <v>9</v>
      </c>
      <c r="F379" s="7">
        <v>8</v>
      </c>
      <c r="G379" s="7">
        <v>2023</v>
      </c>
      <c r="H379" s="8">
        <f t="shared" si="15"/>
        <v>45177</v>
      </c>
      <c r="I379" s="11">
        <v>45180</v>
      </c>
      <c r="J379" s="7">
        <f t="shared" si="16"/>
        <v>3</v>
      </c>
      <c r="K379" s="7" t="s">
        <v>23</v>
      </c>
      <c r="L379" s="7">
        <v>33745</v>
      </c>
      <c r="M379" s="7">
        <v>1486</v>
      </c>
      <c r="N379" s="12">
        <v>1871.61</v>
      </c>
      <c r="O379" s="12">
        <f t="shared" si="17"/>
        <v>1871.61</v>
      </c>
      <c r="P379" s="7">
        <v>270</v>
      </c>
      <c r="Q379" s="7" t="b">
        <v>1</v>
      </c>
      <c r="R379" s="7"/>
      <c r="S379" s="15" t="s">
        <v>25</v>
      </c>
    </row>
    <row r="380" spans="1:19">
      <c r="A380" s="3" t="s">
        <v>804</v>
      </c>
      <c r="B380" s="4" t="s">
        <v>805</v>
      </c>
      <c r="C380" s="5" t="s">
        <v>4131</v>
      </c>
      <c r="D380" s="5" t="s">
        <v>806</v>
      </c>
      <c r="E380" s="4">
        <v>24</v>
      </c>
      <c r="F380" s="4">
        <v>5</v>
      </c>
      <c r="G380" s="4">
        <v>2023</v>
      </c>
      <c r="H380" s="5">
        <f t="shared" si="15"/>
        <v>45070</v>
      </c>
      <c r="I380" s="9">
        <v>45089</v>
      </c>
      <c r="J380" s="4">
        <f t="shared" si="16"/>
        <v>19</v>
      </c>
      <c r="K380" s="4" t="s">
        <v>19</v>
      </c>
      <c r="L380" s="4">
        <v>24093</v>
      </c>
      <c r="M380" s="4">
        <v>241</v>
      </c>
      <c r="N380" s="10">
        <v>247.17</v>
      </c>
      <c r="O380" s="10">
        <f t="shared" si="17"/>
        <v>247.17</v>
      </c>
      <c r="P380" s="4">
        <v>19</v>
      </c>
      <c r="Q380" s="4" t="b">
        <v>0</v>
      </c>
      <c r="R380" s="4"/>
      <c r="S380" s="14" t="s">
        <v>20</v>
      </c>
    </row>
    <row r="381" spans="1:19">
      <c r="A381" s="6" t="s">
        <v>807</v>
      </c>
      <c r="B381" s="7" t="s">
        <v>808</v>
      </c>
      <c r="C381" s="8" t="s">
        <v>4128</v>
      </c>
      <c r="D381" s="8">
        <v>45116</v>
      </c>
      <c r="E381" s="7">
        <v>7</v>
      </c>
      <c r="F381" s="7">
        <v>9</v>
      </c>
      <c r="G381" s="7">
        <v>2023</v>
      </c>
      <c r="H381" s="8">
        <f t="shared" si="15"/>
        <v>45116</v>
      </c>
      <c r="I381" s="11">
        <v>45145</v>
      </c>
      <c r="J381" s="7">
        <f t="shared" si="16"/>
        <v>29</v>
      </c>
      <c r="K381" s="7" t="s">
        <v>33</v>
      </c>
      <c r="L381" s="7">
        <v>67105</v>
      </c>
      <c r="M381" s="7">
        <v>718</v>
      </c>
      <c r="N381" s="12">
        <v>1342.23</v>
      </c>
      <c r="O381" s="12">
        <f t="shared" si="17"/>
        <v>1342.23</v>
      </c>
      <c r="P381" s="7">
        <v>137</v>
      </c>
      <c r="Q381" s="7" t="b">
        <v>1</v>
      </c>
      <c r="R381" s="7"/>
      <c r="S381" s="15" t="s">
        <v>68</v>
      </c>
    </row>
    <row r="382" spans="1:19">
      <c r="A382" s="3" t="s">
        <v>809</v>
      </c>
      <c r="B382" s="4" t="s">
        <v>810</v>
      </c>
      <c r="C382" s="5" t="s">
        <v>4131</v>
      </c>
      <c r="D382" s="5">
        <v>45047</v>
      </c>
      <c r="E382" s="4">
        <v>5</v>
      </c>
      <c r="F382" s="4">
        <v>1</v>
      </c>
      <c r="G382" s="4">
        <v>2023</v>
      </c>
      <c r="H382" s="5">
        <f t="shared" si="15"/>
        <v>45047</v>
      </c>
      <c r="I382" s="9">
        <v>44943</v>
      </c>
      <c r="J382" s="4">
        <f t="shared" si="16"/>
        <v>-104</v>
      </c>
      <c r="K382" s="4" t="s">
        <v>19</v>
      </c>
      <c r="L382" s="4">
        <v>52885</v>
      </c>
      <c r="M382" s="4">
        <v>1803</v>
      </c>
      <c r="N382" s="10">
        <v>1820.41</v>
      </c>
      <c r="O382" s="10">
        <f t="shared" si="17"/>
        <v>1820.41</v>
      </c>
      <c r="P382" s="4">
        <v>145</v>
      </c>
      <c r="Q382" s="4" t="b">
        <v>0</v>
      </c>
      <c r="R382" s="4"/>
      <c r="S382" s="14" t="s">
        <v>20</v>
      </c>
    </row>
    <row r="383" spans="1:19">
      <c r="A383" s="6" t="s">
        <v>811</v>
      </c>
      <c r="B383" s="7" t="s">
        <v>812</v>
      </c>
      <c r="C383" s="8" t="s">
        <v>4128</v>
      </c>
      <c r="D383" s="8">
        <v>45278</v>
      </c>
      <c r="E383" s="7">
        <v>12</v>
      </c>
      <c r="F383" s="7">
        <v>18</v>
      </c>
      <c r="G383" s="7">
        <v>2023</v>
      </c>
      <c r="H383" s="8">
        <f t="shared" si="15"/>
        <v>45278</v>
      </c>
      <c r="I383" s="11">
        <v>45295</v>
      </c>
      <c r="J383" s="7">
        <f t="shared" si="16"/>
        <v>17</v>
      </c>
      <c r="K383" s="7" t="s">
        <v>138</v>
      </c>
      <c r="L383" s="7">
        <v>37631</v>
      </c>
      <c r="M383" s="7">
        <v>925</v>
      </c>
      <c r="N383" s="12">
        <v>1094.67</v>
      </c>
      <c r="O383" s="12">
        <f t="shared" si="17"/>
        <v>1094.67</v>
      </c>
      <c r="P383" s="7">
        <v>0</v>
      </c>
      <c r="Q383" s="7" t="b">
        <v>1</v>
      </c>
      <c r="R383" s="7"/>
      <c r="S383" s="15" t="s">
        <v>139</v>
      </c>
    </row>
    <row r="384" spans="1:19">
      <c r="A384" s="3" t="s">
        <v>813</v>
      </c>
      <c r="B384" s="4" t="s">
        <v>814</v>
      </c>
      <c r="C384" s="5" t="s">
        <v>4127</v>
      </c>
      <c r="D384" s="5">
        <v>45257</v>
      </c>
      <c r="E384" s="4">
        <v>11</v>
      </c>
      <c r="F384" s="4">
        <v>27</v>
      </c>
      <c r="G384" s="4">
        <v>2023</v>
      </c>
      <c r="H384" s="5">
        <f t="shared" si="15"/>
        <v>45257</v>
      </c>
      <c r="I384" s="9">
        <v>45286</v>
      </c>
      <c r="J384" s="4">
        <f t="shared" si="16"/>
        <v>29</v>
      </c>
      <c r="K384" s="4" t="s">
        <v>23</v>
      </c>
      <c r="L384" s="4">
        <v>73991</v>
      </c>
      <c r="M384" s="4">
        <v>1883</v>
      </c>
      <c r="N384" s="10">
        <v>2856.83</v>
      </c>
      <c r="O384" s="10">
        <f t="shared" si="17"/>
        <v>2856.83</v>
      </c>
      <c r="P384" s="4">
        <v>157</v>
      </c>
      <c r="Q384" s="4" t="b">
        <v>0</v>
      </c>
      <c r="R384" s="4"/>
      <c r="S384" s="14" t="s">
        <v>25</v>
      </c>
    </row>
    <row r="385" spans="1:19">
      <c r="A385" s="6" t="s">
        <v>815</v>
      </c>
      <c r="B385" s="7" t="s">
        <v>816</v>
      </c>
      <c r="C385" s="8" t="s">
        <v>4127</v>
      </c>
      <c r="D385" s="8">
        <v>45024</v>
      </c>
      <c r="E385" s="7">
        <v>4</v>
      </c>
      <c r="F385" s="7">
        <v>8</v>
      </c>
      <c r="G385" s="7">
        <v>2023</v>
      </c>
      <c r="H385" s="8">
        <f t="shared" si="15"/>
        <v>45024</v>
      </c>
      <c r="I385" s="11">
        <v>45051</v>
      </c>
      <c r="J385" s="7">
        <f t="shared" si="16"/>
        <v>27</v>
      </c>
      <c r="K385" s="7" t="s">
        <v>138</v>
      </c>
      <c r="L385" s="7">
        <v>5014</v>
      </c>
      <c r="M385" s="7">
        <v>163</v>
      </c>
      <c r="N385" s="12">
        <v>214.27</v>
      </c>
      <c r="O385" s="12">
        <f t="shared" si="17"/>
        <v>214.27</v>
      </c>
      <c r="P385" s="7">
        <v>21</v>
      </c>
      <c r="Q385" s="7" t="b">
        <v>1</v>
      </c>
      <c r="R385" s="7"/>
      <c r="S385" s="15" t="s">
        <v>139</v>
      </c>
    </row>
    <row r="386" spans="1:19">
      <c r="A386" s="3" t="s">
        <v>817</v>
      </c>
      <c r="B386" s="4" t="s">
        <v>818</v>
      </c>
      <c r="C386" s="5" t="s">
        <v>4127</v>
      </c>
      <c r="D386" s="5" t="s">
        <v>115</v>
      </c>
      <c r="E386" s="4">
        <v>21</v>
      </c>
      <c r="F386" s="4">
        <v>8</v>
      </c>
      <c r="G386" s="4">
        <v>2023</v>
      </c>
      <c r="H386" s="5">
        <f t="shared" ref="H386:H449" si="18">IF(E386&gt;12,DATE(G386,F386,E386),D386)</f>
        <v>45159</v>
      </c>
      <c r="I386" s="9">
        <v>45165</v>
      </c>
      <c r="J386" s="4">
        <f t="shared" ref="J386:J449" si="19">DATEDIF(H386,I386,"D")</f>
        <v>6</v>
      </c>
      <c r="K386" s="4" t="s">
        <v>19</v>
      </c>
      <c r="L386" s="4">
        <v>12093</v>
      </c>
      <c r="M386" s="4">
        <v>213</v>
      </c>
      <c r="N386" s="10">
        <v>217.33</v>
      </c>
      <c r="O386" s="10">
        <f t="shared" si="17"/>
        <v>217.33</v>
      </c>
      <c r="P386" s="4">
        <v>0</v>
      </c>
      <c r="Q386" s="4" t="b">
        <v>1</v>
      </c>
      <c r="R386" s="4"/>
      <c r="S386" s="14" t="s">
        <v>20</v>
      </c>
    </row>
    <row r="387" spans="1:19">
      <c r="A387" s="6" t="s">
        <v>819</v>
      </c>
      <c r="B387" s="7" t="s">
        <v>820</v>
      </c>
      <c r="C387" s="8" t="s">
        <v>4127</v>
      </c>
      <c r="D387" s="8">
        <v>45035</v>
      </c>
      <c r="E387" s="7">
        <v>4</v>
      </c>
      <c r="F387" s="7">
        <v>19</v>
      </c>
      <c r="G387" s="7">
        <v>2023</v>
      </c>
      <c r="H387" s="8">
        <f t="shared" si="18"/>
        <v>45035</v>
      </c>
      <c r="I387" s="11">
        <v>45048</v>
      </c>
      <c r="J387" s="7">
        <f t="shared" si="19"/>
        <v>13</v>
      </c>
      <c r="K387" s="7" t="s">
        <v>14</v>
      </c>
      <c r="L387" s="7">
        <v>19070</v>
      </c>
      <c r="M387" s="7">
        <v>352</v>
      </c>
      <c r="N387" s="12">
        <v>406.02</v>
      </c>
      <c r="O387" s="12">
        <f t="shared" ref="O387:O450" si="20">IF(N387&lt;$V$6,$V$6,IF(N387&gt;$V$7,$V$7,N387))</f>
        <v>406.02</v>
      </c>
      <c r="P387" s="7">
        <v>27</v>
      </c>
      <c r="Q387" s="7" t="b">
        <v>1</v>
      </c>
      <c r="R387" s="7"/>
      <c r="S387" s="15" t="s">
        <v>16</v>
      </c>
    </row>
    <row r="388" spans="1:19">
      <c r="A388" s="3" t="s">
        <v>821</v>
      </c>
      <c r="B388" s="4" t="s">
        <v>822</v>
      </c>
      <c r="C388" s="5" t="s">
        <v>4129</v>
      </c>
      <c r="D388" s="5">
        <v>45231</v>
      </c>
      <c r="E388" s="4">
        <v>11</v>
      </c>
      <c r="F388" s="4">
        <v>1</v>
      </c>
      <c r="G388" s="4">
        <v>2023</v>
      </c>
      <c r="H388" s="5">
        <f t="shared" si="18"/>
        <v>45231</v>
      </c>
      <c r="I388" s="9">
        <v>44944</v>
      </c>
      <c r="J388" s="4">
        <f t="shared" si="19"/>
        <v>-287</v>
      </c>
      <c r="K388" s="4" t="s">
        <v>19</v>
      </c>
      <c r="L388" s="4">
        <v>36777</v>
      </c>
      <c r="M388" s="4">
        <v>1080</v>
      </c>
      <c r="N388" s="10">
        <v>1827.06</v>
      </c>
      <c r="O388" s="10">
        <f t="shared" si="20"/>
        <v>1827.06</v>
      </c>
      <c r="P388" s="4">
        <v>138</v>
      </c>
      <c r="Q388" s="4" t="b">
        <v>0</v>
      </c>
      <c r="R388" s="4"/>
      <c r="S388" s="14" t="s">
        <v>20</v>
      </c>
    </row>
    <row r="389" spans="1:19">
      <c r="A389" s="6" t="s">
        <v>823</v>
      </c>
      <c r="B389" s="7" t="s">
        <v>824</v>
      </c>
      <c r="C389" s="8" t="s">
        <v>4127</v>
      </c>
      <c r="D389" s="8">
        <v>45097</v>
      </c>
      <c r="E389" s="7">
        <v>6</v>
      </c>
      <c r="F389" s="7">
        <v>20</v>
      </c>
      <c r="G389" s="7">
        <v>2023</v>
      </c>
      <c r="H389" s="8">
        <f t="shared" si="18"/>
        <v>45097</v>
      </c>
      <c r="I389" s="11">
        <v>45102</v>
      </c>
      <c r="J389" s="7">
        <f t="shared" si="19"/>
        <v>5</v>
      </c>
      <c r="K389" s="7" t="s">
        <v>14</v>
      </c>
      <c r="L389" s="7">
        <v>57958</v>
      </c>
      <c r="M389" s="7">
        <v>2328</v>
      </c>
      <c r="N389" s="12">
        <v>2135.23</v>
      </c>
      <c r="O389" s="12">
        <f t="shared" si="20"/>
        <v>2135.23</v>
      </c>
      <c r="P389" s="7">
        <v>280</v>
      </c>
      <c r="Q389" s="7" t="b">
        <v>1</v>
      </c>
      <c r="R389" s="7"/>
      <c r="S389" s="15" t="s">
        <v>16</v>
      </c>
    </row>
    <row r="390" spans="1:19">
      <c r="A390" s="3" t="s">
        <v>825</v>
      </c>
      <c r="B390" s="4" t="s">
        <v>826</v>
      </c>
      <c r="C390" s="5" t="s">
        <v>4129</v>
      </c>
      <c r="D390" s="5">
        <v>45216</v>
      </c>
      <c r="E390" s="4">
        <v>10</v>
      </c>
      <c r="F390" s="4">
        <v>17</v>
      </c>
      <c r="G390" s="4">
        <v>2023</v>
      </c>
      <c r="H390" s="5">
        <f t="shared" si="18"/>
        <v>45216</v>
      </c>
      <c r="I390" s="9">
        <v>45234</v>
      </c>
      <c r="J390" s="4">
        <f t="shared" si="19"/>
        <v>18</v>
      </c>
      <c r="K390" s="4" t="s">
        <v>41</v>
      </c>
      <c r="L390" s="4">
        <v>83074</v>
      </c>
      <c r="M390" s="4">
        <v>2889</v>
      </c>
      <c r="N390" s="10">
        <v>2060.96</v>
      </c>
      <c r="O390" s="10">
        <f t="shared" si="20"/>
        <v>2060.96</v>
      </c>
      <c r="P390" s="4">
        <v>175</v>
      </c>
      <c r="Q390" s="4" t="b">
        <v>0</v>
      </c>
      <c r="R390" s="4"/>
      <c r="S390" s="14" t="s">
        <v>42</v>
      </c>
    </row>
    <row r="391" spans="1:19">
      <c r="A391" s="6" t="s">
        <v>827</v>
      </c>
      <c r="B391" s="7" t="s">
        <v>828</v>
      </c>
      <c r="C391" s="8" t="s">
        <v>4128</v>
      </c>
      <c r="D391" s="8">
        <v>45210</v>
      </c>
      <c r="E391" s="7">
        <v>10</v>
      </c>
      <c r="F391" s="7">
        <v>11</v>
      </c>
      <c r="G391" s="7">
        <v>2023</v>
      </c>
      <c r="H391" s="8">
        <f t="shared" si="18"/>
        <v>45210</v>
      </c>
      <c r="I391" s="11">
        <v>45211</v>
      </c>
      <c r="J391" s="7">
        <f t="shared" si="19"/>
        <v>1</v>
      </c>
      <c r="K391" s="7" t="s">
        <v>23</v>
      </c>
      <c r="L391" s="7">
        <v>11729</v>
      </c>
      <c r="M391" s="7">
        <v>256</v>
      </c>
      <c r="N391" s="12">
        <v>248.25</v>
      </c>
      <c r="O391" s="12">
        <f t="shared" si="20"/>
        <v>248.25</v>
      </c>
      <c r="P391" s="7">
        <v>44</v>
      </c>
      <c r="Q391" s="7" t="b">
        <v>1</v>
      </c>
      <c r="R391" s="7"/>
      <c r="S391" s="15" t="s">
        <v>68</v>
      </c>
    </row>
    <row r="392" spans="1:19">
      <c r="A392" s="3" t="s">
        <v>829</v>
      </c>
      <c r="B392" s="4" t="s">
        <v>830</v>
      </c>
      <c r="C392" s="5" t="s">
        <v>4127</v>
      </c>
      <c r="D392" s="5">
        <v>45046</v>
      </c>
      <c r="E392" s="4">
        <v>4</v>
      </c>
      <c r="F392" s="4">
        <v>30</v>
      </c>
      <c r="G392" s="4">
        <v>2023</v>
      </c>
      <c r="H392" s="5">
        <f t="shared" si="18"/>
        <v>45046</v>
      </c>
      <c r="I392" s="9">
        <v>45076</v>
      </c>
      <c r="J392" s="4">
        <f t="shared" si="19"/>
        <v>30</v>
      </c>
      <c r="K392" s="4" t="s">
        <v>41</v>
      </c>
      <c r="L392" s="4">
        <v>46017</v>
      </c>
      <c r="M392" s="4">
        <v>1252</v>
      </c>
      <c r="N392" s="10">
        <v>2221.43</v>
      </c>
      <c r="O392" s="10">
        <f t="shared" si="20"/>
        <v>2221.43</v>
      </c>
      <c r="P392" s="4">
        <v>125</v>
      </c>
      <c r="Q392" s="4" t="b">
        <v>1</v>
      </c>
      <c r="R392" s="4"/>
      <c r="S392" s="14" t="s">
        <v>42</v>
      </c>
    </row>
    <row r="393" spans="1:19">
      <c r="A393" s="6" t="s">
        <v>831</v>
      </c>
      <c r="B393" s="7" t="s">
        <v>832</v>
      </c>
      <c r="C393" s="8" t="s">
        <v>4131</v>
      </c>
      <c r="D393" s="8">
        <v>44968</v>
      </c>
      <c r="E393" s="7">
        <v>2</v>
      </c>
      <c r="F393" s="7">
        <v>11</v>
      </c>
      <c r="G393" s="7">
        <v>2023</v>
      </c>
      <c r="H393" s="8">
        <f t="shared" si="18"/>
        <v>44968</v>
      </c>
      <c r="I393" s="11">
        <v>45253</v>
      </c>
      <c r="J393" s="7">
        <f t="shared" si="19"/>
        <v>285</v>
      </c>
      <c r="K393" s="7" t="s">
        <v>14</v>
      </c>
      <c r="L393" s="7">
        <v>67320</v>
      </c>
      <c r="M393" s="7">
        <v>1132</v>
      </c>
      <c r="N393" s="12">
        <v>717.1</v>
      </c>
      <c r="O393" s="12">
        <f t="shared" si="20"/>
        <v>717.1</v>
      </c>
      <c r="P393" s="7">
        <v>154</v>
      </c>
      <c r="Q393" s="7" t="b">
        <v>0</v>
      </c>
      <c r="R393" s="7"/>
      <c r="S393" s="15" t="s">
        <v>16</v>
      </c>
    </row>
    <row r="394" spans="1:19">
      <c r="A394" s="3" t="s">
        <v>833</v>
      </c>
      <c r="B394" s="4" t="s">
        <v>834</v>
      </c>
      <c r="C394" s="5" t="s">
        <v>4129</v>
      </c>
      <c r="D394" s="5">
        <v>45001</v>
      </c>
      <c r="E394" s="4">
        <v>3</v>
      </c>
      <c r="F394" s="4">
        <v>16</v>
      </c>
      <c r="G394" s="4">
        <v>2023</v>
      </c>
      <c r="H394" s="5">
        <f t="shared" si="18"/>
        <v>45001</v>
      </c>
      <c r="I394" s="9">
        <v>45025</v>
      </c>
      <c r="J394" s="4">
        <f t="shared" si="19"/>
        <v>24</v>
      </c>
      <c r="K394" s="4" t="s">
        <v>191</v>
      </c>
      <c r="L394" s="4">
        <v>28751</v>
      </c>
      <c r="M394" s="4">
        <v>373</v>
      </c>
      <c r="N394" s="10">
        <v>741.35</v>
      </c>
      <c r="O394" s="10">
        <f t="shared" si="20"/>
        <v>741.35</v>
      </c>
      <c r="P394" s="4">
        <v>47</v>
      </c>
      <c r="Q394" s="4" t="b">
        <v>1</v>
      </c>
      <c r="R394" s="4"/>
      <c r="S394" s="14" t="s">
        <v>42</v>
      </c>
    </row>
    <row r="395" spans="1:19">
      <c r="A395" s="6" t="s">
        <v>835</v>
      </c>
      <c r="B395" s="7" t="s">
        <v>836</v>
      </c>
      <c r="C395" s="8" t="s">
        <v>4129</v>
      </c>
      <c r="D395" s="8">
        <v>45016</v>
      </c>
      <c r="E395" s="7">
        <v>3</v>
      </c>
      <c r="F395" s="7">
        <v>31</v>
      </c>
      <c r="G395" s="7">
        <v>2023</v>
      </c>
      <c r="H395" s="8">
        <f t="shared" si="18"/>
        <v>45016</v>
      </c>
      <c r="I395" s="11">
        <v>45036</v>
      </c>
      <c r="J395" s="7">
        <f t="shared" si="19"/>
        <v>20</v>
      </c>
      <c r="K395" s="7" t="s">
        <v>41</v>
      </c>
      <c r="L395" s="7">
        <v>79069</v>
      </c>
      <c r="M395" s="7">
        <v>3266</v>
      </c>
      <c r="N395" s="12">
        <v>4283.37</v>
      </c>
      <c r="O395" s="12">
        <f t="shared" si="20"/>
        <v>3632.575</v>
      </c>
      <c r="P395" s="7">
        <v>414</v>
      </c>
      <c r="Q395" s="7" t="b">
        <v>0</v>
      </c>
      <c r="R395" s="7"/>
      <c r="S395" s="15" t="s">
        <v>42</v>
      </c>
    </row>
    <row r="396" spans="1:19">
      <c r="A396" s="3" t="s">
        <v>837</v>
      </c>
      <c r="B396" s="4" t="s">
        <v>838</v>
      </c>
      <c r="C396" s="5" t="s">
        <v>4131</v>
      </c>
      <c r="D396" s="5">
        <v>45172</v>
      </c>
      <c r="E396" s="4">
        <v>9</v>
      </c>
      <c r="F396" s="4">
        <v>3</v>
      </c>
      <c r="G396" s="4">
        <v>2023</v>
      </c>
      <c r="H396" s="5">
        <f t="shared" si="18"/>
        <v>45172</v>
      </c>
      <c r="I396" s="9">
        <v>45004</v>
      </c>
      <c r="J396" s="4">
        <f t="shared" si="19"/>
        <v>-168</v>
      </c>
      <c r="K396" s="4" t="s">
        <v>14</v>
      </c>
      <c r="L396" s="4">
        <v>55748</v>
      </c>
      <c r="M396" s="4">
        <v>1149</v>
      </c>
      <c r="N396" s="10">
        <v>2271.88</v>
      </c>
      <c r="O396" s="10">
        <f t="shared" si="20"/>
        <v>2271.88</v>
      </c>
      <c r="P396" s="4">
        <v>75</v>
      </c>
      <c r="Q396" s="4" t="b">
        <v>0</v>
      </c>
      <c r="R396" s="4"/>
      <c r="S396" s="14" t="s">
        <v>16</v>
      </c>
    </row>
    <row r="397" spans="1:19">
      <c r="A397" s="6" t="s">
        <v>839</v>
      </c>
      <c r="B397" s="7" t="s">
        <v>840</v>
      </c>
      <c r="C397" s="8" t="s">
        <v>4127</v>
      </c>
      <c r="D397" s="8">
        <v>45048</v>
      </c>
      <c r="E397" s="7">
        <v>5</v>
      </c>
      <c r="F397" s="7">
        <v>2</v>
      </c>
      <c r="G397" s="7">
        <v>2023</v>
      </c>
      <c r="H397" s="8">
        <f t="shared" si="18"/>
        <v>45048</v>
      </c>
      <c r="I397" s="11">
        <v>44971</v>
      </c>
      <c r="J397" s="7">
        <f t="shared" si="19"/>
        <v>-77</v>
      </c>
      <c r="K397" s="7" t="s">
        <v>19</v>
      </c>
      <c r="L397" s="7">
        <v>6801</v>
      </c>
      <c r="M397" s="7">
        <v>116</v>
      </c>
      <c r="N397" s="12">
        <v>221.39</v>
      </c>
      <c r="O397" s="12">
        <f t="shared" si="20"/>
        <v>221.39</v>
      </c>
      <c r="P397" s="7">
        <v>13</v>
      </c>
      <c r="Q397" s="7" t="b">
        <v>1</v>
      </c>
      <c r="R397" s="7"/>
      <c r="S397" s="15" t="s">
        <v>68</v>
      </c>
    </row>
    <row r="398" spans="1:19">
      <c r="A398" s="3" t="s">
        <v>841</v>
      </c>
      <c r="B398" s="4" t="s">
        <v>842</v>
      </c>
      <c r="C398" s="5" t="s">
        <v>4129</v>
      </c>
      <c r="D398" s="5" t="s">
        <v>843</v>
      </c>
      <c r="E398" s="4">
        <v>16</v>
      </c>
      <c r="F398" s="4">
        <v>5</v>
      </c>
      <c r="G398" s="4">
        <v>2023</v>
      </c>
      <c r="H398" s="5">
        <f t="shared" si="18"/>
        <v>45062</v>
      </c>
      <c r="I398" s="9">
        <v>45080</v>
      </c>
      <c r="J398" s="4">
        <f t="shared" si="19"/>
        <v>18</v>
      </c>
      <c r="K398" s="4" t="s">
        <v>14</v>
      </c>
      <c r="L398" s="4">
        <v>20190</v>
      </c>
      <c r="M398" s="4">
        <v>760</v>
      </c>
      <c r="N398" s="10">
        <v>896.21</v>
      </c>
      <c r="O398" s="10">
        <f t="shared" si="20"/>
        <v>896.21</v>
      </c>
      <c r="P398" s="4">
        <v>89</v>
      </c>
      <c r="Q398" s="4" t="b">
        <v>1</v>
      </c>
      <c r="R398" s="4"/>
      <c r="S398" s="14" t="s">
        <v>16</v>
      </c>
    </row>
    <row r="399" spans="1:19">
      <c r="A399" s="6" t="s">
        <v>844</v>
      </c>
      <c r="B399" s="7" t="s">
        <v>845</v>
      </c>
      <c r="C399" s="8" t="s">
        <v>4131</v>
      </c>
      <c r="D399" s="8">
        <v>45142</v>
      </c>
      <c r="E399" s="7">
        <v>8</v>
      </c>
      <c r="F399" s="7">
        <v>4</v>
      </c>
      <c r="G399" s="7">
        <v>2023</v>
      </c>
      <c r="H399" s="8">
        <f t="shared" si="18"/>
        <v>45142</v>
      </c>
      <c r="I399" s="11">
        <v>45154</v>
      </c>
      <c r="J399" s="7">
        <f t="shared" si="19"/>
        <v>12</v>
      </c>
      <c r="K399" s="7" t="s">
        <v>14</v>
      </c>
      <c r="L399" s="7">
        <v>50689</v>
      </c>
      <c r="M399" s="7">
        <v>1760</v>
      </c>
      <c r="N399" s="12">
        <v>1404.02</v>
      </c>
      <c r="O399" s="12">
        <f t="shared" si="20"/>
        <v>1404.02</v>
      </c>
      <c r="P399" s="7">
        <v>0</v>
      </c>
      <c r="Q399" s="7" t="b">
        <v>0</v>
      </c>
      <c r="R399" s="7"/>
      <c r="S399" s="15" t="s">
        <v>16</v>
      </c>
    </row>
    <row r="400" spans="1:19">
      <c r="A400" s="3" t="s">
        <v>846</v>
      </c>
      <c r="B400" s="4" t="s">
        <v>847</v>
      </c>
      <c r="C400" s="5" t="s">
        <v>4129</v>
      </c>
      <c r="D400" s="5">
        <v>45170</v>
      </c>
      <c r="E400" s="4">
        <v>9</v>
      </c>
      <c r="F400" s="4">
        <v>1</v>
      </c>
      <c r="G400" s="4">
        <v>2023</v>
      </c>
      <c r="H400" s="5">
        <f t="shared" si="18"/>
        <v>45170</v>
      </c>
      <c r="I400" s="9">
        <v>45187</v>
      </c>
      <c r="J400" s="4">
        <f t="shared" si="19"/>
        <v>17</v>
      </c>
      <c r="K400" s="4" t="s">
        <v>41</v>
      </c>
      <c r="L400" s="4">
        <v>51993</v>
      </c>
      <c r="M400" s="4">
        <v>1836</v>
      </c>
      <c r="N400" s="10">
        <v>1372.09</v>
      </c>
      <c r="O400" s="10">
        <f t="shared" si="20"/>
        <v>1372.09</v>
      </c>
      <c r="P400" s="4">
        <v>323</v>
      </c>
      <c r="Q400" s="4" t="b">
        <v>1</v>
      </c>
      <c r="R400" s="4"/>
      <c r="S400" s="14" t="s">
        <v>42</v>
      </c>
    </row>
    <row r="401" spans="1:19">
      <c r="A401" s="6" t="s">
        <v>848</v>
      </c>
      <c r="B401" s="7" t="s">
        <v>849</v>
      </c>
      <c r="C401" s="8" t="s">
        <v>4127</v>
      </c>
      <c r="D401" s="8">
        <v>45230</v>
      </c>
      <c r="E401" s="7">
        <v>10</v>
      </c>
      <c r="F401" s="7">
        <v>31</v>
      </c>
      <c r="G401" s="7">
        <v>2023</v>
      </c>
      <c r="H401" s="8">
        <f t="shared" si="18"/>
        <v>45230</v>
      </c>
      <c r="I401" s="11">
        <v>45243</v>
      </c>
      <c r="J401" s="7">
        <f t="shared" si="19"/>
        <v>13</v>
      </c>
      <c r="K401" s="7" t="s">
        <v>14</v>
      </c>
      <c r="L401" s="7">
        <v>30592</v>
      </c>
      <c r="M401" s="7">
        <v>586</v>
      </c>
      <c r="N401" s="12">
        <v>503.95</v>
      </c>
      <c r="O401" s="12">
        <f t="shared" si="20"/>
        <v>503.95</v>
      </c>
      <c r="P401" s="7">
        <v>77</v>
      </c>
      <c r="Q401" s="7" t="b">
        <v>1</v>
      </c>
      <c r="R401" s="7"/>
      <c r="S401" s="15" t="s">
        <v>16</v>
      </c>
    </row>
    <row r="402" spans="1:19">
      <c r="A402" s="3" t="s">
        <v>850</v>
      </c>
      <c r="B402" s="4" t="s">
        <v>851</v>
      </c>
      <c r="C402" s="5" t="s">
        <v>4129</v>
      </c>
      <c r="D402" s="5">
        <v>45241</v>
      </c>
      <c r="E402" s="4">
        <v>11</v>
      </c>
      <c r="F402" s="4">
        <v>11</v>
      </c>
      <c r="G402" s="4">
        <v>2023</v>
      </c>
      <c r="H402" s="5">
        <f t="shared" si="18"/>
        <v>45241</v>
      </c>
      <c r="I402" s="9">
        <v>45247</v>
      </c>
      <c r="J402" s="4">
        <f t="shared" si="19"/>
        <v>6</v>
      </c>
      <c r="K402" s="4" t="s">
        <v>14</v>
      </c>
      <c r="L402" s="4">
        <v>11647</v>
      </c>
      <c r="M402" s="4">
        <v>224</v>
      </c>
      <c r="N402" s="10">
        <v>350.6</v>
      </c>
      <c r="O402" s="10">
        <f t="shared" si="20"/>
        <v>350.6</v>
      </c>
      <c r="P402" s="4">
        <v>14</v>
      </c>
      <c r="Q402" s="4" t="b">
        <v>1</v>
      </c>
      <c r="R402" s="4"/>
      <c r="S402" s="14" t="s">
        <v>16</v>
      </c>
    </row>
    <row r="403" spans="1:19">
      <c r="A403" s="6" t="s">
        <v>852</v>
      </c>
      <c r="B403" s="7" t="s">
        <v>853</v>
      </c>
      <c r="C403" s="8" t="s">
        <v>4128</v>
      </c>
      <c r="D403" s="8">
        <v>45264</v>
      </c>
      <c r="E403" s="7">
        <v>12</v>
      </c>
      <c r="F403" s="7">
        <v>4</v>
      </c>
      <c r="G403" s="7">
        <v>2023</v>
      </c>
      <c r="H403" s="8">
        <f t="shared" si="18"/>
        <v>45264</v>
      </c>
      <c r="I403" s="11">
        <v>45291</v>
      </c>
      <c r="J403" s="7">
        <f t="shared" si="19"/>
        <v>27</v>
      </c>
      <c r="K403" s="7" t="s">
        <v>23</v>
      </c>
      <c r="L403" s="7">
        <v>9716</v>
      </c>
      <c r="M403" s="7">
        <v>182</v>
      </c>
      <c r="N403" s="12">
        <v>165.52</v>
      </c>
      <c r="O403" s="12">
        <f t="shared" si="20"/>
        <v>165.52</v>
      </c>
      <c r="P403" s="7">
        <v>0</v>
      </c>
      <c r="Q403" s="7" t="b">
        <v>1</v>
      </c>
      <c r="R403" s="7"/>
      <c r="S403" s="15" t="s">
        <v>25</v>
      </c>
    </row>
    <row r="404" spans="1:19">
      <c r="A404" s="3" t="s">
        <v>854</v>
      </c>
      <c r="B404" s="4" t="s">
        <v>855</v>
      </c>
      <c r="C404" s="5" t="s">
        <v>4127</v>
      </c>
      <c r="D404" s="5" t="s">
        <v>856</v>
      </c>
      <c r="E404" s="4">
        <v>16</v>
      </c>
      <c r="F404" s="4">
        <v>1</v>
      </c>
      <c r="G404" s="4">
        <v>2023</v>
      </c>
      <c r="H404" s="5">
        <f t="shared" si="18"/>
        <v>44942</v>
      </c>
      <c r="I404" s="9">
        <v>44949</v>
      </c>
      <c r="J404" s="4">
        <f t="shared" si="19"/>
        <v>7</v>
      </c>
      <c r="K404" s="4" t="s">
        <v>33</v>
      </c>
      <c r="L404" s="4">
        <v>89891</v>
      </c>
      <c r="M404" s="4">
        <v>1523</v>
      </c>
      <c r="N404" s="10">
        <v>1541.49</v>
      </c>
      <c r="O404" s="10">
        <f t="shared" si="20"/>
        <v>1541.49</v>
      </c>
      <c r="P404" s="4">
        <v>113</v>
      </c>
      <c r="Q404" s="4" t="b">
        <v>1</v>
      </c>
      <c r="R404" s="4"/>
      <c r="S404" s="14" t="s">
        <v>34</v>
      </c>
    </row>
    <row r="405" spans="1:19">
      <c r="A405" s="6" t="s">
        <v>857</v>
      </c>
      <c r="B405" s="7" t="s">
        <v>858</v>
      </c>
      <c r="C405" s="8" t="s">
        <v>4128</v>
      </c>
      <c r="D405" s="8">
        <v>45172</v>
      </c>
      <c r="E405" s="7">
        <v>9</v>
      </c>
      <c r="F405" s="7">
        <v>3</v>
      </c>
      <c r="G405" s="7">
        <v>2023</v>
      </c>
      <c r="H405" s="8">
        <f t="shared" si="18"/>
        <v>45172</v>
      </c>
      <c r="I405" s="11">
        <v>45197</v>
      </c>
      <c r="J405" s="7">
        <f t="shared" si="19"/>
        <v>25</v>
      </c>
      <c r="K405" s="7" t="s">
        <v>138</v>
      </c>
      <c r="L405" s="7">
        <v>88545</v>
      </c>
      <c r="M405" s="7">
        <v>3207</v>
      </c>
      <c r="N405" s="12">
        <v>3762.35</v>
      </c>
      <c r="O405" s="12">
        <f t="shared" si="20"/>
        <v>3632.575</v>
      </c>
      <c r="P405" s="7">
        <v>0</v>
      </c>
      <c r="Q405" s="7" t="b">
        <v>1</v>
      </c>
      <c r="R405" s="7"/>
      <c r="S405" s="15" t="s">
        <v>68</v>
      </c>
    </row>
    <row r="406" spans="1:19">
      <c r="A406" s="3" t="s">
        <v>859</v>
      </c>
      <c r="B406" s="4" t="s">
        <v>860</v>
      </c>
      <c r="C406" s="5" t="s">
        <v>4127</v>
      </c>
      <c r="D406" s="5">
        <v>44982</v>
      </c>
      <c r="E406" s="4">
        <v>2</v>
      </c>
      <c r="F406" s="4">
        <v>25</v>
      </c>
      <c r="G406" s="4">
        <v>2023</v>
      </c>
      <c r="H406" s="5">
        <f t="shared" si="18"/>
        <v>44982</v>
      </c>
      <c r="I406" s="9">
        <v>45002</v>
      </c>
      <c r="J406" s="4">
        <f t="shared" si="19"/>
        <v>20</v>
      </c>
      <c r="K406" s="4" t="s">
        <v>23</v>
      </c>
      <c r="L406" s="4">
        <v>90912</v>
      </c>
      <c r="M406" s="4">
        <v>3992</v>
      </c>
      <c r="N406" s="10">
        <v>7464.44</v>
      </c>
      <c r="O406" s="10">
        <f t="shared" si="20"/>
        <v>3632.575</v>
      </c>
      <c r="P406" s="4">
        <v>418</v>
      </c>
      <c r="Q406" s="4" t="b">
        <v>1</v>
      </c>
      <c r="R406" s="4"/>
      <c r="S406" s="14" t="s">
        <v>25</v>
      </c>
    </row>
    <row r="407" spans="1:19">
      <c r="A407" s="6" t="s">
        <v>861</v>
      </c>
      <c r="B407" s="7" t="s">
        <v>862</v>
      </c>
      <c r="C407" s="8" t="s">
        <v>4131</v>
      </c>
      <c r="D407" s="8">
        <v>44964</v>
      </c>
      <c r="E407" s="7">
        <v>2</v>
      </c>
      <c r="F407" s="7">
        <v>7</v>
      </c>
      <c r="G407" s="7">
        <v>2023</v>
      </c>
      <c r="H407" s="8">
        <f t="shared" si="18"/>
        <v>44964</v>
      </c>
      <c r="I407" s="11">
        <v>44973</v>
      </c>
      <c r="J407" s="7">
        <f t="shared" si="19"/>
        <v>9</v>
      </c>
      <c r="K407" s="7" t="s">
        <v>19</v>
      </c>
      <c r="L407" s="7">
        <v>71316</v>
      </c>
      <c r="M407" s="7">
        <v>2779</v>
      </c>
      <c r="N407" s="12">
        <v>2178.99</v>
      </c>
      <c r="O407" s="12">
        <f t="shared" si="20"/>
        <v>2178.99</v>
      </c>
      <c r="P407" s="7">
        <v>234</v>
      </c>
      <c r="Q407" s="7" t="b">
        <v>0</v>
      </c>
      <c r="R407" s="7"/>
      <c r="S407" s="15" t="s">
        <v>20</v>
      </c>
    </row>
    <row r="408" spans="1:19">
      <c r="A408" s="3" t="s">
        <v>863</v>
      </c>
      <c r="B408" s="4" t="s">
        <v>864</v>
      </c>
      <c r="C408" s="5" t="s">
        <v>4129</v>
      </c>
      <c r="D408" s="5" t="s">
        <v>865</v>
      </c>
      <c r="E408" s="4">
        <v>17</v>
      </c>
      <c r="F408" s="4">
        <v>3</v>
      </c>
      <c r="G408" s="4">
        <v>2023</v>
      </c>
      <c r="H408" s="5">
        <f t="shared" si="18"/>
        <v>45002</v>
      </c>
      <c r="I408" s="9">
        <v>45013</v>
      </c>
      <c r="J408" s="4">
        <f t="shared" si="19"/>
        <v>11</v>
      </c>
      <c r="K408" s="4" t="s">
        <v>23</v>
      </c>
      <c r="L408" s="4">
        <v>3368</v>
      </c>
      <c r="M408" s="4">
        <v>140</v>
      </c>
      <c r="N408" s="10">
        <v>71.06</v>
      </c>
      <c r="O408" s="10">
        <f t="shared" si="20"/>
        <v>71.06</v>
      </c>
      <c r="P408" s="4">
        <v>11</v>
      </c>
      <c r="Q408" s="4" t="b">
        <v>0</v>
      </c>
      <c r="R408" s="4"/>
      <c r="S408" s="14" t="s">
        <v>25</v>
      </c>
    </row>
    <row r="409" spans="1:19">
      <c r="A409" s="6" t="s">
        <v>866</v>
      </c>
      <c r="B409" s="7" t="s">
        <v>867</v>
      </c>
      <c r="C409" s="8" t="s">
        <v>4131</v>
      </c>
      <c r="D409" s="8">
        <v>45067</v>
      </c>
      <c r="E409" s="7">
        <v>5</v>
      </c>
      <c r="F409" s="7">
        <v>21</v>
      </c>
      <c r="G409" s="7">
        <v>2023</v>
      </c>
      <c r="H409" s="8">
        <f t="shared" si="18"/>
        <v>45067</v>
      </c>
      <c r="I409" s="11">
        <v>45074</v>
      </c>
      <c r="J409" s="7">
        <f t="shared" si="19"/>
        <v>7</v>
      </c>
      <c r="K409" s="7" t="s">
        <v>266</v>
      </c>
      <c r="L409" s="7">
        <v>78575</v>
      </c>
      <c r="M409" s="7">
        <v>2058</v>
      </c>
      <c r="N409" s="12">
        <v>-1214.52</v>
      </c>
      <c r="O409" s="12">
        <f t="shared" si="20"/>
        <v>-344.195</v>
      </c>
      <c r="P409" s="7">
        <v>119</v>
      </c>
      <c r="Q409" s="7" t="b">
        <v>0</v>
      </c>
      <c r="R409" s="7"/>
      <c r="S409" s="15" t="s">
        <v>20</v>
      </c>
    </row>
    <row r="410" spans="1:19">
      <c r="A410" s="3" t="s">
        <v>868</v>
      </c>
      <c r="B410" s="4" t="s">
        <v>869</v>
      </c>
      <c r="C410" s="5" t="s">
        <v>4127</v>
      </c>
      <c r="D410" s="5">
        <v>45291</v>
      </c>
      <c r="E410" s="4">
        <v>12</v>
      </c>
      <c r="F410" s="4">
        <v>31</v>
      </c>
      <c r="G410" s="4">
        <v>2023</v>
      </c>
      <c r="H410" s="5">
        <f t="shared" si="18"/>
        <v>45291</v>
      </c>
      <c r="I410" s="9">
        <v>45302</v>
      </c>
      <c r="J410" s="4">
        <f t="shared" si="19"/>
        <v>11</v>
      </c>
      <c r="K410" s="4" t="s">
        <v>41</v>
      </c>
      <c r="L410" s="4">
        <v>7655</v>
      </c>
      <c r="M410" s="4">
        <v>276</v>
      </c>
      <c r="N410" s="10">
        <v>512.57</v>
      </c>
      <c r="O410" s="10">
        <f t="shared" si="20"/>
        <v>512.57</v>
      </c>
      <c r="P410" s="4">
        <v>14</v>
      </c>
      <c r="Q410" s="4" t="b">
        <v>1</v>
      </c>
      <c r="R410" s="4"/>
      <c r="S410" s="14" t="s">
        <v>42</v>
      </c>
    </row>
    <row r="411" spans="1:19">
      <c r="A411" s="6" t="s">
        <v>870</v>
      </c>
      <c r="B411" s="7" t="s">
        <v>871</v>
      </c>
      <c r="C411" s="8" t="s">
        <v>4129</v>
      </c>
      <c r="D411" s="8">
        <v>45198</v>
      </c>
      <c r="E411" s="7">
        <v>9</v>
      </c>
      <c r="F411" s="7">
        <v>29</v>
      </c>
      <c r="G411" s="7">
        <v>2023</v>
      </c>
      <c r="H411" s="8">
        <f t="shared" si="18"/>
        <v>45198</v>
      </c>
      <c r="I411" s="11">
        <v>45227</v>
      </c>
      <c r="J411" s="7">
        <f t="shared" si="19"/>
        <v>29</v>
      </c>
      <c r="K411" s="7" t="s">
        <v>23</v>
      </c>
      <c r="L411" s="7">
        <v>71031</v>
      </c>
      <c r="M411" s="7">
        <v>1716</v>
      </c>
      <c r="N411" s="12">
        <v>2524.71</v>
      </c>
      <c r="O411" s="12">
        <f t="shared" si="20"/>
        <v>2524.71</v>
      </c>
      <c r="P411" s="7">
        <v>112</v>
      </c>
      <c r="Q411" s="7" t="b">
        <v>1</v>
      </c>
      <c r="R411" s="7"/>
      <c r="S411" s="15" t="s">
        <v>25</v>
      </c>
    </row>
    <row r="412" spans="1:19">
      <c r="A412" s="3" t="s">
        <v>872</v>
      </c>
      <c r="B412" s="4" t="s">
        <v>873</v>
      </c>
      <c r="C412" s="5" t="s">
        <v>4127</v>
      </c>
      <c r="D412" s="5">
        <v>45177</v>
      </c>
      <c r="E412" s="4">
        <v>9</v>
      </c>
      <c r="F412" s="4">
        <v>8</v>
      </c>
      <c r="G412" s="4">
        <v>2023</v>
      </c>
      <c r="H412" s="5">
        <f t="shared" si="18"/>
        <v>45177</v>
      </c>
      <c r="I412" s="9">
        <v>45156</v>
      </c>
      <c r="J412" s="4">
        <f t="shared" si="19"/>
        <v>-21</v>
      </c>
      <c r="K412" s="4" t="s">
        <v>23</v>
      </c>
      <c r="L412" s="4">
        <v>77429</v>
      </c>
      <c r="M412" s="4">
        <v>2401</v>
      </c>
      <c r="N412" s="10">
        <v>2183.86</v>
      </c>
      <c r="O412" s="10">
        <f t="shared" si="20"/>
        <v>2183.86</v>
      </c>
      <c r="P412" s="4">
        <v>182</v>
      </c>
      <c r="Q412" s="4" t="b">
        <v>0</v>
      </c>
      <c r="R412" s="4"/>
      <c r="S412" s="14" t="s">
        <v>68</v>
      </c>
    </row>
    <row r="413" spans="1:19">
      <c r="A413" s="6" t="s">
        <v>874</v>
      </c>
      <c r="B413" s="7" t="s">
        <v>875</v>
      </c>
      <c r="C413" s="8" t="s">
        <v>4127</v>
      </c>
      <c r="D413" s="8">
        <v>45286</v>
      </c>
      <c r="E413" s="7">
        <v>12</v>
      </c>
      <c r="F413" s="7">
        <v>26</v>
      </c>
      <c r="G413" s="7">
        <v>2023</v>
      </c>
      <c r="H413" s="8">
        <f t="shared" si="18"/>
        <v>45286</v>
      </c>
      <c r="I413" s="11">
        <v>45299</v>
      </c>
      <c r="J413" s="7">
        <f t="shared" si="19"/>
        <v>13</v>
      </c>
      <c r="K413" s="7" t="s">
        <v>33</v>
      </c>
      <c r="L413" s="7">
        <v>92083</v>
      </c>
      <c r="M413" s="7">
        <v>2694</v>
      </c>
      <c r="N413" s="12">
        <v>2063.03</v>
      </c>
      <c r="O413" s="12">
        <f t="shared" si="20"/>
        <v>2063.03</v>
      </c>
      <c r="P413" s="7">
        <v>308</v>
      </c>
      <c r="Q413" s="7" t="b">
        <v>1</v>
      </c>
      <c r="R413" s="7"/>
      <c r="S413" s="15" t="s">
        <v>34</v>
      </c>
    </row>
    <row r="414" spans="1:19">
      <c r="A414" s="3" t="s">
        <v>876</v>
      </c>
      <c r="B414" s="4" t="s">
        <v>877</v>
      </c>
      <c r="C414" s="5" t="s">
        <v>4129</v>
      </c>
      <c r="D414" s="5">
        <v>45209</v>
      </c>
      <c r="E414" s="4">
        <v>10</v>
      </c>
      <c r="F414" s="4">
        <v>10</v>
      </c>
      <c r="G414" s="4">
        <v>2023</v>
      </c>
      <c r="H414" s="5">
        <f t="shared" si="18"/>
        <v>45209</v>
      </c>
      <c r="I414" s="9">
        <v>45213</v>
      </c>
      <c r="J414" s="4">
        <f t="shared" si="19"/>
        <v>4</v>
      </c>
      <c r="K414" s="4" t="s">
        <v>14</v>
      </c>
      <c r="L414" s="4">
        <v>88922</v>
      </c>
      <c r="M414" s="4">
        <v>1518</v>
      </c>
      <c r="N414" s="10">
        <v>1429.05</v>
      </c>
      <c r="O414" s="10">
        <f t="shared" si="20"/>
        <v>1429.05</v>
      </c>
      <c r="P414" s="4">
        <v>0</v>
      </c>
      <c r="Q414" s="4" t="b">
        <v>0</v>
      </c>
      <c r="R414" s="4"/>
      <c r="S414" s="14" t="s">
        <v>16</v>
      </c>
    </row>
    <row r="415" spans="1:19">
      <c r="A415" s="6" t="s">
        <v>878</v>
      </c>
      <c r="B415" s="7" t="s">
        <v>879</v>
      </c>
      <c r="C415" s="8" t="s">
        <v>4129</v>
      </c>
      <c r="D415" s="8">
        <v>45158</v>
      </c>
      <c r="E415" s="7">
        <v>8</v>
      </c>
      <c r="F415" s="7">
        <v>20</v>
      </c>
      <c r="G415" s="7">
        <v>2023</v>
      </c>
      <c r="H415" s="8">
        <f t="shared" si="18"/>
        <v>45158</v>
      </c>
      <c r="I415" s="11">
        <v>45179</v>
      </c>
      <c r="J415" s="7">
        <f t="shared" si="19"/>
        <v>21</v>
      </c>
      <c r="K415" s="7" t="s">
        <v>234</v>
      </c>
      <c r="L415" s="7">
        <v>56766</v>
      </c>
      <c r="M415" s="7">
        <v>1446</v>
      </c>
      <c r="N415" s="12">
        <v>971.99</v>
      </c>
      <c r="O415" s="12">
        <f t="shared" si="20"/>
        <v>971.99</v>
      </c>
      <c r="P415" s="7">
        <v>102</v>
      </c>
      <c r="Q415" s="7" t="b">
        <v>0</v>
      </c>
      <c r="R415" s="7"/>
      <c r="S415" s="15" t="s">
        <v>16</v>
      </c>
    </row>
    <row r="416" spans="1:19">
      <c r="A416" s="3" t="s">
        <v>880</v>
      </c>
      <c r="B416" s="4" t="s">
        <v>881</v>
      </c>
      <c r="C416" s="5" t="s">
        <v>4127</v>
      </c>
      <c r="D416" s="5">
        <v>45159</v>
      </c>
      <c r="E416" s="4">
        <v>8</v>
      </c>
      <c r="F416" s="4">
        <v>21</v>
      </c>
      <c r="G416" s="4">
        <v>2023</v>
      </c>
      <c r="H416" s="5">
        <f t="shared" si="18"/>
        <v>45159</v>
      </c>
      <c r="I416" s="9">
        <v>45169</v>
      </c>
      <c r="J416" s="4">
        <f t="shared" si="19"/>
        <v>10</v>
      </c>
      <c r="K416" s="4" t="s">
        <v>41</v>
      </c>
      <c r="L416" s="4">
        <v>14403</v>
      </c>
      <c r="M416" s="4">
        <v>699</v>
      </c>
      <c r="N416" s="10">
        <v>1336.7</v>
      </c>
      <c r="O416" s="10">
        <f t="shared" si="20"/>
        <v>1336.7</v>
      </c>
      <c r="P416" s="4">
        <v>79</v>
      </c>
      <c r="Q416" s="4" t="b">
        <v>1</v>
      </c>
      <c r="R416" s="4"/>
      <c r="S416" s="14" t="s">
        <v>42</v>
      </c>
    </row>
    <row r="417" spans="1:19">
      <c r="A417" s="6" t="s">
        <v>882</v>
      </c>
      <c r="B417" s="7" t="s">
        <v>883</v>
      </c>
      <c r="C417" s="8" t="s">
        <v>4131</v>
      </c>
      <c r="D417" s="8">
        <v>45087</v>
      </c>
      <c r="E417" s="7">
        <v>6</v>
      </c>
      <c r="F417" s="7">
        <v>10</v>
      </c>
      <c r="G417" s="7">
        <v>2023</v>
      </c>
      <c r="H417" s="8">
        <f t="shared" si="18"/>
        <v>45087</v>
      </c>
      <c r="I417" s="11">
        <v>45102</v>
      </c>
      <c r="J417" s="7">
        <f t="shared" si="19"/>
        <v>15</v>
      </c>
      <c r="K417" s="7" t="s">
        <v>41</v>
      </c>
      <c r="L417" s="7">
        <v>33097</v>
      </c>
      <c r="M417" s="7">
        <v>660</v>
      </c>
      <c r="N417" s="12">
        <v>1106.36</v>
      </c>
      <c r="O417" s="12">
        <f t="shared" si="20"/>
        <v>1106.36</v>
      </c>
      <c r="P417" s="7">
        <v>66</v>
      </c>
      <c r="Q417" s="7" t="b">
        <v>1</v>
      </c>
      <c r="R417" s="7"/>
      <c r="S417" s="15" t="s">
        <v>42</v>
      </c>
    </row>
    <row r="418" spans="1:19">
      <c r="A418" s="3" t="s">
        <v>884</v>
      </c>
      <c r="B418" s="4" t="s">
        <v>885</v>
      </c>
      <c r="C418" s="5" t="s">
        <v>4128</v>
      </c>
      <c r="D418" s="5">
        <v>45118</v>
      </c>
      <c r="E418" s="4">
        <v>7</v>
      </c>
      <c r="F418" s="4">
        <v>11</v>
      </c>
      <c r="G418" s="4">
        <v>2023</v>
      </c>
      <c r="H418" s="5">
        <f t="shared" si="18"/>
        <v>45118</v>
      </c>
      <c r="I418" s="9">
        <v>45119</v>
      </c>
      <c r="J418" s="4">
        <f t="shared" si="19"/>
        <v>1</v>
      </c>
      <c r="K418" s="4" t="s">
        <v>14</v>
      </c>
      <c r="L418" s="4">
        <v>79657</v>
      </c>
      <c r="M418" s="4">
        <v>1222</v>
      </c>
      <c r="N418" s="10">
        <v>1458.56</v>
      </c>
      <c r="O418" s="10">
        <f t="shared" si="20"/>
        <v>1458.56</v>
      </c>
      <c r="P418" s="4">
        <v>94</v>
      </c>
      <c r="Q418" s="4" t="b">
        <v>1</v>
      </c>
      <c r="R418" s="4"/>
      <c r="S418" s="14" t="s">
        <v>16</v>
      </c>
    </row>
    <row r="419" spans="1:19">
      <c r="A419" s="6" t="s">
        <v>886</v>
      </c>
      <c r="B419" s="7" t="s">
        <v>887</v>
      </c>
      <c r="C419" s="8" t="s">
        <v>4131</v>
      </c>
      <c r="D419" s="8" t="s">
        <v>888</v>
      </c>
      <c r="E419" s="7">
        <v>31</v>
      </c>
      <c r="F419" s="7">
        <v>8</v>
      </c>
      <c r="G419" s="7">
        <v>2023</v>
      </c>
      <c r="H419" s="8">
        <f t="shared" si="18"/>
        <v>45169</v>
      </c>
      <c r="I419" s="11">
        <v>45184</v>
      </c>
      <c r="J419" s="7">
        <f t="shared" si="19"/>
        <v>15</v>
      </c>
      <c r="K419" s="7" t="s">
        <v>19</v>
      </c>
      <c r="L419" s="7">
        <v>11966</v>
      </c>
      <c r="M419" s="7">
        <v>320</v>
      </c>
      <c r="N419" s="12">
        <v>575.18</v>
      </c>
      <c r="O419" s="12">
        <f t="shared" si="20"/>
        <v>575.18</v>
      </c>
      <c r="P419" s="7">
        <v>16</v>
      </c>
      <c r="Q419" s="7" t="b">
        <v>1</v>
      </c>
      <c r="R419" s="7"/>
      <c r="S419" s="15" t="s">
        <v>20</v>
      </c>
    </row>
    <row r="420" spans="1:19">
      <c r="A420" s="3" t="s">
        <v>889</v>
      </c>
      <c r="B420" s="4" t="s">
        <v>890</v>
      </c>
      <c r="C420" s="5" t="s">
        <v>4131</v>
      </c>
      <c r="D420" s="5" t="s">
        <v>891</v>
      </c>
      <c r="E420" s="4">
        <v>13</v>
      </c>
      <c r="F420" s="4">
        <v>2</v>
      </c>
      <c r="G420" s="4">
        <v>2023</v>
      </c>
      <c r="H420" s="5">
        <f t="shared" si="18"/>
        <v>44970</v>
      </c>
      <c r="I420" s="9">
        <v>44990</v>
      </c>
      <c r="J420" s="4">
        <f t="shared" si="19"/>
        <v>20</v>
      </c>
      <c r="K420" s="4" t="s">
        <v>41</v>
      </c>
      <c r="L420" s="4">
        <v>94848</v>
      </c>
      <c r="M420" s="4">
        <v>3946</v>
      </c>
      <c r="N420" s="10">
        <v>3449.54</v>
      </c>
      <c r="O420" s="10">
        <f t="shared" si="20"/>
        <v>3449.54</v>
      </c>
      <c r="P420" s="4">
        <v>473</v>
      </c>
      <c r="Q420" s="4" t="b">
        <v>0</v>
      </c>
      <c r="R420" s="4"/>
      <c r="S420" s="14" t="s">
        <v>42</v>
      </c>
    </row>
    <row r="421" spans="1:19">
      <c r="A421" s="6" t="s">
        <v>892</v>
      </c>
      <c r="B421" s="7" t="s">
        <v>893</v>
      </c>
      <c r="C421" s="8" t="s">
        <v>4128</v>
      </c>
      <c r="D421" s="8">
        <v>44976</v>
      </c>
      <c r="E421" s="7">
        <v>2</v>
      </c>
      <c r="F421" s="7">
        <v>19</v>
      </c>
      <c r="G421" s="7">
        <v>2023</v>
      </c>
      <c r="H421" s="8">
        <f t="shared" si="18"/>
        <v>44976</v>
      </c>
      <c r="I421" s="11">
        <v>44997</v>
      </c>
      <c r="J421" s="7">
        <f t="shared" si="19"/>
        <v>21</v>
      </c>
      <c r="K421" s="7" t="s">
        <v>14</v>
      </c>
      <c r="L421" s="7">
        <v>53921</v>
      </c>
      <c r="M421" s="7">
        <v>1794</v>
      </c>
      <c r="N421" s="12">
        <v>2826.77</v>
      </c>
      <c r="O421" s="12">
        <f t="shared" si="20"/>
        <v>2826.77</v>
      </c>
      <c r="P421" s="7">
        <v>274</v>
      </c>
      <c r="Q421" s="7" t="b">
        <v>1</v>
      </c>
      <c r="R421" s="7"/>
      <c r="S421" s="15" t="s">
        <v>16</v>
      </c>
    </row>
    <row r="422" spans="1:19">
      <c r="A422" s="3" t="s">
        <v>894</v>
      </c>
      <c r="B422" s="4" t="s">
        <v>895</v>
      </c>
      <c r="C422" s="5" t="s">
        <v>4131</v>
      </c>
      <c r="D422" s="5">
        <v>44993</v>
      </c>
      <c r="E422" s="4">
        <v>3</v>
      </c>
      <c r="F422" s="4">
        <v>8</v>
      </c>
      <c r="G422" s="4">
        <v>2023</v>
      </c>
      <c r="H422" s="5">
        <f t="shared" si="18"/>
        <v>44993</v>
      </c>
      <c r="I422" s="9">
        <v>45015</v>
      </c>
      <c r="J422" s="4">
        <f t="shared" si="19"/>
        <v>22</v>
      </c>
      <c r="K422" s="4" t="s">
        <v>41</v>
      </c>
      <c r="L422" s="4">
        <v>50726</v>
      </c>
      <c r="M422" s="4">
        <v>1888</v>
      </c>
      <c r="N422" s="10">
        <v>3368.57</v>
      </c>
      <c r="O422" s="10">
        <f t="shared" si="20"/>
        <v>3368.57</v>
      </c>
      <c r="P422" s="4">
        <v>158</v>
      </c>
      <c r="Q422" s="4" t="b">
        <v>0</v>
      </c>
      <c r="R422" s="4"/>
      <c r="S422" s="14" t="s">
        <v>42</v>
      </c>
    </row>
    <row r="423" spans="1:19">
      <c r="A423" s="6" t="s">
        <v>896</v>
      </c>
      <c r="B423" s="7" t="s">
        <v>897</v>
      </c>
      <c r="C423" s="8" t="s">
        <v>4131</v>
      </c>
      <c r="D423" s="8">
        <v>45214</v>
      </c>
      <c r="E423" s="7">
        <v>10</v>
      </c>
      <c r="F423" s="7">
        <v>15</v>
      </c>
      <c r="G423" s="7">
        <v>2023</v>
      </c>
      <c r="H423" s="8">
        <f t="shared" si="18"/>
        <v>45214</v>
      </c>
      <c r="I423" s="11">
        <v>45231</v>
      </c>
      <c r="J423" s="7">
        <f t="shared" si="19"/>
        <v>17</v>
      </c>
      <c r="K423" s="7" t="s">
        <v>14</v>
      </c>
      <c r="L423" s="7">
        <v>51300</v>
      </c>
      <c r="M423" s="7">
        <v>902</v>
      </c>
      <c r="N423" s="12">
        <v>933.71</v>
      </c>
      <c r="O423" s="12">
        <f t="shared" si="20"/>
        <v>933.71</v>
      </c>
      <c r="P423" s="7">
        <v>62</v>
      </c>
      <c r="Q423" s="7" t="b">
        <v>0</v>
      </c>
      <c r="R423" s="7"/>
      <c r="S423" s="15" t="s">
        <v>16</v>
      </c>
    </row>
    <row r="424" spans="1:19">
      <c r="A424" s="3" t="s">
        <v>898</v>
      </c>
      <c r="B424" s="4" t="s">
        <v>899</v>
      </c>
      <c r="C424" s="5" t="s">
        <v>4127</v>
      </c>
      <c r="D424" s="5">
        <v>45137</v>
      </c>
      <c r="E424" s="4">
        <v>7</v>
      </c>
      <c r="F424" s="4">
        <v>30</v>
      </c>
      <c r="G424" s="4">
        <v>2023</v>
      </c>
      <c r="H424" s="5">
        <f t="shared" si="18"/>
        <v>45137</v>
      </c>
      <c r="I424" s="9">
        <v>45162</v>
      </c>
      <c r="J424" s="4">
        <f t="shared" si="19"/>
        <v>25</v>
      </c>
      <c r="K424" s="4" t="s">
        <v>415</v>
      </c>
      <c r="L424" s="4">
        <v>23677</v>
      </c>
      <c r="M424" s="4">
        <v>822</v>
      </c>
      <c r="N424" s="10">
        <v>1344.95</v>
      </c>
      <c r="O424" s="10">
        <f t="shared" si="20"/>
        <v>1344.95</v>
      </c>
      <c r="P424" s="4">
        <v>0</v>
      </c>
      <c r="Q424" s="4" t="b">
        <v>1</v>
      </c>
      <c r="R424" s="4"/>
      <c r="S424" s="14" t="s">
        <v>34</v>
      </c>
    </row>
    <row r="425" spans="1:19">
      <c r="A425" s="6" t="s">
        <v>900</v>
      </c>
      <c r="B425" s="7" t="s">
        <v>901</v>
      </c>
      <c r="C425" s="8" t="s">
        <v>4127</v>
      </c>
      <c r="D425" s="8">
        <v>45143</v>
      </c>
      <c r="E425" s="7">
        <v>8</v>
      </c>
      <c r="F425" s="7">
        <v>5</v>
      </c>
      <c r="G425" s="7">
        <v>2023</v>
      </c>
      <c r="H425" s="8">
        <f t="shared" si="18"/>
        <v>45143</v>
      </c>
      <c r="I425" s="11">
        <v>45156</v>
      </c>
      <c r="J425" s="7">
        <f t="shared" si="19"/>
        <v>13</v>
      </c>
      <c r="K425" s="7" t="s">
        <v>41</v>
      </c>
      <c r="L425" s="7">
        <v>56609</v>
      </c>
      <c r="M425" s="7">
        <v>1298</v>
      </c>
      <c r="N425" s="12">
        <v>1223.51</v>
      </c>
      <c r="O425" s="12">
        <f t="shared" si="20"/>
        <v>1223.51</v>
      </c>
      <c r="P425" s="7">
        <v>118</v>
      </c>
      <c r="Q425" s="7" t="b">
        <v>1</v>
      </c>
      <c r="R425" s="7"/>
      <c r="S425" s="15" t="s">
        <v>42</v>
      </c>
    </row>
    <row r="426" spans="1:19">
      <c r="A426" s="3" t="s">
        <v>902</v>
      </c>
      <c r="B426" s="4" t="s">
        <v>903</v>
      </c>
      <c r="C426" s="5" t="s">
        <v>4128</v>
      </c>
      <c r="D426" s="5">
        <v>45074</v>
      </c>
      <c r="E426" s="4">
        <v>5</v>
      </c>
      <c r="F426" s="4">
        <v>28</v>
      </c>
      <c r="G426" s="4">
        <v>2023</v>
      </c>
      <c r="H426" s="5">
        <f t="shared" si="18"/>
        <v>45074</v>
      </c>
      <c r="I426" s="9">
        <v>45081</v>
      </c>
      <c r="J426" s="4">
        <f t="shared" si="19"/>
        <v>7</v>
      </c>
      <c r="K426" s="4" t="s">
        <v>19</v>
      </c>
      <c r="L426" s="4">
        <v>97825</v>
      </c>
      <c r="M426" s="4">
        <v>4242</v>
      </c>
      <c r="N426" s="10">
        <v>4022.63</v>
      </c>
      <c r="O426" s="10">
        <f t="shared" si="20"/>
        <v>3632.575</v>
      </c>
      <c r="P426" s="4">
        <v>354</v>
      </c>
      <c r="Q426" s="4" t="b">
        <v>1</v>
      </c>
      <c r="R426" s="4"/>
      <c r="S426" s="14" t="s">
        <v>20</v>
      </c>
    </row>
    <row r="427" spans="1:19">
      <c r="A427" s="6" t="s">
        <v>904</v>
      </c>
      <c r="B427" s="7" t="s">
        <v>905</v>
      </c>
      <c r="C427" s="8" t="s">
        <v>4129</v>
      </c>
      <c r="D427" s="8">
        <v>45222</v>
      </c>
      <c r="E427" s="7">
        <v>10</v>
      </c>
      <c r="F427" s="7">
        <v>23</v>
      </c>
      <c r="G427" s="7">
        <v>2023</v>
      </c>
      <c r="H427" s="8">
        <f t="shared" si="18"/>
        <v>45222</v>
      </c>
      <c r="I427" s="11">
        <v>45228</v>
      </c>
      <c r="J427" s="7">
        <f t="shared" si="19"/>
        <v>6</v>
      </c>
      <c r="K427" s="7" t="s">
        <v>41</v>
      </c>
      <c r="L427" s="7">
        <v>57661</v>
      </c>
      <c r="M427" s="7">
        <v>2028</v>
      </c>
      <c r="N427" s="12">
        <v>1339.67</v>
      </c>
      <c r="O427" s="12">
        <f t="shared" si="20"/>
        <v>1339.67</v>
      </c>
      <c r="P427" s="7">
        <v>362</v>
      </c>
      <c r="Q427" s="7" t="b">
        <v>0</v>
      </c>
      <c r="R427" s="7"/>
      <c r="S427" s="15" t="s">
        <v>42</v>
      </c>
    </row>
    <row r="428" spans="1:19">
      <c r="A428" s="3" t="s">
        <v>906</v>
      </c>
      <c r="B428" s="4" t="s">
        <v>907</v>
      </c>
      <c r="C428" s="5" t="s">
        <v>4128</v>
      </c>
      <c r="D428" s="5">
        <v>45173</v>
      </c>
      <c r="E428" s="4">
        <v>9</v>
      </c>
      <c r="F428" s="4">
        <v>4</v>
      </c>
      <c r="G428" s="4">
        <v>2023</v>
      </c>
      <c r="H428" s="5">
        <f t="shared" si="18"/>
        <v>45173</v>
      </c>
      <c r="I428" s="9">
        <v>45177</v>
      </c>
      <c r="J428" s="4">
        <f t="shared" si="19"/>
        <v>4</v>
      </c>
      <c r="K428" s="4" t="s">
        <v>23</v>
      </c>
      <c r="L428" s="4">
        <v>32024</v>
      </c>
      <c r="M428" s="4">
        <v>574</v>
      </c>
      <c r="N428" s="10">
        <v>665.89</v>
      </c>
      <c r="O428" s="10">
        <f t="shared" si="20"/>
        <v>665.89</v>
      </c>
      <c r="P428" s="4">
        <v>99</v>
      </c>
      <c r="Q428" s="4" t="b">
        <v>1</v>
      </c>
      <c r="R428" s="4"/>
      <c r="S428" s="14" t="s">
        <v>68</v>
      </c>
    </row>
    <row r="429" spans="1:19">
      <c r="A429" s="6" t="s">
        <v>908</v>
      </c>
      <c r="B429" s="7" t="s">
        <v>909</v>
      </c>
      <c r="C429" s="8" t="s">
        <v>4129</v>
      </c>
      <c r="D429" s="8">
        <v>45211</v>
      </c>
      <c r="E429" s="7">
        <v>10</v>
      </c>
      <c r="F429" s="7">
        <v>12</v>
      </c>
      <c r="G429" s="7">
        <v>2023</v>
      </c>
      <c r="H429" s="8">
        <f t="shared" si="18"/>
        <v>45211</v>
      </c>
      <c r="I429" s="11">
        <v>45213</v>
      </c>
      <c r="J429" s="7">
        <f t="shared" si="19"/>
        <v>2</v>
      </c>
      <c r="K429" s="7" t="s">
        <v>41</v>
      </c>
      <c r="L429" s="7">
        <v>71313</v>
      </c>
      <c r="M429" s="7">
        <v>897</v>
      </c>
      <c r="N429" s="12">
        <v>1430.33</v>
      </c>
      <c r="O429" s="12">
        <f t="shared" si="20"/>
        <v>1430.33</v>
      </c>
      <c r="P429" s="7">
        <v>105</v>
      </c>
      <c r="Q429" s="7" t="b">
        <v>0</v>
      </c>
      <c r="R429" s="7"/>
      <c r="S429" s="15" t="s">
        <v>42</v>
      </c>
    </row>
    <row r="430" spans="1:19">
      <c r="A430" s="3" t="s">
        <v>910</v>
      </c>
      <c r="B430" s="4" t="s">
        <v>911</v>
      </c>
      <c r="C430" s="5" t="s">
        <v>4131</v>
      </c>
      <c r="D430" s="5">
        <v>45220</v>
      </c>
      <c r="E430" s="4">
        <v>10</v>
      </c>
      <c r="F430" s="4">
        <v>21</v>
      </c>
      <c r="G430" s="4">
        <v>2023</v>
      </c>
      <c r="H430" s="5">
        <f t="shared" si="18"/>
        <v>45220</v>
      </c>
      <c r="I430" s="9">
        <v>45233</v>
      </c>
      <c r="J430" s="4">
        <f t="shared" si="19"/>
        <v>13</v>
      </c>
      <c r="K430" s="4" t="s">
        <v>14</v>
      </c>
      <c r="L430" s="4">
        <v>54006</v>
      </c>
      <c r="M430" s="4">
        <v>632</v>
      </c>
      <c r="N430" s="10">
        <v>1207.33</v>
      </c>
      <c r="O430" s="10">
        <f t="shared" si="20"/>
        <v>1207.33</v>
      </c>
      <c r="P430" s="4">
        <v>77</v>
      </c>
      <c r="Q430" s="4" t="b">
        <v>0</v>
      </c>
      <c r="R430" s="4"/>
      <c r="S430" s="14" t="s">
        <v>68</v>
      </c>
    </row>
    <row r="431" spans="1:19">
      <c r="A431" s="6" t="s">
        <v>912</v>
      </c>
      <c r="B431" s="7" t="s">
        <v>913</v>
      </c>
      <c r="C431" s="8" t="s">
        <v>4127</v>
      </c>
      <c r="D431" s="8">
        <v>45214</v>
      </c>
      <c r="E431" s="7">
        <v>10</v>
      </c>
      <c r="F431" s="7">
        <v>15</v>
      </c>
      <c r="G431" s="7">
        <v>2023</v>
      </c>
      <c r="H431" s="8">
        <f t="shared" si="18"/>
        <v>45214</v>
      </c>
      <c r="I431" s="11">
        <v>45240</v>
      </c>
      <c r="J431" s="7">
        <f t="shared" si="19"/>
        <v>26</v>
      </c>
      <c r="K431" s="7" t="s">
        <v>19</v>
      </c>
      <c r="L431" s="7">
        <v>96285</v>
      </c>
      <c r="M431" s="7">
        <v>2393</v>
      </c>
      <c r="N431" s="12">
        <v>3363.83</v>
      </c>
      <c r="O431" s="12">
        <f t="shared" si="20"/>
        <v>3363.83</v>
      </c>
      <c r="P431" s="7">
        <v>197</v>
      </c>
      <c r="Q431" s="7" t="b">
        <v>1</v>
      </c>
      <c r="R431" s="7">
        <v>96312</v>
      </c>
      <c r="S431" s="15" t="s">
        <v>20</v>
      </c>
    </row>
    <row r="432" spans="1:19">
      <c r="A432" s="3" t="s">
        <v>914</v>
      </c>
      <c r="B432" s="4" t="s">
        <v>915</v>
      </c>
      <c r="C432" s="5" t="s">
        <v>4128</v>
      </c>
      <c r="D432" s="5">
        <v>45241</v>
      </c>
      <c r="E432" s="4">
        <v>11</v>
      </c>
      <c r="F432" s="4">
        <v>11</v>
      </c>
      <c r="G432" s="4">
        <v>2023</v>
      </c>
      <c r="H432" s="5">
        <f t="shared" si="18"/>
        <v>45241</v>
      </c>
      <c r="I432" s="9">
        <v>45245</v>
      </c>
      <c r="J432" s="4">
        <f t="shared" si="19"/>
        <v>4</v>
      </c>
      <c r="K432" s="4" t="s">
        <v>23</v>
      </c>
      <c r="L432" s="4">
        <v>16338</v>
      </c>
      <c r="M432" s="4">
        <v>337</v>
      </c>
      <c r="N432" s="10">
        <v>604.82</v>
      </c>
      <c r="O432" s="10">
        <f t="shared" si="20"/>
        <v>604.82</v>
      </c>
      <c r="P432" s="4">
        <v>20</v>
      </c>
      <c r="Q432" s="4" t="b">
        <v>1</v>
      </c>
      <c r="R432" s="4"/>
      <c r="S432" s="14" t="s">
        <v>59</v>
      </c>
    </row>
    <row r="433" spans="1:19">
      <c r="A433" s="6" t="s">
        <v>916</v>
      </c>
      <c r="B433" s="7" t="s">
        <v>917</v>
      </c>
      <c r="C433" s="8" t="s">
        <v>4131</v>
      </c>
      <c r="D433" s="8">
        <v>45238</v>
      </c>
      <c r="E433" s="7">
        <v>11</v>
      </c>
      <c r="F433" s="7">
        <v>8</v>
      </c>
      <c r="G433" s="7">
        <v>2023</v>
      </c>
      <c r="H433" s="8">
        <f t="shared" si="18"/>
        <v>45238</v>
      </c>
      <c r="I433" s="11">
        <v>45262</v>
      </c>
      <c r="J433" s="7">
        <f t="shared" si="19"/>
        <v>24</v>
      </c>
      <c r="K433" s="7" t="s">
        <v>41</v>
      </c>
      <c r="L433" s="7">
        <v>69027</v>
      </c>
      <c r="M433" s="7">
        <v>2474</v>
      </c>
      <c r="N433" s="12">
        <v>4289.28</v>
      </c>
      <c r="O433" s="12">
        <f t="shared" si="20"/>
        <v>3632.575</v>
      </c>
      <c r="P433" s="7">
        <v>336</v>
      </c>
      <c r="Q433" s="7" t="b">
        <v>1</v>
      </c>
      <c r="R433" s="7"/>
      <c r="S433" s="15" t="s">
        <v>42</v>
      </c>
    </row>
    <row r="434" spans="1:19">
      <c r="A434" s="3" t="s">
        <v>918</v>
      </c>
      <c r="B434" s="4" t="s">
        <v>919</v>
      </c>
      <c r="C434" s="5" t="s">
        <v>4129</v>
      </c>
      <c r="D434" s="5" t="s">
        <v>920</v>
      </c>
      <c r="E434" s="4">
        <v>17</v>
      </c>
      <c r="F434" s="4">
        <v>5</v>
      </c>
      <c r="G434" s="4">
        <v>2023</v>
      </c>
      <c r="H434" s="5">
        <f t="shared" si="18"/>
        <v>45063</v>
      </c>
      <c r="I434" s="9">
        <v>45093</v>
      </c>
      <c r="J434" s="4">
        <f t="shared" si="19"/>
        <v>30</v>
      </c>
      <c r="K434" s="4" t="s">
        <v>19</v>
      </c>
      <c r="L434" s="4">
        <v>93772</v>
      </c>
      <c r="M434" s="4">
        <v>2810</v>
      </c>
      <c r="N434" s="10">
        <v>2135.64</v>
      </c>
      <c r="O434" s="10">
        <f t="shared" si="20"/>
        <v>2135.64</v>
      </c>
      <c r="P434" s="4">
        <v>181</v>
      </c>
      <c r="Q434" s="4" t="b">
        <v>1</v>
      </c>
      <c r="R434" s="4"/>
      <c r="S434" s="14" t="s">
        <v>20</v>
      </c>
    </row>
    <row r="435" spans="1:19">
      <c r="A435" s="6" t="s">
        <v>921</v>
      </c>
      <c r="B435" s="7" t="s">
        <v>922</v>
      </c>
      <c r="C435" s="8" t="s">
        <v>4131</v>
      </c>
      <c r="D435" s="8">
        <v>45066</v>
      </c>
      <c r="E435" s="7">
        <v>5</v>
      </c>
      <c r="F435" s="7">
        <v>20</v>
      </c>
      <c r="G435" s="7">
        <v>2023</v>
      </c>
      <c r="H435" s="8">
        <f t="shared" si="18"/>
        <v>45066</v>
      </c>
      <c r="I435" s="11">
        <v>45094</v>
      </c>
      <c r="J435" s="7">
        <f t="shared" si="19"/>
        <v>28</v>
      </c>
      <c r="K435" s="7" t="s">
        <v>14</v>
      </c>
      <c r="L435" s="7">
        <v>81135</v>
      </c>
      <c r="M435" s="7">
        <v>1674</v>
      </c>
      <c r="N435" s="12">
        <v>2056.89</v>
      </c>
      <c r="O435" s="12">
        <f t="shared" si="20"/>
        <v>2056.89</v>
      </c>
      <c r="P435" s="7">
        <v>196</v>
      </c>
      <c r="Q435" s="7" t="b">
        <v>1</v>
      </c>
      <c r="R435" s="7"/>
      <c r="S435" s="15" t="s">
        <v>16</v>
      </c>
    </row>
    <row r="436" spans="1:19">
      <c r="A436" s="3" t="s">
        <v>923</v>
      </c>
      <c r="B436" s="4" t="s">
        <v>924</v>
      </c>
      <c r="C436" s="5" t="s">
        <v>4128</v>
      </c>
      <c r="D436" s="5">
        <v>45100</v>
      </c>
      <c r="E436" s="4">
        <v>6</v>
      </c>
      <c r="F436" s="4">
        <v>23</v>
      </c>
      <c r="G436" s="4">
        <v>2023</v>
      </c>
      <c r="H436" s="5">
        <f t="shared" si="18"/>
        <v>45100</v>
      </c>
      <c r="I436" s="9">
        <v>45107</v>
      </c>
      <c r="J436" s="4">
        <f t="shared" si="19"/>
        <v>7</v>
      </c>
      <c r="K436" s="4" t="s">
        <v>33</v>
      </c>
      <c r="L436" s="4">
        <v>20508</v>
      </c>
      <c r="M436" s="4">
        <v>327</v>
      </c>
      <c r="N436" s="10">
        <v>220.85</v>
      </c>
      <c r="O436" s="10">
        <f t="shared" si="20"/>
        <v>220.85</v>
      </c>
      <c r="P436" s="4">
        <v>62</v>
      </c>
      <c r="Q436" s="4" t="b">
        <v>1</v>
      </c>
      <c r="R436" s="4"/>
      <c r="S436" s="14" t="s">
        <v>34</v>
      </c>
    </row>
    <row r="437" spans="1:19">
      <c r="A437" s="6" t="s">
        <v>925</v>
      </c>
      <c r="B437" s="7" t="s">
        <v>926</v>
      </c>
      <c r="C437" s="8" t="s">
        <v>4131</v>
      </c>
      <c r="D437" s="8">
        <v>45000</v>
      </c>
      <c r="E437" s="7">
        <v>3</v>
      </c>
      <c r="F437" s="7">
        <v>15</v>
      </c>
      <c r="G437" s="7">
        <v>2023</v>
      </c>
      <c r="H437" s="8">
        <f t="shared" si="18"/>
        <v>45000</v>
      </c>
      <c r="I437" s="11">
        <v>45007</v>
      </c>
      <c r="J437" s="7">
        <f t="shared" si="19"/>
        <v>7</v>
      </c>
      <c r="K437" s="7" t="s">
        <v>19</v>
      </c>
      <c r="L437" s="7">
        <v>4051</v>
      </c>
      <c r="M437" s="7">
        <v>61</v>
      </c>
      <c r="N437" s="12">
        <v>92.92</v>
      </c>
      <c r="O437" s="12">
        <f t="shared" si="20"/>
        <v>92.92</v>
      </c>
      <c r="P437" s="7">
        <v>11</v>
      </c>
      <c r="Q437" s="7" t="b">
        <v>1</v>
      </c>
      <c r="R437" s="7"/>
      <c r="S437" s="15" t="s">
        <v>20</v>
      </c>
    </row>
    <row r="438" spans="1:19">
      <c r="A438" s="3" t="s">
        <v>927</v>
      </c>
      <c r="B438" s="4" t="s">
        <v>928</v>
      </c>
      <c r="C438" s="5" t="s">
        <v>4129</v>
      </c>
      <c r="D438" s="5">
        <v>44999</v>
      </c>
      <c r="E438" s="4">
        <v>3</v>
      </c>
      <c r="F438" s="4">
        <v>14</v>
      </c>
      <c r="G438" s="4">
        <v>2023</v>
      </c>
      <c r="H438" s="5">
        <f t="shared" si="18"/>
        <v>44999</v>
      </c>
      <c r="I438" s="9">
        <v>45024</v>
      </c>
      <c r="J438" s="4">
        <f t="shared" si="19"/>
        <v>25</v>
      </c>
      <c r="K438" s="4" t="s">
        <v>14</v>
      </c>
      <c r="L438" s="4">
        <v>49747</v>
      </c>
      <c r="M438" s="4">
        <v>2218</v>
      </c>
      <c r="N438" s="10">
        <v>4269.32</v>
      </c>
      <c r="O438" s="10">
        <f t="shared" si="20"/>
        <v>3632.575</v>
      </c>
      <c r="P438" s="4">
        <v>190</v>
      </c>
      <c r="Q438" s="4" t="b">
        <v>1</v>
      </c>
      <c r="R438" s="4"/>
      <c r="S438" s="14" t="s">
        <v>16</v>
      </c>
    </row>
    <row r="439" spans="1:19">
      <c r="A439" s="6" t="s">
        <v>929</v>
      </c>
      <c r="B439" s="7" t="s">
        <v>930</v>
      </c>
      <c r="C439" s="8" t="s">
        <v>4131</v>
      </c>
      <c r="D439" s="8">
        <v>44973</v>
      </c>
      <c r="E439" s="7">
        <v>2</v>
      </c>
      <c r="F439" s="7">
        <v>16</v>
      </c>
      <c r="G439" s="7">
        <v>2023</v>
      </c>
      <c r="H439" s="8">
        <f t="shared" si="18"/>
        <v>44973</v>
      </c>
      <c r="I439" s="11">
        <v>44992</v>
      </c>
      <c r="J439" s="7">
        <f t="shared" si="19"/>
        <v>19</v>
      </c>
      <c r="K439" s="7" t="s">
        <v>138</v>
      </c>
      <c r="L439" s="7">
        <v>88142</v>
      </c>
      <c r="M439" s="7">
        <v>1739</v>
      </c>
      <c r="N439" s="12">
        <v>1227.1</v>
      </c>
      <c r="O439" s="12">
        <f t="shared" si="20"/>
        <v>1227.1</v>
      </c>
      <c r="P439" s="7">
        <v>249</v>
      </c>
      <c r="Q439" s="7" t="b">
        <v>1</v>
      </c>
      <c r="R439" s="7"/>
      <c r="S439" s="15" t="s">
        <v>139</v>
      </c>
    </row>
    <row r="440" spans="1:19">
      <c r="A440" s="3" t="s">
        <v>931</v>
      </c>
      <c r="B440" s="4" t="s">
        <v>932</v>
      </c>
      <c r="C440" s="5" t="s">
        <v>4128</v>
      </c>
      <c r="D440" s="5">
        <v>45141</v>
      </c>
      <c r="E440" s="4">
        <v>8</v>
      </c>
      <c r="F440" s="4">
        <v>3</v>
      </c>
      <c r="G440" s="4">
        <v>2023</v>
      </c>
      <c r="H440" s="5">
        <f t="shared" si="18"/>
        <v>45141</v>
      </c>
      <c r="I440" s="9">
        <v>45165</v>
      </c>
      <c r="J440" s="4">
        <f t="shared" si="19"/>
        <v>24</v>
      </c>
      <c r="K440" s="4" t="s">
        <v>41</v>
      </c>
      <c r="L440" s="4">
        <v>88235</v>
      </c>
      <c r="M440" s="4">
        <v>3182</v>
      </c>
      <c r="N440" s="10">
        <v>5093.82</v>
      </c>
      <c r="O440" s="10">
        <f t="shared" si="20"/>
        <v>3632.575</v>
      </c>
      <c r="P440" s="4">
        <v>385</v>
      </c>
      <c r="Q440" s="4" t="b">
        <v>1</v>
      </c>
      <c r="R440" s="4"/>
      <c r="S440" s="14" t="s">
        <v>42</v>
      </c>
    </row>
    <row r="441" spans="1:19">
      <c r="A441" s="6" t="s">
        <v>933</v>
      </c>
      <c r="B441" s="7" t="s">
        <v>934</v>
      </c>
      <c r="C441" s="8" t="s">
        <v>4131</v>
      </c>
      <c r="D441" s="8">
        <v>45086</v>
      </c>
      <c r="E441" s="7">
        <v>6</v>
      </c>
      <c r="F441" s="7">
        <v>9</v>
      </c>
      <c r="G441" s="7">
        <v>2023</v>
      </c>
      <c r="H441" s="8">
        <f t="shared" si="18"/>
        <v>45086</v>
      </c>
      <c r="I441" s="11">
        <v>45110</v>
      </c>
      <c r="J441" s="7">
        <f t="shared" si="19"/>
        <v>24</v>
      </c>
      <c r="K441" s="7" t="s">
        <v>19</v>
      </c>
      <c r="L441" s="7">
        <v>55021</v>
      </c>
      <c r="M441" s="7">
        <v>2334</v>
      </c>
      <c r="N441" s="12">
        <v>3380.47</v>
      </c>
      <c r="O441" s="12">
        <f t="shared" si="20"/>
        <v>3380.47</v>
      </c>
      <c r="P441" s="7">
        <v>423</v>
      </c>
      <c r="Q441" s="7" t="b">
        <v>0</v>
      </c>
      <c r="R441" s="7"/>
      <c r="S441" s="15" t="s">
        <v>20</v>
      </c>
    </row>
    <row r="442" spans="1:19">
      <c r="A442" s="3" t="s">
        <v>935</v>
      </c>
      <c r="B442" s="4" t="s">
        <v>936</v>
      </c>
      <c r="C442" s="5" t="s">
        <v>4127</v>
      </c>
      <c r="D442" s="5">
        <v>45217</v>
      </c>
      <c r="E442" s="4">
        <v>10</v>
      </c>
      <c r="F442" s="4">
        <v>18</v>
      </c>
      <c r="G442" s="4">
        <v>2023</v>
      </c>
      <c r="H442" s="5">
        <f t="shared" si="18"/>
        <v>45217</v>
      </c>
      <c r="I442" s="9">
        <v>45227</v>
      </c>
      <c r="J442" s="4">
        <f t="shared" si="19"/>
        <v>10</v>
      </c>
      <c r="K442" s="4" t="s">
        <v>33</v>
      </c>
      <c r="L442" s="4">
        <v>67412</v>
      </c>
      <c r="M442" s="4">
        <v>2329</v>
      </c>
      <c r="N442" s="10">
        <v>3203.32</v>
      </c>
      <c r="O442" s="10">
        <f t="shared" si="20"/>
        <v>3203.32</v>
      </c>
      <c r="P442" s="4">
        <v>211</v>
      </c>
      <c r="Q442" s="4" t="b">
        <v>1</v>
      </c>
      <c r="R442" s="4"/>
      <c r="S442" s="14" t="s">
        <v>34</v>
      </c>
    </row>
    <row r="443" spans="1:19">
      <c r="A443" s="6" t="s">
        <v>937</v>
      </c>
      <c r="B443" s="7" t="s">
        <v>938</v>
      </c>
      <c r="C443" s="8" t="s">
        <v>4128</v>
      </c>
      <c r="D443" s="8">
        <v>45006</v>
      </c>
      <c r="E443" s="7">
        <v>3</v>
      </c>
      <c r="F443" s="7">
        <v>21</v>
      </c>
      <c r="G443" s="7">
        <v>2023</v>
      </c>
      <c r="H443" s="8">
        <f t="shared" si="18"/>
        <v>45006</v>
      </c>
      <c r="I443" s="11">
        <v>45033</v>
      </c>
      <c r="J443" s="7">
        <f t="shared" si="19"/>
        <v>27</v>
      </c>
      <c r="K443" s="7" t="s">
        <v>23</v>
      </c>
      <c r="L443" s="7">
        <v>59335</v>
      </c>
      <c r="M443" s="7">
        <v>2633</v>
      </c>
      <c r="N443" s="12">
        <v>2857.28</v>
      </c>
      <c r="O443" s="12">
        <f t="shared" si="20"/>
        <v>2857.28</v>
      </c>
      <c r="P443" s="7">
        <v>133</v>
      </c>
      <c r="Q443" s="7" t="b">
        <v>1</v>
      </c>
      <c r="R443" s="7"/>
      <c r="S443" s="15" t="s">
        <v>25</v>
      </c>
    </row>
    <row r="444" spans="1:19">
      <c r="A444" s="3" t="s">
        <v>939</v>
      </c>
      <c r="B444" s="4" t="s">
        <v>940</v>
      </c>
      <c r="C444" s="5" t="s">
        <v>4128</v>
      </c>
      <c r="D444" s="5">
        <v>45272</v>
      </c>
      <c r="E444" s="4">
        <v>12</v>
      </c>
      <c r="F444" s="4">
        <v>12</v>
      </c>
      <c r="G444" s="4">
        <v>2023</v>
      </c>
      <c r="H444" s="5">
        <f t="shared" si="18"/>
        <v>45272</v>
      </c>
      <c r="I444" s="9">
        <v>45295</v>
      </c>
      <c r="J444" s="4">
        <f t="shared" si="19"/>
        <v>23</v>
      </c>
      <c r="K444" s="4" t="s">
        <v>23</v>
      </c>
      <c r="L444" s="4">
        <v>57179</v>
      </c>
      <c r="M444" s="4">
        <v>1469</v>
      </c>
      <c r="N444" s="10">
        <v>1517.03</v>
      </c>
      <c r="O444" s="10">
        <f t="shared" si="20"/>
        <v>1517.03</v>
      </c>
      <c r="P444" s="4">
        <v>109</v>
      </c>
      <c r="Q444" s="4" t="b">
        <v>1</v>
      </c>
      <c r="R444" s="4"/>
      <c r="S444" s="14" t="s">
        <v>25</v>
      </c>
    </row>
    <row r="445" spans="1:19">
      <c r="A445" s="6" t="s">
        <v>941</v>
      </c>
      <c r="B445" s="7" t="s">
        <v>942</v>
      </c>
      <c r="C445" s="8" t="s">
        <v>4131</v>
      </c>
      <c r="D445" s="8">
        <v>45153</v>
      </c>
      <c r="E445" s="7">
        <v>8</v>
      </c>
      <c r="F445" s="7">
        <v>15</v>
      </c>
      <c r="G445" s="7">
        <v>2023</v>
      </c>
      <c r="H445" s="8">
        <f t="shared" si="18"/>
        <v>45153</v>
      </c>
      <c r="I445" s="11">
        <v>45175</v>
      </c>
      <c r="J445" s="7">
        <f t="shared" si="19"/>
        <v>22</v>
      </c>
      <c r="K445" s="7" t="s">
        <v>41</v>
      </c>
      <c r="L445" s="7">
        <v>33093</v>
      </c>
      <c r="M445" s="7">
        <v>1596</v>
      </c>
      <c r="N445" s="12">
        <v>906.33</v>
      </c>
      <c r="O445" s="12">
        <f t="shared" si="20"/>
        <v>906.33</v>
      </c>
      <c r="P445" s="7">
        <v>163</v>
      </c>
      <c r="Q445" s="7" t="b">
        <v>1</v>
      </c>
      <c r="R445" s="7"/>
      <c r="S445" s="15" t="s">
        <v>42</v>
      </c>
    </row>
    <row r="446" spans="1:19">
      <c r="A446" s="3" t="s">
        <v>943</v>
      </c>
      <c r="B446" s="4" t="s">
        <v>944</v>
      </c>
      <c r="C446" s="5" t="s">
        <v>4131</v>
      </c>
      <c r="D446" s="5">
        <v>45153</v>
      </c>
      <c r="E446" s="4">
        <v>8</v>
      </c>
      <c r="F446" s="4">
        <v>15</v>
      </c>
      <c r="G446" s="4">
        <v>2023</v>
      </c>
      <c r="H446" s="5">
        <f t="shared" si="18"/>
        <v>45153</v>
      </c>
      <c r="I446" s="9">
        <v>45160</v>
      </c>
      <c r="J446" s="4">
        <f t="shared" si="19"/>
        <v>7</v>
      </c>
      <c r="K446" s="4" t="s">
        <v>41</v>
      </c>
      <c r="L446" s="4">
        <v>70678</v>
      </c>
      <c r="M446" s="4">
        <v>1083</v>
      </c>
      <c r="N446" s="10">
        <v>895.49</v>
      </c>
      <c r="O446" s="10">
        <f t="shared" si="20"/>
        <v>895.49</v>
      </c>
      <c r="P446" s="4">
        <v>105</v>
      </c>
      <c r="Q446" s="4" t="b">
        <v>1</v>
      </c>
      <c r="R446" s="4"/>
      <c r="S446" s="14" t="s">
        <v>42</v>
      </c>
    </row>
    <row r="447" spans="1:19">
      <c r="A447" s="6" t="s">
        <v>945</v>
      </c>
      <c r="B447" s="7" t="s">
        <v>946</v>
      </c>
      <c r="C447" s="8" t="s">
        <v>4131</v>
      </c>
      <c r="D447" s="8">
        <v>45189</v>
      </c>
      <c r="E447" s="7">
        <v>9</v>
      </c>
      <c r="F447" s="7">
        <v>20</v>
      </c>
      <c r="G447" s="7">
        <v>2023</v>
      </c>
      <c r="H447" s="8">
        <f t="shared" si="18"/>
        <v>45189</v>
      </c>
      <c r="I447" s="11">
        <v>45218</v>
      </c>
      <c r="J447" s="7">
        <f t="shared" si="19"/>
        <v>29</v>
      </c>
      <c r="K447" s="7" t="s">
        <v>41</v>
      </c>
      <c r="L447" s="7">
        <v>81738</v>
      </c>
      <c r="M447" s="7">
        <v>1151</v>
      </c>
      <c r="N447" s="12">
        <v>601.7</v>
      </c>
      <c r="O447" s="12">
        <f t="shared" si="20"/>
        <v>601.7</v>
      </c>
      <c r="P447" s="7">
        <v>194</v>
      </c>
      <c r="Q447" s="7" t="b">
        <v>1</v>
      </c>
      <c r="R447" s="7"/>
      <c r="S447" s="15" t="s">
        <v>68</v>
      </c>
    </row>
    <row r="448" spans="1:19">
      <c r="A448" s="3" t="s">
        <v>947</v>
      </c>
      <c r="B448" s="4" t="s">
        <v>948</v>
      </c>
      <c r="C448" s="5" t="s">
        <v>4131</v>
      </c>
      <c r="D448" s="5">
        <v>45072</v>
      </c>
      <c r="E448" s="4">
        <v>5</v>
      </c>
      <c r="F448" s="4">
        <v>26</v>
      </c>
      <c r="G448" s="4">
        <v>2023</v>
      </c>
      <c r="H448" s="5">
        <f t="shared" si="18"/>
        <v>45072</v>
      </c>
      <c r="I448" s="9">
        <v>45091</v>
      </c>
      <c r="J448" s="4">
        <f t="shared" si="19"/>
        <v>19</v>
      </c>
      <c r="K448" s="4" t="s">
        <v>23</v>
      </c>
      <c r="L448" s="4">
        <v>40734</v>
      </c>
      <c r="M448" s="4">
        <v>1480</v>
      </c>
      <c r="N448" s="10">
        <v>2030.75</v>
      </c>
      <c r="O448" s="10">
        <f t="shared" si="20"/>
        <v>2030.75</v>
      </c>
      <c r="P448" s="4">
        <v>225</v>
      </c>
      <c r="Q448" s="4" t="b">
        <v>1</v>
      </c>
      <c r="R448" s="4"/>
      <c r="S448" s="14" t="s">
        <v>25</v>
      </c>
    </row>
    <row r="449" spans="1:19">
      <c r="A449" s="6" t="s">
        <v>949</v>
      </c>
      <c r="B449" s="7" t="s">
        <v>950</v>
      </c>
      <c r="C449" s="8" t="s">
        <v>4128</v>
      </c>
      <c r="D449" s="8">
        <v>45196</v>
      </c>
      <c r="E449" s="7">
        <v>9</v>
      </c>
      <c r="F449" s="7">
        <v>27</v>
      </c>
      <c r="G449" s="7">
        <v>2023</v>
      </c>
      <c r="H449" s="8">
        <f t="shared" si="18"/>
        <v>45196</v>
      </c>
      <c r="I449" s="11">
        <v>45223</v>
      </c>
      <c r="J449" s="7">
        <f t="shared" si="19"/>
        <v>27</v>
      </c>
      <c r="K449" s="7" t="s">
        <v>138</v>
      </c>
      <c r="L449" s="7">
        <v>73615</v>
      </c>
      <c r="M449" s="7">
        <v>3512</v>
      </c>
      <c r="N449" s="12">
        <v>2313.63</v>
      </c>
      <c r="O449" s="12">
        <f t="shared" si="20"/>
        <v>2313.63</v>
      </c>
      <c r="P449" s="7">
        <v>0</v>
      </c>
      <c r="Q449" s="7" t="b">
        <v>1</v>
      </c>
      <c r="R449" s="7"/>
      <c r="S449" s="15" t="s">
        <v>139</v>
      </c>
    </row>
    <row r="450" spans="1:19">
      <c r="A450" s="3" t="s">
        <v>951</v>
      </c>
      <c r="B450" s="4" t="s">
        <v>952</v>
      </c>
      <c r="C450" s="5" t="s">
        <v>4129</v>
      </c>
      <c r="D450" s="5">
        <v>45129</v>
      </c>
      <c r="E450" s="4">
        <v>7</v>
      </c>
      <c r="F450" s="4">
        <v>22</v>
      </c>
      <c r="G450" s="4">
        <v>2023</v>
      </c>
      <c r="H450" s="5">
        <f t="shared" ref="H450:H513" si="21">IF(E450&gt;12,DATE(G450,F450,E450),D450)</f>
        <v>45129</v>
      </c>
      <c r="I450" s="9">
        <v>45139</v>
      </c>
      <c r="J450" s="4">
        <f t="shared" ref="J450:J513" si="22">DATEDIF(H450,I450,"D")</f>
        <v>10</v>
      </c>
      <c r="K450" s="4" t="s">
        <v>23</v>
      </c>
      <c r="L450" s="4">
        <v>74523</v>
      </c>
      <c r="M450" s="4">
        <v>3156</v>
      </c>
      <c r="N450" s="10">
        <v>5710.87</v>
      </c>
      <c r="O450" s="10">
        <f t="shared" si="20"/>
        <v>3632.575</v>
      </c>
      <c r="P450" s="4">
        <v>374</v>
      </c>
      <c r="Q450" s="4" t="b">
        <v>0</v>
      </c>
      <c r="R450" s="4"/>
      <c r="S450" s="14" t="s">
        <v>25</v>
      </c>
    </row>
    <row r="451" spans="1:19">
      <c r="A451" s="6" t="s">
        <v>953</v>
      </c>
      <c r="B451" s="7" t="s">
        <v>954</v>
      </c>
      <c r="C451" s="8" t="s">
        <v>4127</v>
      </c>
      <c r="D451" s="8">
        <v>45031</v>
      </c>
      <c r="E451" s="7">
        <v>4</v>
      </c>
      <c r="F451" s="7">
        <v>15</v>
      </c>
      <c r="G451" s="7">
        <v>2023</v>
      </c>
      <c r="H451" s="8">
        <f t="shared" si="21"/>
        <v>45031</v>
      </c>
      <c r="I451" s="11">
        <v>45043</v>
      </c>
      <c r="J451" s="7">
        <f t="shared" si="22"/>
        <v>12</v>
      </c>
      <c r="K451" s="7" t="s">
        <v>14</v>
      </c>
      <c r="L451" s="7">
        <v>95476</v>
      </c>
      <c r="M451" s="7">
        <v>1246</v>
      </c>
      <c r="N451" s="12">
        <v>1600.75</v>
      </c>
      <c r="O451" s="12">
        <f t="shared" ref="O451:O514" si="23">IF(N451&lt;$V$6,$V$6,IF(N451&gt;$V$7,$V$7,N451))</f>
        <v>1600.75</v>
      </c>
      <c r="P451" s="7">
        <v>80</v>
      </c>
      <c r="Q451" s="7" t="b">
        <v>1</v>
      </c>
      <c r="R451" s="7"/>
      <c r="S451" s="15" t="s">
        <v>16</v>
      </c>
    </row>
    <row r="452" spans="1:19">
      <c r="A452" s="3" t="s">
        <v>955</v>
      </c>
      <c r="B452" s="4" t="s">
        <v>956</v>
      </c>
      <c r="C452" s="5" t="s">
        <v>4128</v>
      </c>
      <c r="D452" s="5">
        <v>44997</v>
      </c>
      <c r="E452" s="4">
        <v>3</v>
      </c>
      <c r="F452" s="4">
        <v>12</v>
      </c>
      <c r="G452" s="4">
        <v>2023</v>
      </c>
      <c r="H452" s="5">
        <f t="shared" si="21"/>
        <v>44997</v>
      </c>
      <c r="I452" s="9">
        <v>45012</v>
      </c>
      <c r="J452" s="4">
        <f t="shared" si="22"/>
        <v>15</v>
      </c>
      <c r="K452" s="4" t="s">
        <v>138</v>
      </c>
      <c r="L452" s="4">
        <v>18019</v>
      </c>
      <c r="M452" s="4">
        <v>381</v>
      </c>
      <c r="N452" s="10">
        <v>590.37</v>
      </c>
      <c r="O452" s="10">
        <f t="shared" si="23"/>
        <v>590.37</v>
      </c>
      <c r="P452" s="4">
        <v>70</v>
      </c>
      <c r="Q452" s="4" t="b">
        <v>1</v>
      </c>
      <c r="R452" s="4"/>
      <c r="S452" s="14" t="s">
        <v>139</v>
      </c>
    </row>
    <row r="453" spans="1:19">
      <c r="A453" s="6" t="s">
        <v>957</v>
      </c>
      <c r="B453" s="7" t="s">
        <v>958</v>
      </c>
      <c r="C453" s="8" t="s">
        <v>4127</v>
      </c>
      <c r="D453" s="8">
        <v>44988</v>
      </c>
      <c r="E453" s="7">
        <v>3</v>
      </c>
      <c r="F453" s="7">
        <v>3</v>
      </c>
      <c r="G453" s="7">
        <v>2023</v>
      </c>
      <c r="H453" s="8">
        <f t="shared" si="21"/>
        <v>44988</v>
      </c>
      <c r="I453" s="11">
        <v>44990</v>
      </c>
      <c r="J453" s="7">
        <f t="shared" si="22"/>
        <v>2</v>
      </c>
      <c r="K453" s="7" t="s">
        <v>33</v>
      </c>
      <c r="L453" s="7">
        <v>84613</v>
      </c>
      <c r="M453" s="7">
        <v>3994</v>
      </c>
      <c r="N453" s="12">
        <v>4458.44</v>
      </c>
      <c r="O453" s="12">
        <f t="shared" si="23"/>
        <v>3632.575</v>
      </c>
      <c r="P453" s="7">
        <v>760</v>
      </c>
      <c r="Q453" s="7" t="b">
        <v>1</v>
      </c>
      <c r="R453" s="7"/>
      <c r="S453" s="15" t="s">
        <v>34</v>
      </c>
    </row>
    <row r="454" spans="1:19">
      <c r="A454" s="3" t="s">
        <v>959</v>
      </c>
      <c r="B454" s="4" t="s">
        <v>960</v>
      </c>
      <c r="C454" s="5" t="s">
        <v>4131</v>
      </c>
      <c r="D454" s="5">
        <v>45147</v>
      </c>
      <c r="E454" s="4">
        <v>8</v>
      </c>
      <c r="F454" s="4">
        <v>9</v>
      </c>
      <c r="G454" s="4">
        <v>2023</v>
      </c>
      <c r="H454" s="5">
        <f t="shared" si="21"/>
        <v>45147</v>
      </c>
      <c r="I454" s="9">
        <v>45168</v>
      </c>
      <c r="J454" s="4">
        <f t="shared" si="22"/>
        <v>21</v>
      </c>
      <c r="K454" s="4" t="s">
        <v>33</v>
      </c>
      <c r="L454" s="4">
        <v>92794</v>
      </c>
      <c r="M454" s="4">
        <v>1867</v>
      </c>
      <c r="N454" s="10">
        <v>2503.4</v>
      </c>
      <c r="O454" s="10">
        <f t="shared" si="23"/>
        <v>2503.4</v>
      </c>
      <c r="P454" s="4">
        <v>367</v>
      </c>
      <c r="Q454" s="4" t="b">
        <v>1</v>
      </c>
      <c r="R454" s="4"/>
      <c r="S454" s="14" t="s">
        <v>34</v>
      </c>
    </row>
    <row r="455" spans="1:19">
      <c r="A455" s="6" t="s">
        <v>961</v>
      </c>
      <c r="B455" s="7" t="s">
        <v>962</v>
      </c>
      <c r="C455" s="8" t="s">
        <v>4127</v>
      </c>
      <c r="D455" s="8">
        <v>45287</v>
      </c>
      <c r="E455" s="7">
        <v>12</v>
      </c>
      <c r="F455" s="7">
        <v>27</v>
      </c>
      <c r="G455" s="7">
        <v>2023</v>
      </c>
      <c r="H455" s="8">
        <f t="shared" si="21"/>
        <v>45287</v>
      </c>
      <c r="I455" s="11">
        <v>45308</v>
      </c>
      <c r="J455" s="7">
        <f t="shared" si="22"/>
        <v>21</v>
      </c>
      <c r="K455" s="7" t="s">
        <v>23</v>
      </c>
      <c r="L455" s="7">
        <v>87672</v>
      </c>
      <c r="M455" s="7">
        <v>3616</v>
      </c>
      <c r="N455" s="12">
        <v>6920.98</v>
      </c>
      <c r="O455" s="12">
        <f t="shared" si="23"/>
        <v>3632.575</v>
      </c>
      <c r="P455" s="7">
        <v>651</v>
      </c>
      <c r="Q455" s="7" t="b">
        <v>1</v>
      </c>
      <c r="R455" s="7"/>
      <c r="S455" s="15" t="s">
        <v>25</v>
      </c>
    </row>
    <row r="456" spans="1:19">
      <c r="A456" s="3" t="s">
        <v>963</v>
      </c>
      <c r="B456" s="4" t="s">
        <v>964</v>
      </c>
      <c r="C456" s="5" t="s">
        <v>4129</v>
      </c>
      <c r="D456" s="5">
        <v>45269</v>
      </c>
      <c r="E456" s="4">
        <v>12</v>
      </c>
      <c r="F456" s="4">
        <v>9</v>
      </c>
      <c r="G456" s="4">
        <v>2023</v>
      </c>
      <c r="H456" s="5">
        <f t="shared" si="21"/>
        <v>45269</v>
      </c>
      <c r="I456" s="9">
        <v>45189</v>
      </c>
      <c r="J456" s="4">
        <f t="shared" si="22"/>
        <v>-80</v>
      </c>
      <c r="K456" s="4" t="s">
        <v>23</v>
      </c>
      <c r="L456" s="4">
        <v>74847</v>
      </c>
      <c r="M456" s="4">
        <v>3218</v>
      </c>
      <c r="N456" s="10">
        <v>2008.36</v>
      </c>
      <c r="O456" s="10">
        <f t="shared" si="23"/>
        <v>2008.36</v>
      </c>
      <c r="P456" s="4">
        <v>244</v>
      </c>
      <c r="Q456" s="4" t="b">
        <v>0</v>
      </c>
      <c r="R456" s="4"/>
      <c r="S456" s="14" t="s">
        <v>25</v>
      </c>
    </row>
    <row r="457" spans="1:19">
      <c r="A457" s="6" t="s">
        <v>965</v>
      </c>
      <c r="B457" s="7" t="s">
        <v>966</v>
      </c>
      <c r="C457" s="8" t="s">
        <v>4131</v>
      </c>
      <c r="D457" s="8">
        <v>44948</v>
      </c>
      <c r="E457" s="7">
        <v>1</v>
      </c>
      <c r="F457" s="7">
        <v>22</v>
      </c>
      <c r="G457" s="7">
        <v>2023</v>
      </c>
      <c r="H457" s="8">
        <f t="shared" si="21"/>
        <v>44948</v>
      </c>
      <c r="I457" s="11">
        <v>44967</v>
      </c>
      <c r="J457" s="7">
        <f t="shared" si="22"/>
        <v>19</v>
      </c>
      <c r="K457" s="7" t="s">
        <v>23</v>
      </c>
      <c r="L457" s="7">
        <v>83750</v>
      </c>
      <c r="M457" s="7">
        <v>2497</v>
      </c>
      <c r="N457" s="12">
        <v>2199.62</v>
      </c>
      <c r="O457" s="12">
        <f t="shared" si="23"/>
        <v>2199.62</v>
      </c>
      <c r="P457" s="7">
        <v>142</v>
      </c>
      <c r="Q457" s="7" t="b">
        <v>1</v>
      </c>
      <c r="R457" s="7"/>
      <c r="S457" s="15" t="s">
        <v>25</v>
      </c>
    </row>
    <row r="458" spans="1:19">
      <c r="A458" s="3" t="s">
        <v>967</v>
      </c>
      <c r="B458" s="4" t="s">
        <v>968</v>
      </c>
      <c r="C458" s="5" t="s">
        <v>4127</v>
      </c>
      <c r="D458" s="5">
        <v>44966</v>
      </c>
      <c r="E458" s="4">
        <v>2</v>
      </c>
      <c r="F458" s="4">
        <v>9</v>
      </c>
      <c r="G458" s="4">
        <v>2023</v>
      </c>
      <c r="H458" s="5">
        <f t="shared" si="21"/>
        <v>44966</v>
      </c>
      <c r="I458" s="9">
        <v>44995</v>
      </c>
      <c r="J458" s="4">
        <f t="shared" si="22"/>
        <v>29</v>
      </c>
      <c r="K458" s="4" t="s">
        <v>19</v>
      </c>
      <c r="L458" s="4">
        <v>80634</v>
      </c>
      <c r="M458" s="4">
        <v>2052</v>
      </c>
      <c r="N458" s="10">
        <v>3426.8</v>
      </c>
      <c r="O458" s="10">
        <f t="shared" si="23"/>
        <v>3426.8</v>
      </c>
      <c r="P458" s="4">
        <v>280</v>
      </c>
      <c r="Q458" s="4" t="b">
        <v>0</v>
      </c>
      <c r="R458" s="4"/>
      <c r="S458" s="14" t="s">
        <v>20</v>
      </c>
    </row>
    <row r="459" spans="1:19">
      <c r="A459" s="6" t="s">
        <v>969</v>
      </c>
      <c r="B459" s="7" t="s">
        <v>970</v>
      </c>
      <c r="C459" s="8" t="s">
        <v>4129</v>
      </c>
      <c r="D459" s="8">
        <v>45220</v>
      </c>
      <c r="E459" s="7">
        <v>10</v>
      </c>
      <c r="F459" s="7">
        <v>21</v>
      </c>
      <c r="G459" s="7">
        <v>2023</v>
      </c>
      <c r="H459" s="8">
        <f t="shared" si="21"/>
        <v>45220</v>
      </c>
      <c r="I459" s="11">
        <v>45249</v>
      </c>
      <c r="J459" s="7">
        <f t="shared" si="22"/>
        <v>29</v>
      </c>
      <c r="K459" s="7" t="s">
        <v>19</v>
      </c>
      <c r="L459" s="7">
        <v>29251</v>
      </c>
      <c r="M459" s="7">
        <v>819</v>
      </c>
      <c r="N459" s="12">
        <v>530.8</v>
      </c>
      <c r="O459" s="12">
        <f t="shared" si="23"/>
        <v>530.8</v>
      </c>
      <c r="P459" s="7">
        <v>153</v>
      </c>
      <c r="Q459" s="7" t="b">
        <v>1</v>
      </c>
      <c r="R459" s="7"/>
      <c r="S459" s="15" t="s">
        <v>20</v>
      </c>
    </row>
    <row r="460" spans="1:19">
      <c r="A460" s="3" t="s">
        <v>971</v>
      </c>
      <c r="B460" s="4" t="s">
        <v>972</v>
      </c>
      <c r="C460" s="5" t="s">
        <v>4128</v>
      </c>
      <c r="D460" s="5">
        <v>45075</v>
      </c>
      <c r="E460" s="4">
        <v>5</v>
      </c>
      <c r="F460" s="4">
        <v>29</v>
      </c>
      <c r="G460" s="4">
        <v>2023</v>
      </c>
      <c r="H460" s="5">
        <f t="shared" si="21"/>
        <v>45075</v>
      </c>
      <c r="I460" s="9">
        <v>45102</v>
      </c>
      <c r="J460" s="4">
        <f t="shared" si="22"/>
        <v>27</v>
      </c>
      <c r="K460" s="4" t="s">
        <v>33</v>
      </c>
      <c r="L460" s="4">
        <v>26945</v>
      </c>
      <c r="M460" s="4">
        <v>514</v>
      </c>
      <c r="N460" s="10">
        <v>315.33</v>
      </c>
      <c r="O460" s="10">
        <f t="shared" si="23"/>
        <v>315.33</v>
      </c>
      <c r="P460" s="4">
        <v>39</v>
      </c>
      <c r="Q460" s="4" t="b">
        <v>1</v>
      </c>
      <c r="R460" s="4"/>
      <c r="S460" s="14" t="s">
        <v>34</v>
      </c>
    </row>
    <row r="461" spans="1:19">
      <c r="A461" s="6" t="s">
        <v>973</v>
      </c>
      <c r="B461" s="7" t="s">
        <v>974</v>
      </c>
      <c r="C461" s="8" t="s">
        <v>4131</v>
      </c>
      <c r="D461" s="8">
        <v>45093</v>
      </c>
      <c r="E461" s="7">
        <v>6</v>
      </c>
      <c r="F461" s="7">
        <v>16</v>
      </c>
      <c r="G461" s="7">
        <v>2023</v>
      </c>
      <c r="H461" s="8">
        <f t="shared" si="21"/>
        <v>45093</v>
      </c>
      <c r="I461" s="11">
        <v>45102</v>
      </c>
      <c r="J461" s="7">
        <f t="shared" si="22"/>
        <v>9</v>
      </c>
      <c r="K461" s="7" t="s">
        <v>14</v>
      </c>
      <c r="L461" s="7">
        <v>91852</v>
      </c>
      <c r="M461" s="7">
        <v>4186</v>
      </c>
      <c r="N461" s="12">
        <v>4363.12</v>
      </c>
      <c r="O461" s="12">
        <f t="shared" si="23"/>
        <v>3632.575</v>
      </c>
      <c r="P461" s="7">
        <v>0</v>
      </c>
      <c r="Q461" s="7" t="b">
        <v>0</v>
      </c>
      <c r="R461" s="7"/>
      <c r="S461" s="15" t="s">
        <v>16</v>
      </c>
    </row>
    <row r="462" spans="1:19">
      <c r="A462" s="3" t="s">
        <v>975</v>
      </c>
      <c r="B462" s="4" t="s">
        <v>976</v>
      </c>
      <c r="C462" s="5" t="s">
        <v>4127</v>
      </c>
      <c r="D462" s="5">
        <v>45162</v>
      </c>
      <c r="E462" s="4">
        <v>8</v>
      </c>
      <c r="F462" s="4">
        <v>24</v>
      </c>
      <c r="G462" s="4">
        <v>2023</v>
      </c>
      <c r="H462" s="5">
        <f t="shared" si="21"/>
        <v>45162</v>
      </c>
      <c r="I462" s="9">
        <v>45169</v>
      </c>
      <c r="J462" s="4">
        <f t="shared" si="22"/>
        <v>7</v>
      </c>
      <c r="K462" s="4" t="s">
        <v>138</v>
      </c>
      <c r="L462" s="4">
        <v>33217</v>
      </c>
      <c r="M462" s="4">
        <v>930</v>
      </c>
      <c r="N462" s="10">
        <v>593.57</v>
      </c>
      <c r="O462" s="10">
        <f t="shared" si="23"/>
        <v>593.57</v>
      </c>
      <c r="P462" s="4">
        <v>158</v>
      </c>
      <c r="Q462" s="4" t="b">
        <v>1</v>
      </c>
      <c r="R462" s="4">
        <v>33288</v>
      </c>
      <c r="S462" s="14" t="s">
        <v>139</v>
      </c>
    </row>
    <row r="463" spans="1:19">
      <c r="A463" s="6" t="s">
        <v>977</v>
      </c>
      <c r="B463" s="7" t="s">
        <v>978</v>
      </c>
      <c r="C463" s="8" t="s">
        <v>4131</v>
      </c>
      <c r="D463" s="8">
        <v>44972</v>
      </c>
      <c r="E463" s="7">
        <v>2</v>
      </c>
      <c r="F463" s="7">
        <v>15</v>
      </c>
      <c r="G463" s="7">
        <v>2023</v>
      </c>
      <c r="H463" s="8">
        <f t="shared" si="21"/>
        <v>44972</v>
      </c>
      <c r="I463" s="11">
        <v>44989</v>
      </c>
      <c r="J463" s="7">
        <f t="shared" si="22"/>
        <v>17</v>
      </c>
      <c r="K463" s="7" t="s">
        <v>14</v>
      </c>
      <c r="L463" s="7">
        <v>9308</v>
      </c>
      <c r="M463" s="7">
        <v>421</v>
      </c>
      <c r="N463" s="12">
        <v>579.98</v>
      </c>
      <c r="O463" s="12">
        <f t="shared" si="23"/>
        <v>579.98</v>
      </c>
      <c r="P463" s="7">
        <v>25</v>
      </c>
      <c r="Q463" s="7" t="b">
        <v>0</v>
      </c>
      <c r="R463" s="7"/>
      <c r="S463" s="15" t="s">
        <v>16</v>
      </c>
    </row>
    <row r="464" spans="1:19">
      <c r="A464" s="3" t="s">
        <v>979</v>
      </c>
      <c r="B464" s="4" t="s">
        <v>980</v>
      </c>
      <c r="C464" s="5" t="s">
        <v>4128</v>
      </c>
      <c r="D464" s="5">
        <v>45150</v>
      </c>
      <c r="E464" s="4">
        <v>8</v>
      </c>
      <c r="F464" s="4">
        <v>12</v>
      </c>
      <c r="G464" s="4">
        <v>2023</v>
      </c>
      <c r="H464" s="5">
        <f t="shared" si="21"/>
        <v>45150</v>
      </c>
      <c r="I464" s="9">
        <v>45151</v>
      </c>
      <c r="J464" s="4">
        <f t="shared" si="22"/>
        <v>1</v>
      </c>
      <c r="K464" s="4" t="s">
        <v>23</v>
      </c>
      <c r="L464" s="4">
        <v>6949</v>
      </c>
      <c r="M464" s="4">
        <v>98</v>
      </c>
      <c r="N464" s="10">
        <v>82.26</v>
      </c>
      <c r="O464" s="10">
        <f t="shared" si="23"/>
        <v>82.26</v>
      </c>
      <c r="P464" s="4">
        <v>10</v>
      </c>
      <c r="Q464" s="4" t="b">
        <v>1</v>
      </c>
      <c r="R464" s="4"/>
      <c r="S464" s="14" t="s">
        <v>25</v>
      </c>
    </row>
    <row r="465" spans="1:19">
      <c r="A465" s="6" t="s">
        <v>981</v>
      </c>
      <c r="B465" s="7" t="s">
        <v>982</v>
      </c>
      <c r="C465" s="8" t="s">
        <v>4128</v>
      </c>
      <c r="D465" s="8">
        <v>45129</v>
      </c>
      <c r="E465" s="7">
        <v>7</v>
      </c>
      <c r="F465" s="7">
        <v>22</v>
      </c>
      <c r="G465" s="7">
        <v>2023</v>
      </c>
      <c r="H465" s="8">
        <f t="shared" si="21"/>
        <v>45129</v>
      </c>
      <c r="I465" s="11">
        <v>45139</v>
      </c>
      <c r="J465" s="7">
        <f t="shared" si="22"/>
        <v>10</v>
      </c>
      <c r="K465" s="7" t="s">
        <v>41</v>
      </c>
      <c r="L465" s="7">
        <v>52990</v>
      </c>
      <c r="M465" s="7">
        <v>2624</v>
      </c>
      <c r="N465" s="12">
        <v>4837.47</v>
      </c>
      <c r="O465" s="12">
        <f t="shared" si="23"/>
        <v>3632.575</v>
      </c>
      <c r="P465" s="7">
        <v>398</v>
      </c>
      <c r="Q465" s="7" t="b">
        <v>1</v>
      </c>
      <c r="R465" s="7"/>
      <c r="S465" s="15" t="s">
        <v>42</v>
      </c>
    </row>
    <row r="466" spans="1:19">
      <c r="A466" s="3" t="s">
        <v>983</v>
      </c>
      <c r="B466" s="4" t="s">
        <v>984</v>
      </c>
      <c r="C466" s="5" t="s">
        <v>4131</v>
      </c>
      <c r="D466" s="5">
        <v>45040</v>
      </c>
      <c r="E466" s="4">
        <v>4</v>
      </c>
      <c r="F466" s="4">
        <v>24</v>
      </c>
      <c r="G466" s="4">
        <v>2023</v>
      </c>
      <c r="H466" s="5">
        <f t="shared" si="21"/>
        <v>45040</v>
      </c>
      <c r="I466" s="9">
        <v>45041</v>
      </c>
      <c r="J466" s="4">
        <f t="shared" si="22"/>
        <v>1</v>
      </c>
      <c r="K466" s="4" t="s">
        <v>191</v>
      </c>
      <c r="L466" s="4">
        <v>2150</v>
      </c>
      <c r="M466" s="4">
        <v>59</v>
      </c>
      <c r="N466" s="10">
        <v>98.84</v>
      </c>
      <c r="O466" s="10">
        <f t="shared" si="23"/>
        <v>98.84</v>
      </c>
      <c r="P466" s="4">
        <v>5</v>
      </c>
      <c r="Q466" s="4" t="b">
        <v>0</v>
      </c>
      <c r="R466" s="4"/>
      <c r="S466" s="14" t="s">
        <v>42</v>
      </c>
    </row>
    <row r="467" spans="1:19">
      <c r="A467" s="6" t="s">
        <v>985</v>
      </c>
      <c r="B467" s="7" t="s">
        <v>986</v>
      </c>
      <c r="C467" s="8" t="s">
        <v>4131</v>
      </c>
      <c r="D467" s="8">
        <v>45188</v>
      </c>
      <c r="E467" s="7">
        <v>9</v>
      </c>
      <c r="F467" s="7">
        <v>19</v>
      </c>
      <c r="G467" s="7">
        <v>2023</v>
      </c>
      <c r="H467" s="8">
        <f t="shared" si="21"/>
        <v>45188</v>
      </c>
      <c r="I467" s="11">
        <v>45195</v>
      </c>
      <c r="J467" s="7">
        <f t="shared" si="22"/>
        <v>7</v>
      </c>
      <c r="K467" s="7" t="s">
        <v>19</v>
      </c>
      <c r="L467" s="7">
        <v>90480</v>
      </c>
      <c r="M467" s="7">
        <v>1077</v>
      </c>
      <c r="N467" s="12">
        <v>1668.87</v>
      </c>
      <c r="O467" s="12">
        <f t="shared" si="23"/>
        <v>1668.87</v>
      </c>
      <c r="P467" s="7">
        <v>67</v>
      </c>
      <c r="Q467" s="7" t="b">
        <v>1</v>
      </c>
      <c r="R467" s="7"/>
      <c r="S467" s="15" t="s">
        <v>20</v>
      </c>
    </row>
    <row r="468" spans="1:19">
      <c r="A468" s="3" t="s">
        <v>987</v>
      </c>
      <c r="B468" s="4" t="s">
        <v>988</v>
      </c>
      <c r="C468" s="5" t="s">
        <v>4128</v>
      </c>
      <c r="D468" s="5">
        <v>45026</v>
      </c>
      <c r="E468" s="4">
        <v>4</v>
      </c>
      <c r="F468" s="4">
        <v>10</v>
      </c>
      <c r="G468" s="4">
        <v>2023</v>
      </c>
      <c r="H468" s="5">
        <f t="shared" si="21"/>
        <v>45026</v>
      </c>
      <c r="I468" s="9">
        <v>45021</v>
      </c>
      <c r="J468" s="4">
        <f t="shared" si="22"/>
        <v>-5</v>
      </c>
      <c r="K468" s="4" t="s">
        <v>138</v>
      </c>
      <c r="L468" s="4">
        <v>75740</v>
      </c>
      <c r="M468" s="4">
        <v>872</v>
      </c>
      <c r="N468" s="10">
        <v>1242.96</v>
      </c>
      <c r="O468" s="10">
        <f t="shared" si="23"/>
        <v>1242.96</v>
      </c>
      <c r="P468" s="4">
        <v>144</v>
      </c>
      <c r="Q468" s="4" t="b">
        <v>1</v>
      </c>
      <c r="R468" s="4"/>
      <c r="S468" s="14" t="s">
        <v>139</v>
      </c>
    </row>
    <row r="469" spans="1:19">
      <c r="A469" s="6" t="s">
        <v>989</v>
      </c>
      <c r="B469" s="7" t="s">
        <v>990</v>
      </c>
      <c r="C469" s="8" t="s">
        <v>4129</v>
      </c>
      <c r="D469" s="8">
        <v>45257</v>
      </c>
      <c r="E469" s="7">
        <v>11</v>
      </c>
      <c r="F469" s="7">
        <v>27</v>
      </c>
      <c r="G469" s="7">
        <v>2023</v>
      </c>
      <c r="H469" s="8">
        <f t="shared" si="21"/>
        <v>45257</v>
      </c>
      <c r="I469" s="11">
        <v>45263</v>
      </c>
      <c r="J469" s="7">
        <f t="shared" si="22"/>
        <v>6</v>
      </c>
      <c r="K469" s="7" t="s">
        <v>41</v>
      </c>
      <c r="L469" s="7">
        <v>67617</v>
      </c>
      <c r="M469" s="7">
        <v>2694</v>
      </c>
      <c r="N469" s="12">
        <v>4836.27</v>
      </c>
      <c r="O469" s="12">
        <f t="shared" si="23"/>
        <v>3632.575</v>
      </c>
      <c r="P469" s="7">
        <v>389</v>
      </c>
      <c r="Q469" s="7" t="b">
        <v>0</v>
      </c>
      <c r="R469" s="7"/>
      <c r="S469" s="15" t="s">
        <v>42</v>
      </c>
    </row>
    <row r="470" spans="1:19">
      <c r="A470" s="3" t="s">
        <v>991</v>
      </c>
      <c r="B470" s="4" t="s">
        <v>992</v>
      </c>
      <c r="C470" s="5" t="s">
        <v>4131</v>
      </c>
      <c r="D470" s="5">
        <v>45001</v>
      </c>
      <c r="E470" s="4">
        <v>3</v>
      </c>
      <c r="F470" s="4">
        <v>16</v>
      </c>
      <c r="G470" s="4">
        <v>2023</v>
      </c>
      <c r="H470" s="5">
        <f t="shared" si="21"/>
        <v>45001</v>
      </c>
      <c r="I470" s="9">
        <v>45029</v>
      </c>
      <c r="J470" s="4">
        <f t="shared" si="22"/>
        <v>28</v>
      </c>
      <c r="K470" s="4" t="s">
        <v>33</v>
      </c>
      <c r="L470" s="4">
        <v>95841</v>
      </c>
      <c r="M470" s="4">
        <v>3484</v>
      </c>
      <c r="N470" s="10">
        <v>2907.72</v>
      </c>
      <c r="O470" s="10">
        <f t="shared" si="23"/>
        <v>2907.72</v>
      </c>
      <c r="P470" s="4">
        <v>690</v>
      </c>
      <c r="Q470" s="4" t="b">
        <v>1</v>
      </c>
      <c r="R470" s="4"/>
      <c r="S470" s="14" t="s">
        <v>34</v>
      </c>
    </row>
    <row r="471" spans="1:19">
      <c r="A471" s="6" t="s">
        <v>993</v>
      </c>
      <c r="B471" s="7" t="s">
        <v>994</v>
      </c>
      <c r="C471" s="8" t="s">
        <v>4128</v>
      </c>
      <c r="D471" s="8">
        <v>45005</v>
      </c>
      <c r="E471" s="7">
        <v>3</v>
      </c>
      <c r="F471" s="7">
        <v>20</v>
      </c>
      <c r="G471" s="7">
        <v>2023</v>
      </c>
      <c r="H471" s="8">
        <f t="shared" si="21"/>
        <v>45005</v>
      </c>
      <c r="I471" s="11">
        <v>45016</v>
      </c>
      <c r="J471" s="7">
        <f t="shared" si="22"/>
        <v>11</v>
      </c>
      <c r="K471" s="7" t="s">
        <v>14</v>
      </c>
      <c r="L471" s="7">
        <v>17896</v>
      </c>
      <c r="M471" s="7">
        <v>753</v>
      </c>
      <c r="N471" s="12">
        <v>1362.68</v>
      </c>
      <c r="O471" s="12">
        <f t="shared" si="23"/>
        <v>1362.68</v>
      </c>
      <c r="P471" s="7">
        <v>76</v>
      </c>
      <c r="Q471" s="7" t="b">
        <v>0</v>
      </c>
      <c r="R471" s="7"/>
      <c r="S471" s="15" t="s">
        <v>16</v>
      </c>
    </row>
    <row r="472" spans="1:19">
      <c r="A472" s="3" t="s">
        <v>995</v>
      </c>
      <c r="B472" s="4" t="s">
        <v>996</v>
      </c>
      <c r="C472" s="5" t="s">
        <v>4131</v>
      </c>
      <c r="D472" s="5">
        <v>45017</v>
      </c>
      <c r="E472" s="4">
        <v>4</v>
      </c>
      <c r="F472" s="4">
        <v>1</v>
      </c>
      <c r="G472" s="4">
        <v>2023</v>
      </c>
      <c r="H472" s="5">
        <f t="shared" si="21"/>
        <v>45017</v>
      </c>
      <c r="I472" s="9">
        <v>45024</v>
      </c>
      <c r="J472" s="4">
        <f t="shared" si="22"/>
        <v>7</v>
      </c>
      <c r="K472" s="4" t="s">
        <v>19</v>
      </c>
      <c r="L472" s="4">
        <v>47175</v>
      </c>
      <c r="M472" s="4">
        <v>670</v>
      </c>
      <c r="N472" s="10">
        <v>1128.44</v>
      </c>
      <c r="O472" s="10">
        <f t="shared" si="23"/>
        <v>1128.44</v>
      </c>
      <c r="P472" s="4">
        <v>39</v>
      </c>
      <c r="Q472" s="4" t="b">
        <v>1</v>
      </c>
      <c r="R472" s="4"/>
      <c r="S472" s="14" t="s">
        <v>20</v>
      </c>
    </row>
    <row r="473" spans="1:19">
      <c r="A473" s="6" t="s">
        <v>997</v>
      </c>
      <c r="B473" s="7" t="s">
        <v>998</v>
      </c>
      <c r="C473" s="8" t="s">
        <v>4127</v>
      </c>
      <c r="D473" s="8">
        <v>45164</v>
      </c>
      <c r="E473" s="7">
        <v>8</v>
      </c>
      <c r="F473" s="7">
        <v>26</v>
      </c>
      <c r="G473" s="7">
        <v>2023</v>
      </c>
      <c r="H473" s="8">
        <f t="shared" si="21"/>
        <v>45164</v>
      </c>
      <c r="I473" s="11">
        <v>45180</v>
      </c>
      <c r="J473" s="7">
        <f t="shared" si="22"/>
        <v>16</v>
      </c>
      <c r="K473" s="7" t="s">
        <v>14</v>
      </c>
      <c r="L473" s="7">
        <v>8805</v>
      </c>
      <c r="M473" s="7">
        <v>100</v>
      </c>
      <c r="N473" s="12">
        <v>162.22</v>
      </c>
      <c r="O473" s="12">
        <f t="shared" si="23"/>
        <v>162.22</v>
      </c>
      <c r="P473" s="7">
        <v>16</v>
      </c>
      <c r="Q473" s="7" t="b">
        <v>0</v>
      </c>
      <c r="R473" s="7"/>
      <c r="S473" s="15" t="s">
        <v>16</v>
      </c>
    </row>
    <row r="474" spans="1:19">
      <c r="A474" s="3" t="s">
        <v>999</v>
      </c>
      <c r="B474" s="4" t="s">
        <v>1000</v>
      </c>
      <c r="C474" s="5" t="s">
        <v>4128</v>
      </c>
      <c r="D474" s="5">
        <v>45156</v>
      </c>
      <c r="E474" s="4">
        <v>8</v>
      </c>
      <c r="F474" s="4">
        <v>18</v>
      </c>
      <c r="G474" s="4">
        <v>2023</v>
      </c>
      <c r="H474" s="5">
        <f t="shared" si="21"/>
        <v>45156</v>
      </c>
      <c r="I474" s="9">
        <v>45180</v>
      </c>
      <c r="J474" s="4">
        <f t="shared" si="22"/>
        <v>24</v>
      </c>
      <c r="K474" s="4" t="s">
        <v>19</v>
      </c>
      <c r="L474" s="4">
        <v>6237</v>
      </c>
      <c r="M474" s="4">
        <v>189</v>
      </c>
      <c r="N474" s="10">
        <v>253.62</v>
      </c>
      <c r="O474" s="10">
        <f t="shared" si="23"/>
        <v>253.62</v>
      </c>
      <c r="P474" s="4">
        <v>24</v>
      </c>
      <c r="Q474" s="4" t="b">
        <v>1</v>
      </c>
      <c r="R474" s="4"/>
      <c r="S474" s="14" t="s">
        <v>20</v>
      </c>
    </row>
    <row r="475" spans="1:19">
      <c r="A475" s="6" t="s">
        <v>1001</v>
      </c>
      <c r="B475" s="7" t="s">
        <v>1002</v>
      </c>
      <c r="C475" s="8" t="s">
        <v>4128</v>
      </c>
      <c r="D475" s="8">
        <v>45256</v>
      </c>
      <c r="E475" s="7">
        <v>11</v>
      </c>
      <c r="F475" s="7">
        <v>26</v>
      </c>
      <c r="G475" s="7">
        <v>2023</v>
      </c>
      <c r="H475" s="8">
        <f t="shared" si="21"/>
        <v>45256</v>
      </c>
      <c r="I475" s="11">
        <v>45269</v>
      </c>
      <c r="J475" s="7">
        <f t="shared" si="22"/>
        <v>13</v>
      </c>
      <c r="K475" s="7" t="s">
        <v>19</v>
      </c>
      <c r="L475" s="7">
        <v>21056</v>
      </c>
      <c r="M475" s="7">
        <v>537</v>
      </c>
      <c r="N475" s="12">
        <v>466.85</v>
      </c>
      <c r="O475" s="12">
        <f t="shared" si="23"/>
        <v>466.85</v>
      </c>
      <c r="P475" s="7">
        <v>44</v>
      </c>
      <c r="Q475" s="7" t="b">
        <v>0</v>
      </c>
      <c r="R475" s="7"/>
      <c r="S475" s="15" t="s">
        <v>20</v>
      </c>
    </row>
    <row r="476" spans="1:19">
      <c r="A476" s="3" t="s">
        <v>1003</v>
      </c>
      <c r="B476" s="4" t="s">
        <v>1004</v>
      </c>
      <c r="C476" s="5" t="s">
        <v>4127</v>
      </c>
      <c r="D476" s="5">
        <v>45248</v>
      </c>
      <c r="E476" s="4">
        <v>11</v>
      </c>
      <c r="F476" s="4">
        <v>18</v>
      </c>
      <c r="G476" s="4">
        <v>2023</v>
      </c>
      <c r="H476" s="5">
        <f t="shared" si="21"/>
        <v>45248</v>
      </c>
      <c r="I476" s="9">
        <v>45272</v>
      </c>
      <c r="J476" s="4">
        <f t="shared" si="22"/>
        <v>24</v>
      </c>
      <c r="K476" s="4" t="s">
        <v>23</v>
      </c>
      <c r="L476" s="4">
        <v>46543</v>
      </c>
      <c r="M476" s="4">
        <v>1325</v>
      </c>
      <c r="N476" s="10">
        <v>1504.3</v>
      </c>
      <c r="O476" s="10">
        <f t="shared" si="23"/>
        <v>1504.3</v>
      </c>
      <c r="P476" s="4">
        <v>221</v>
      </c>
      <c r="Q476" s="4" t="b">
        <v>0</v>
      </c>
      <c r="R476" s="4"/>
      <c r="S476" s="14" t="s">
        <v>25</v>
      </c>
    </row>
    <row r="477" spans="1:19">
      <c r="A477" s="6" t="s">
        <v>1005</v>
      </c>
      <c r="B477" s="7" t="s">
        <v>1006</v>
      </c>
      <c r="C477" s="8" t="s">
        <v>4128</v>
      </c>
      <c r="D477" s="8">
        <v>45167</v>
      </c>
      <c r="E477" s="7">
        <v>8</v>
      </c>
      <c r="F477" s="7">
        <v>29</v>
      </c>
      <c r="G477" s="7">
        <v>2023</v>
      </c>
      <c r="H477" s="8">
        <f t="shared" si="21"/>
        <v>45167</v>
      </c>
      <c r="I477" s="11">
        <v>45178</v>
      </c>
      <c r="J477" s="7">
        <f t="shared" si="22"/>
        <v>11</v>
      </c>
      <c r="K477" s="7" t="s">
        <v>14</v>
      </c>
      <c r="L477" s="7">
        <v>57556</v>
      </c>
      <c r="M477" s="7">
        <v>2858</v>
      </c>
      <c r="N477" s="12">
        <v>4831.04</v>
      </c>
      <c r="O477" s="12">
        <f t="shared" si="23"/>
        <v>3632.575</v>
      </c>
      <c r="P477" s="7">
        <v>230</v>
      </c>
      <c r="Q477" s="7" t="b">
        <v>1</v>
      </c>
      <c r="R477" s="7"/>
      <c r="S477" s="15" t="s">
        <v>16</v>
      </c>
    </row>
    <row r="478" spans="1:19">
      <c r="A478" s="3" t="s">
        <v>1007</v>
      </c>
      <c r="B478" s="4" t="s">
        <v>1008</v>
      </c>
      <c r="C478" s="5" t="s">
        <v>4131</v>
      </c>
      <c r="D478" s="5">
        <v>45067</v>
      </c>
      <c r="E478" s="4">
        <v>5</v>
      </c>
      <c r="F478" s="4">
        <v>21</v>
      </c>
      <c r="G478" s="4">
        <v>2023</v>
      </c>
      <c r="H478" s="5">
        <f t="shared" si="21"/>
        <v>45067</v>
      </c>
      <c r="I478" s="9">
        <v>45082</v>
      </c>
      <c r="J478" s="4">
        <f t="shared" si="22"/>
        <v>15</v>
      </c>
      <c r="K478" s="4" t="s">
        <v>191</v>
      </c>
      <c r="L478" s="4">
        <v>4343</v>
      </c>
      <c r="M478" s="4">
        <v>212</v>
      </c>
      <c r="N478" s="10">
        <v>116.11</v>
      </c>
      <c r="O478" s="10">
        <f t="shared" si="23"/>
        <v>116.11</v>
      </c>
      <c r="P478" s="4">
        <v>0</v>
      </c>
      <c r="Q478" s="4" t="b">
        <v>0</v>
      </c>
      <c r="R478" s="4"/>
      <c r="S478" s="14" t="s">
        <v>42</v>
      </c>
    </row>
    <row r="479" spans="1:19">
      <c r="A479" s="6" t="s">
        <v>1009</v>
      </c>
      <c r="B479" s="7" t="s">
        <v>1010</v>
      </c>
      <c r="C479" s="8" t="s">
        <v>4131</v>
      </c>
      <c r="D479" s="8">
        <v>44964</v>
      </c>
      <c r="E479" s="7">
        <v>2</v>
      </c>
      <c r="F479" s="7">
        <v>7</v>
      </c>
      <c r="G479" s="7">
        <v>2023</v>
      </c>
      <c r="H479" s="8">
        <f t="shared" si="21"/>
        <v>44964</v>
      </c>
      <c r="I479" s="11">
        <v>44977</v>
      </c>
      <c r="J479" s="7">
        <f t="shared" si="22"/>
        <v>13</v>
      </c>
      <c r="K479" s="7" t="s">
        <v>41</v>
      </c>
      <c r="L479" s="7">
        <v>14500</v>
      </c>
      <c r="M479" s="7">
        <v>691</v>
      </c>
      <c r="N479" s="12">
        <v>1156.1</v>
      </c>
      <c r="O479" s="12">
        <f t="shared" si="23"/>
        <v>1156.1</v>
      </c>
      <c r="P479" s="7">
        <v>44</v>
      </c>
      <c r="Q479" s="7" t="b">
        <v>1</v>
      </c>
      <c r="R479" s="7"/>
      <c r="S479" s="15" t="s">
        <v>42</v>
      </c>
    </row>
    <row r="480" spans="1:19">
      <c r="A480" s="3" t="s">
        <v>1011</v>
      </c>
      <c r="B480" s="4" t="s">
        <v>1012</v>
      </c>
      <c r="C480" s="5" t="s">
        <v>4128</v>
      </c>
      <c r="D480" s="5">
        <v>44956</v>
      </c>
      <c r="E480" s="4">
        <v>1</v>
      </c>
      <c r="F480" s="4">
        <v>30</v>
      </c>
      <c r="G480" s="4">
        <v>2023</v>
      </c>
      <c r="H480" s="5">
        <f t="shared" si="21"/>
        <v>44956</v>
      </c>
      <c r="I480" s="9">
        <v>44976</v>
      </c>
      <c r="J480" s="4">
        <f t="shared" si="22"/>
        <v>20</v>
      </c>
      <c r="K480" s="4" t="s">
        <v>138</v>
      </c>
      <c r="L480" s="4">
        <v>54222</v>
      </c>
      <c r="M480" s="4">
        <v>2242</v>
      </c>
      <c r="N480" s="10">
        <v>1928.36</v>
      </c>
      <c r="O480" s="10">
        <f t="shared" si="23"/>
        <v>1928.36</v>
      </c>
      <c r="P480" s="4">
        <v>246</v>
      </c>
      <c r="Q480" s="4" t="b">
        <v>0</v>
      </c>
      <c r="R480" s="4"/>
      <c r="S480" s="14" t="s">
        <v>139</v>
      </c>
    </row>
    <row r="481" spans="1:19">
      <c r="A481" s="6" t="s">
        <v>1013</v>
      </c>
      <c r="B481" s="7" t="s">
        <v>1014</v>
      </c>
      <c r="C481" s="8" t="s">
        <v>4128</v>
      </c>
      <c r="D481" s="8">
        <v>45257</v>
      </c>
      <c r="E481" s="7">
        <v>11</v>
      </c>
      <c r="F481" s="7">
        <v>27</v>
      </c>
      <c r="G481" s="7">
        <v>2023</v>
      </c>
      <c r="H481" s="8">
        <f t="shared" si="21"/>
        <v>45257</v>
      </c>
      <c r="I481" s="11">
        <v>45282</v>
      </c>
      <c r="J481" s="7">
        <f t="shared" si="22"/>
        <v>25</v>
      </c>
      <c r="K481" s="7" t="s">
        <v>23</v>
      </c>
      <c r="L481" s="7">
        <v>30375</v>
      </c>
      <c r="M481" s="7">
        <v>734</v>
      </c>
      <c r="N481" s="12">
        <v>525.88</v>
      </c>
      <c r="O481" s="12">
        <f t="shared" si="23"/>
        <v>525.88</v>
      </c>
      <c r="P481" s="7">
        <v>82</v>
      </c>
      <c r="Q481" s="7" t="b">
        <v>0</v>
      </c>
      <c r="R481" s="7"/>
      <c r="S481" s="15" t="s">
        <v>25</v>
      </c>
    </row>
    <row r="482" spans="1:19">
      <c r="A482" s="3" t="s">
        <v>1015</v>
      </c>
      <c r="B482" s="4" t="s">
        <v>1016</v>
      </c>
      <c r="C482" s="5" t="s">
        <v>4127</v>
      </c>
      <c r="D482" s="5">
        <v>45241</v>
      </c>
      <c r="E482" s="4">
        <v>11</v>
      </c>
      <c r="F482" s="4">
        <v>11</v>
      </c>
      <c r="G482" s="4">
        <v>2023</v>
      </c>
      <c r="H482" s="5">
        <f t="shared" si="21"/>
        <v>45241</v>
      </c>
      <c r="I482" s="9">
        <v>45247</v>
      </c>
      <c r="J482" s="4">
        <f t="shared" si="22"/>
        <v>6</v>
      </c>
      <c r="K482" s="4" t="s">
        <v>33</v>
      </c>
      <c r="L482" s="4">
        <v>10662</v>
      </c>
      <c r="M482" s="4">
        <v>282</v>
      </c>
      <c r="N482" s="10">
        <v>189.94</v>
      </c>
      <c r="O482" s="10">
        <f t="shared" si="23"/>
        <v>189.94</v>
      </c>
      <c r="P482" s="4">
        <v>35</v>
      </c>
      <c r="Q482" s="4" t="b">
        <v>1</v>
      </c>
      <c r="R482" s="4"/>
      <c r="S482" s="14" t="s">
        <v>34</v>
      </c>
    </row>
    <row r="483" spans="1:19">
      <c r="A483" s="6" t="s">
        <v>1017</v>
      </c>
      <c r="B483" s="7" t="s">
        <v>1018</v>
      </c>
      <c r="C483" s="8" t="s">
        <v>4128</v>
      </c>
      <c r="D483" s="8">
        <v>45224</v>
      </c>
      <c r="E483" s="7">
        <v>10</v>
      </c>
      <c r="F483" s="7">
        <v>25</v>
      </c>
      <c r="G483" s="7">
        <v>2023</v>
      </c>
      <c r="H483" s="8">
        <f t="shared" si="21"/>
        <v>45224</v>
      </c>
      <c r="I483" s="11">
        <v>45254</v>
      </c>
      <c r="J483" s="7">
        <f t="shared" si="22"/>
        <v>30</v>
      </c>
      <c r="K483" s="7" t="s">
        <v>191</v>
      </c>
      <c r="L483" s="7">
        <v>17964</v>
      </c>
      <c r="M483" s="7">
        <v>574</v>
      </c>
      <c r="N483" s="12">
        <v>310.46</v>
      </c>
      <c r="O483" s="12">
        <f t="shared" si="23"/>
        <v>310.46</v>
      </c>
      <c r="P483" s="7">
        <v>89</v>
      </c>
      <c r="Q483" s="7" t="b">
        <v>1</v>
      </c>
      <c r="R483" s="7"/>
      <c r="S483" s="15" t="s">
        <v>42</v>
      </c>
    </row>
    <row r="484" spans="1:19">
      <c r="A484" s="3" t="s">
        <v>1019</v>
      </c>
      <c r="B484" s="4" t="s">
        <v>1020</v>
      </c>
      <c r="C484" s="5" t="s">
        <v>4129</v>
      </c>
      <c r="D484" s="5">
        <v>44948</v>
      </c>
      <c r="E484" s="4">
        <v>1</v>
      </c>
      <c r="F484" s="4">
        <v>22</v>
      </c>
      <c r="G484" s="4">
        <v>2023</v>
      </c>
      <c r="H484" s="5">
        <f t="shared" si="21"/>
        <v>44948</v>
      </c>
      <c r="I484" s="9">
        <v>44964</v>
      </c>
      <c r="J484" s="4">
        <f t="shared" si="22"/>
        <v>16</v>
      </c>
      <c r="K484" s="4" t="s">
        <v>33</v>
      </c>
      <c r="L484" s="4">
        <v>60638</v>
      </c>
      <c r="M484" s="4">
        <v>2620</v>
      </c>
      <c r="N484" s="10">
        <v>3367.69</v>
      </c>
      <c r="O484" s="10">
        <f t="shared" si="23"/>
        <v>3367.69</v>
      </c>
      <c r="P484" s="4">
        <v>487</v>
      </c>
      <c r="Q484" s="4" t="b">
        <v>0</v>
      </c>
      <c r="R484" s="4"/>
      <c r="S484" s="14" t="s">
        <v>34</v>
      </c>
    </row>
    <row r="485" spans="1:19">
      <c r="A485" s="6" t="s">
        <v>1021</v>
      </c>
      <c r="B485" s="7" t="s">
        <v>1022</v>
      </c>
      <c r="C485" s="8" t="s">
        <v>4129</v>
      </c>
      <c r="D485" s="8">
        <v>45260</v>
      </c>
      <c r="E485" s="7">
        <v>11</v>
      </c>
      <c r="F485" s="7">
        <v>30</v>
      </c>
      <c r="G485" s="7">
        <v>2023</v>
      </c>
      <c r="H485" s="8">
        <f t="shared" si="21"/>
        <v>45260</v>
      </c>
      <c r="I485" s="11">
        <v>45276</v>
      </c>
      <c r="J485" s="7">
        <f t="shared" si="22"/>
        <v>16</v>
      </c>
      <c r="K485" s="7" t="s">
        <v>41</v>
      </c>
      <c r="L485" s="7">
        <v>74666</v>
      </c>
      <c r="M485" s="7">
        <v>951</v>
      </c>
      <c r="N485" s="12">
        <v>786.85</v>
      </c>
      <c r="O485" s="12">
        <f t="shared" si="23"/>
        <v>786.85</v>
      </c>
      <c r="P485" s="7">
        <v>67</v>
      </c>
      <c r="Q485" s="7" t="b">
        <v>0</v>
      </c>
      <c r="R485" s="7"/>
      <c r="S485" s="15" t="s">
        <v>42</v>
      </c>
    </row>
    <row r="486" spans="1:19">
      <c r="A486" s="3" t="s">
        <v>1023</v>
      </c>
      <c r="B486" s="4" t="s">
        <v>1024</v>
      </c>
      <c r="C486" s="5" t="s">
        <v>4129</v>
      </c>
      <c r="D486" s="5">
        <v>45183</v>
      </c>
      <c r="E486" s="4">
        <v>9</v>
      </c>
      <c r="F486" s="4">
        <v>14</v>
      </c>
      <c r="G486" s="4">
        <v>2023</v>
      </c>
      <c r="H486" s="5">
        <f t="shared" si="21"/>
        <v>45183</v>
      </c>
      <c r="I486" s="9">
        <v>45201</v>
      </c>
      <c r="J486" s="4">
        <f t="shared" si="22"/>
        <v>18</v>
      </c>
      <c r="K486" s="4" t="s">
        <v>41</v>
      </c>
      <c r="L486" s="4">
        <v>86067</v>
      </c>
      <c r="M486" s="4">
        <v>2321</v>
      </c>
      <c r="N486" s="10">
        <v>4605.21</v>
      </c>
      <c r="O486" s="10">
        <f t="shared" si="23"/>
        <v>3632.575</v>
      </c>
      <c r="P486" s="4">
        <v>134</v>
      </c>
      <c r="Q486" s="4" t="b">
        <v>0</v>
      </c>
      <c r="R486" s="4"/>
      <c r="S486" s="14" t="s">
        <v>42</v>
      </c>
    </row>
    <row r="487" spans="1:19">
      <c r="A487" s="6" t="s">
        <v>1025</v>
      </c>
      <c r="B487" s="7" t="s">
        <v>1026</v>
      </c>
      <c r="C487" s="8" t="s">
        <v>4127</v>
      </c>
      <c r="D487" s="8">
        <v>44979</v>
      </c>
      <c r="E487" s="7">
        <v>2</v>
      </c>
      <c r="F487" s="7">
        <v>22</v>
      </c>
      <c r="G487" s="7">
        <v>2023</v>
      </c>
      <c r="H487" s="8">
        <f t="shared" si="21"/>
        <v>44979</v>
      </c>
      <c r="I487" s="11">
        <v>44999</v>
      </c>
      <c r="J487" s="7">
        <f t="shared" si="22"/>
        <v>20</v>
      </c>
      <c r="K487" s="7" t="s">
        <v>23</v>
      </c>
      <c r="L487" s="7">
        <v>68215</v>
      </c>
      <c r="M487" s="7">
        <v>907</v>
      </c>
      <c r="N487" s="12">
        <v>1235.02</v>
      </c>
      <c r="O487" s="12">
        <f t="shared" si="23"/>
        <v>1235.02</v>
      </c>
      <c r="P487" s="7">
        <v>0</v>
      </c>
      <c r="Q487" s="7" t="b">
        <v>0</v>
      </c>
      <c r="R487" s="7"/>
      <c r="S487" s="15" t="s">
        <v>25</v>
      </c>
    </row>
    <row r="488" spans="1:19">
      <c r="A488" s="3" t="s">
        <v>1027</v>
      </c>
      <c r="B488" s="4" t="s">
        <v>1028</v>
      </c>
      <c r="C488" s="5" t="s">
        <v>4129</v>
      </c>
      <c r="D488" s="5">
        <v>45292</v>
      </c>
      <c r="E488" s="4">
        <v>1</v>
      </c>
      <c r="F488" s="4">
        <v>1</v>
      </c>
      <c r="G488" s="4">
        <v>2024</v>
      </c>
      <c r="H488" s="5">
        <f t="shared" si="21"/>
        <v>45292</v>
      </c>
      <c r="I488" s="9">
        <v>45302</v>
      </c>
      <c r="J488" s="4">
        <f t="shared" si="22"/>
        <v>10</v>
      </c>
      <c r="K488" s="4" t="s">
        <v>138</v>
      </c>
      <c r="L488" s="4">
        <v>70042</v>
      </c>
      <c r="M488" s="4">
        <v>2142</v>
      </c>
      <c r="N488" s="10">
        <v>1514.03</v>
      </c>
      <c r="O488" s="10">
        <f t="shared" si="23"/>
        <v>1514.03</v>
      </c>
      <c r="P488" s="4">
        <v>153</v>
      </c>
      <c r="Q488" s="4" t="b">
        <v>1</v>
      </c>
      <c r="R488" s="4"/>
      <c r="S488" s="14" t="s">
        <v>139</v>
      </c>
    </row>
    <row r="489" spans="1:19">
      <c r="A489" s="6" t="s">
        <v>1029</v>
      </c>
      <c r="B489" s="7" t="s">
        <v>1030</v>
      </c>
      <c r="C489" s="8" t="s">
        <v>4127</v>
      </c>
      <c r="D489" s="8">
        <v>45257</v>
      </c>
      <c r="E489" s="7">
        <v>11</v>
      </c>
      <c r="F489" s="7">
        <v>27</v>
      </c>
      <c r="G489" s="7">
        <v>2023</v>
      </c>
      <c r="H489" s="8">
        <f t="shared" si="21"/>
        <v>45257</v>
      </c>
      <c r="I489" s="11">
        <v>45283</v>
      </c>
      <c r="J489" s="7">
        <f t="shared" si="22"/>
        <v>26</v>
      </c>
      <c r="K489" s="7" t="s">
        <v>23</v>
      </c>
      <c r="L489" s="7">
        <v>14284</v>
      </c>
      <c r="M489" s="7">
        <v>656</v>
      </c>
      <c r="N489" s="12">
        <v>1005.74</v>
      </c>
      <c r="O489" s="12">
        <f t="shared" si="23"/>
        <v>1005.74</v>
      </c>
      <c r="P489" s="7">
        <v>97</v>
      </c>
      <c r="Q489" s="7" t="b">
        <v>0</v>
      </c>
      <c r="R489" s="7"/>
      <c r="S489" s="15" t="s">
        <v>25</v>
      </c>
    </row>
    <row r="490" spans="1:19">
      <c r="A490" s="3" t="s">
        <v>1031</v>
      </c>
      <c r="B490" s="4" t="s">
        <v>1032</v>
      </c>
      <c r="C490" s="5" t="s">
        <v>4128</v>
      </c>
      <c r="D490" s="5">
        <v>45151</v>
      </c>
      <c r="E490" s="4">
        <v>8</v>
      </c>
      <c r="F490" s="4">
        <v>13</v>
      </c>
      <c r="G490" s="4">
        <v>2023</v>
      </c>
      <c r="H490" s="5">
        <f t="shared" si="21"/>
        <v>45151</v>
      </c>
      <c r="I490" s="9">
        <v>45173</v>
      </c>
      <c r="J490" s="4">
        <f t="shared" si="22"/>
        <v>22</v>
      </c>
      <c r="K490" s="4" t="s">
        <v>23</v>
      </c>
      <c r="L490" s="4">
        <v>73789</v>
      </c>
      <c r="M490" s="4">
        <v>3047</v>
      </c>
      <c r="N490" s="10">
        <v>5626.64</v>
      </c>
      <c r="O490" s="10">
        <f t="shared" si="23"/>
        <v>3632.575</v>
      </c>
      <c r="P490" s="4">
        <v>484</v>
      </c>
      <c r="Q490" s="4" t="b">
        <v>0</v>
      </c>
      <c r="R490" s="4"/>
      <c r="S490" s="14" t="s">
        <v>25</v>
      </c>
    </row>
    <row r="491" spans="1:19">
      <c r="A491" s="6" t="s">
        <v>1033</v>
      </c>
      <c r="B491" s="7" t="s">
        <v>1034</v>
      </c>
      <c r="C491" s="8" t="s">
        <v>4127</v>
      </c>
      <c r="D491" s="8">
        <v>45239</v>
      </c>
      <c r="E491" s="7">
        <v>11</v>
      </c>
      <c r="F491" s="7">
        <v>9</v>
      </c>
      <c r="G491" s="7">
        <v>2023</v>
      </c>
      <c r="H491" s="8">
        <f t="shared" si="21"/>
        <v>45239</v>
      </c>
      <c r="I491" s="11">
        <v>45267</v>
      </c>
      <c r="J491" s="7">
        <f t="shared" si="22"/>
        <v>28</v>
      </c>
      <c r="K491" s="7" t="s">
        <v>23</v>
      </c>
      <c r="L491" s="7">
        <v>85664</v>
      </c>
      <c r="M491" s="7">
        <v>1637</v>
      </c>
      <c r="N491" s="12">
        <v>2648.29</v>
      </c>
      <c r="O491" s="12">
        <f t="shared" si="23"/>
        <v>2648.29</v>
      </c>
      <c r="P491" s="7">
        <v>274</v>
      </c>
      <c r="Q491" s="7" t="b">
        <v>1</v>
      </c>
      <c r="R491" s="7"/>
      <c r="S491" s="15" t="s">
        <v>25</v>
      </c>
    </row>
    <row r="492" spans="1:19">
      <c r="A492" s="3" t="s">
        <v>1035</v>
      </c>
      <c r="B492" s="4" t="s">
        <v>1036</v>
      </c>
      <c r="C492" s="5" t="s">
        <v>4131</v>
      </c>
      <c r="D492" s="5">
        <v>45071</v>
      </c>
      <c r="E492" s="4">
        <v>5</v>
      </c>
      <c r="F492" s="4">
        <v>25</v>
      </c>
      <c r="G492" s="4">
        <v>2023</v>
      </c>
      <c r="H492" s="5">
        <f t="shared" si="21"/>
        <v>45071</v>
      </c>
      <c r="I492" s="9">
        <v>45079</v>
      </c>
      <c r="J492" s="4">
        <f t="shared" si="22"/>
        <v>8</v>
      </c>
      <c r="K492" s="4" t="s">
        <v>138</v>
      </c>
      <c r="L492" s="4">
        <v>94468</v>
      </c>
      <c r="M492" s="4">
        <v>4632</v>
      </c>
      <c r="N492" s="10">
        <v>2847.1</v>
      </c>
      <c r="O492" s="10">
        <f t="shared" si="23"/>
        <v>2847.1</v>
      </c>
      <c r="P492" s="4">
        <v>400</v>
      </c>
      <c r="Q492" s="4" t="b">
        <v>1</v>
      </c>
      <c r="R492" s="4"/>
      <c r="S492" s="14" t="s">
        <v>139</v>
      </c>
    </row>
    <row r="493" spans="1:19">
      <c r="A493" s="6" t="s">
        <v>1037</v>
      </c>
      <c r="B493" s="7" t="s">
        <v>1038</v>
      </c>
      <c r="C493" s="8" t="s">
        <v>4131</v>
      </c>
      <c r="D493" s="8">
        <v>45274</v>
      </c>
      <c r="E493" s="7">
        <v>12</v>
      </c>
      <c r="F493" s="7">
        <v>14</v>
      </c>
      <c r="G493" s="7">
        <v>2023</v>
      </c>
      <c r="H493" s="8">
        <f t="shared" si="21"/>
        <v>45274</v>
      </c>
      <c r="I493" s="11">
        <v>45277</v>
      </c>
      <c r="J493" s="7">
        <f t="shared" si="22"/>
        <v>3</v>
      </c>
      <c r="K493" s="7" t="s">
        <v>33</v>
      </c>
      <c r="L493" s="7">
        <v>62389</v>
      </c>
      <c r="M493" s="7">
        <v>2289</v>
      </c>
      <c r="N493" s="12">
        <v>4220.52</v>
      </c>
      <c r="O493" s="12">
        <f t="shared" si="23"/>
        <v>3632.575</v>
      </c>
      <c r="P493" s="7">
        <v>219</v>
      </c>
      <c r="Q493" s="7" t="b">
        <v>0</v>
      </c>
      <c r="R493" s="7"/>
      <c r="S493" s="15" t="s">
        <v>34</v>
      </c>
    </row>
    <row r="494" spans="1:19">
      <c r="A494" s="3" t="s">
        <v>1039</v>
      </c>
      <c r="B494" s="4" t="s">
        <v>1040</v>
      </c>
      <c r="C494" s="5" t="s">
        <v>4131</v>
      </c>
      <c r="D494" s="5">
        <v>45258</v>
      </c>
      <c r="E494" s="4">
        <v>11</v>
      </c>
      <c r="F494" s="4">
        <v>28</v>
      </c>
      <c r="G494" s="4">
        <v>2023</v>
      </c>
      <c r="H494" s="5">
        <f t="shared" si="21"/>
        <v>45258</v>
      </c>
      <c r="I494" s="9">
        <v>45278</v>
      </c>
      <c r="J494" s="4">
        <f t="shared" si="22"/>
        <v>20</v>
      </c>
      <c r="K494" s="4" t="s">
        <v>23</v>
      </c>
      <c r="L494" s="4">
        <v>10435</v>
      </c>
      <c r="M494" s="4">
        <v>108</v>
      </c>
      <c r="N494" s="10">
        <v>182.62</v>
      </c>
      <c r="O494" s="10">
        <f t="shared" si="23"/>
        <v>182.62</v>
      </c>
      <c r="P494" s="4">
        <v>13</v>
      </c>
      <c r="Q494" s="4" t="b">
        <v>1</v>
      </c>
      <c r="R494" s="4"/>
      <c r="S494" s="14" t="s">
        <v>59</v>
      </c>
    </row>
    <row r="495" spans="1:19">
      <c r="A495" s="6" t="s">
        <v>1041</v>
      </c>
      <c r="B495" s="7" t="s">
        <v>1042</v>
      </c>
      <c r="C495" s="8" t="s">
        <v>4131</v>
      </c>
      <c r="D495" s="8">
        <v>45212</v>
      </c>
      <c r="E495" s="7">
        <v>10</v>
      </c>
      <c r="F495" s="7">
        <v>13</v>
      </c>
      <c r="G495" s="7">
        <v>2023</v>
      </c>
      <c r="H495" s="8">
        <f t="shared" si="21"/>
        <v>45212</v>
      </c>
      <c r="I495" s="11">
        <v>45216</v>
      </c>
      <c r="J495" s="7">
        <f t="shared" si="22"/>
        <v>4</v>
      </c>
      <c r="K495" s="7" t="s">
        <v>19</v>
      </c>
      <c r="L495" s="7">
        <v>55340</v>
      </c>
      <c r="M495" s="7">
        <v>1118</v>
      </c>
      <c r="N495" s="12">
        <v>824.48</v>
      </c>
      <c r="O495" s="12">
        <f t="shared" si="23"/>
        <v>824.48</v>
      </c>
      <c r="P495" s="7">
        <v>66</v>
      </c>
      <c r="Q495" s="7" t="b">
        <v>0</v>
      </c>
      <c r="R495" s="7"/>
      <c r="S495" s="15" t="s">
        <v>20</v>
      </c>
    </row>
    <row r="496" spans="1:19">
      <c r="A496" s="3" t="s">
        <v>1043</v>
      </c>
      <c r="B496" s="4" t="s">
        <v>1044</v>
      </c>
      <c r="C496" s="5" t="s">
        <v>4127</v>
      </c>
      <c r="D496" s="5">
        <v>45263</v>
      </c>
      <c r="E496" s="4">
        <v>12</v>
      </c>
      <c r="F496" s="4">
        <v>3</v>
      </c>
      <c r="G496" s="4">
        <v>2023</v>
      </c>
      <c r="H496" s="5">
        <f t="shared" si="21"/>
        <v>45263</v>
      </c>
      <c r="I496" s="9">
        <v>45292</v>
      </c>
      <c r="J496" s="4">
        <f t="shared" si="22"/>
        <v>29</v>
      </c>
      <c r="K496" s="4" t="s">
        <v>23</v>
      </c>
      <c r="L496" s="4">
        <v>45078</v>
      </c>
      <c r="M496" s="4">
        <v>920</v>
      </c>
      <c r="N496" s="10">
        <v>531.46</v>
      </c>
      <c r="O496" s="10">
        <f t="shared" si="23"/>
        <v>531.46</v>
      </c>
      <c r="P496" s="4">
        <v>130</v>
      </c>
      <c r="Q496" s="4" t="b">
        <v>0</v>
      </c>
      <c r="R496" s="4"/>
      <c r="S496" s="14" t="s">
        <v>25</v>
      </c>
    </row>
    <row r="497" spans="1:19">
      <c r="A497" s="6" t="s">
        <v>1045</v>
      </c>
      <c r="B497" s="7" t="s">
        <v>1046</v>
      </c>
      <c r="C497" s="8" t="s">
        <v>4129</v>
      </c>
      <c r="D497" s="8">
        <v>45003</v>
      </c>
      <c r="E497" s="7">
        <v>3</v>
      </c>
      <c r="F497" s="7">
        <v>18</v>
      </c>
      <c r="G497" s="7">
        <v>2023</v>
      </c>
      <c r="H497" s="8">
        <f t="shared" si="21"/>
        <v>45003</v>
      </c>
      <c r="I497" s="11">
        <v>45004</v>
      </c>
      <c r="J497" s="7">
        <f t="shared" si="22"/>
        <v>1</v>
      </c>
      <c r="K497" s="7" t="s">
        <v>14</v>
      </c>
      <c r="L497" s="7">
        <v>79832</v>
      </c>
      <c r="M497" s="7">
        <v>1019</v>
      </c>
      <c r="N497" s="12">
        <v>1361.35</v>
      </c>
      <c r="O497" s="12">
        <f t="shared" si="23"/>
        <v>1361.35</v>
      </c>
      <c r="P497" s="7">
        <v>201</v>
      </c>
      <c r="Q497" s="7" t="b">
        <v>1</v>
      </c>
      <c r="R497" s="7"/>
      <c r="S497" s="15" t="s">
        <v>16</v>
      </c>
    </row>
    <row r="498" spans="1:19">
      <c r="A498" s="3" t="s">
        <v>1047</v>
      </c>
      <c r="B498" s="4" t="s">
        <v>1048</v>
      </c>
      <c r="C498" s="5" t="s">
        <v>4128</v>
      </c>
      <c r="D498" s="5">
        <v>44999</v>
      </c>
      <c r="E498" s="4">
        <v>3</v>
      </c>
      <c r="F498" s="4">
        <v>14</v>
      </c>
      <c r="G498" s="4">
        <v>2023</v>
      </c>
      <c r="H498" s="5">
        <f t="shared" si="21"/>
        <v>44999</v>
      </c>
      <c r="I498" s="9">
        <v>45027</v>
      </c>
      <c r="J498" s="4">
        <f t="shared" si="22"/>
        <v>28</v>
      </c>
      <c r="K498" s="4" t="s">
        <v>138</v>
      </c>
      <c r="L498" s="4">
        <v>52293</v>
      </c>
      <c r="M498" s="4">
        <v>2530</v>
      </c>
      <c r="N498" s="10">
        <v>1857.16</v>
      </c>
      <c r="O498" s="10">
        <f t="shared" si="23"/>
        <v>1857.16</v>
      </c>
      <c r="P498" s="4">
        <v>263</v>
      </c>
      <c r="Q498" s="4" t="b">
        <v>1</v>
      </c>
      <c r="R498" s="4"/>
      <c r="S498" s="14" t="s">
        <v>139</v>
      </c>
    </row>
    <row r="499" spans="1:19">
      <c r="A499" s="6" t="s">
        <v>1049</v>
      </c>
      <c r="B499" s="7" t="s">
        <v>1050</v>
      </c>
      <c r="C499" s="8" t="s">
        <v>4129</v>
      </c>
      <c r="D499" s="8">
        <v>45262</v>
      </c>
      <c r="E499" s="7">
        <v>12</v>
      </c>
      <c r="F499" s="7">
        <v>2</v>
      </c>
      <c r="G499" s="7">
        <v>2023</v>
      </c>
      <c r="H499" s="8">
        <f t="shared" si="21"/>
        <v>45262</v>
      </c>
      <c r="I499" s="11">
        <v>45263</v>
      </c>
      <c r="J499" s="7">
        <f t="shared" si="22"/>
        <v>1</v>
      </c>
      <c r="K499" s="7" t="s">
        <v>19</v>
      </c>
      <c r="L499" s="7">
        <v>96981</v>
      </c>
      <c r="M499" s="7">
        <v>2825</v>
      </c>
      <c r="N499" s="12">
        <v>4949.08</v>
      </c>
      <c r="O499" s="12">
        <f t="shared" si="23"/>
        <v>3632.575</v>
      </c>
      <c r="P499" s="7">
        <v>460</v>
      </c>
      <c r="Q499" s="7" t="b">
        <v>1</v>
      </c>
      <c r="R499" s="7"/>
      <c r="S499" s="15" t="s">
        <v>20</v>
      </c>
    </row>
    <row r="500" spans="1:19">
      <c r="A500" s="3" t="s">
        <v>1051</v>
      </c>
      <c r="B500" s="4" t="s">
        <v>1052</v>
      </c>
      <c r="C500" s="5" t="s">
        <v>4131</v>
      </c>
      <c r="D500" s="5">
        <v>45231</v>
      </c>
      <c r="E500" s="4">
        <v>11</v>
      </c>
      <c r="F500" s="4">
        <v>1</v>
      </c>
      <c r="G500" s="4">
        <v>2023</v>
      </c>
      <c r="H500" s="5">
        <f t="shared" si="21"/>
        <v>45231</v>
      </c>
      <c r="I500" s="9">
        <v>44957</v>
      </c>
      <c r="J500" s="4">
        <f t="shared" si="22"/>
        <v>-274</v>
      </c>
      <c r="K500" s="4" t="s">
        <v>41</v>
      </c>
      <c r="L500" s="4">
        <v>79781</v>
      </c>
      <c r="M500" s="4">
        <v>3656</v>
      </c>
      <c r="N500" s="10">
        <v>3793.11</v>
      </c>
      <c r="O500" s="10">
        <f t="shared" si="23"/>
        <v>3632.575</v>
      </c>
      <c r="P500" s="4">
        <v>0</v>
      </c>
      <c r="Q500" s="4" t="b">
        <v>1</v>
      </c>
      <c r="R500" s="4"/>
      <c r="S500" s="14" t="s">
        <v>42</v>
      </c>
    </row>
    <row r="501" spans="1:19">
      <c r="A501" s="6" t="s">
        <v>1053</v>
      </c>
      <c r="B501" s="7" t="s">
        <v>1054</v>
      </c>
      <c r="C501" s="8" t="s">
        <v>4127</v>
      </c>
      <c r="D501" s="8">
        <v>45213</v>
      </c>
      <c r="E501" s="7">
        <v>10</v>
      </c>
      <c r="F501" s="7">
        <v>14</v>
      </c>
      <c r="G501" s="7">
        <v>2023</v>
      </c>
      <c r="H501" s="8">
        <f t="shared" si="21"/>
        <v>45213</v>
      </c>
      <c r="I501" s="11">
        <v>45215</v>
      </c>
      <c r="J501" s="7">
        <f t="shared" si="22"/>
        <v>2</v>
      </c>
      <c r="K501" s="7" t="s">
        <v>14</v>
      </c>
      <c r="L501" s="7">
        <v>61403</v>
      </c>
      <c r="M501" s="7">
        <v>1405</v>
      </c>
      <c r="N501" s="12">
        <v>2626.42</v>
      </c>
      <c r="O501" s="12">
        <f t="shared" si="23"/>
        <v>2626.42</v>
      </c>
      <c r="P501" s="7">
        <v>97</v>
      </c>
      <c r="Q501" s="7" t="b">
        <v>1</v>
      </c>
      <c r="R501" s="7"/>
      <c r="S501" s="15" t="s">
        <v>16</v>
      </c>
    </row>
    <row r="502" spans="1:19">
      <c r="A502" s="3" t="s">
        <v>1055</v>
      </c>
      <c r="B502" s="4" t="s">
        <v>1056</v>
      </c>
      <c r="C502" s="5" t="s">
        <v>4129</v>
      </c>
      <c r="D502" s="5">
        <v>44992</v>
      </c>
      <c r="E502" s="4">
        <v>3</v>
      </c>
      <c r="F502" s="4">
        <v>7</v>
      </c>
      <c r="G502" s="4">
        <v>2023</v>
      </c>
      <c r="H502" s="5">
        <f t="shared" si="21"/>
        <v>44992</v>
      </c>
      <c r="I502" s="9">
        <v>45020</v>
      </c>
      <c r="J502" s="4">
        <f t="shared" si="22"/>
        <v>28</v>
      </c>
      <c r="K502" s="4" t="s">
        <v>33</v>
      </c>
      <c r="L502" s="4">
        <v>30124</v>
      </c>
      <c r="M502" s="4">
        <v>452</v>
      </c>
      <c r="N502" s="10">
        <v>609.54</v>
      </c>
      <c r="O502" s="10">
        <f t="shared" si="23"/>
        <v>609.54</v>
      </c>
      <c r="P502" s="4">
        <v>62</v>
      </c>
      <c r="Q502" s="4" t="b">
        <v>1</v>
      </c>
      <c r="R502" s="4"/>
      <c r="S502" s="14" t="s">
        <v>34</v>
      </c>
    </row>
    <row r="503" spans="1:19">
      <c r="A503" s="6" t="s">
        <v>1057</v>
      </c>
      <c r="B503" s="7" t="s">
        <v>1058</v>
      </c>
      <c r="C503" s="8" t="s">
        <v>4127</v>
      </c>
      <c r="D503" s="8">
        <v>45277</v>
      </c>
      <c r="E503" s="7">
        <v>12</v>
      </c>
      <c r="F503" s="7">
        <v>17</v>
      </c>
      <c r="G503" s="7">
        <v>2023</v>
      </c>
      <c r="H503" s="8">
        <f t="shared" si="21"/>
        <v>45277</v>
      </c>
      <c r="I503" s="11">
        <v>45278</v>
      </c>
      <c r="J503" s="7">
        <f t="shared" si="22"/>
        <v>1</v>
      </c>
      <c r="K503" s="7" t="s">
        <v>41</v>
      </c>
      <c r="L503" s="7">
        <v>96435</v>
      </c>
      <c r="M503" s="7">
        <v>2794</v>
      </c>
      <c r="N503" s="12">
        <v>2162.58</v>
      </c>
      <c r="O503" s="12">
        <f t="shared" si="23"/>
        <v>2162.58</v>
      </c>
      <c r="P503" s="7">
        <v>265</v>
      </c>
      <c r="Q503" s="7" t="b">
        <v>1</v>
      </c>
      <c r="R503" s="7"/>
      <c r="S503" s="15" t="s">
        <v>42</v>
      </c>
    </row>
    <row r="504" spans="1:19">
      <c r="A504" s="3" t="s">
        <v>1059</v>
      </c>
      <c r="B504" s="4" t="s">
        <v>1060</v>
      </c>
      <c r="C504" s="5" t="s">
        <v>4129</v>
      </c>
      <c r="D504" s="5">
        <v>45270</v>
      </c>
      <c r="E504" s="4">
        <v>12</v>
      </c>
      <c r="F504" s="4">
        <v>10</v>
      </c>
      <c r="G504" s="4">
        <v>2023</v>
      </c>
      <c r="H504" s="5">
        <f t="shared" si="21"/>
        <v>45270</v>
      </c>
      <c r="I504" s="9">
        <v>45279</v>
      </c>
      <c r="J504" s="4">
        <f t="shared" si="22"/>
        <v>9</v>
      </c>
      <c r="K504" s="4" t="s">
        <v>19</v>
      </c>
      <c r="L504" s="4">
        <v>44919</v>
      </c>
      <c r="M504" s="4">
        <v>653</v>
      </c>
      <c r="N504" s="10">
        <v>463.24</v>
      </c>
      <c r="O504" s="10">
        <f t="shared" si="23"/>
        <v>463.24</v>
      </c>
      <c r="P504" s="4">
        <v>0</v>
      </c>
      <c r="Q504" s="4" t="b">
        <v>1</v>
      </c>
      <c r="R504" s="4"/>
      <c r="S504" s="14" t="s">
        <v>20</v>
      </c>
    </row>
    <row r="505" spans="1:19">
      <c r="A505" s="6" t="s">
        <v>1061</v>
      </c>
      <c r="B505" s="7" t="s">
        <v>1062</v>
      </c>
      <c r="C505" s="8" t="s">
        <v>4127</v>
      </c>
      <c r="D505" s="8">
        <v>45112</v>
      </c>
      <c r="E505" s="7">
        <v>7</v>
      </c>
      <c r="F505" s="7">
        <v>5</v>
      </c>
      <c r="G505" s="7">
        <v>2023</v>
      </c>
      <c r="H505" s="8">
        <f t="shared" si="21"/>
        <v>45112</v>
      </c>
      <c r="I505" s="11">
        <v>45142</v>
      </c>
      <c r="J505" s="7">
        <f t="shared" si="22"/>
        <v>30</v>
      </c>
      <c r="K505" s="7" t="s">
        <v>14</v>
      </c>
      <c r="L505" s="7">
        <v>36247</v>
      </c>
      <c r="M505" s="7">
        <v>1067</v>
      </c>
      <c r="N505" s="12">
        <v>1456.14</v>
      </c>
      <c r="O505" s="12">
        <f t="shared" si="23"/>
        <v>1456.14</v>
      </c>
      <c r="P505" s="7">
        <v>154</v>
      </c>
      <c r="Q505" s="7" t="b">
        <v>1</v>
      </c>
      <c r="R505" s="7"/>
      <c r="S505" s="15" t="s">
        <v>16</v>
      </c>
    </row>
    <row r="506" spans="1:19">
      <c r="A506" s="3" t="s">
        <v>1063</v>
      </c>
      <c r="B506" s="4" t="s">
        <v>1064</v>
      </c>
      <c r="C506" s="5" t="s">
        <v>4129</v>
      </c>
      <c r="D506" s="5">
        <v>45101</v>
      </c>
      <c r="E506" s="4">
        <v>6</v>
      </c>
      <c r="F506" s="4">
        <v>24</v>
      </c>
      <c r="G506" s="4">
        <v>2023</v>
      </c>
      <c r="H506" s="5">
        <f t="shared" si="21"/>
        <v>45101</v>
      </c>
      <c r="I506" s="9">
        <v>45102</v>
      </c>
      <c r="J506" s="4">
        <f t="shared" si="22"/>
        <v>1</v>
      </c>
      <c r="K506" s="4" t="s">
        <v>41</v>
      </c>
      <c r="L506" s="4">
        <v>95758</v>
      </c>
      <c r="M506" s="4">
        <v>4482</v>
      </c>
      <c r="N506" s="10">
        <v>7363.14</v>
      </c>
      <c r="O506" s="10">
        <f t="shared" si="23"/>
        <v>3632.575</v>
      </c>
      <c r="P506" s="4">
        <v>801</v>
      </c>
      <c r="Q506" s="4" t="b">
        <v>1</v>
      </c>
      <c r="R506" s="4"/>
      <c r="S506" s="14" t="s">
        <v>42</v>
      </c>
    </row>
    <row r="507" spans="1:19">
      <c r="A507" s="6" t="s">
        <v>1065</v>
      </c>
      <c r="B507" s="7" t="s">
        <v>1066</v>
      </c>
      <c r="C507" s="8" t="s">
        <v>4128</v>
      </c>
      <c r="D507" s="8">
        <v>45042</v>
      </c>
      <c r="E507" s="7">
        <v>4</v>
      </c>
      <c r="F507" s="7">
        <v>26</v>
      </c>
      <c r="G507" s="7">
        <v>2023</v>
      </c>
      <c r="H507" s="8">
        <f t="shared" si="21"/>
        <v>45042</v>
      </c>
      <c r="I507" s="11">
        <v>45052</v>
      </c>
      <c r="J507" s="7">
        <f t="shared" si="22"/>
        <v>10</v>
      </c>
      <c r="K507" s="7" t="s">
        <v>19</v>
      </c>
      <c r="L507" s="7">
        <v>92747</v>
      </c>
      <c r="M507" s="7">
        <v>2859</v>
      </c>
      <c r="N507" s="12">
        <v>4780.99</v>
      </c>
      <c r="O507" s="12">
        <f t="shared" si="23"/>
        <v>3632.575</v>
      </c>
      <c r="P507" s="7">
        <v>0</v>
      </c>
      <c r="Q507" s="7" t="b">
        <v>1</v>
      </c>
      <c r="R507" s="7"/>
      <c r="S507" s="15" t="s">
        <v>20</v>
      </c>
    </row>
    <row r="508" spans="1:19">
      <c r="A508" s="3" t="s">
        <v>1067</v>
      </c>
      <c r="B508" s="4" t="s">
        <v>1068</v>
      </c>
      <c r="C508" s="5" t="s">
        <v>4128</v>
      </c>
      <c r="D508" s="5">
        <v>45078</v>
      </c>
      <c r="E508" s="4">
        <v>6</v>
      </c>
      <c r="F508" s="4">
        <v>1</v>
      </c>
      <c r="G508" s="4">
        <v>2023</v>
      </c>
      <c r="H508" s="5">
        <f t="shared" si="21"/>
        <v>45078</v>
      </c>
      <c r="I508" s="9">
        <v>45093</v>
      </c>
      <c r="J508" s="4">
        <f t="shared" si="22"/>
        <v>15</v>
      </c>
      <c r="K508" s="4" t="s">
        <v>14</v>
      </c>
      <c r="L508" s="4">
        <v>63752</v>
      </c>
      <c r="M508" s="4">
        <v>2209</v>
      </c>
      <c r="N508" s="10">
        <v>2018.22</v>
      </c>
      <c r="O508" s="10">
        <f t="shared" si="23"/>
        <v>2018.22</v>
      </c>
      <c r="P508" s="4">
        <v>239</v>
      </c>
      <c r="Q508" s="4" t="b">
        <v>1</v>
      </c>
      <c r="R508" s="4"/>
      <c r="S508" s="14" t="s">
        <v>16</v>
      </c>
    </row>
    <row r="509" spans="1:19">
      <c r="A509" s="6" t="s">
        <v>1069</v>
      </c>
      <c r="B509" s="7" t="s">
        <v>1070</v>
      </c>
      <c r="C509" s="8" t="s">
        <v>4127</v>
      </c>
      <c r="D509" s="8">
        <v>45203</v>
      </c>
      <c r="E509" s="7">
        <v>10</v>
      </c>
      <c r="F509" s="7">
        <v>4</v>
      </c>
      <c r="G509" s="7">
        <v>2023</v>
      </c>
      <c r="H509" s="8">
        <f t="shared" si="21"/>
        <v>45203</v>
      </c>
      <c r="I509" s="11">
        <v>45216</v>
      </c>
      <c r="J509" s="7">
        <f t="shared" si="22"/>
        <v>13</v>
      </c>
      <c r="K509" s="7" t="s">
        <v>41</v>
      </c>
      <c r="L509" s="7">
        <v>57573</v>
      </c>
      <c r="M509" s="7">
        <v>936</v>
      </c>
      <c r="N509" s="12">
        <v>754.76</v>
      </c>
      <c r="O509" s="12">
        <f t="shared" si="23"/>
        <v>754.76</v>
      </c>
      <c r="P509" s="7">
        <v>0</v>
      </c>
      <c r="Q509" s="7" t="b">
        <v>1</v>
      </c>
      <c r="R509" s="7"/>
      <c r="S509" s="15" t="s">
        <v>42</v>
      </c>
    </row>
    <row r="510" spans="1:19">
      <c r="A510" s="3" t="s">
        <v>1071</v>
      </c>
      <c r="B510" s="4" t="s">
        <v>1072</v>
      </c>
      <c r="C510" s="5" t="s">
        <v>4131</v>
      </c>
      <c r="D510" s="5">
        <v>44946</v>
      </c>
      <c r="E510" s="4">
        <v>1</v>
      </c>
      <c r="F510" s="4">
        <v>20</v>
      </c>
      <c r="G510" s="4">
        <v>2023</v>
      </c>
      <c r="H510" s="5">
        <f t="shared" si="21"/>
        <v>44946</v>
      </c>
      <c r="I510" s="9">
        <v>44970</v>
      </c>
      <c r="J510" s="4">
        <f t="shared" si="22"/>
        <v>24</v>
      </c>
      <c r="K510" s="4" t="s">
        <v>41</v>
      </c>
      <c r="L510" s="4">
        <v>60101</v>
      </c>
      <c r="M510" s="4">
        <v>706</v>
      </c>
      <c r="N510" s="10">
        <v>370.74</v>
      </c>
      <c r="O510" s="10">
        <f t="shared" si="23"/>
        <v>370.74</v>
      </c>
      <c r="P510" s="4">
        <v>121</v>
      </c>
      <c r="Q510" s="4" t="b">
        <v>1</v>
      </c>
      <c r="R510" s="4"/>
      <c r="S510" s="14" t="s">
        <v>42</v>
      </c>
    </row>
    <row r="511" spans="1:19">
      <c r="A511" s="6" t="s">
        <v>1073</v>
      </c>
      <c r="B511" s="7" t="s">
        <v>1074</v>
      </c>
      <c r="C511" s="8" t="s">
        <v>4128</v>
      </c>
      <c r="D511" s="8">
        <v>45243</v>
      </c>
      <c r="E511" s="7">
        <v>11</v>
      </c>
      <c r="F511" s="7">
        <v>13</v>
      </c>
      <c r="G511" s="7">
        <v>2023</v>
      </c>
      <c r="H511" s="8">
        <f t="shared" si="21"/>
        <v>45243</v>
      </c>
      <c r="I511" s="11">
        <v>45262</v>
      </c>
      <c r="J511" s="7">
        <f t="shared" si="22"/>
        <v>19</v>
      </c>
      <c r="K511" s="7" t="s">
        <v>14</v>
      </c>
      <c r="L511" s="7">
        <v>27646</v>
      </c>
      <c r="M511" s="7">
        <v>398</v>
      </c>
      <c r="N511" s="12">
        <v>604.48</v>
      </c>
      <c r="O511" s="12">
        <f t="shared" si="23"/>
        <v>604.48</v>
      </c>
      <c r="P511" s="7">
        <v>62</v>
      </c>
      <c r="Q511" s="7" t="b">
        <v>1</v>
      </c>
      <c r="R511" s="7"/>
      <c r="S511" s="15" t="s">
        <v>16</v>
      </c>
    </row>
    <row r="512" spans="1:19">
      <c r="A512" s="3" t="s">
        <v>1075</v>
      </c>
      <c r="B512" s="4" t="s">
        <v>1076</v>
      </c>
      <c r="C512" s="5" t="s">
        <v>4129</v>
      </c>
      <c r="D512" s="5">
        <v>45010</v>
      </c>
      <c r="E512" s="4">
        <v>3</v>
      </c>
      <c r="F512" s="4">
        <v>25</v>
      </c>
      <c r="G512" s="4">
        <v>2023</v>
      </c>
      <c r="H512" s="5">
        <f t="shared" si="21"/>
        <v>45010</v>
      </c>
      <c r="I512" s="9">
        <v>45016</v>
      </c>
      <c r="J512" s="4">
        <f t="shared" si="22"/>
        <v>6</v>
      </c>
      <c r="K512" s="4" t="s">
        <v>14</v>
      </c>
      <c r="L512" s="4">
        <v>24049</v>
      </c>
      <c r="M512" s="4">
        <v>816</v>
      </c>
      <c r="N512" s="10">
        <v>501.72</v>
      </c>
      <c r="O512" s="10">
        <f t="shared" si="23"/>
        <v>501.72</v>
      </c>
      <c r="P512" s="4">
        <v>71</v>
      </c>
      <c r="Q512" s="4" t="b">
        <v>1</v>
      </c>
      <c r="R512" s="4"/>
      <c r="S512" s="14" t="s">
        <v>16</v>
      </c>
    </row>
    <row r="513" spans="1:19">
      <c r="A513" s="6" t="s">
        <v>1077</v>
      </c>
      <c r="B513" s="7" t="s">
        <v>1078</v>
      </c>
      <c r="C513" s="8" t="s">
        <v>4128</v>
      </c>
      <c r="D513" s="8">
        <v>45246</v>
      </c>
      <c r="E513" s="7">
        <v>11</v>
      </c>
      <c r="F513" s="7">
        <v>16</v>
      </c>
      <c r="G513" s="7">
        <v>2023</v>
      </c>
      <c r="H513" s="8">
        <f t="shared" si="21"/>
        <v>45246</v>
      </c>
      <c r="I513" s="11">
        <v>45250</v>
      </c>
      <c r="J513" s="7">
        <f t="shared" si="22"/>
        <v>4</v>
      </c>
      <c r="K513" s="7" t="s">
        <v>14</v>
      </c>
      <c r="L513" s="7">
        <v>80605</v>
      </c>
      <c r="M513" s="7">
        <v>1112</v>
      </c>
      <c r="N513" s="12">
        <v>1257.83</v>
      </c>
      <c r="O513" s="12">
        <f t="shared" si="23"/>
        <v>1257.83</v>
      </c>
      <c r="P513" s="7">
        <v>207</v>
      </c>
      <c r="Q513" s="7" t="b">
        <v>0</v>
      </c>
      <c r="R513" s="7"/>
      <c r="S513" s="15" t="s">
        <v>16</v>
      </c>
    </row>
    <row r="514" spans="1:19">
      <c r="A514" s="3" t="s">
        <v>1079</v>
      </c>
      <c r="B514" s="4" t="s">
        <v>1080</v>
      </c>
      <c r="C514" s="5" t="s">
        <v>4128</v>
      </c>
      <c r="D514" s="5" t="s">
        <v>1081</v>
      </c>
      <c r="E514" s="4">
        <v>13</v>
      </c>
      <c r="F514" s="4">
        <v>8</v>
      </c>
      <c r="G514" s="4">
        <v>2023</v>
      </c>
      <c r="H514" s="5">
        <f t="shared" ref="H514:H577" si="24">IF(E514&gt;12,DATE(G514,F514,E514),D514)</f>
        <v>45151</v>
      </c>
      <c r="I514" s="9">
        <v>45153</v>
      </c>
      <c r="J514" s="4">
        <f t="shared" ref="J514:J577" si="25">DATEDIF(H514,I514,"D")</f>
        <v>2</v>
      </c>
      <c r="K514" s="4" t="s">
        <v>19</v>
      </c>
      <c r="L514" s="4">
        <v>99116</v>
      </c>
      <c r="M514" s="4">
        <v>2481</v>
      </c>
      <c r="N514" s="10">
        <v>3479.66</v>
      </c>
      <c r="O514" s="10">
        <f t="shared" si="23"/>
        <v>3479.66</v>
      </c>
      <c r="P514" s="4">
        <v>181</v>
      </c>
      <c r="Q514" s="4" t="b">
        <v>0</v>
      </c>
      <c r="R514" s="4"/>
      <c r="S514" s="14" t="s">
        <v>20</v>
      </c>
    </row>
    <row r="515" spans="1:19">
      <c r="A515" s="6" t="s">
        <v>1082</v>
      </c>
      <c r="B515" s="7" t="s">
        <v>1083</v>
      </c>
      <c r="C515" s="8" t="s">
        <v>4127</v>
      </c>
      <c r="D515" s="8">
        <v>45113</v>
      </c>
      <c r="E515" s="7">
        <v>7</v>
      </c>
      <c r="F515" s="7">
        <v>6</v>
      </c>
      <c r="G515" s="7">
        <v>2023</v>
      </c>
      <c r="H515" s="8">
        <f t="shared" si="24"/>
        <v>45113</v>
      </c>
      <c r="I515" s="11">
        <v>45125</v>
      </c>
      <c r="J515" s="7">
        <f t="shared" si="25"/>
        <v>12</v>
      </c>
      <c r="K515" s="7" t="s">
        <v>14</v>
      </c>
      <c r="L515" s="7">
        <v>98379</v>
      </c>
      <c r="M515" s="7">
        <v>3148</v>
      </c>
      <c r="N515" s="12">
        <v>5999.03</v>
      </c>
      <c r="O515" s="12">
        <f t="shared" ref="O515:O578" si="26">IF(N515&lt;$V$6,$V$6,IF(N515&gt;$V$7,$V$7,N515))</f>
        <v>3632.575</v>
      </c>
      <c r="P515" s="7">
        <v>0</v>
      </c>
      <c r="Q515" s="7" t="b">
        <v>1</v>
      </c>
      <c r="R515" s="7"/>
      <c r="S515" s="15" t="s">
        <v>16</v>
      </c>
    </row>
    <row r="516" spans="1:19">
      <c r="A516" s="3" t="s">
        <v>1084</v>
      </c>
      <c r="B516" s="4" t="s">
        <v>1085</v>
      </c>
      <c r="C516" s="5" t="s">
        <v>4129</v>
      </c>
      <c r="D516" s="5">
        <v>45154</v>
      </c>
      <c r="E516" s="4">
        <v>8</v>
      </c>
      <c r="F516" s="4">
        <v>16</v>
      </c>
      <c r="G516" s="4">
        <v>2023</v>
      </c>
      <c r="H516" s="5">
        <f t="shared" si="24"/>
        <v>45154</v>
      </c>
      <c r="I516" s="9">
        <v>45161</v>
      </c>
      <c r="J516" s="4">
        <f t="shared" si="25"/>
        <v>7</v>
      </c>
      <c r="K516" s="4" t="s">
        <v>41</v>
      </c>
      <c r="L516" s="4">
        <v>69385</v>
      </c>
      <c r="M516" s="4">
        <v>1772</v>
      </c>
      <c r="N516" s="10">
        <v>1714.77</v>
      </c>
      <c r="O516" s="10">
        <f t="shared" si="26"/>
        <v>1714.77</v>
      </c>
      <c r="P516" s="4">
        <v>96</v>
      </c>
      <c r="Q516" s="4" t="b">
        <v>1</v>
      </c>
      <c r="R516" s="4"/>
      <c r="S516" s="14" t="s">
        <v>42</v>
      </c>
    </row>
    <row r="517" spans="1:19">
      <c r="A517" s="6" t="s">
        <v>1086</v>
      </c>
      <c r="B517" s="7" t="s">
        <v>1087</v>
      </c>
      <c r="C517" s="8" t="s">
        <v>4129</v>
      </c>
      <c r="D517" s="8">
        <v>45156</v>
      </c>
      <c r="E517" s="7">
        <v>8</v>
      </c>
      <c r="F517" s="7">
        <v>18</v>
      </c>
      <c r="G517" s="7">
        <v>2023</v>
      </c>
      <c r="H517" s="8">
        <f t="shared" si="24"/>
        <v>45156</v>
      </c>
      <c r="I517" s="11">
        <v>45177</v>
      </c>
      <c r="J517" s="7">
        <f t="shared" si="25"/>
        <v>21</v>
      </c>
      <c r="K517" s="7" t="s">
        <v>14</v>
      </c>
      <c r="L517" s="7">
        <v>41158</v>
      </c>
      <c r="M517" s="7">
        <v>681</v>
      </c>
      <c r="N517" s="12">
        <v>595.64</v>
      </c>
      <c r="O517" s="12">
        <f t="shared" si="26"/>
        <v>595.64</v>
      </c>
      <c r="P517" s="7">
        <v>0</v>
      </c>
      <c r="Q517" s="7" t="b">
        <v>1</v>
      </c>
      <c r="R517" s="7"/>
      <c r="S517" s="15" t="s">
        <v>16</v>
      </c>
    </row>
    <row r="518" spans="1:19">
      <c r="A518" s="3" t="s">
        <v>1088</v>
      </c>
      <c r="B518" s="4" t="s">
        <v>1089</v>
      </c>
      <c r="C518" s="5" t="s">
        <v>4128</v>
      </c>
      <c r="D518" s="5">
        <v>45167</v>
      </c>
      <c r="E518" s="4">
        <v>8</v>
      </c>
      <c r="F518" s="4">
        <v>29</v>
      </c>
      <c r="G518" s="4">
        <v>2023</v>
      </c>
      <c r="H518" s="5">
        <f t="shared" si="24"/>
        <v>45167</v>
      </c>
      <c r="I518" s="9">
        <v>45174</v>
      </c>
      <c r="J518" s="4">
        <f t="shared" si="25"/>
        <v>7</v>
      </c>
      <c r="K518" s="4" t="s">
        <v>14</v>
      </c>
      <c r="L518" s="4">
        <v>66417</v>
      </c>
      <c r="M518" s="4">
        <v>1391</v>
      </c>
      <c r="N518" s="10">
        <v>2060.41</v>
      </c>
      <c r="O518" s="10">
        <f t="shared" si="26"/>
        <v>2060.41</v>
      </c>
      <c r="P518" s="4">
        <v>127</v>
      </c>
      <c r="Q518" s="4" t="b">
        <v>0</v>
      </c>
      <c r="R518" s="4"/>
      <c r="S518" s="14" t="s">
        <v>16</v>
      </c>
    </row>
    <row r="519" spans="1:19">
      <c r="A519" s="6" t="s">
        <v>1090</v>
      </c>
      <c r="B519" s="7" t="s">
        <v>1091</v>
      </c>
      <c r="C519" s="8" t="s">
        <v>4131</v>
      </c>
      <c r="D519" s="8">
        <v>45274</v>
      </c>
      <c r="E519" s="7">
        <v>12</v>
      </c>
      <c r="F519" s="7">
        <v>14</v>
      </c>
      <c r="G519" s="7">
        <v>2023</v>
      </c>
      <c r="H519" s="8">
        <f t="shared" si="24"/>
        <v>45274</v>
      </c>
      <c r="I519" s="11">
        <v>45288</v>
      </c>
      <c r="J519" s="7">
        <f t="shared" si="25"/>
        <v>14</v>
      </c>
      <c r="K519" s="7" t="s">
        <v>19</v>
      </c>
      <c r="L519" s="7">
        <v>24289</v>
      </c>
      <c r="M519" s="7">
        <v>1144</v>
      </c>
      <c r="N519" s="12">
        <v>1634.61</v>
      </c>
      <c r="O519" s="12">
        <f t="shared" si="26"/>
        <v>1634.61</v>
      </c>
      <c r="P519" s="7">
        <v>134</v>
      </c>
      <c r="Q519" s="7" t="b">
        <v>0</v>
      </c>
      <c r="R519" s="7"/>
      <c r="S519" s="15" t="s">
        <v>20</v>
      </c>
    </row>
    <row r="520" spans="1:19">
      <c r="A520" s="3" t="s">
        <v>1092</v>
      </c>
      <c r="B520" s="4" t="s">
        <v>1093</v>
      </c>
      <c r="C520" s="5" t="s">
        <v>4127</v>
      </c>
      <c r="D520" s="5">
        <v>45163</v>
      </c>
      <c r="E520" s="4">
        <v>8</v>
      </c>
      <c r="F520" s="4">
        <v>25</v>
      </c>
      <c r="G520" s="4">
        <v>2023</v>
      </c>
      <c r="H520" s="5">
        <f t="shared" si="24"/>
        <v>45163</v>
      </c>
      <c r="I520" s="9">
        <v>45187</v>
      </c>
      <c r="J520" s="4">
        <f t="shared" si="25"/>
        <v>24</v>
      </c>
      <c r="K520" s="4" t="s">
        <v>14</v>
      </c>
      <c r="L520" s="4">
        <v>10823</v>
      </c>
      <c r="M520" s="4">
        <v>400</v>
      </c>
      <c r="N520" s="10">
        <v>399.27</v>
      </c>
      <c r="O520" s="10">
        <f t="shared" si="26"/>
        <v>399.27</v>
      </c>
      <c r="P520" s="4">
        <v>40</v>
      </c>
      <c r="Q520" s="4" t="b">
        <v>1</v>
      </c>
      <c r="R520" s="4"/>
      <c r="S520" s="14" t="s">
        <v>16</v>
      </c>
    </row>
    <row r="521" spans="1:19">
      <c r="A521" s="6" t="s">
        <v>1094</v>
      </c>
      <c r="B521" s="7" t="s">
        <v>1095</v>
      </c>
      <c r="C521" s="8" t="s">
        <v>4131</v>
      </c>
      <c r="D521" s="8">
        <v>45184</v>
      </c>
      <c r="E521" s="7">
        <v>9</v>
      </c>
      <c r="F521" s="7">
        <v>15</v>
      </c>
      <c r="G521" s="7">
        <v>2023</v>
      </c>
      <c r="H521" s="8">
        <f t="shared" si="24"/>
        <v>45184</v>
      </c>
      <c r="I521" s="11">
        <v>45213</v>
      </c>
      <c r="J521" s="7">
        <f t="shared" si="25"/>
        <v>29</v>
      </c>
      <c r="K521" s="7" t="s">
        <v>23</v>
      </c>
      <c r="L521" s="7">
        <v>61160</v>
      </c>
      <c r="M521" s="7">
        <v>1825</v>
      </c>
      <c r="N521" s="12">
        <v>3453.18</v>
      </c>
      <c r="O521" s="12">
        <f t="shared" si="26"/>
        <v>3453.18</v>
      </c>
      <c r="P521" s="7">
        <v>0</v>
      </c>
      <c r="Q521" s="7" t="b">
        <v>0</v>
      </c>
      <c r="R521" s="7"/>
      <c r="S521" s="15" t="s">
        <v>25</v>
      </c>
    </row>
    <row r="522" spans="1:19">
      <c r="A522" s="3" t="s">
        <v>1096</v>
      </c>
      <c r="B522" s="4" t="s">
        <v>1097</v>
      </c>
      <c r="C522" s="5" t="s">
        <v>4128</v>
      </c>
      <c r="D522" s="5">
        <v>45029</v>
      </c>
      <c r="E522" s="4">
        <v>4</v>
      </c>
      <c r="F522" s="4">
        <v>13</v>
      </c>
      <c r="G522" s="4">
        <v>2023</v>
      </c>
      <c r="H522" s="5">
        <f t="shared" si="24"/>
        <v>45029</v>
      </c>
      <c r="I522" s="9">
        <v>45041</v>
      </c>
      <c r="J522" s="4">
        <f t="shared" si="25"/>
        <v>12</v>
      </c>
      <c r="K522" s="4" t="s">
        <v>33</v>
      </c>
      <c r="L522" s="4">
        <v>42975</v>
      </c>
      <c r="M522" s="4">
        <v>451</v>
      </c>
      <c r="N522" s="10">
        <v>797.05</v>
      </c>
      <c r="O522" s="10">
        <f t="shared" si="26"/>
        <v>797.05</v>
      </c>
      <c r="P522" s="4">
        <v>0</v>
      </c>
      <c r="Q522" s="4" t="b">
        <v>1</v>
      </c>
      <c r="R522" s="4"/>
      <c r="S522" s="14" t="s">
        <v>34</v>
      </c>
    </row>
    <row r="523" spans="1:19">
      <c r="A523" s="6" t="s">
        <v>1098</v>
      </c>
      <c r="B523" s="7" t="s">
        <v>1099</v>
      </c>
      <c r="C523" s="8" t="s">
        <v>4127</v>
      </c>
      <c r="D523" s="8">
        <v>45174</v>
      </c>
      <c r="E523" s="7">
        <v>9</v>
      </c>
      <c r="F523" s="7">
        <v>5</v>
      </c>
      <c r="G523" s="7">
        <v>2023</v>
      </c>
      <c r="H523" s="8">
        <f t="shared" si="24"/>
        <v>45174</v>
      </c>
      <c r="I523" s="11">
        <v>45058</v>
      </c>
      <c r="J523" s="7">
        <f t="shared" si="25"/>
        <v>-116</v>
      </c>
      <c r="K523" s="7" t="s">
        <v>33</v>
      </c>
      <c r="L523" s="7">
        <v>10540</v>
      </c>
      <c r="M523" s="7">
        <v>523</v>
      </c>
      <c r="N523" s="12">
        <v>437.21</v>
      </c>
      <c r="O523" s="12">
        <f t="shared" si="26"/>
        <v>437.21</v>
      </c>
      <c r="P523" s="7">
        <v>95</v>
      </c>
      <c r="Q523" s="7" t="b">
        <v>1</v>
      </c>
      <c r="R523" s="7"/>
      <c r="S523" s="15" t="s">
        <v>34</v>
      </c>
    </row>
    <row r="524" spans="1:19">
      <c r="A524" s="3" t="s">
        <v>1100</v>
      </c>
      <c r="B524" s="4" t="s">
        <v>1101</v>
      </c>
      <c r="C524" s="5" t="s">
        <v>4128</v>
      </c>
      <c r="D524" s="5">
        <v>45173</v>
      </c>
      <c r="E524" s="4">
        <v>9</v>
      </c>
      <c r="F524" s="4">
        <v>4</v>
      </c>
      <c r="G524" s="4">
        <v>2023</v>
      </c>
      <c r="H524" s="5">
        <f t="shared" si="24"/>
        <v>45173</v>
      </c>
      <c r="I524" s="9">
        <v>45182</v>
      </c>
      <c r="J524" s="4">
        <f t="shared" si="25"/>
        <v>9</v>
      </c>
      <c r="K524" s="4" t="s">
        <v>23</v>
      </c>
      <c r="L524" s="4">
        <v>17364</v>
      </c>
      <c r="M524" s="4">
        <v>640</v>
      </c>
      <c r="N524" s="10">
        <v>549.58</v>
      </c>
      <c r="O524" s="10">
        <f t="shared" si="26"/>
        <v>549.58</v>
      </c>
      <c r="P524" s="4">
        <v>124</v>
      </c>
      <c r="Q524" s="4" t="b">
        <v>1</v>
      </c>
      <c r="R524" s="4"/>
      <c r="S524" s="14" t="s">
        <v>25</v>
      </c>
    </row>
    <row r="525" spans="1:19">
      <c r="A525" s="6" t="s">
        <v>1102</v>
      </c>
      <c r="B525" s="7" t="s">
        <v>1103</v>
      </c>
      <c r="C525" s="8" t="s">
        <v>4129</v>
      </c>
      <c r="D525" s="8">
        <v>44979</v>
      </c>
      <c r="E525" s="7">
        <v>2</v>
      </c>
      <c r="F525" s="7">
        <v>22</v>
      </c>
      <c r="G525" s="7">
        <v>2023</v>
      </c>
      <c r="H525" s="8">
        <f t="shared" si="24"/>
        <v>44979</v>
      </c>
      <c r="I525" s="11">
        <v>44993</v>
      </c>
      <c r="J525" s="7">
        <f t="shared" si="25"/>
        <v>14</v>
      </c>
      <c r="K525" s="7" t="s">
        <v>14</v>
      </c>
      <c r="L525" s="7">
        <v>5611</v>
      </c>
      <c r="M525" s="7">
        <v>127</v>
      </c>
      <c r="N525" s="12">
        <v>161.09</v>
      </c>
      <c r="O525" s="12">
        <f t="shared" si="26"/>
        <v>161.09</v>
      </c>
      <c r="P525" s="7">
        <v>10</v>
      </c>
      <c r="Q525" s="7" t="b">
        <v>1</v>
      </c>
      <c r="R525" s="7">
        <v>5636</v>
      </c>
      <c r="S525" s="15" t="s">
        <v>16</v>
      </c>
    </row>
    <row r="526" spans="1:19">
      <c r="A526" s="3" t="s">
        <v>1104</v>
      </c>
      <c r="B526" s="4" t="s">
        <v>1105</v>
      </c>
      <c r="C526" s="5" t="s">
        <v>4131</v>
      </c>
      <c r="D526" s="5">
        <v>44990</v>
      </c>
      <c r="E526" s="4">
        <v>3</v>
      </c>
      <c r="F526" s="4">
        <v>5</v>
      </c>
      <c r="G526" s="4">
        <v>2023</v>
      </c>
      <c r="H526" s="5">
        <f t="shared" si="24"/>
        <v>44990</v>
      </c>
      <c r="I526" s="9">
        <v>45011</v>
      </c>
      <c r="J526" s="4">
        <f t="shared" si="25"/>
        <v>21</v>
      </c>
      <c r="K526" s="4" t="s">
        <v>14</v>
      </c>
      <c r="L526" s="4">
        <v>28663</v>
      </c>
      <c r="M526" s="4">
        <v>1294</v>
      </c>
      <c r="N526" s="10">
        <v>2148.5</v>
      </c>
      <c r="O526" s="10">
        <f t="shared" si="26"/>
        <v>2148.5</v>
      </c>
      <c r="P526" s="4">
        <v>203</v>
      </c>
      <c r="Q526" s="4" t="b">
        <v>0</v>
      </c>
      <c r="R526" s="4"/>
      <c r="S526" s="14" t="s">
        <v>16</v>
      </c>
    </row>
    <row r="527" spans="1:19">
      <c r="A527" s="6" t="s">
        <v>1106</v>
      </c>
      <c r="B527" s="7" t="s">
        <v>1107</v>
      </c>
      <c r="C527" s="8" t="s">
        <v>4127</v>
      </c>
      <c r="D527" s="8">
        <v>45066</v>
      </c>
      <c r="E527" s="7">
        <v>5</v>
      </c>
      <c r="F527" s="7">
        <v>20</v>
      </c>
      <c r="G527" s="7">
        <v>2023</v>
      </c>
      <c r="H527" s="8">
        <f t="shared" si="24"/>
        <v>45066</v>
      </c>
      <c r="I527" s="11">
        <v>45067</v>
      </c>
      <c r="J527" s="7">
        <f t="shared" si="25"/>
        <v>1</v>
      </c>
      <c r="K527" s="7" t="s">
        <v>41</v>
      </c>
      <c r="L527" s="7">
        <v>52991</v>
      </c>
      <c r="M527" s="7">
        <v>1077</v>
      </c>
      <c r="N527" s="12">
        <v>609.65</v>
      </c>
      <c r="O527" s="12">
        <f t="shared" si="26"/>
        <v>609.65</v>
      </c>
      <c r="P527" s="7">
        <v>161</v>
      </c>
      <c r="Q527" s="7" t="b">
        <v>0</v>
      </c>
      <c r="R527" s="7"/>
      <c r="S527" s="15" t="s">
        <v>42</v>
      </c>
    </row>
    <row r="528" spans="1:19">
      <c r="A528" s="3" t="s">
        <v>1108</v>
      </c>
      <c r="B528" s="4" t="s">
        <v>1109</v>
      </c>
      <c r="C528" s="5" t="s">
        <v>4127</v>
      </c>
      <c r="D528" s="5">
        <v>45268</v>
      </c>
      <c r="E528" s="4">
        <v>12</v>
      </c>
      <c r="F528" s="4">
        <v>8</v>
      </c>
      <c r="G528" s="4">
        <v>2023</v>
      </c>
      <c r="H528" s="5">
        <f t="shared" si="24"/>
        <v>45268</v>
      </c>
      <c r="I528" s="9">
        <v>45160</v>
      </c>
      <c r="J528" s="4">
        <f t="shared" si="25"/>
        <v>-108</v>
      </c>
      <c r="K528" s="4" t="s">
        <v>23</v>
      </c>
      <c r="L528" s="4">
        <v>58679</v>
      </c>
      <c r="M528" s="4">
        <v>1863</v>
      </c>
      <c r="N528" s="10">
        <v>2869.03</v>
      </c>
      <c r="O528" s="10">
        <f t="shared" si="26"/>
        <v>2869.03</v>
      </c>
      <c r="P528" s="4">
        <v>189</v>
      </c>
      <c r="Q528" s="4" t="b">
        <v>1</v>
      </c>
      <c r="R528" s="4"/>
      <c r="S528" s="14" t="s">
        <v>25</v>
      </c>
    </row>
    <row r="529" spans="1:19">
      <c r="A529" s="6" t="s">
        <v>1110</v>
      </c>
      <c r="B529" s="7" t="s">
        <v>1111</v>
      </c>
      <c r="C529" s="8" t="s">
        <v>4127</v>
      </c>
      <c r="D529" s="8">
        <v>45040</v>
      </c>
      <c r="E529" s="7">
        <v>4</v>
      </c>
      <c r="F529" s="7">
        <v>24</v>
      </c>
      <c r="G529" s="7">
        <v>2023</v>
      </c>
      <c r="H529" s="8">
        <f t="shared" si="24"/>
        <v>45040</v>
      </c>
      <c r="I529" s="11">
        <v>45065</v>
      </c>
      <c r="J529" s="7">
        <f t="shared" si="25"/>
        <v>25</v>
      </c>
      <c r="K529" s="7" t="s">
        <v>14</v>
      </c>
      <c r="L529" s="7">
        <v>31977</v>
      </c>
      <c r="M529" s="7">
        <v>1133</v>
      </c>
      <c r="N529" s="12">
        <v>1668.18</v>
      </c>
      <c r="O529" s="12">
        <f t="shared" si="26"/>
        <v>1668.18</v>
      </c>
      <c r="P529" s="7">
        <v>59</v>
      </c>
      <c r="Q529" s="7" t="b">
        <v>1</v>
      </c>
      <c r="R529" s="7"/>
      <c r="S529" s="15" t="s">
        <v>16</v>
      </c>
    </row>
    <row r="530" spans="1:19">
      <c r="A530" s="3" t="s">
        <v>1112</v>
      </c>
      <c r="B530" s="4" t="s">
        <v>1113</v>
      </c>
      <c r="C530" s="5" t="s">
        <v>4127</v>
      </c>
      <c r="D530" s="5">
        <v>44940</v>
      </c>
      <c r="E530" s="4">
        <v>1</v>
      </c>
      <c r="F530" s="4">
        <v>14</v>
      </c>
      <c r="G530" s="4">
        <v>2023</v>
      </c>
      <c r="H530" s="5">
        <f t="shared" si="24"/>
        <v>44940</v>
      </c>
      <c r="I530" s="9">
        <v>44942</v>
      </c>
      <c r="J530" s="4">
        <f t="shared" si="25"/>
        <v>2</v>
      </c>
      <c r="K530" s="4" t="s">
        <v>23</v>
      </c>
      <c r="L530" s="4">
        <v>95704</v>
      </c>
      <c r="M530" s="4">
        <v>1803</v>
      </c>
      <c r="N530" s="10">
        <v>1527.54</v>
      </c>
      <c r="O530" s="10">
        <f t="shared" si="26"/>
        <v>1527.54</v>
      </c>
      <c r="P530" s="4">
        <v>276</v>
      </c>
      <c r="Q530" s="4" t="b">
        <v>0</v>
      </c>
      <c r="R530" s="4"/>
      <c r="S530" s="14" t="s">
        <v>25</v>
      </c>
    </row>
    <row r="531" spans="1:19">
      <c r="A531" s="6" t="s">
        <v>1114</v>
      </c>
      <c r="B531" s="7" t="s">
        <v>1115</v>
      </c>
      <c r="C531" s="8" t="s">
        <v>4129</v>
      </c>
      <c r="D531" s="8">
        <v>45118</v>
      </c>
      <c r="E531" s="7">
        <v>7</v>
      </c>
      <c r="F531" s="7">
        <v>11</v>
      </c>
      <c r="G531" s="7">
        <v>2023</v>
      </c>
      <c r="H531" s="8">
        <f t="shared" si="24"/>
        <v>45118</v>
      </c>
      <c r="I531" s="11">
        <v>45147</v>
      </c>
      <c r="J531" s="7">
        <f t="shared" si="25"/>
        <v>29</v>
      </c>
      <c r="K531" s="7" t="s">
        <v>14</v>
      </c>
      <c r="L531" s="7">
        <v>50115</v>
      </c>
      <c r="M531" s="7">
        <v>2462</v>
      </c>
      <c r="N531" s="12">
        <v>3747.24</v>
      </c>
      <c r="O531" s="12">
        <f t="shared" si="26"/>
        <v>3632.575</v>
      </c>
      <c r="P531" s="7">
        <v>472</v>
      </c>
      <c r="Q531" s="7" t="b">
        <v>1</v>
      </c>
      <c r="R531" s="7"/>
      <c r="S531" s="15" t="s">
        <v>16</v>
      </c>
    </row>
    <row r="532" spans="1:19">
      <c r="A532" s="3" t="s">
        <v>1116</v>
      </c>
      <c r="B532" s="4" t="s">
        <v>1117</v>
      </c>
      <c r="C532" s="5" t="s">
        <v>4128</v>
      </c>
      <c r="D532" s="5">
        <v>45118</v>
      </c>
      <c r="E532" s="4">
        <v>7</v>
      </c>
      <c r="F532" s="4">
        <v>11</v>
      </c>
      <c r="G532" s="4">
        <v>2023</v>
      </c>
      <c r="H532" s="5">
        <f t="shared" si="24"/>
        <v>45118</v>
      </c>
      <c r="I532" s="9">
        <v>45122</v>
      </c>
      <c r="J532" s="4">
        <f t="shared" si="25"/>
        <v>4</v>
      </c>
      <c r="K532" s="4" t="s">
        <v>33</v>
      </c>
      <c r="L532" s="4">
        <v>92007</v>
      </c>
      <c r="M532" s="4">
        <v>3673</v>
      </c>
      <c r="N532" s="10">
        <v>7016.44</v>
      </c>
      <c r="O532" s="10">
        <f t="shared" si="26"/>
        <v>3632.575</v>
      </c>
      <c r="P532" s="4">
        <v>531</v>
      </c>
      <c r="Q532" s="4" t="b">
        <v>0</v>
      </c>
      <c r="R532" s="4"/>
      <c r="S532" s="14" t="s">
        <v>34</v>
      </c>
    </row>
    <row r="533" spans="1:19">
      <c r="A533" s="6" t="s">
        <v>1118</v>
      </c>
      <c r="B533" s="7" t="s">
        <v>1119</v>
      </c>
      <c r="C533" s="8" t="s">
        <v>4127</v>
      </c>
      <c r="D533" s="8">
        <v>44977</v>
      </c>
      <c r="E533" s="7">
        <v>2</v>
      </c>
      <c r="F533" s="7">
        <v>20</v>
      </c>
      <c r="G533" s="7">
        <v>2023</v>
      </c>
      <c r="H533" s="8">
        <f t="shared" si="24"/>
        <v>44977</v>
      </c>
      <c r="I533" s="11">
        <v>44987</v>
      </c>
      <c r="J533" s="7">
        <f t="shared" si="25"/>
        <v>10</v>
      </c>
      <c r="K533" s="7" t="s">
        <v>19</v>
      </c>
      <c r="L533" s="7">
        <v>89223</v>
      </c>
      <c r="M533" s="7">
        <v>2883</v>
      </c>
      <c r="N533" s="12">
        <v>1643.83</v>
      </c>
      <c r="O533" s="12">
        <f t="shared" si="26"/>
        <v>1643.83</v>
      </c>
      <c r="P533" s="7">
        <v>332</v>
      </c>
      <c r="Q533" s="7" t="b">
        <v>0</v>
      </c>
      <c r="R533" s="7"/>
      <c r="S533" s="15" t="s">
        <v>20</v>
      </c>
    </row>
    <row r="534" spans="1:19">
      <c r="A534" s="3" t="s">
        <v>1120</v>
      </c>
      <c r="B534" s="4" t="s">
        <v>1121</v>
      </c>
      <c r="C534" s="5" t="s">
        <v>4131</v>
      </c>
      <c r="D534" s="5">
        <v>45001</v>
      </c>
      <c r="E534" s="4">
        <v>3</v>
      </c>
      <c r="F534" s="4">
        <v>16</v>
      </c>
      <c r="G534" s="4">
        <v>2023</v>
      </c>
      <c r="H534" s="5">
        <f t="shared" si="24"/>
        <v>45001</v>
      </c>
      <c r="I534" s="9">
        <v>45006</v>
      </c>
      <c r="J534" s="4">
        <f t="shared" si="25"/>
        <v>5</v>
      </c>
      <c r="K534" s="4" t="s">
        <v>14</v>
      </c>
      <c r="L534" s="4">
        <v>61890</v>
      </c>
      <c r="M534" s="4">
        <v>1065</v>
      </c>
      <c r="N534" s="10">
        <v>1043.14</v>
      </c>
      <c r="O534" s="10">
        <f t="shared" si="26"/>
        <v>1043.14</v>
      </c>
      <c r="P534" s="4">
        <v>137</v>
      </c>
      <c r="Q534" s="4" t="b">
        <v>0</v>
      </c>
      <c r="R534" s="4"/>
      <c r="S534" s="14" t="s">
        <v>16</v>
      </c>
    </row>
    <row r="535" spans="1:19">
      <c r="A535" s="6" t="s">
        <v>1122</v>
      </c>
      <c r="B535" s="7" t="s">
        <v>1123</v>
      </c>
      <c r="C535" s="8" t="s">
        <v>4131</v>
      </c>
      <c r="D535" s="8">
        <v>45168</v>
      </c>
      <c r="E535" s="7">
        <v>8</v>
      </c>
      <c r="F535" s="7">
        <v>30</v>
      </c>
      <c r="G535" s="7">
        <v>2023</v>
      </c>
      <c r="H535" s="8">
        <f t="shared" si="24"/>
        <v>45168</v>
      </c>
      <c r="I535" s="11">
        <v>45177</v>
      </c>
      <c r="J535" s="7">
        <f t="shared" si="25"/>
        <v>9</v>
      </c>
      <c r="K535" s="7" t="s">
        <v>415</v>
      </c>
      <c r="L535" s="7">
        <v>67387</v>
      </c>
      <c r="M535" s="7">
        <v>819</v>
      </c>
      <c r="N535" s="12">
        <v>947.8</v>
      </c>
      <c r="O535" s="12">
        <f t="shared" si="26"/>
        <v>947.8</v>
      </c>
      <c r="P535" s="7">
        <v>65</v>
      </c>
      <c r="Q535" s="7" t="b">
        <v>0</v>
      </c>
      <c r="R535" s="7"/>
      <c r="S535" s="15" t="s">
        <v>34</v>
      </c>
    </row>
    <row r="536" spans="1:19">
      <c r="A536" s="3" t="s">
        <v>1124</v>
      </c>
      <c r="B536" s="4" t="s">
        <v>1125</v>
      </c>
      <c r="C536" s="5" t="s">
        <v>4127</v>
      </c>
      <c r="D536" s="5">
        <v>45288</v>
      </c>
      <c r="E536" s="4">
        <v>12</v>
      </c>
      <c r="F536" s="4">
        <v>28</v>
      </c>
      <c r="G536" s="4">
        <v>2023</v>
      </c>
      <c r="H536" s="5">
        <f t="shared" si="24"/>
        <v>45288</v>
      </c>
      <c r="I536" s="9">
        <v>45303</v>
      </c>
      <c r="J536" s="4">
        <f t="shared" si="25"/>
        <v>15</v>
      </c>
      <c r="K536" s="4" t="s">
        <v>19</v>
      </c>
      <c r="L536" s="4">
        <v>19071</v>
      </c>
      <c r="M536" s="4">
        <v>434</v>
      </c>
      <c r="N536" s="10">
        <v>802.42</v>
      </c>
      <c r="O536" s="10">
        <f t="shared" si="26"/>
        <v>802.42</v>
      </c>
      <c r="P536" s="4">
        <v>70</v>
      </c>
      <c r="Q536" s="4" t="b">
        <v>1</v>
      </c>
      <c r="R536" s="4"/>
      <c r="S536" s="14" t="s">
        <v>20</v>
      </c>
    </row>
    <row r="537" spans="1:19">
      <c r="A537" s="6" t="s">
        <v>1126</v>
      </c>
      <c r="B537" s="7" t="s">
        <v>1127</v>
      </c>
      <c r="C537" s="8" t="s">
        <v>4129</v>
      </c>
      <c r="D537" s="8">
        <v>45201</v>
      </c>
      <c r="E537" s="7">
        <v>10</v>
      </c>
      <c r="F537" s="7">
        <v>2</v>
      </c>
      <c r="G537" s="7">
        <v>2023</v>
      </c>
      <c r="H537" s="8">
        <f t="shared" si="24"/>
        <v>45201</v>
      </c>
      <c r="I537" s="11">
        <v>44997</v>
      </c>
      <c r="J537" s="7">
        <f t="shared" si="25"/>
        <v>-204</v>
      </c>
      <c r="K537" s="7" t="s">
        <v>14</v>
      </c>
      <c r="L537" s="7">
        <v>60275</v>
      </c>
      <c r="M537" s="7">
        <v>2418</v>
      </c>
      <c r="N537" s="12">
        <v>4699.12</v>
      </c>
      <c r="O537" s="12">
        <f t="shared" si="26"/>
        <v>3632.575</v>
      </c>
      <c r="P537" s="7">
        <v>391</v>
      </c>
      <c r="Q537" s="7" t="b">
        <v>1</v>
      </c>
      <c r="R537" s="7"/>
      <c r="S537" s="15" t="s">
        <v>16</v>
      </c>
    </row>
    <row r="538" spans="1:19">
      <c r="A538" s="3" t="s">
        <v>1128</v>
      </c>
      <c r="B538" s="4" t="s">
        <v>1129</v>
      </c>
      <c r="C538" s="5" t="s">
        <v>4131</v>
      </c>
      <c r="D538" s="5">
        <v>45037</v>
      </c>
      <c r="E538" s="4">
        <v>4</v>
      </c>
      <c r="F538" s="4">
        <v>21</v>
      </c>
      <c r="G538" s="4">
        <v>2023</v>
      </c>
      <c r="H538" s="5">
        <f t="shared" si="24"/>
        <v>45037</v>
      </c>
      <c r="I538" s="9">
        <v>45067</v>
      </c>
      <c r="J538" s="4">
        <f t="shared" si="25"/>
        <v>30</v>
      </c>
      <c r="K538" s="4" t="s">
        <v>33</v>
      </c>
      <c r="L538" s="4">
        <v>73369</v>
      </c>
      <c r="M538" s="4">
        <v>1524</v>
      </c>
      <c r="N538" s="10">
        <v>1777.25</v>
      </c>
      <c r="O538" s="10">
        <f t="shared" si="26"/>
        <v>1777.25</v>
      </c>
      <c r="P538" s="4">
        <v>0</v>
      </c>
      <c r="Q538" s="4" t="b">
        <v>0</v>
      </c>
      <c r="R538" s="4"/>
      <c r="S538" s="14" t="s">
        <v>34</v>
      </c>
    </row>
    <row r="539" spans="1:19">
      <c r="A539" s="6" t="s">
        <v>1130</v>
      </c>
      <c r="B539" s="7" t="s">
        <v>1131</v>
      </c>
      <c r="C539" s="8" t="s">
        <v>4129</v>
      </c>
      <c r="D539" s="8">
        <v>45238</v>
      </c>
      <c r="E539" s="7">
        <v>11</v>
      </c>
      <c r="F539" s="7">
        <v>8</v>
      </c>
      <c r="G539" s="7">
        <v>2023</v>
      </c>
      <c r="H539" s="8">
        <f t="shared" si="24"/>
        <v>45238</v>
      </c>
      <c r="I539" s="11">
        <v>45267</v>
      </c>
      <c r="J539" s="7">
        <f t="shared" si="25"/>
        <v>29</v>
      </c>
      <c r="K539" s="7" t="s">
        <v>41</v>
      </c>
      <c r="L539" s="7">
        <v>12938</v>
      </c>
      <c r="M539" s="7">
        <v>408</v>
      </c>
      <c r="N539" s="12">
        <v>663.02</v>
      </c>
      <c r="O539" s="12">
        <f t="shared" si="26"/>
        <v>663.02</v>
      </c>
      <c r="P539" s="7">
        <v>74</v>
      </c>
      <c r="Q539" s="7" t="b">
        <v>1</v>
      </c>
      <c r="R539" s="7"/>
      <c r="S539" s="15" t="s">
        <v>42</v>
      </c>
    </row>
    <row r="540" spans="1:19">
      <c r="A540" s="3" t="s">
        <v>1132</v>
      </c>
      <c r="B540" s="4" t="s">
        <v>1133</v>
      </c>
      <c r="C540" s="5" t="s">
        <v>4131</v>
      </c>
      <c r="D540" s="5">
        <v>45074</v>
      </c>
      <c r="E540" s="4">
        <v>5</v>
      </c>
      <c r="F540" s="4">
        <v>28</v>
      </c>
      <c r="G540" s="4">
        <v>2023</v>
      </c>
      <c r="H540" s="5">
        <f t="shared" si="24"/>
        <v>45074</v>
      </c>
      <c r="I540" s="9">
        <v>45100</v>
      </c>
      <c r="J540" s="4">
        <f t="shared" si="25"/>
        <v>26</v>
      </c>
      <c r="K540" s="4" t="s">
        <v>23</v>
      </c>
      <c r="L540" s="4">
        <v>36195</v>
      </c>
      <c r="M540" s="4">
        <v>1415</v>
      </c>
      <c r="N540" s="10">
        <v>1835.95</v>
      </c>
      <c r="O540" s="10">
        <f t="shared" si="26"/>
        <v>1835.95</v>
      </c>
      <c r="P540" s="4">
        <v>127</v>
      </c>
      <c r="Q540" s="4" t="b">
        <v>0</v>
      </c>
      <c r="R540" s="4"/>
      <c r="S540" s="14" t="s">
        <v>25</v>
      </c>
    </row>
    <row r="541" spans="1:19">
      <c r="A541" s="6" t="s">
        <v>1134</v>
      </c>
      <c r="B541" s="7" t="s">
        <v>1135</v>
      </c>
      <c r="C541" s="8" t="s">
        <v>4127</v>
      </c>
      <c r="D541" s="8">
        <v>45049</v>
      </c>
      <c r="E541" s="7">
        <v>5</v>
      </c>
      <c r="F541" s="7">
        <v>3</v>
      </c>
      <c r="G541" s="7">
        <v>2023</v>
      </c>
      <c r="H541" s="8">
        <f t="shared" si="24"/>
        <v>45049</v>
      </c>
      <c r="I541" s="11">
        <v>45079</v>
      </c>
      <c r="J541" s="7">
        <f t="shared" si="25"/>
        <v>30</v>
      </c>
      <c r="K541" s="7" t="s">
        <v>19</v>
      </c>
      <c r="L541" s="7">
        <v>92680</v>
      </c>
      <c r="M541" s="7">
        <v>1326</v>
      </c>
      <c r="N541" s="12">
        <v>1732.65</v>
      </c>
      <c r="O541" s="12">
        <f t="shared" si="26"/>
        <v>1732.65</v>
      </c>
      <c r="P541" s="7">
        <v>261</v>
      </c>
      <c r="Q541" s="7" t="b">
        <v>0</v>
      </c>
      <c r="R541" s="7"/>
      <c r="S541" s="15" t="s">
        <v>20</v>
      </c>
    </row>
    <row r="542" spans="1:19">
      <c r="A542" s="3" t="s">
        <v>1136</v>
      </c>
      <c r="B542" s="4" t="s">
        <v>1137</v>
      </c>
      <c r="C542" s="5" t="s">
        <v>4128</v>
      </c>
      <c r="D542" s="5" t="s">
        <v>1138</v>
      </c>
      <c r="E542" s="4">
        <v>23</v>
      </c>
      <c r="F542" s="4">
        <v>8</v>
      </c>
      <c r="G542" s="4">
        <v>2023</v>
      </c>
      <c r="H542" s="5">
        <f t="shared" si="24"/>
        <v>45161</v>
      </c>
      <c r="I542" s="9">
        <v>45168</v>
      </c>
      <c r="J542" s="4">
        <f t="shared" si="25"/>
        <v>7</v>
      </c>
      <c r="K542" s="4" t="s">
        <v>23</v>
      </c>
      <c r="L542" s="4">
        <v>5000</v>
      </c>
      <c r="M542" s="4">
        <v>187</v>
      </c>
      <c r="N542" s="10">
        <v>171.51</v>
      </c>
      <c r="O542" s="10">
        <f t="shared" si="26"/>
        <v>171.51</v>
      </c>
      <c r="P542" s="4">
        <v>20</v>
      </c>
      <c r="Q542" s="4" t="b">
        <v>1</v>
      </c>
      <c r="R542" s="4"/>
      <c r="S542" s="14" t="s">
        <v>25</v>
      </c>
    </row>
    <row r="543" spans="1:19">
      <c r="A543" s="6" t="s">
        <v>1139</v>
      </c>
      <c r="B543" s="7" t="s">
        <v>1140</v>
      </c>
      <c r="C543" s="8" t="s">
        <v>4129</v>
      </c>
      <c r="D543" s="8">
        <v>45182</v>
      </c>
      <c r="E543" s="7">
        <v>9</v>
      </c>
      <c r="F543" s="7">
        <v>13</v>
      </c>
      <c r="G543" s="7">
        <v>2023</v>
      </c>
      <c r="H543" s="8">
        <f t="shared" si="24"/>
        <v>45182</v>
      </c>
      <c r="I543" s="11">
        <v>45186</v>
      </c>
      <c r="J543" s="7">
        <f t="shared" si="25"/>
        <v>4</v>
      </c>
      <c r="K543" s="7" t="s">
        <v>14</v>
      </c>
      <c r="L543" s="7">
        <v>71588</v>
      </c>
      <c r="M543" s="7">
        <v>978</v>
      </c>
      <c r="N543" s="12">
        <v>807.27</v>
      </c>
      <c r="O543" s="12">
        <f t="shared" si="26"/>
        <v>807.27</v>
      </c>
      <c r="P543" s="7">
        <v>74</v>
      </c>
      <c r="Q543" s="7" t="b">
        <v>1</v>
      </c>
      <c r="R543" s="7"/>
      <c r="S543" s="15" t="s">
        <v>16</v>
      </c>
    </row>
    <row r="544" spans="1:19">
      <c r="A544" s="3" t="s">
        <v>1141</v>
      </c>
      <c r="B544" s="4" t="s">
        <v>1142</v>
      </c>
      <c r="C544" s="5" t="s">
        <v>4129</v>
      </c>
      <c r="D544" s="5">
        <v>45190</v>
      </c>
      <c r="E544" s="4">
        <v>9</v>
      </c>
      <c r="F544" s="4">
        <v>21</v>
      </c>
      <c r="G544" s="4">
        <v>2023</v>
      </c>
      <c r="H544" s="5">
        <f t="shared" si="24"/>
        <v>45190</v>
      </c>
      <c r="I544" s="9">
        <v>45220</v>
      </c>
      <c r="J544" s="4">
        <f t="shared" si="25"/>
        <v>30</v>
      </c>
      <c r="K544" s="4" t="s">
        <v>14</v>
      </c>
      <c r="L544" s="4">
        <v>94610</v>
      </c>
      <c r="M544" s="4">
        <v>4598</v>
      </c>
      <c r="N544" s="10">
        <v>4285.37</v>
      </c>
      <c r="O544" s="10">
        <f t="shared" si="26"/>
        <v>3632.575</v>
      </c>
      <c r="P544" s="4">
        <v>472</v>
      </c>
      <c r="Q544" s="4" t="b">
        <v>1</v>
      </c>
      <c r="R544" s="4"/>
      <c r="S544" s="14" t="s">
        <v>16</v>
      </c>
    </row>
    <row r="545" spans="1:19">
      <c r="A545" s="6" t="s">
        <v>1143</v>
      </c>
      <c r="B545" s="7" t="s">
        <v>1144</v>
      </c>
      <c r="C545" s="8" t="s">
        <v>4131</v>
      </c>
      <c r="D545" s="8">
        <v>45076</v>
      </c>
      <c r="E545" s="7">
        <v>5</v>
      </c>
      <c r="F545" s="7">
        <v>30</v>
      </c>
      <c r="G545" s="7">
        <v>2023</v>
      </c>
      <c r="H545" s="8">
        <f t="shared" si="24"/>
        <v>45076</v>
      </c>
      <c r="I545" s="11">
        <v>45097</v>
      </c>
      <c r="J545" s="7">
        <f t="shared" si="25"/>
        <v>21</v>
      </c>
      <c r="K545" s="7" t="s">
        <v>41</v>
      </c>
      <c r="L545" s="7">
        <v>98856</v>
      </c>
      <c r="M545" s="7">
        <v>2919</v>
      </c>
      <c r="N545" s="12">
        <v>3895.38</v>
      </c>
      <c r="O545" s="12">
        <f t="shared" si="26"/>
        <v>3632.575</v>
      </c>
      <c r="P545" s="7">
        <v>338</v>
      </c>
      <c r="Q545" s="7" t="b">
        <v>0</v>
      </c>
      <c r="R545" s="7"/>
      <c r="S545" s="15" t="s">
        <v>42</v>
      </c>
    </row>
    <row r="546" spans="1:19">
      <c r="A546" s="3" t="s">
        <v>1145</v>
      </c>
      <c r="B546" s="4" t="s">
        <v>1146</v>
      </c>
      <c r="C546" s="5" t="s">
        <v>4127</v>
      </c>
      <c r="D546" s="5">
        <v>45050</v>
      </c>
      <c r="E546" s="4">
        <v>5</v>
      </c>
      <c r="F546" s="4">
        <v>4</v>
      </c>
      <c r="G546" s="4">
        <v>2023</v>
      </c>
      <c r="H546" s="5">
        <f t="shared" si="24"/>
        <v>45050</v>
      </c>
      <c r="I546" s="9">
        <v>45074</v>
      </c>
      <c r="J546" s="4">
        <f t="shared" si="25"/>
        <v>24</v>
      </c>
      <c r="K546" s="4" t="s">
        <v>23</v>
      </c>
      <c r="L546" s="4">
        <v>39304</v>
      </c>
      <c r="M546" s="4">
        <v>629</v>
      </c>
      <c r="N546" s="10">
        <v>342.01</v>
      </c>
      <c r="O546" s="10">
        <f t="shared" si="26"/>
        <v>342.01</v>
      </c>
      <c r="P546" s="4">
        <v>37</v>
      </c>
      <c r="Q546" s="4" t="b">
        <v>0</v>
      </c>
      <c r="R546" s="4"/>
      <c r="S546" s="14" t="s">
        <v>25</v>
      </c>
    </row>
    <row r="547" spans="1:19">
      <c r="A547" s="6" t="s">
        <v>1147</v>
      </c>
      <c r="B547" s="7" t="s">
        <v>1148</v>
      </c>
      <c r="C547" s="8" t="s">
        <v>4127</v>
      </c>
      <c r="D547" s="8">
        <v>45181</v>
      </c>
      <c r="E547" s="7">
        <v>9</v>
      </c>
      <c r="F547" s="7">
        <v>12</v>
      </c>
      <c r="G547" s="7">
        <v>2023</v>
      </c>
      <c r="H547" s="8">
        <f t="shared" si="24"/>
        <v>45181</v>
      </c>
      <c r="I547" s="11">
        <v>45291</v>
      </c>
      <c r="J547" s="7">
        <f t="shared" si="25"/>
        <v>110</v>
      </c>
      <c r="K547" s="7" t="s">
        <v>19</v>
      </c>
      <c r="L547" s="7">
        <v>70449</v>
      </c>
      <c r="M547" s="7">
        <v>1669</v>
      </c>
      <c r="N547" s="12">
        <v>3105.8</v>
      </c>
      <c r="O547" s="12">
        <f t="shared" si="26"/>
        <v>3105.8</v>
      </c>
      <c r="P547" s="7">
        <v>228</v>
      </c>
      <c r="Q547" s="7" t="b">
        <v>1</v>
      </c>
      <c r="R547" s="7"/>
      <c r="S547" s="15" t="s">
        <v>20</v>
      </c>
    </row>
    <row r="548" spans="1:19">
      <c r="A548" s="3" t="s">
        <v>1149</v>
      </c>
      <c r="B548" s="4" t="s">
        <v>1150</v>
      </c>
      <c r="C548" s="5" t="s">
        <v>4129</v>
      </c>
      <c r="D548" s="5">
        <v>45023</v>
      </c>
      <c r="E548" s="4">
        <v>4</v>
      </c>
      <c r="F548" s="4">
        <v>7</v>
      </c>
      <c r="G548" s="4">
        <v>2023</v>
      </c>
      <c r="H548" s="5">
        <f t="shared" si="24"/>
        <v>45023</v>
      </c>
      <c r="I548" s="9">
        <v>45137</v>
      </c>
      <c r="J548" s="4">
        <f t="shared" si="25"/>
        <v>114</v>
      </c>
      <c r="K548" s="4" t="s">
        <v>19</v>
      </c>
      <c r="L548" s="4">
        <v>83986</v>
      </c>
      <c r="M548" s="4">
        <v>2228</v>
      </c>
      <c r="N548" s="10">
        <v>1636.3</v>
      </c>
      <c r="O548" s="10">
        <f t="shared" si="26"/>
        <v>1636.3</v>
      </c>
      <c r="P548" s="4">
        <v>311</v>
      </c>
      <c r="Q548" s="4" t="b">
        <v>1</v>
      </c>
      <c r="R548" s="4"/>
      <c r="S548" s="14" t="s">
        <v>20</v>
      </c>
    </row>
    <row r="549" spans="1:19">
      <c r="A549" s="6" t="s">
        <v>1151</v>
      </c>
      <c r="B549" s="7" t="s">
        <v>1152</v>
      </c>
      <c r="C549" s="8" t="s">
        <v>4127</v>
      </c>
      <c r="D549" s="8">
        <v>45196</v>
      </c>
      <c r="E549" s="7">
        <v>9</v>
      </c>
      <c r="F549" s="7">
        <v>27</v>
      </c>
      <c r="G549" s="7">
        <v>2023</v>
      </c>
      <c r="H549" s="8">
        <f t="shared" si="24"/>
        <v>45196</v>
      </c>
      <c r="I549" s="11">
        <v>45197</v>
      </c>
      <c r="J549" s="7">
        <f t="shared" si="25"/>
        <v>1</v>
      </c>
      <c r="K549" s="7" t="s">
        <v>41</v>
      </c>
      <c r="L549" s="7">
        <v>90643</v>
      </c>
      <c r="M549" s="7">
        <v>3655</v>
      </c>
      <c r="N549" s="12">
        <v>3034.14</v>
      </c>
      <c r="O549" s="12">
        <f t="shared" si="26"/>
        <v>3034.14</v>
      </c>
      <c r="P549" s="7">
        <v>587</v>
      </c>
      <c r="Q549" s="7" t="b">
        <v>0</v>
      </c>
      <c r="R549" s="7"/>
      <c r="S549" s="15" t="s">
        <v>42</v>
      </c>
    </row>
    <row r="550" spans="1:19">
      <c r="A550" s="3" t="s">
        <v>1153</v>
      </c>
      <c r="B550" s="4" t="s">
        <v>1154</v>
      </c>
      <c r="C550" s="5" t="s">
        <v>4128</v>
      </c>
      <c r="D550" s="5">
        <v>45186</v>
      </c>
      <c r="E550" s="4">
        <v>9</v>
      </c>
      <c r="F550" s="4">
        <v>17</v>
      </c>
      <c r="G550" s="4">
        <v>2023</v>
      </c>
      <c r="H550" s="5">
        <f t="shared" si="24"/>
        <v>45186</v>
      </c>
      <c r="I550" s="9">
        <v>45215</v>
      </c>
      <c r="J550" s="4">
        <f t="shared" si="25"/>
        <v>29</v>
      </c>
      <c r="K550" s="4" t="s">
        <v>14</v>
      </c>
      <c r="L550" s="4">
        <v>21764</v>
      </c>
      <c r="M550" s="4">
        <v>864</v>
      </c>
      <c r="N550" s="10">
        <v>1103.69</v>
      </c>
      <c r="O550" s="10">
        <f t="shared" si="26"/>
        <v>1103.69</v>
      </c>
      <c r="P550" s="4">
        <v>46</v>
      </c>
      <c r="Q550" s="4" t="b">
        <v>1</v>
      </c>
      <c r="R550" s="4"/>
      <c r="S550" s="14" t="s">
        <v>16</v>
      </c>
    </row>
    <row r="551" spans="1:19">
      <c r="A551" s="6" t="s">
        <v>1155</v>
      </c>
      <c r="B551" s="7" t="s">
        <v>1156</v>
      </c>
      <c r="C551" s="8" t="s">
        <v>4129</v>
      </c>
      <c r="D551" s="8" t="s">
        <v>1157</v>
      </c>
      <c r="E551" s="7">
        <v>29</v>
      </c>
      <c r="F551" s="7">
        <v>8</v>
      </c>
      <c r="G551" s="7">
        <v>2023</v>
      </c>
      <c r="H551" s="8">
        <f t="shared" si="24"/>
        <v>45167</v>
      </c>
      <c r="I551" s="11">
        <v>45197</v>
      </c>
      <c r="J551" s="7">
        <f t="shared" si="25"/>
        <v>30</v>
      </c>
      <c r="K551" s="7" t="s">
        <v>19</v>
      </c>
      <c r="L551" s="7">
        <v>87027</v>
      </c>
      <c r="M551" s="7">
        <v>3000</v>
      </c>
      <c r="N551" s="12">
        <v>4695.52</v>
      </c>
      <c r="O551" s="12">
        <f t="shared" si="26"/>
        <v>3632.575</v>
      </c>
      <c r="P551" s="7">
        <v>393</v>
      </c>
      <c r="Q551" s="7" t="b">
        <v>0</v>
      </c>
      <c r="R551" s="7"/>
      <c r="S551" s="15" t="s">
        <v>20</v>
      </c>
    </row>
    <row r="552" spans="1:19">
      <c r="A552" s="3" t="s">
        <v>1158</v>
      </c>
      <c r="B552" s="4" t="s">
        <v>1159</v>
      </c>
      <c r="C552" s="5" t="s">
        <v>4127</v>
      </c>
      <c r="D552" s="5">
        <v>45125</v>
      </c>
      <c r="E552" s="4">
        <v>7</v>
      </c>
      <c r="F552" s="4">
        <v>18</v>
      </c>
      <c r="G552" s="4">
        <v>2023</v>
      </c>
      <c r="H552" s="5">
        <f t="shared" si="24"/>
        <v>45125</v>
      </c>
      <c r="I552" s="9">
        <v>45155</v>
      </c>
      <c r="J552" s="4">
        <f t="shared" si="25"/>
        <v>30</v>
      </c>
      <c r="K552" s="4" t="s">
        <v>41</v>
      </c>
      <c r="L552" s="4">
        <v>39494</v>
      </c>
      <c r="M552" s="4">
        <v>562</v>
      </c>
      <c r="N552" s="10">
        <v>361.7</v>
      </c>
      <c r="O552" s="10">
        <f t="shared" si="26"/>
        <v>361.7</v>
      </c>
      <c r="P552" s="4">
        <v>32</v>
      </c>
      <c r="Q552" s="4" t="b">
        <v>0</v>
      </c>
      <c r="R552" s="4"/>
      <c r="S552" s="14" t="s">
        <v>42</v>
      </c>
    </row>
    <row r="553" spans="1:19">
      <c r="A553" s="6" t="s">
        <v>1160</v>
      </c>
      <c r="B553" s="7" t="s">
        <v>1161</v>
      </c>
      <c r="C553" s="8" t="s">
        <v>4128</v>
      </c>
      <c r="D553" s="8">
        <v>44935</v>
      </c>
      <c r="E553" s="7">
        <v>1</v>
      </c>
      <c r="F553" s="7">
        <v>9</v>
      </c>
      <c r="G553" s="7">
        <v>2023</v>
      </c>
      <c r="H553" s="8">
        <f t="shared" si="24"/>
        <v>44935</v>
      </c>
      <c r="I553" s="11">
        <v>45186</v>
      </c>
      <c r="J553" s="7">
        <f t="shared" si="25"/>
        <v>251</v>
      </c>
      <c r="K553" s="7" t="s">
        <v>33</v>
      </c>
      <c r="L553" s="7">
        <v>4373</v>
      </c>
      <c r="M553" s="7">
        <v>70</v>
      </c>
      <c r="N553" s="12">
        <v>68.36</v>
      </c>
      <c r="O553" s="12">
        <f t="shared" si="26"/>
        <v>68.36</v>
      </c>
      <c r="P553" s="7">
        <v>10</v>
      </c>
      <c r="Q553" s="7" t="b">
        <v>1</v>
      </c>
      <c r="R553" s="7"/>
      <c r="S553" s="15" t="s">
        <v>34</v>
      </c>
    </row>
    <row r="554" spans="1:19">
      <c r="A554" s="3" t="s">
        <v>1162</v>
      </c>
      <c r="B554" s="4" t="s">
        <v>1163</v>
      </c>
      <c r="C554" s="5" t="s">
        <v>4127</v>
      </c>
      <c r="D554" s="5">
        <v>45050</v>
      </c>
      <c r="E554" s="4">
        <v>5</v>
      </c>
      <c r="F554" s="4">
        <v>4</v>
      </c>
      <c r="G554" s="4">
        <v>2023</v>
      </c>
      <c r="H554" s="5">
        <f t="shared" si="24"/>
        <v>45050</v>
      </c>
      <c r="I554" s="9">
        <v>45056</v>
      </c>
      <c r="J554" s="4">
        <f t="shared" si="25"/>
        <v>6</v>
      </c>
      <c r="K554" s="4" t="s">
        <v>33</v>
      </c>
      <c r="L554" s="4">
        <v>13161</v>
      </c>
      <c r="M554" s="4">
        <v>180</v>
      </c>
      <c r="N554" s="10">
        <v>351.54</v>
      </c>
      <c r="O554" s="10">
        <f t="shared" si="26"/>
        <v>351.54</v>
      </c>
      <c r="P554" s="4">
        <v>10</v>
      </c>
      <c r="Q554" s="4" t="b">
        <v>1</v>
      </c>
      <c r="R554" s="4"/>
      <c r="S554" s="14" t="s">
        <v>34</v>
      </c>
    </row>
    <row r="555" spans="1:19">
      <c r="A555" s="6" t="s">
        <v>1164</v>
      </c>
      <c r="B555" s="7" t="s">
        <v>1165</v>
      </c>
      <c r="C555" s="8" t="s">
        <v>4131</v>
      </c>
      <c r="D555" s="8">
        <v>45224</v>
      </c>
      <c r="E555" s="7">
        <v>10</v>
      </c>
      <c r="F555" s="7">
        <v>25</v>
      </c>
      <c r="G555" s="7">
        <v>2023</v>
      </c>
      <c r="H555" s="8">
        <f t="shared" si="24"/>
        <v>45224</v>
      </c>
      <c r="I555" s="11">
        <v>45225</v>
      </c>
      <c r="J555" s="7">
        <f t="shared" si="25"/>
        <v>1</v>
      </c>
      <c r="K555" s="7" t="s">
        <v>14</v>
      </c>
      <c r="L555" s="7">
        <v>98532</v>
      </c>
      <c r="M555" s="7">
        <v>3260</v>
      </c>
      <c r="N555" s="12">
        <v>2912.86</v>
      </c>
      <c r="O555" s="12">
        <f t="shared" si="26"/>
        <v>2912.86</v>
      </c>
      <c r="P555" s="7">
        <v>608</v>
      </c>
      <c r="Q555" s="7" t="b">
        <v>1</v>
      </c>
      <c r="R555" s="7"/>
      <c r="S555" s="15" t="s">
        <v>16</v>
      </c>
    </row>
    <row r="556" spans="1:19">
      <c r="A556" s="3" t="s">
        <v>1166</v>
      </c>
      <c r="B556" s="4" t="s">
        <v>1167</v>
      </c>
      <c r="C556" s="5" t="s">
        <v>4127</v>
      </c>
      <c r="D556" s="5">
        <v>44949</v>
      </c>
      <c r="E556" s="4">
        <v>1</v>
      </c>
      <c r="F556" s="4">
        <v>23</v>
      </c>
      <c r="G556" s="4">
        <v>2023</v>
      </c>
      <c r="H556" s="5">
        <f t="shared" si="24"/>
        <v>44949</v>
      </c>
      <c r="I556" s="9">
        <v>44953</v>
      </c>
      <c r="J556" s="4">
        <f t="shared" si="25"/>
        <v>4</v>
      </c>
      <c r="K556" s="4" t="s">
        <v>19</v>
      </c>
      <c r="L556" s="4">
        <v>93658</v>
      </c>
      <c r="M556" s="4">
        <v>4222</v>
      </c>
      <c r="N556" s="10">
        <v>4093.55</v>
      </c>
      <c r="O556" s="10">
        <f t="shared" si="26"/>
        <v>3632.575</v>
      </c>
      <c r="P556" s="4">
        <v>655</v>
      </c>
      <c r="Q556" s="4" t="b">
        <v>1</v>
      </c>
      <c r="R556" s="4"/>
      <c r="S556" s="14" t="s">
        <v>20</v>
      </c>
    </row>
    <row r="557" spans="1:19">
      <c r="A557" s="6" t="s">
        <v>1168</v>
      </c>
      <c r="B557" s="7" t="s">
        <v>1169</v>
      </c>
      <c r="C557" s="8" t="s">
        <v>4128</v>
      </c>
      <c r="D557" s="8">
        <v>45256</v>
      </c>
      <c r="E557" s="7">
        <v>11</v>
      </c>
      <c r="F557" s="7">
        <v>26</v>
      </c>
      <c r="G557" s="7">
        <v>2023</v>
      </c>
      <c r="H557" s="8">
        <f t="shared" si="24"/>
        <v>45256</v>
      </c>
      <c r="I557" s="11">
        <v>45259</v>
      </c>
      <c r="J557" s="7">
        <f t="shared" si="25"/>
        <v>3</v>
      </c>
      <c r="K557" s="7" t="s">
        <v>138</v>
      </c>
      <c r="L557" s="7">
        <v>28350</v>
      </c>
      <c r="M557" s="7">
        <v>775</v>
      </c>
      <c r="N557" s="12">
        <v>1359.93</v>
      </c>
      <c r="O557" s="12">
        <f t="shared" si="26"/>
        <v>1359.93</v>
      </c>
      <c r="P557" s="7">
        <v>0</v>
      </c>
      <c r="Q557" s="7" t="b">
        <v>0</v>
      </c>
      <c r="R557" s="7"/>
      <c r="S557" s="15" t="s">
        <v>139</v>
      </c>
    </row>
    <row r="558" spans="1:19">
      <c r="A558" s="3" t="s">
        <v>1170</v>
      </c>
      <c r="B558" s="4" t="s">
        <v>1171</v>
      </c>
      <c r="C558" s="5" t="s">
        <v>4127</v>
      </c>
      <c r="D558" s="5">
        <v>45164</v>
      </c>
      <c r="E558" s="4">
        <v>8</v>
      </c>
      <c r="F558" s="4">
        <v>26</v>
      </c>
      <c r="G558" s="4">
        <v>2023</v>
      </c>
      <c r="H558" s="5">
        <f t="shared" si="24"/>
        <v>45164</v>
      </c>
      <c r="I558" s="9">
        <v>45188</v>
      </c>
      <c r="J558" s="4">
        <f t="shared" si="25"/>
        <v>24</v>
      </c>
      <c r="K558" s="4" t="s">
        <v>23</v>
      </c>
      <c r="L558" s="4">
        <v>94008</v>
      </c>
      <c r="M558" s="4">
        <v>1544</v>
      </c>
      <c r="N558" s="10">
        <v>888.3</v>
      </c>
      <c r="O558" s="10">
        <f t="shared" si="26"/>
        <v>888.3</v>
      </c>
      <c r="P558" s="4">
        <v>179</v>
      </c>
      <c r="Q558" s="4" t="b">
        <v>0</v>
      </c>
      <c r="R558" s="4"/>
      <c r="S558" s="14" t="s">
        <v>25</v>
      </c>
    </row>
    <row r="559" spans="1:19">
      <c r="A559" s="6" t="s">
        <v>1172</v>
      </c>
      <c r="B559" s="7" t="s">
        <v>1173</v>
      </c>
      <c r="C559" s="8" t="s">
        <v>4131</v>
      </c>
      <c r="D559" s="8">
        <v>45020</v>
      </c>
      <c r="E559" s="7">
        <v>4</v>
      </c>
      <c r="F559" s="7">
        <v>4</v>
      </c>
      <c r="G559" s="7">
        <v>2023</v>
      </c>
      <c r="H559" s="8">
        <f t="shared" si="24"/>
        <v>45020</v>
      </c>
      <c r="I559" s="11">
        <v>45028</v>
      </c>
      <c r="J559" s="7">
        <f t="shared" si="25"/>
        <v>8</v>
      </c>
      <c r="K559" s="7" t="s">
        <v>14</v>
      </c>
      <c r="L559" s="7">
        <v>95297</v>
      </c>
      <c r="M559" s="7">
        <v>3080</v>
      </c>
      <c r="N559" s="12">
        <v>3686.51</v>
      </c>
      <c r="O559" s="12">
        <f t="shared" si="26"/>
        <v>3632.575</v>
      </c>
      <c r="P559" s="7">
        <v>214</v>
      </c>
      <c r="Q559" s="7" t="b">
        <v>1</v>
      </c>
      <c r="R559" s="7"/>
      <c r="S559" s="15" t="s">
        <v>16</v>
      </c>
    </row>
    <row r="560" spans="1:19">
      <c r="A560" s="3" t="s">
        <v>1174</v>
      </c>
      <c r="B560" s="4" t="s">
        <v>1175</v>
      </c>
      <c r="C560" s="5" t="s">
        <v>4128</v>
      </c>
      <c r="D560" s="5" t="s">
        <v>1138</v>
      </c>
      <c r="E560" s="4">
        <v>23</v>
      </c>
      <c r="F560" s="4">
        <v>8</v>
      </c>
      <c r="G560" s="4">
        <v>2023</v>
      </c>
      <c r="H560" s="5">
        <f t="shared" si="24"/>
        <v>45161</v>
      </c>
      <c r="I560" s="9">
        <v>45176</v>
      </c>
      <c r="J560" s="4">
        <f t="shared" si="25"/>
        <v>15</v>
      </c>
      <c r="K560" s="4" t="s">
        <v>33</v>
      </c>
      <c r="L560" s="4">
        <v>26351</v>
      </c>
      <c r="M560" s="4">
        <v>1119</v>
      </c>
      <c r="N560" s="10">
        <v>1196.69</v>
      </c>
      <c r="O560" s="10">
        <f t="shared" si="26"/>
        <v>1196.69</v>
      </c>
      <c r="P560" s="4">
        <v>0</v>
      </c>
      <c r="Q560" s="4" t="b">
        <v>1</v>
      </c>
      <c r="R560" s="4"/>
      <c r="S560" s="14" t="s">
        <v>34</v>
      </c>
    </row>
    <row r="561" spans="1:19">
      <c r="A561" s="6" t="s">
        <v>1176</v>
      </c>
      <c r="B561" s="7" t="s">
        <v>1177</v>
      </c>
      <c r="C561" s="8" t="s">
        <v>4129</v>
      </c>
      <c r="D561" s="8" t="s">
        <v>1178</v>
      </c>
      <c r="E561" s="7">
        <v>14</v>
      </c>
      <c r="F561" s="7">
        <v>4</v>
      </c>
      <c r="G561" s="7">
        <v>2023</v>
      </c>
      <c r="H561" s="8">
        <f t="shared" si="24"/>
        <v>45030</v>
      </c>
      <c r="I561" s="11">
        <v>45058</v>
      </c>
      <c r="J561" s="7">
        <f t="shared" si="25"/>
        <v>28</v>
      </c>
      <c r="K561" s="7" t="s">
        <v>14</v>
      </c>
      <c r="L561" s="7">
        <v>89668</v>
      </c>
      <c r="M561" s="7">
        <v>3556</v>
      </c>
      <c r="N561" s="12">
        <v>3466.67</v>
      </c>
      <c r="O561" s="12">
        <f t="shared" si="26"/>
        <v>3466.67</v>
      </c>
      <c r="P561" s="7">
        <v>641</v>
      </c>
      <c r="Q561" s="7" t="b">
        <v>0</v>
      </c>
      <c r="R561" s="7"/>
      <c r="S561" s="15" t="s">
        <v>16</v>
      </c>
    </row>
    <row r="562" spans="1:19">
      <c r="A562" s="3" t="s">
        <v>1179</v>
      </c>
      <c r="B562" s="4" t="s">
        <v>1180</v>
      </c>
      <c r="C562" s="5" t="s">
        <v>4129</v>
      </c>
      <c r="D562" s="5">
        <v>45029</v>
      </c>
      <c r="E562" s="4">
        <v>4</v>
      </c>
      <c r="F562" s="4">
        <v>13</v>
      </c>
      <c r="G562" s="4">
        <v>2023</v>
      </c>
      <c r="H562" s="5">
        <f t="shared" si="24"/>
        <v>45029</v>
      </c>
      <c r="I562" s="9">
        <v>45058</v>
      </c>
      <c r="J562" s="4">
        <f t="shared" si="25"/>
        <v>29</v>
      </c>
      <c r="K562" s="4" t="s">
        <v>23</v>
      </c>
      <c r="L562" s="4">
        <v>16305</v>
      </c>
      <c r="M562" s="4">
        <v>737</v>
      </c>
      <c r="N562" s="10">
        <v>684.34</v>
      </c>
      <c r="O562" s="10">
        <f t="shared" si="26"/>
        <v>684.34</v>
      </c>
      <c r="P562" s="4">
        <v>136</v>
      </c>
      <c r="Q562" s="4" t="b">
        <v>1</v>
      </c>
      <c r="R562" s="4"/>
      <c r="S562" s="14" t="s">
        <v>25</v>
      </c>
    </row>
    <row r="563" spans="1:19">
      <c r="A563" s="6" t="s">
        <v>1181</v>
      </c>
      <c r="B563" s="7" t="s">
        <v>1182</v>
      </c>
      <c r="C563" s="8" t="s">
        <v>4128</v>
      </c>
      <c r="D563" s="8">
        <v>45085</v>
      </c>
      <c r="E563" s="7">
        <v>6</v>
      </c>
      <c r="F563" s="7">
        <v>8</v>
      </c>
      <c r="G563" s="7">
        <v>2023</v>
      </c>
      <c r="H563" s="8">
        <f t="shared" si="24"/>
        <v>45085</v>
      </c>
      <c r="I563" s="11">
        <v>45104</v>
      </c>
      <c r="J563" s="7">
        <f t="shared" si="25"/>
        <v>19</v>
      </c>
      <c r="K563" s="7" t="s">
        <v>23</v>
      </c>
      <c r="L563" s="7">
        <v>76353</v>
      </c>
      <c r="M563" s="7">
        <v>1612</v>
      </c>
      <c r="N563" s="12">
        <v>1026.94</v>
      </c>
      <c r="O563" s="12">
        <f t="shared" si="26"/>
        <v>1026.94</v>
      </c>
      <c r="P563" s="7">
        <v>80</v>
      </c>
      <c r="Q563" s="7" t="b">
        <v>1</v>
      </c>
      <c r="R563" s="7"/>
      <c r="S563" s="15" t="s">
        <v>25</v>
      </c>
    </row>
    <row r="564" spans="1:19">
      <c r="A564" s="3" t="s">
        <v>1183</v>
      </c>
      <c r="B564" s="4" t="s">
        <v>1184</v>
      </c>
      <c r="C564" s="5" t="s">
        <v>4131</v>
      </c>
      <c r="D564" s="5">
        <v>45205</v>
      </c>
      <c r="E564" s="4">
        <v>10</v>
      </c>
      <c r="F564" s="4">
        <v>6</v>
      </c>
      <c r="G564" s="4">
        <v>2023</v>
      </c>
      <c r="H564" s="5">
        <f t="shared" si="24"/>
        <v>45205</v>
      </c>
      <c r="I564" s="9">
        <v>45110</v>
      </c>
      <c r="J564" s="4">
        <f t="shared" si="25"/>
        <v>-95</v>
      </c>
      <c r="K564" s="4" t="s">
        <v>138</v>
      </c>
      <c r="L564" s="4">
        <v>77797</v>
      </c>
      <c r="M564" s="4">
        <v>1381</v>
      </c>
      <c r="N564" s="10">
        <v>1342.66</v>
      </c>
      <c r="O564" s="10">
        <f t="shared" si="26"/>
        <v>1342.66</v>
      </c>
      <c r="P564" s="4">
        <v>192</v>
      </c>
      <c r="Q564" s="4" t="b">
        <v>1</v>
      </c>
      <c r="R564" s="4"/>
      <c r="S564" s="14" t="s">
        <v>139</v>
      </c>
    </row>
    <row r="565" spans="1:19">
      <c r="A565" s="6" t="s">
        <v>1185</v>
      </c>
      <c r="B565" s="7" t="s">
        <v>1186</v>
      </c>
      <c r="C565" s="8" t="s">
        <v>4129</v>
      </c>
      <c r="D565" s="8">
        <v>45258</v>
      </c>
      <c r="E565" s="7">
        <v>11</v>
      </c>
      <c r="F565" s="7">
        <v>28</v>
      </c>
      <c r="G565" s="7">
        <v>2023</v>
      </c>
      <c r="H565" s="8">
        <f t="shared" si="24"/>
        <v>45258</v>
      </c>
      <c r="I565" s="11">
        <v>45276</v>
      </c>
      <c r="J565" s="7">
        <f t="shared" si="25"/>
        <v>18</v>
      </c>
      <c r="K565" s="7" t="s">
        <v>19</v>
      </c>
      <c r="L565" s="7">
        <v>66953</v>
      </c>
      <c r="M565" s="7">
        <v>3025</v>
      </c>
      <c r="N565" s="12">
        <v>1707.85</v>
      </c>
      <c r="O565" s="12">
        <f t="shared" si="26"/>
        <v>1707.85</v>
      </c>
      <c r="P565" s="7">
        <v>477</v>
      </c>
      <c r="Q565" s="7" t="b">
        <v>1</v>
      </c>
      <c r="R565" s="7"/>
      <c r="S565" s="15" t="s">
        <v>20</v>
      </c>
    </row>
    <row r="566" spans="1:19">
      <c r="A566" s="3" t="s">
        <v>1187</v>
      </c>
      <c r="B566" s="4" t="s">
        <v>1188</v>
      </c>
      <c r="C566" s="5" t="s">
        <v>4128</v>
      </c>
      <c r="D566" s="5">
        <v>44951</v>
      </c>
      <c r="E566" s="4">
        <v>1</v>
      </c>
      <c r="F566" s="4">
        <v>25</v>
      </c>
      <c r="G566" s="4">
        <v>2023</v>
      </c>
      <c r="H566" s="5">
        <f t="shared" si="24"/>
        <v>44951</v>
      </c>
      <c r="I566" s="9">
        <v>44960</v>
      </c>
      <c r="J566" s="4">
        <f t="shared" si="25"/>
        <v>9</v>
      </c>
      <c r="K566" s="4" t="s">
        <v>33</v>
      </c>
      <c r="L566" s="4">
        <v>58458</v>
      </c>
      <c r="M566" s="4">
        <v>2122</v>
      </c>
      <c r="N566" s="10">
        <v>3546.81</v>
      </c>
      <c r="O566" s="10">
        <f t="shared" si="26"/>
        <v>3546.81</v>
      </c>
      <c r="P566" s="4">
        <v>303</v>
      </c>
      <c r="Q566" s="4" t="b">
        <v>1</v>
      </c>
      <c r="R566" s="4"/>
      <c r="S566" s="14" t="s">
        <v>34</v>
      </c>
    </row>
    <row r="567" spans="1:19">
      <c r="A567" s="6" t="s">
        <v>1189</v>
      </c>
      <c r="B567" s="7" t="s">
        <v>1190</v>
      </c>
      <c r="C567" s="8" t="s">
        <v>4127</v>
      </c>
      <c r="D567" s="8">
        <v>44990</v>
      </c>
      <c r="E567" s="7">
        <v>3</v>
      </c>
      <c r="F567" s="7">
        <v>5</v>
      </c>
      <c r="G567" s="7">
        <v>2023</v>
      </c>
      <c r="H567" s="8">
        <f t="shared" si="24"/>
        <v>44990</v>
      </c>
      <c r="I567" s="11">
        <v>44999</v>
      </c>
      <c r="J567" s="7">
        <f t="shared" si="25"/>
        <v>9</v>
      </c>
      <c r="K567" s="7" t="s">
        <v>41</v>
      </c>
      <c r="L567" s="7">
        <v>21358</v>
      </c>
      <c r="M567" s="7">
        <v>479</v>
      </c>
      <c r="N567" s="12">
        <v>525.63</v>
      </c>
      <c r="O567" s="12">
        <f t="shared" si="26"/>
        <v>525.63</v>
      </c>
      <c r="P567" s="7">
        <v>29</v>
      </c>
      <c r="Q567" s="7" t="b">
        <v>1</v>
      </c>
      <c r="R567" s="7"/>
      <c r="S567" s="15" t="s">
        <v>42</v>
      </c>
    </row>
    <row r="568" spans="1:19">
      <c r="A568" s="3" t="s">
        <v>1191</v>
      </c>
      <c r="B568" s="4" t="s">
        <v>1192</v>
      </c>
      <c r="C568" s="5" t="s">
        <v>4127</v>
      </c>
      <c r="D568" s="5">
        <v>45131</v>
      </c>
      <c r="E568" s="4">
        <v>7</v>
      </c>
      <c r="F568" s="4">
        <v>24</v>
      </c>
      <c r="G568" s="4">
        <v>2023</v>
      </c>
      <c r="H568" s="5">
        <f t="shared" si="24"/>
        <v>45131</v>
      </c>
      <c r="I568" s="9">
        <v>45132</v>
      </c>
      <c r="J568" s="4">
        <f t="shared" si="25"/>
        <v>1</v>
      </c>
      <c r="K568" s="4" t="s">
        <v>138</v>
      </c>
      <c r="L568" s="4">
        <v>4267</v>
      </c>
      <c r="M568" s="4">
        <v>169</v>
      </c>
      <c r="N568" s="10">
        <v>197.03</v>
      </c>
      <c r="O568" s="10">
        <f t="shared" si="26"/>
        <v>197.03</v>
      </c>
      <c r="P568" s="4">
        <v>13</v>
      </c>
      <c r="Q568" s="4" t="b">
        <v>1</v>
      </c>
      <c r="R568" s="4"/>
      <c r="S568" s="14" t="s">
        <v>139</v>
      </c>
    </row>
    <row r="569" spans="1:19">
      <c r="A569" s="6" t="s">
        <v>1193</v>
      </c>
      <c r="B569" s="7" t="s">
        <v>1194</v>
      </c>
      <c r="C569" s="8" t="s">
        <v>4127</v>
      </c>
      <c r="D569" s="8">
        <v>45124</v>
      </c>
      <c r="E569" s="7">
        <v>7</v>
      </c>
      <c r="F569" s="7">
        <v>17</v>
      </c>
      <c r="G569" s="7">
        <v>2023</v>
      </c>
      <c r="H569" s="8">
        <f t="shared" si="24"/>
        <v>45124</v>
      </c>
      <c r="I569" s="11">
        <v>45147</v>
      </c>
      <c r="J569" s="7">
        <f t="shared" si="25"/>
        <v>23</v>
      </c>
      <c r="K569" s="7" t="s">
        <v>41</v>
      </c>
      <c r="L569" s="7">
        <v>83745</v>
      </c>
      <c r="M569" s="7">
        <v>3567</v>
      </c>
      <c r="N569" s="12">
        <v>6564.68</v>
      </c>
      <c r="O569" s="12">
        <f t="shared" si="26"/>
        <v>3632.575</v>
      </c>
      <c r="P569" s="7">
        <v>312</v>
      </c>
      <c r="Q569" s="7" t="b">
        <v>1</v>
      </c>
      <c r="R569" s="7"/>
      <c r="S569" s="15" t="s">
        <v>68</v>
      </c>
    </row>
    <row r="570" spans="1:19">
      <c r="A570" s="3" t="s">
        <v>1195</v>
      </c>
      <c r="B570" s="4" t="s">
        <v>1196</v>
      </c>
      <c r="C570" s="5" t="s">
        <v>4127</v>
      </c>
      <c r="D570" s="5">
        <v>45281</v>
      </c>
      <c r="E570" s="4">
        <v>12</v>
      </c>
      <c r="F570" s="4">
        <v>21</v>
      </c>
      <c r="G570" s="4">
        <v>2023</v>
      </c>
      <c r="H570" s="5">
        <f t="shared" si="24"/>
        <v>45281</v>
      </c>
      <c r="I570" s="9">
        <v>45300</v>
      </c>
      <c r="J570" s="4">
        <f t="shared" si="25"/>
        <v>19</v>
      </c>
      <c r="K570" s="4" t="s">
        <v>14</v>
      </c>
      <c r="L570" s="4">
        <v>90588</v>
      </c>
      <c r="M570" s="4">
        <v>3134</v>
      </c>
      <c r="N570" s="10">
        <v>4660.52</v>
      </c>
      <c r="O570" s="10">
        <f t="shared" si="26"/>
        <v>3632.575</v>
      </c>
      <c r="P570" s="4">
        <v>547</v>
      </c>
      <c r="Q570" s="4" t="b">
        <v>1</v>
      </c>
      <c r="R570" s="4"/>
      <c r="S570" s="14" t="s">
        <v>16</v>
      </c>
    </row>
    <row r="571" spans="1:19">
      <c r="A571" s="6" t="s">
        <v>1197</v>
      </c>
      <c r="B571" s="7" t="s">
        <v>1198</v>
      </c>
      <c r="C571" s="8" t="s">
        <v>4128</v>
      </c>
      <c r="D571" s="8">
        <v>45192</v>
      </c>
      <c r="E571" s="7">
        <v>9</v>
      </c>
      <c r="F571" s="7">
        <v>23</v>
      </c>
      <c r="G571" s="7">
        <v>2023</v>
      </c>
      <c r="H571" s="8">
        <f t="shared" si="24"/>
        <v>45192</v>
      </c>
      <c r="I571" s="11">
        <v>45208</v>
      </c>
      <c r="J571" s="7">
        <f t="shared" si="25"/>
        <v>16</v>
      </c>
      <c r="K571" s="7" t="s">
        <v>41</v>
      </c>
      <c r="L571" s="7">
        <v>39513</v>
      </c>
      <c r="M571" s="7">
        <v>1482</v>
      </c>
      <c r="N571" s="12">
        <v>758.92</v>
      </c>
      <c r="O571" s="12">
        <f t="shared" si="26"/>
        <v>758.92</v>
      </c>
      <c r="P571" s="7">
        <v>177</v>
      </c>
      <c r="Q571" s="7" t="b">
        <v>0</v>
      </c>
      <c r="R571" s="7"/>
      <c r="S571" s="15" t="s">
        <v>42</v>
      </c>
    </row>
    <row r="572" spans="1:19">
      <c r="A572" s="3" t="s">
        <v>1199</v>
      </c>
      <c r="B572" s="4" t="s">
        <v>1200</v>
      </c>
      <c r="C572" s="5" t="s">
        <v>4131</v>
      </c>
      <c r="D572" s="5">
        <v>45085</v>
      </c>
      <c r="E572" s="4">
        <v>6</v>
      </c>
      <c r="F572" s="4">
        <v>8</v>
      </c>
      <c r="G572" s="4">
        <v>2023</v>
      </c>
      <c r="H572" s="5">
        <f t="shared" si="24"/>
        <v>45085</v>
      </c>
      <c r="I572" s="9">
        <v>45147</v>
      </c>
      <c r="J572" s="4">
        <f t="shared" si="25"/>
        <v>62</v>
      </c>
      <c r="K572" s="4" t="s">
        <v>19</v>
      </c>
      <c r="L572" s="4">
        <v>27092</v>
      </c>
      <c r="M572" s="4">
        <v>677</v>
      </c>
      <c r="N572" s="10">
        <v>1296.29</v>
      </c>
      <c r="O572" s="10">
        <f t="shared" si="26"/>
        <v>1296.29</v>
      </c>
      <c r="P572" s="4">
        <v>83</v>
      </c>
      <c r="Q572" s="4" t="b">
        <v>1</v>
      </c>
      <c r="R572" s="4"/>
      <c r="S572" s="14" t="s">
        <v>20</v>
      </c>
    </row>
    <row r="573" spans="1:19">
      <c r="A573" s="6" t="s">
        <v>1201</v>
      </c>
      <c r="B573" s="7" t="s">
        <v>1202</v>
      </c>
      <c r="C573" s="8" t="s">
        <v>4128</v>
      </c>
      <c r="D573" s="8">
        <v>45235</v>
      </c>
      <c r="E573" s="7">
        <v>11</v>
      </c>
      <c r="F573" s="7">
        <v>5</v>
      </c>
      <c r="G573" s="7">
        <v>2023</v>
      </c>
      <c r="H573" s="8">
        <f t="shared" si="24"/>
        <v>45235</v>
      </c>
      <c r="I573" s="11">
        <v>45259</v>
      </c>
      <c r="J573" s="7">
        <f t="shared" si="25"/>
        <v>24</v>
      </c>
      <c r="K573" s="7" t="s">
        <v>33</v>
      </c>
      <c r="L573" s="7">
        <v>12338</v>
      </c>
      <c r="M573" s="7">
        <v>389</v>
      </c>
      <c r="N573" s="12">
        <v>332.87</v>
      </c>
      <c r="O573" s="12">
        <f t="shared" si="26"/>
        <v>332.87</v>
      </c>
      <c r="P573" s="7">
        <v>74</v>
      </c>
      <c r="Q573" s="7" t="b">
        <v>1</v>
      </c>
      <c r="R573" s="7"/>
      <c r="S573" s="15" t="s">
        <v>34</v>
      </c>
    </row>
    <row r="574" spans="1:19">
      <c r="A574" s="3" t="s">
        <v>1203</v>
      </c>
      <c r="B574" s="4" t="s">
        <v>1204</v>
      </c>
      <c r="C574" s="5" t="s">
        <v>4129</v>
      </c>
      <c r="D574" s="5">
        <v>45077</v>
      </c>
      <c r="E574" s="4">
        <v>5</v>
      </c>
      <c r="F574" s="4">
        <v>31</v>
      </c>
      <c r="G574" s="4">
        <v>2023</v>
      </c>
      <c r="H574" s="5">
        <f t="shared" si="24"/>
        <v>45077</v>
      </c>
      <c r="I574" s="9">
        <v>45100</v>
      </c>
      <c r="J574" s="4">
        <f t="shared" si="25"/>
        <v>23</v>
      </c>
      <c r="K574" s="4" t="s">
        <v>41</v>
      </c>
      <c r="L574" s="4">
        <v>1412</v>
      </c>
      <c r="M574" s="4">
        <v>43</v>
      </c>
      <c r="N574" s="10">
        <v>28.44</v>
      </c>
      <c r="O574" s="10">
        <f t="shared" si="26"/>
        <v>28.44</v>
      </c>
      <c r="P574" s="4">
        <v>6</v>
      </c>
      <c r="Q574" s="4" t="b">
        <v>1</v>
      </c>
      <c r="R574" s="4"/>
      <c r="S574" s="14" t="s">
        <v>68</v>
      </c>
    </row>
    <row r="575" spans="1:19">
      <c r="A575" s="6" t="s">
        <v>1205</v>
      </c>
      <c r="B575" s="7" t="s">
        <v>1206</v>
      </c>
      <c r="C575" s="8" t="s">
        <v>4131</v>
      </c>
      <c r="D575" s="8">
        <v>45265</v>
      </c>
      <c r="E575" s="7">
        <v>12</v>
      </c>
      <c r="F575" s="7">
        <v>5</v>
      </c>
      <c r="G575" s="7">
        <v>2023</v>
      </c>
      <c r="H575" s="8">
        <f t="shared" si="24"/>
        <v>45265</v>
      </c>
      <c r="I575" s="11">
        <v>45270</v>
      </c>
      <c r="J575" s="7">
        <f t="shared" si="25"/>
        <v>5</v>
      </c>
      <c r="K575" s="7" t="s">
        <v>138</v>
      </c>
      <c r="L575" s="7">
        <v>8543</v>
      </c>
      <c r="M575" s="7">
        <v>375</v>
      </c>
      <c r="N575" s="12">
        <v>619.57</v>
      </c>
      <c r="O575" s="12">
        <f t="shared" si="26"/>
        <v>619.57</v>
      </c>
      <c r="P575" s="7">
        <v>69</v>
      </c>
      <c r="Q575" s="7" t="b">
        <v>0</v>
      </c>
      <c r="R575" s="7"/>
      <c r="S575" s="15" t="s">
        <v>139</v>
      </c>
    </row>
    <row r="576" spans="1:19">
      <c r="A576" s="3" t="s">
        <v>1207</v>
      </c>
      <c r="B576" s="4" t="s">
        <v>1208</v>
      </c>
      <c r="C576" s="5" t="s">
        <v>4129</v>
      </c>
      <c r="D576" s="5">
        <v>45145</v>
      </c>
      <c r="E576" s="4">
        <v>8</v>
      </c>
      <c r="F576" s="4">
        <v>7</v>
      </c>
      <c r="G576" s="4">
        <v>2023</v>
      </c>
      <c r="H576" s="5">
        <f t="shared" si="24"/>
        <v>45145</v>
      </c>
      <c r="I576" s="9">
        <v>45152</v>
      </c>
      <c r="J576" s="4">
        <f t="shared" si="25"/>
        <v>7</v>
      </c>
      <c r="K576" s="4" t="s">
        <v>19</v>
      </c>
      <c r="L576" s="4">
        <v>34496</v>
      </c>
      <c r="M576" s="4">
        <v>1503</v>
      </c>
      <c r="N576" s="10">
        <v>1879.83</v>
      </c>
      <c r="O576" s="10">
        <f t="shared" si="26"/>
        <v>1879.83</v>
      </c>
      <c r="P576" s="4">
        <v>178</v>
      </c>
      <c r="Q576" s="4" t="b">
        <v>0</v>
      </c>
      <c r="R576" s="4"/>
      <c r="S576" s="14" t="s">
        <v>20</v>
      </c>
    </row>
    <row r="577" spans="1:19">
      <c r="A577" s="6" t="s">
        <v>1209</v>
      </c>
      <c r="B577" s="7" t="s">
        <v>1210</v>
      </c>
      <c r="C577" s="8" t="s">
        <v>4128</v>
      </c>
      <c r="D577" s="8" t="s">
        <v>1211</v>
      </c>
      <c r="E577" s="7">
        <v>17</v>
      </c>
      <c r="F577" s="7">
        <v>8</v>
      </c>
      <c r="G577" s="7">
        <v>2023</v>
      </c>
      <c r="H577" s="8">
        <f t="shared" si="24"/>
        <v>45155</v>
      </c>
      <c r="I577" s="11">
        <v>45158</v>
      </c>
      <c r="J577" s="7">
        <f t="shared" si="25"/>
        <v>3</v>
      </c>
      <c r="K577" s="7" t="s">
        <v>19</v>
      </c>
      <c r="L577" s="7">
        <v>61692</v>
      </c>
      <c r="M577" s="7">
        <v>2671</v>
      </c>
      <c r="N577" s="12">
        <v>3073.4</v>
      </c>
      <c r="O577" s="12">
        <f t="shared" si="26"/>
        <v>3073.4</v>
      </c>
      <c r="P577" s="7">
        <v>193</v>
      </c>
      <c r="Q577" s="7" t="b">
        <v>0</v>
      </c>
      <c r="R577" s="7"/>
      <c r="S577" s="15" t="s">
        <v>20</v>
      </c>
    </row>
    <row r="578" spans="1:19">
      <c r="A578" s="3" t="s">
        <v>1212</v>
      </c>
      <c r="B578" s="4" t="s">
        <v>1213</v>
      </c>
      <c r="C578" s="5" t="s">
        <v>4128</v>
      </c>
      <c r="D578" s="5">
        <v>45107</v>
      </c>
      <c r="E578" s="4">
        <v>6</v>
      </c>
      <c r="F578" s="4">
        <v>30</v>
      </c>
      <c r="G578" s="4">
        <v>2023</v>
      </c>
      <c r="H578" s="5">
        <f t="shared" ref="H578:H641" si="27">IF(E578&gt;12,DATE(G578,F578,E578),D578)</f>
        <v>45107</v>
      </c>
      <c r="I578" s="9">
        <v>45120</v>
      </c>
      <c r="J578" s="4">
        <f t="shared" ref="J578:J641" si="28">DATEDIF(H578,I578,"D")</f>
        <v>13</v>
      </c>
      <c r="K578" s="4" t="s">
        <v>19</v>
      </c>
      <c r="L578" s="4">
        <v>90084</v>
      </c>
      <c r="M578" s="4">
        <v>940</v>
      </c>
      <c r="N578" s="10">
        <v>-821.8</v>
      </c>
      <c r="O578" s="10">
        <f t="shared" si="26"/>
        <v>-344.195</v>
      </c>
      <c r="P578" s="4">
        <v>178</v>
      </c>
      <c r="Q578" s="4" t="b">
        <v>0</v>
      </c>
      <c r="R578" s="4"/>
      <c r="S578" s="14" t="s">
        <v>20</v>
      </c>
    </row>
    <row r="579" spans="1:19">
      <c r="A579" s="6" t="s">
        <v>1214</v>
      </c>
      <c r="B579" s="7" t="s">
        <v>1215</v>
      </c>
      <c r="C579" s="8" t="s">
        <v>4127</v>
      </c>
      <c r="D579" s="8">
        <v>45254</v>
      </c>
      <c r="E579" s="7">
        <v>11</v>
      </c>
      <c r="F579" s="7">
        <v>24</v>
      </c>
      <c r="G579" s="7">
        <v>2023</v>
      </c>
      <c r="H579" s="8">
        <f t="shared" si="27"/>
        <v>45254</v>
      </c>
      <c r="I579" s="11">
        <v>45276</v>
      </c>
      <c r="J579" s="7">
        <f t="shared" si="28"/>
        <v>22</v>
      </c>
      <c r="K579" s="7" t="s">
        <v>14</v>
      </c>
      <c r="L579" s="7">
        <v>93920</v>
      </c>
      <c r="M579" s="7">
        <v>3755</v>
      </c>
      <c r="N579" s="12">
        <v>4961.13</v>
      </c>
      <c r="O579" s="12">
        <f t="shared" ref="O579:O642" si="29">IF(N579&lt;$V$6,$V$6,IF(N579&gt;$V$7,$V$7,N579))</f>
        <v>3632.575</v>
      </c>
      <c r="P579" s="7">
        <v>446</v>
      </c>
      <c r="Q579" s="7" t="b">
        <v>1</v>
      </c>
      <c r="R579" s="7"/>
      <c r="S579" s="15" t="s">
        <v>16</v>
      </c>
    </row>
    <row r="580" spans="1:19">
      <c r="A580" s="3" t="s">
        <v>1216</v>
      </c>
      <c r="B580" s="4" t="s">
        <v>1217</v>
      </c>
      <c r="C580" s="5" t="s">
        <v>4131</v>
      </c>
      <c r="D580" s="5">
        <v>44965</v>
      </c>
      <c r="E580" s="4">
        <v>2</v>
      </c>
      <c r="F580" s="4">
        <v>8</v>
      </c>
      <c r="G580" s="4">
        <v>2023</v>
      </c>
      <c r="H580" s="5">
        <f t="shared" si="27"/>
        <v>44965</v>
      </c>
      <c r="I580" s="9">
        <v>44978</v>
      </c>
      <c r="J580" s="4">
        <f t="shared" si="28"/>
        <v>13</v>
      </c>
      <c r="K580" s="4" t="s">
        <v>14</v>
      </c>
      <c r="L580" s="4">
        <v>45425</v>
      </c>
      <c r="M580" s="4">
        <v>1832</v>
      </c>
      <c r="N580" s="10">
        <v>1670.01</v>
      </c>
      <c r="O580" s="10">
        <f t="shared" si="29"/>
        <v>1670.01</v>
      </c>
      <c r="P580" s="4">
        <v>141</v>
      </c>
      <c r="Q580" s="4" t="b">
        <v>1</v>
      </c>
      <c r="R580" s="4"/>
      <c r="S580" s="14" t="s">
        <v>16</v>
      </c>
    </row>
    <row r="581" spans="1:19">
      <c r="A581" s="6" t="s">
        <v>1218</v>
      </c>
      <c r="B581" s="7" t="s">
        <v>1219</v>
      </c>
      <c r="C581" s="8" t="s">
        <v>4127</v>
      </c>
      <c r="D581" s="8">
        <v>45189</v>
      </c>
      <c r="E581" s="7">
        <v>9</v>
      </c>
      <c r="F581" s="7">
        <v>20</v>
      </c>
      <c r="G581" s="7">
        <v>2023</v>
      </c>
      <c r="H581" s="8">
        <f t="shared" si="27"/>
        <v>45189</v>
      </c>
      <c r="I581" s="11">
        <v>45190</v>
      </c>
      <c r="J581" s="7">
        <f t="shared" si="28"/>
        <v>1</v>
      </c>
      <c r="K581" s="7" t="s">
        <v>14</v>
      </c>
      <c r="L581" s="7">
        <v>39756</v>
      </c>
      <c r="M581" s="7">
        <v>1476</v>
      </c>
      <c r="N581" s="12">
        <v>2734.1</v>
      </c>
      <c r="O581" s="12">
        <f t="shared" si="29"/>
        <v>2734.1</v>
      </c>
      <c r="P581" s="7">
        <v>140</v>
      </c>
      <c r="Q581" s="7" t="b">
        <v>1</v>
      </c>
      <c r="R581" s="7"/>
      <c r="S581" s="15" t="s">
        <v>16</v>
      </c>
    </row>
    <row r="582" spans="1:19">
      <c r="A582" s="3" t="s">
        <v>1220</v>
      </c>
      <c r="B582" s="4" t="s">
        <v>1221</v>
      </c>
      <c r="C582" s="5" t="s">
        <v>4129</v>
      </c>
      <c r="D582" s="5">
        <v>44942</v>
      </c>
      <c r="E582" s="4">
        <v>1</v>
      </c>
      <c r="F582" s="4">
        <v>16</v>
      </c>
      <c r="G582" s="4">
        <v>2023</v>
      </c>
      <c r="H582" s="5">
        <f t="shared" si="27"/>
        <v>44942</v>
      </c>
      <c r="I582" s="9">
        <v>44944</v>
      </c>
      <c r="J582" s="4">
        <f t="shared" si="28"/>
        <v>2</v>
      </c>
      <c r="K582" s="4" t="s">
        <v>41</v>
      </c>
      <c r="L582" s="4">
        <v>19888</v>
      </c>
      <c r="M582" s="4">
        <v>800</v>
      </c>
      <c r="N582" s="10">
        <v>658.25</v>
      </c>
      <c r="O582" s="10">
        <f t="shared" si="29"/>
        <v>658.25</v>
      </c>
      <c r="P582" s="4">
        <v>46</v>
      </c>
      <c r="Q582" s="4" t="b">
        <v>0</v>
      </c>
      <c r="R582" s="4"/>
      <c r="S582" s="14" t="s">
        <v>42</v>
      </c>
    </row>
    <row r="583" spans="1:19">
      <c r="A583" s="6" t="s">
        <v>1222</v>
      </c>
      <c r="B583" s="7" t="s">
        <v>1223</v>
      </c>
      <c r="C583" s="8" t="s">
        <v>4131</v>
      </c>
      <c r="D583" s="8" t="s">
        <v>1081</v>
      </c>
      <c r="E583" s="7">
        <v>13</v>
      </c>
      <c r="F583" s="7">
        <v>8</v>
      </c>
      <c r="G583" s="7">
        <v>2023</v>
      </c>
      <c r="H583" s="8">
        <f t="shared" si="27"/>
        <v>45151</v>
      </c>
      <c r="I583" s="11">
        <v>45167</v>
      </c>
      <c r="J583" s="7">
        <f t="shared" si="28"/>
        <v>16</v>
      </c>
      <c r="K583" s="7" t="s">
        <v>14</v>
      </c>
      <c r="L583" s="7">
        <v>36735</v>
      </c>
      <c r="M583" s="7">
        <v>1604</v>
      </c>
      <c r="N583" s="12">
        <v>2929.76</v>
      </c>
      <c r="O583" s="12">
        <f t="shared" si="29"/>
        <v>2929.76</v>
      </c>
      <c r="P583" s="7">
        <v>192</v>
      </c>
      <c r="Q583" s="7" t="b">
        <v>1</v>
      </c>
      <c r="R583" s="7"/>
      <c r="S583" s="15" t="s">
        <v>16</v>
      </c>
    </row>
    <row r="584" spans="1:19">
      <c r="A584" s="3" t="s">
        <v>1224</v>
      </c>
      <c r="B584" s="4" t="s">
        <v>1225</v>
      </c>
      <c r="C584" s="5" t="s">
        <v>4129</v>
      </c>
      <c r="D584" s="5">
        <v>44961</v>
      </c>
      <c r="E584" s="4">
        <v>2</v>
      </c>
      <c r="F584" s="4">
        <v>4</v>
      </c>
      <c r="G584" s="4">
        <v>2023</v>
      </c>
      <c r="H584" s="5">
        <f t="shared" si="27"/>
        <v>44961</v>
      </c>
      <c r="I584" s="9">
        <v>44975</v>
      </c>
      <c r="J584" s="4">
        <f t="shared" si="28"/>
        <v>14</v>
      </c>
      <c r="K584" s="4" t="s">
        <v>19</v>
      </c>
      <c r="L584" s="4">
        <v>48295</v>
      </c>
      <c r="M584" s="4">
        <v>1391</v>
      </c>
      <c r="N584" s="10">
        <v>1862.7</v>
      </c>
      <c r="O584" s="10">
        <f t="shared" si="29"/>
        <v>1862.7</v>
      </c>
      <c r="P584" s="4">
        <v>247</v>
      </c>
      <c r="Q584" s="4" t="b">
        <v>0</v>
      </c>
      <c r="R584" s="4"/>
      <c r="S584" s="14" t="s">
        <v>20</v>
      </c>
    </row>
    <row r="585" spans="1:19">
      <c r="A585" s="6" t="s">
        <v>1226</v>
      </c>
      <c r="B585" s="7" t="s">
        <v>1227</v>
      </c>
      <c r="C585" s="8" t="s">
        <v>4131</v>
      </c>
      <c r="D585" s="8">
        <v>45112</v>
      </c>
      <c r="E585" s="7">
        <v>7</v>
      </c>
      <c r="F585" s="7">
        <v>5</v>
      </c>
      <c r="G585" s="7">
        <v>2023</v>
      </c>
      <c r="H585" s="8">
        <f t="shared" si="27"/>
        <v>45112</v>
      </c>
      <c r="I585" s="11">
        <v>45139</v>
      </c>
      <c r="J585" s="7">
        <f t="shared" si="28"/>
        <v>27</v>
      </c>
      <c r="K585" s="7" t="s">
        <v>19</v>
      </c>
      <c r="L585" s="7">
        <v>84042</v>
      </c>
      <c r="M585" s="7">
        <v>2528</v>
      </c>
      <c r="N585" s="12">
        <v>4405.63</v>
      </c>
      <c r="O585" s="12">
        <f t="shared" si="29"/>
        <v>3632.575</v>
      </c>
      <c r="P585" s="7">
        <v>0</v>
      </c>
      <c r="Q585" s="7" t="b">
        <v>1</v>
      </c>
      <c r="R585" s="7"/>
      <c r="S585" s="15" t="s">
        <v>20</v>
      </c>
    </row>
    <row r="586" spans="1:19">
      <c r="A586" s="3" t="s">
        <v>1228</v>
      </c>
      <c r="B586" s="4" t="s">
        <v>1229</v>
      </c>
      <c r="C586" s="5" t="s">
        <v>4131</v>
      </c>
      <c r="D586" s="5">
        <v>45236</v>
      </c>
      <c r="E586" s="4">
        <v>11</v>
      </c>
      <c r="F586" s="4">
        <v>6</v>
      </c>
      <c r="G586" s="4">
        <v>2023</v>
      </c>
      <c r="H586" s="5">
        <f t="shared" si="27"/>
        <v>45236</v>
      </c>
      <c r="I586" s="9">
        <v>45251</v>
      </c>
      <c r="J586" s="4">
        <f t="shared" si="28"/>
        <v>15</v>
      </c>
      <c r="K586" s="4" t="s">
        <v>33</v>
      </c>
      <c r="L586" s="4">
        <v>86999</v>
      </c>
      <c r="M586" s="4">
        <v>1303</v>
      </c>
      <c r="N586" s="10">
        <v>2044.76</v>
      </c>
      <c r="O586" s="10">
        <f t="shared" si="29"/>
        <v>2044.76</v>
      </c>
      <c r="P586" s="4">
        <v>247</v>
      </c>
      <c r="Q586" s="4" t="b">
        <v>1</v>
      </c>
      <c r="R586" s="4"/>
      <c r="S586" s="14" t="s">
        <v>34</v>
      </c>
    </row>
    <row r="587" spans="1:19">
      <c r="A587" s="6" t="s">
        <v>1230</v>
      </c>
      <c r="B587" s="7" t="s">
        <v>1231</v>
      </c>
      <c r="C587" s="8" t="s">
        <v>4129</v>
      </c>
      <c r="D587" s="8">
        <v>45116</v>
      </c>
      <c r="E587" s="7">
        <v>7</v>
      </c>
      <c r="F587" s="7">
        <v>9</v>
      </c>
      <c r="G587" s="7">
        <v>2023</v>
      </c>
      <c r="H587" s="8">
        <f t="shared" si="27"/>
        <v>45116</v>
      </c>
      <c r="I587" s="11">
        <v>45130</v>
      </c>
      <c r="J587" s="7">
        <f t="shared" si="28"/>
        <v>14</v>
      </c>
      <c r="K587" s="7" t="s">
        <v>23</v>
      </c>
      <c r="L587" s="7">
        <v>18955</v>
      </c>
      <c r="M587" s="7">
        <v>481</v>
      </c>
      <c r="N587" s="12">
        <v>743.17</v>
      </c>
      <c r="O587" s="12">
        <f t="shared" si="29"/>
        <v>743.17</v>
      </c>
      <c r="P587" s="7">
        <v>33</v>
      </c>
      <c r="Q587" s="7" t="b">
        <v>1</v>
      </c>
      <c r="R587" s="7"/>
      <c r="S587" s="15" t="s">
        <v>25</v>
      </c>
    </row>
    <row r="588" spans="1:19">
      <c r="A588" s="3" t="s">
        <v>1232</v>
      </c>
      <c r="B588" s="4" t="s">
        <v>1233</v>
      </c>
      <c r="C588" s="5" t="s">
        <v>4127</v>
      </c>
      <c r="D588" s="5">
        <v>45220</v>
      </c>
      <c r="E588" s="4">
        <v>10</v>
      </c>
      <c r="F588" s="4">
        <v>21</v>
      </c>
      <c r="G588" s="4">
        <v>2023</v>
      </c>
      <c r="H588" s="5">
        <f t="shared" si="27"/>
        <v>45220</v>
      </c>
      <c r="I588" s="9">
        <v>45226</v>
      </c>
      <c r="J588" s="4">
        <f t="shared" si="28"/>
        <v>6</v>
      </c>
      <c r="K588" s="4" t="s">
        <v>41</v>
      </c>
      <c r="L588" s="4">
        <v>38841</v>
      </c>
      <c r="M588" s="4">
        <v>1387</v>
      </c>
      <c r="N588" s="10">
        <v>1368.3</v>
      </c>
      <c r="O588" s="10">
        <f t="shared" si="29"/>
        <v>1368.3</v>
      </c>
      <c r="P588" s="4">
        <v>148</v>
      </c>
      <c r="Q588" s="4" t="b">
        <v>0</v>
      </c>
      <c r="R588" s="4"/>
      <c r="S588" s="14" t="s">
        <v>42</v>
      </c>
    </row>
    <row r="589" spans="1:19">
      <c r="A589" s="6" t="s">
        <v>1234</v>
      </c>
      <c r="B589" s="7" t="s">
        <v>1235</v>
      </c>
      <c r="C589" s="8" t="s">
        <v>4131</v>
      </c>
      <c r="D589" s="8">
        <v>45087</v>
      </c>
      <c r="E589" s="7">
        <v>6</v>
      </c>
      <c r="F589" s="7">
        <v>10</v>
      </c>
      <c r="G589" s="7">
        <v>2023</v>
      </c>
      <c r="H589" s="8">
        <f t="shared" si="27"/>
        <v>45087</v>
      </c>
      <c r="I589" s="11">
        <v>45088</v>
      </c>
      <c r="J589" s="7">
        <f t="shared" si="28"/>
        <v>1</v>
      </c>
      <c r="K589" s="7" t="s">
        <v>41</v>
      </c>
      <c r="L589" s="7">
        <v>71640</v>
      </c>
      <c r="M589" s="7">
        <v>2952</v>
      </c>
      <c r="N589" s="12">
        <v>2511.7</v>
      </c>
      <c r="O589" s="12">
        <f t="shared" si="29"/>
        <v>2511.7</v>
      </c>
      <c r="P589" s="7">
        <v>0</v>
      </c>
      <c r="Q589" s="7" t="b">
        <v>0</v>
      </c>
      <c r="R589" s="7"/>
      <c r="S589" s="15" t="s">
        <v>42</v>
      </c>
    </row>
    <row r="590" spans="1:19">
      <c r="A590" s="3" t="s">
        <v>1236</v>
      </c>
      <c r="B590" s="4" t="s">
        <v>1237</v>
      </c>
      <c r="C590" s="5" t="s">
        <v>4127</v>
      </c>
      <c r="D590" s="5" t="s">
        <v>1238</v>
      </c>
      <c r="E590" s="4">
        <v>28</v>
      </c>
      <c r="F590" s="4">
        <v>2</v>
      </c>
      <c r="G590" s="4">
        <v>2023</v>
      </c>
      <c r="H590" s="5">
        <f t="shared" si="27"/>
        <v>44985</v>
      </c>
      <c r="I590" s="9">
        <v>45004</v>
      </c>
      <c r="J590" s="4">
        <f t="shared" si="28"/>
        <v>19</v>
      </c>
      <c r="K590" s="4" t="s">
        <v>14</v>
      </c>
      <c r="L590" s="4">
        <v>66510</v>
      </c>
      <c r="M590" s="4">
        <v>1242</v>
      </c>
      <c r="N590" s="10">
        <v>1013.88</v>
      </c>
      <c r="O590" s="10">
        <f t="shared" si="29"/>
        <v>1013.88</v>
      </c>
      <c r="P590" s="4">
        <v>221</v>
      </c>
      <c r="Q590" s="4" t="b">
        <v>1</v>
      </c>
      <c r="R590" s="4"/>
      <c r="S590" s="14" t="s">
        <v>16</v>
      </c>
    </row>
    <row r="591" spans="1:19">
      <c r="A591" s="6" t="s">
        <v>1239</v>
      </c>
      <c r="B591" s="7" t="s">
        <v>1240</v>
      </c>
      <c r="C591" s="8" t="s">
        <v>4128</v>
      </c>
      <c r="D591" s="8">
        <v>45022</v>
      </c>
      <c r="E591" s="7">
        <v>4</v>
      </c>
      <c r="F591" s="7">
        <v>6</v>
      </c>
      <c r="G591" s="7">
        <v>2023</v>
      </c>
      <c r="H591" s="8">
        <f t="shared" si="27"/>
        <v>45022</v>
      </c>
      <c r="I591" s="11">
        <v>45051</v>
      </c>
      <c r="J591" s="7">
        <f t="shared" si="28"/>
        <v>29</v>
      </c>
      <c r="K591" s="7" t="s">
        <v>19</v>
      </c>
      <c r="L591" s="7">
        <v>35911</v>
      </c>
      <c r="M591" s="7">
        <v>557</v>
      </c>
      <c r="N591" s="12">
        <v>994.68</v>
      </c>
      <c r="O591" s="12">
        <f t="shared" si="29"/>
        <v>994.68</v>
      </c>
      <c r="P591" s="7">
        <v>57</v>
      </c>
      <c r="Q591" s="7" t="b">
        <v>0</v>
      </c>
      <c r="R591" s="7"/>
      <c r="S591" s="15" t="s">
        <v>20</v>
      </c>
    </row>
    <row r="592" spans="1:19">
      <c r="A592" s="3" t="s">
        <v>1241</v>
      </c>
      <c r="B592" s="4" t="s">
        <v>1242</v>
      </c>
      <c r="C592" s="5" t="s">
        <v>4127</v>
      </c>
      <c r="D592" s="5">
        <v>45214</v>
      </c>
      <c r="E592" s="4">
        <v>10</v>
      </c>
      <c r="F592" s="4">
        <v>15</v>
      </c>
      <c r="G592" s="4">
        <v>2023</v>
      </c>
      <c r="H592" s="5">
        <f t="shared" si="27"/>
        <v>45214</v>
      </c>
      <c r="I592" s="9">
        <v>45216</v>
      </c>
      <c r="J592" s="4">
        <f t="shared" si="28"/>
        <v>2</v>
      </c>
      <c r="K592" s="4" t="s">
        <v>138</v>
      </c>
      <c r="L592" s="4">
        <v>60031</v>
      </c>
      <c r="M592" s="4">
        <v>2192</v>
      </c>
      <c r="N592" s="10">
        <v>3793.56</v>
      </c>
      <c r="O592" s="10">
        <f t="shared" si="29"/>
        <v>3632.575</v>
      </c>
      <c r="P592" s="4">
        <v>317</v>
      </c>
      <c r="Q592" s="4" t="b">
        <v>1</v>
      </c>
      <c r="R592" s="4"/>
      <c r="S592" s="14" t="s">
        <v>68</v>
      </c>
    </row>
    <row r="593" spans="1:19">
      <c r="A593" s="6" t="s">
        <v>1243</v>
      </c>
      <c r="B593" s="7" t="s">
        <v>1244</v>
      </c>
      <c r="C593" s="8" t="s">
        <v>4131</v>
      </c>
      <c r="D593" s="8">
        <v>45287</v>
      </c>
      <c r="E593" s="7">
        <v>12</v>
      </c>
      <c r="F593" s="7">
        <v>27</v>
      </c>
      <c r="G593" s="7">
        <v>2023</v>
      </c>
      <c r="H593" s="8">
        <f t="shared" si="27"/>
        <v>45287</v>
      </c>
      <c r="I593" s="11">
        <v>45309</v>
      </c>
      <c r="J593" s="7">
        <f t="shared" si="28"/>
        <v>22</v>
      </c>
      <c r="K593" s="7" t="s">
        <v>191</v>
      </c>
      <c r="L593" s="7">
        <v>89726</v>
      </c>
      <c r="M593" s="7">
        <v>904</v>
      </c>
      <c r="N593" s="12">
        <v>1049.42</v>
      </c>
      <c r="O593" s="12">
        <f t="shared" si="29"/>
        <v>1049.42</v>
      </c>
      <c r="P593" s="7">
        <v>142</v>
      </c>
      <c r="Q593" s="7" t="b">
        <v>1</v>
      </c>
      <c r="R593" s="7"/>
      <c r="S593" s="15" t="s">
        <v>42</v>
      </c>
    </row>
    <row r="594" spans="1:19">
      <c r="A594" s="3" t="s">
        <v>1245</v>
      </c>
      <c r="B594" s="4" t="s">
        <v>1246</v>
      </c>
      <c r="C594" s="5" t="s">
        <v>4131</v>
      </c>
      <c r="D594" s="5">
        <v>45073</v>
      </c>
      <c r="E594" s="4">
        <v>5</v>
      </c>
      <c r="F594" s="4">
        <v>27</v>
      </c>
      <c r="G594" s="4">
        <v>2023</v>
      </c>
      <c r="H594" s="5">
        <f t="shared" si="27"/>
        <v>45073</v>
      </c>
      <c r="I594" s="9">
        <v>45076</v>
      </c>
      <c r="J594" s="4">
        <f t="shared" si="28"/>
        <v>3</v>
      </c>
      <c r="K594" s="4" t="s">
        <v>23</v>
      </c>
      <c r="L594" s="4">
        <v>8357</v>
      </c>
      <c r="M594" s="4">
        <v>143</v>
      </c>
      <c r="N594" s="10">
        <v>99.9</v>
      </c>
      <c r="O594" s="10">
        <f t="shared" si="29"/>
        <v>99.9</v>
      </c>
      <c r="P594" s="4">
        <v>16</v>
      </c>
      <c r="Q594" s="4" t="b">
        <v>1</v>
      </c>
      <c r="R594" s="4"/>
      <c r="S594" s="14" t="s">
        <v>25</v>
      </c>
    </row>
    <row r="595" spans="1:19">
      <c r="A595" s="6" t="s">
        <v>1247</v>
      </c>
      <c r="B595" s="7" t="s">
        <v>1248</v>
      </c>
      <c r="C595" s="8" t="s">
        <v>4131</v>
      </c>
      <c r="D595" s="8">
        <v>45029</v>
      </c>
      <c r="E595" s="7">
        <v>4</v>
      </c>
      <c r="F595" s="7">
        <v>13</v>
      </c>
      <c r="G595" s="7">
        <v>2023</v>
      </c>
      <c r="H595" s="8">
        <f t="shared" si="27"/>
        <v>45029</v>
      </c>
      <c r="I595" s="11">
        <v>45054</v>
      </c>
      <c r="J595" s="7">
        <f t="shared" si="28"/>
        <v>25</v>
      </c>
      <c r="K595" s="7" t="s">
        <v>33</v>
      </c>
      <c r="L595" s="7">
        <v>33479</v>
      </c>
      <c r="M595" s="7">
        <v>373</v>
      </c>
      <c r="N595" s="12">
        <v>400.37</v>
      </c>
      <c r="O595" s="12">
        <f t="shared" si="29"/>
        <v>400.37</v>
      </c>
      <c r="P595" s="7">
        <v>35</v>
      </c>
      <c r="Q595" s="7" t="b">
        <v>0</v>
      </c>
      <c r="R595" s="7"/>
      <c r="S595" s="15" t="s">
        <v>34</v>
      </c>
    </row>
    <row r="596" spans="1:19">
      <c r="A596" s="3" t="s">
        <v>1249</v>
      </c>
      <c r="B596" s="4" t="s">
        <v>1250</v>
      </c>
      <c r="C596" s="5" t="s">
        <v>4129</v>
      </c>
      <c r="D596" s="5">
        <v>45158</v>
      </c>
      <c r="E596" s="4">
        <v>8</v>
      </c>
      <c r="F596" s="4">
        <v>20</v>
      </c>
      <c r="G596" s="4">
        <v>2023</v>
      </c>
      <c r="H596" s="5">
        <f t="shared" si="27"/>
        <v>45158</v>
      </c>
      <c r="I596" s="9">
        <v>45187</v>
      </c>
      <c r="J596" s="4">
        <f t="shared" si="28"/>
        <v>29</v>
      </c>
      <c r="K596" s="4" t="s">
        <v>19</v>
      </c>
      <c r="L596" s="4">
        <v>62476</v>
      </c>
      <c r="M596" s="4">
        <v>1041</v>
      </c>
      <c r="N596" s="10">
        <v>1487.6</v>
      </c>
      <c r="O596" s="10">
        <f t="shared" si="29"/>
        <v>1487.6</v>
      </c>
      <c r="P596" s="4">
        <v>202</v>
      </c>
      <c r="Q596" s="4" t="b">
        <v>0</v>
      </c>
      <c r="R596" s="4"/>
      <c r="S596" s="14" t="s">
        <v>20</v>
      </c>
    </row>
    <row r="597" spans="1:19">
      <c r="A597" s="6" t="s">
        <v>1251</v>
      </c>
      <c r="B597" s="7" t="s">
        <v>1252</v>
      </c>
      <c r="C597" s="8" t="s">
        <v>4131</v>
      </c>
      <c r="D597" s="8">
        <v>44971</v>
      </c>
      <c r="E597" s="7">
        <v>2</v>
      </c>
      <c r="F597" s="7">
        <v>14</v>
      </c>
      <c r="G597" s="7">
        <v>2023</v>
      </c>
      <c r="H597" s="8">
        <f t="shared" si="27"/>
        <v>44971</v>
      </c>
      <c r="I597" s="11">
        <v>44980</v>
      </c>
      <c r="J597" s="7">
        <f t="shared" si="28"/>
        <v>9</v>
      </c>
      <c r="K597" s="7" t="s">
        <v>23</v>
      </c>
      <c r="L597" s="7">
        <v>45811</v>
      </c>
      <c r="M597" s="7">
        <v>790</v>
      </c>
      <c r="N597" s="12">
        <v>933.47</v>
      </c>
      <c r="O597" s="12">
        <f t="shared" si="29"/>
        <v>933.47</v>
      </c>
      <c r="P597" s="7">
        <v>153</v>
      </c>
      <c r="Q597" s="7" t="b">
        <v>1</v>
      </c>
      <c r="R597" s="7"/>
      <c r="S597" s="15" t="s">
        <v>25</v>
      </c>
    </row>
    <row r="598" spans="1:19">
      <c r="A598" s="3" t="s">
        <v>1253</v>
      </c>
      <c r="B598" s="4" t="s">
        <v>1254</v>
      </c>
      <c r="C598" s="5" t="s">
        <v>4129</v>
      </c>
      <c r="D598" s="5">
        <v>45090</v>
      </c>
      <c r="E598" s="4">
        <v>6</v>
      </c>
      <c r="F598" s="4">
        <v>13</v>
      </c>
      <c r="G598" s="4">
        <v>2023</v>
      </c>
      <c r="H598" s="5">
        <f t="shared" si="27"/>
        <v>45090</v>
      </c>
      <c r="I598" s="9">
        <v>45113</v>
      </c>
      <c r="J598" s="4">
        <f t="shared" si="28"/>
        <v>23</v>
      </c>
      <c r="K598" s="4" t="s">
        <v>41</v>
      </c>
      <c r="L598" s="4">
        <v>37208</v>
      </c>
      <c r="M598" s="4">
        <v>949</v>
      </c>
      <c r="N598" s="10">
        <v>1585.1</v>
      </c>
      <c r="O598" s="10">
        <f t="shared" si="29"/>
        <v>1585.1</v>
      </c>
      <c r="P598" s="4">
        <v>88</v>
      </c>
      <c r="Q598" s="4" t="b">
        <v>0</v>
      </c>
      <c r="R598" s="4"/>
      <c r="S598" s="14" t="s">
        <v>42</v>
      </c>
    </row>
    <row r="599" spans="1:19">
      <c r="A599" s="6" t="s">
        <v>1255</v>
      </c>
      <c r="B599" s="7" t="s">
        <v>1256</v>
      </c>
      <c r="C599" s="8" t="s">
        <v>4127</v>
      </c>
      <c r="D599" s="8">
        <v>45208</v>
      </c>
      <c r="E599" s="7">
        <v>10</v>
      </c>
      <c r="F599" s="7">
        <v>9</v>
      </c>
      <c r="G599" s="7">
        <v>2023</v>
      </c>
      <c r="H599" s="8">
        <f t="shared" si="27"/>
        <v>45208</v>
      </c>
      <c r="I599" s="11">
        <v>45218</v>
      </c>
      <c r="J599" s="7">
        <f t="shared" si="28"/>
        <v>10</v>
      </c>
      <c r="K599" s="7" t="s">
        <v>23</v>
      </c>
      <c r="L599" s="7">
        <v>21150</v>
      </c>
      <c r="M599" s="7">
        <v>551</v>
      </c>
      <c r="N599" s="12">
        <v>1100.04</v>
      </c>
      <c r="O599" s="12">
        <f t="shared" si="29"/>
        <v>1100.04</v>
      </c>
      <c r="P599" s="7">
        <v>67</v>
      </c>
      <c r="Q599" s="7" t="b">
        <v>1</v>
      </c>
      <c r="R599" s="7"/>
      <c r="S599" s="15" t="s">
        <v>25</v>
      </c>
    </row>
    <row r="600" spans="1:19">
      <c r="A600" s="3" t="s">
        <v>1257</v>
      </c>
      <c r="B600" s="4" t="s">
        <v>1258</v>
      </c>
      <c r="C600" s="5" t="s">
        <v>4131</v>
      </c>
      <c r="D600" s="5">
        <v>45007</v>
      </c>
      <c r="E600" s="4">
        <v>3</v>
      </c>
      <c r="F600" s="4">
        <v>22</v>
      </c>
      <c r="G600" s="4">
        <v>2023</v>
      </c>
      <c r="H600" s="5">
        <f t="shared" si="27"/>
        <v>45007</v>
      </c>
      <c r="I600" s="9">
        <v>45031</v>
      </c>
      <c r="J600" s="4">
        <f t="shared" si="28"/>
        <v>24</v>
      </c>
      <c r="K600" s="4" t="s">
        <v>14</v>
      </c>
      <c r="L600" s="4">
        <v>72180</v>
      </c>
      <c r="M600" s="4">
        <v>3245</v>
      </c>
      <c r="N600" s="10">
        <v>2552.84</v>
      </c>
      <c r="O600" s="10">
        <f t="shared" si="29"/>
        <v>2552.84</v>
      </c>
      <c r="P600" s="4">
        <v>635</v>
      </c>
      <c r="Q600" s="4" t="b">
        <v>0</v>
      </c>
      <c r="R600" s="4"/>
      <c r="S600" s="14" t="s">
        <v>16</v>
      </c>
    </row>
    <row r="601" spans="1:19">
      <c r="A601" s="6" t="s">
        <v>1259</v>
      </c>
      <c r="B601" s="7" t="s">
        <v>1260</v>
      </c>
      <c r="C601" s="8" t="s">
        <v>4128</v>
      </c>
      <c r="D601" s="8">
        <v>45253</v>
      </c>
      <c r="E601" s="7">
        <v>11</v>
      </c>
      <c r="F601" s="7">
        <v>23</v>
      </c>
      <c r="G601" s="7">
        <v>2023</v>
      </c>
      <c r="H601" s="8">
        <f t="shared" si="27"/>
        <v>45253</v>
      </c>
      <c r="I601" s="11">
        <v>45269</v>
      </c>
      <c r="J601" s="7">
        <f t="shared" si="28"/>
        <v>16</v>
      </c>
      <c r="K601" s="7" t="s">
        <v>41</v>
      </c>
      <c r="L601" s="7">
        <v>44286</v>
      </c>
      <c r="M601" s="7">
        <v>1346</v>
      </c>
      <c r="N601" s="12">
        <v>1601.04</v>
      </c>
      <c r="O601" s="12">
        <f t="shared" si="29"/>
        <v>1601.04</v>
      </c>
      <c r="P601" s="7">
        <v>68</v>
      </c>
      <c r="Q601" s="7" t="b">
        <v>0</v>
      </c>
      <c r="R601" s="7"/>
      <c r="S601" s="15" t="s">
        <v>42</v>
      </c>
    </row>
    <row r="602" spans="1:19">
      <c r="A602" s="3" t="s">
        <v>1261</v>
      </c>
      <c r="B602" s="4" t="s">
        <v>1262</v>
      </c>
      <c r="C602" s="5" t="s">
        <v>4128</v>
      </c>
      <c r="D602" s="5">
        <v>45041</v>
      </c>
      <c r="E602" s="4">
        <v>4</v>
      </c>
      <c r="F602" s="4">
        <v>25</v>
      </c>
      <c r="G602" s="4">
        <v>2023</v>
      </c>
      <c r="H602" s="5">
        <f t="shared" si="27"/>
        <v>45041</v>
      </c>
      <c r="I602" s="9">
        <v>45048</v>
      </c>
      <c r="J602" s="4">
        <f t="shared" si="28"/>
        <v>7</v>
      </c>
      <c r="K602" s="4" t="s">
        <v>41</v>
      </c>
      <c r="L602" s="4">
        <v>69450</v>
      </c>
      <c r="M602" s="4">
        <v>2704</v>
      </c>
      <c r="N602" s="10">
        <v>3100.07</v>
      </c>
      <c r="O602" s="10">
        <f t="shared" si="29"/>
        <v>3100.07</v>
      </c>
      <c r="P602" s="4">
        <v>302</v>
      </c>
      <c r="Q602" s="4" t="b">
        <v>0</v>
      </c>
      <c r="R602" s="4"/>
      <c r="S602" s="14" t="s">
        <v>42</v>
      </c>
    </row>
    <row r="603" spans="1:19">
      <c r="A603" s="6" t="s">
        <v>1263</v>
      </c>
      <c r="B603" s="7" t="s">
        <v>1264</v>
      </c>
      <c r="C603" s="8" t="s">
        <v>4131</v>
      </c>
      <c r="D603" s="8">
        <v>44998</v>
      </c>
      <c r="E603" s="7">
        <v>3</v>
      </c>
      <c r="F603" s="7">
        <v>13</v>
      </c>
      <c r="G603" s="7">
        <v>2023</v>
      </c>
      <c r="H603" s="8">
        <f t="shared" si="27"/>
        <v>44998</v>
      </c>
      <c r="I603" s="11">
        <v>45024</v>
      </c>
      <c r="J603" s="7">
        <f t="shared" si="28"/>
        <v>26</v>
      </c>
      <c r="K603" s="7" t="s">
        <v>41</v>
      </c>
      <c r="L603" s="7">
        <v>22352</v>
      </c>
      <c r="M603" s="7">
        <v>316</v>
      </c>
      <c r="N603" s="12">
        <v>302.33</v>
      </c>
      <c r="O603" s="12">
        <f t="shared" si="29"/>
        <v>302.33</v>
      </c>
      <c r="P603" s="7">
        <v>20</v>
      </c>
      <c r="Q603" s="7" t="b">
        <v>1</v>
      </c>
      <c r="R603" s="7"/>
      <c r="S603" s="15" t="s">
        <v>42</v>
      </c>
    </row>
    <row r="604" spans="1:19">
      <c r="A604" s="3" t="s">
        <v>1265</v>
      </c>
      <c r="B604" s="4" t="s">
        <v>1266</v>
      </c>
      <c r="C604" s="5" t="s">
        <v>4127</v>
      </c>
      <c r="D604" s="5">
        <v>45111</v>
      </c>
      <c r="E604" s="4">
        <v>7</v>
      </c>
      <c r="F604" s="4">
        <v>4</v>
      </c>
      <c r="G604" s="4">
        <v>2023</v>
      </c>
      <c r="H604" s="5">
        <f t="shared" si="27"/>
        <v>45111</v>
      </c>
      <c r="I604" s="9">
        <v>45120</v>
      </c>
      <c r="J604" s="4">
        <f t="shared" si="28"/>
        <v>9</v>
      </c>
      <c r="K604" s="4" t="s">
        <v>138</v>
      </c>
      <c r="L604" s="4">
        <v>56069</v>
      </c>
      <c r="M604" s="4">
        <v>1066</v>
      </c>
      <c r="N604" s="10">
        <v>849.75</v>
      </c>
      <c r="O604" s="10">
        <f t="shared" si="29"/>
        <v>849.75</v>
      </c>
      <c r="P604" s="4">
        <v>134</v>
      </c>
      <c r="Q604" s="4" t="b">
        <v>1</v>
      </c>
      <c r="R604" s="4"/>
      <c r="S604" s="14" t="s">
        <v>139</v>
      </c>
    </row>
    <row r="605" spans="1:19">
      <c r="A605" s="6" t="s">
        <v>1267</v>
      </c>
      <c r="B605" s="7" t="s">
        <v>1268</v>
      </c>
      <c r="C605" s="8" t="s">
        <v>4128</v>
      </c>
      <c r="D605" s="8">
        <v>45209</v>
      </c>
      <c r="E605" s="7">
        <v>10</v>
      </c>
      <c r="F605" s="7">
        <v>10</v>
      </c>
      <c r="G605" s="7">
        <v>2023</v>
      </c>
      <c r="H605" s="8">
        <f t="shared" si="27"/>
        <v>45209</v>
      </c>
      <c r="I605" s="11">
        <v>45210</v>
      </c>
      <c r="J605" s="7">
        <f t="shared" si="28"/>
        <v>1</v>
      </c>
      <c r="K605" s="7" t="s">
        <v>14</v>
      </c>
      <c r="L605" s="7">
        <v>15397</v>
      </c>
      <c r="M605" s="7">
        <v>586</v>
      </c>
      <c r="N605" s="12">
        <v>350.74</v>
      </c>
      <c r="O605" s="12">
        <f t="shared" si="29"/>
        <v>350.74</v>
      </c>
      <c r="P605" s="7">
        <v>31</v>
      </c>
      <c r="Q605" s="7" t="b">
        <v>1</v>
      </c>
      <c r="R605" s="7"/>
      <c r="S605" s="15" t="s">
        <v>16</v>
      </c>
    </row>
    <row r="606" spans="1:19">
      <c r="A606" s="3" t="s">
        <v>1269</v>
      </c>
      <c r="B606" s="4" t="s">
        <v>1270</v>
      </c>
      <c r="C606" s="5" t="s">
        <v>4131</v>
      </c>
      <c r="D606" s="5">
        <v>44960</v>
      </c>
      <c r="E606" s="4">
        <v>2</v>
      </c>
      <c r="F606" s="4">
        <v>3</v>
      </c>
      <c r="G606" s="4">
        <v>2023</v>
      </c>
      <c r="H606" s="5">
        <f t="shared" si="27"/>
        <v>44960</v>
      </c>
      <c r="I606" s="9">
        <v>44982</v>
      </c>
      <c r="J606" s="4">
        <f t="shared" si="28"/>
        <v>22</v>
      </c>
      <c r="K606" s="4" t="s">
        <v>23</v>
      </c>
      <c r="L606" s="4">
        <v>42555</v>
      </c>
      <c r="M606" s="4">
        <v>515</v>
      </c>
      <c r="N606" s="10">
        <v>-942.8</v>
      </c>
      <c r="O606" s="10">
        <f t="shared" si="29"/>
        <v>-344.195</v>
      </c>
      <c r="P606" s="4">
        <v>57</v>
      </c>
      <c r="Q606" s="4" t="b">
        <v>1</v>
      </c>
      <c r="R606" s="4"/>
      <c r="S606" s="14" t="s">
        <v>25</v>
      </c>
    </row>
    <row r="607" spans="1:19">
      <c r="A607" s="6" t="s">
        <v>1271</v>
      </c>
      <c r="B607" s="7" t="s">
        <v>1272</v>
      </c>
      <c r="C607" s="8" t="s">
        <v>4128</v>
      </c>
      <c r="D607" s="8">
        <v>45172</v>
      </c>
      <c r="E607" s="7">
        <v>9</v>
      </c>
      <c r="F607" s="7">
        <v>3</v>
      </c>
      <c r="G607" s="7">
        <v>2023</v>
      </c>
      <c r="H607" s="8">
        <f t="shared" si="27"/>
        <v>45172</v>
      </c>
      <c r="I607" s="11">
        <v>45181</v>
      </c>
      <c r="J607" s="7">
        <f t="shared" si="28"/>
        <v>9</v>
      </c>
      <c r="K607" s="7" t="s">
        <v>23</v>
      </c>
      <c r="L607" s="7">
        <v>47959</v>
      </c>
      <c r="M607" s="7">
        <v>1413</v>
      </c>
      <c r="N607" s="12">
        <v>1596.37</v>
      </c>
      <c r="O607" s="12">
        <f t="shared" si="29"/>
        <v>1596.37</v>
      </c>
      <c r="P607" s="7">
        <v>117</v>
      </c>
      <c r="Q607" s="7" t="b">
        <v>1</v>
      </c>
      <c r="R607" s="7"/>
      <c r="S607" s="15" t="s">
        <v>25</v>
      </c>
    </row>
    <row r="608" spans="1:19">
      <c r="A608" s="3" t="s">
        <v>1273</v>
      </c>
      <c r="B608" s="4" t="s">
        <v>1274</v>
      </c>
      <c r="C608" s="5" t="s">
        <v>4129</v>
      </c>
      <c r="D608" s="5" t="s">
        <v>1275</v>
      </c>
      <c r="E608" s="4">
        <v>22</v>
      </c>
      <c r="F608" s="4">
        <v>10</v>
      </c>
      <c r="G608" s="4">
        <v>2023</v>
      </c>
      <c r="H608" s="5">
        <f t="shared" si="27"/>
        <v>45221</v>
      </c>
      <c r="I608" s="9">
        <v>45249</v>
      </c>
      <c r="J608" s="4">
        <f t="shared" si="28"/>
        <v>28</v>
      </c>
      <c r="K608" s="4" t="s">
        <v>138</v>
      </c>
      <c r="L608" s="4">
        <v>1728</v>
      </c>
      <c r="M608" s="4">
        <v>58</v>
      </c>
      <c r="N608" s="10">
        <v>72.23</v>
      </c>
      <c r="O608" s="10">
        <f t="shared" si="29"/>
        <v>72.23</v>
      </c>
      <c r="P608" s="4">
        <v>7</v>
      </c>
      <c r="Q608" s="4" t="b">
        <v>0</v>
      </c>
      <c r="R608" s="4"/>
      <c r="S608" s="14" t="s">
        <v>139</v>
      </c>
    </row>
    <row r="609" spans="1:19">
      <c r="A609" s="6" t="s">
        <v>1276</v>
      </c>
      <c r="B609" s="7" t="s">
        <v>1277</v>
      </c>
      <c r="C609" s="8" t="s">
        <v>4127</v>
      </c>
      <c r="D609" s="8">
        <v>45089</v>
      </c>
      <c r="E609" s="7">
        <v>6</v>
      </c>
      <c r="F609" s="7">
        <v>12</v>
      </c>
      <c r="G609" s="7">
        <v>2023</v>
      </c>
      <c r="H609" s="8">
        <f t="shared" si="27"/>
        <v>45089</v>
      </c>
      <c r="I609" s="11">
        <v>45096</v>
      </c>
      <c r="J609" s="7">
        <f t="shared" si="28"/>
        <v>7</v>
      </c>
      <c r="K609" s="7" t="s">
        <v>23</v>
      </c>
      <c r="L609" s="7">
        <v>51517</v>
      </c>
      <c r="M609" s="7">
        <v>1755</v>
      </c>
      <c r="N609" s="12">
        <v>3291.35</v>
      </c>
      <c r="O609" s="12">
        <f t="shared" si="29"/>
        <v>3291.35</v>
      </c>
      <c r="P609" s="7">
        <v>349</v>
      </c>
      <c r="Q609" s="7" t="b">
        <v>1</v>
      </c>
      <c r="R609" s="7"/>
      <c r="S609" s="15" t="s">
        <v>25</v>
      </c>
    </row>
    <row r="610" spans="1:19">
      <c r="A610" s="3" t="s">
        <v>1278</v>
      </c>
      <c r="B610" s="4" t="s">
        <v>1279</v>
      </c>
      <c r="C610" s="5" t="s">
        <v>4129</v>
      </c>
      <c r="D610" s="5">
        <v>45275</v>
      </c>
      <c r="E610" s="4">
        <v>12</v>
      </c>
      <c r="F610" s="4">
        <v>15</v>
      </c>
      <c r="G610" s="4">
        <v>2023</v>
      </c>
      <c r="H610" s="5">
        <f t="shared" si="27"/>
        <v>45275</v>
      </c>
      <c r="I610" s="9">
        <v>45283</v>
      </c>
      <c r="J610" s="4">
        <f t="shared" si="28"/>
        <v>8</v>
      </c>
      <c r="K610" s="4" t="s">
        <v>23</v>
      </c>
      <c r="L610" s="4">
        <v>67234</v>
      </c>
      <c r="M610" s="4">
        <v>734</v>
      </c>
      <c r="N610" s="10">
        <v>1221.7</v>
      </c>
      <c r="O610" s="10">
        <f t="shared" si="29"/>
        <v>1221.7</v>
      </c>
      <c r="P610" s="4">
        <v>124</v>
      </c>
      <c r="Q610" s="4" t="b">
        <v>1</v>
      </c>
      <c r="R610" s="4"/>
      <c r="S610" s="14" t="s">
        <v>25</v>
      </c>
    </row>
    <row r="611" spans="1:19">
      <c r="A611" s="6" t="s">
        <v>1280</v>
      </c>
      <c r="B611" s="7" t="s">
        <v>1281</v>
      </c>
      <c r="C611" s="8" t="s">
        <v>4127</v>
      </c>
      <c r="D611" s="8">
        <v>45209</v>
      </c>
      <c r="E611" s="7">
        <v>10</v>
      </c>
      <c r="F611" s="7">
        <v>10</v>
      </c>
      <c r="G611" s="7">
        <v>2023</v>
      </c>
      <c r="H611" s="8">
        <f t="shared" si="27"/>
        <v>45209</v>
      </c>
      <c r="I611" s="11">
        <v>45232</v>
      </c>
      <c r="J611" s="7">
        <f t="shared" si="28"/>
        <v>23</v>
      </c>
      <c r="K611" s="7" t="s">
        <v>14</v>
      </c>
      <c r="L611" s="7">
        <v>40954</v>
      </c>
      <c r="M611" s="7">
        <v>937</v>
      </c>
      <c r="N611" s="12">
        <v>651.92</v>
      </c>
      <c r="O611" s="12">
        <f t="shared" si="29"/>
        <v>651.92</v>
      </c>
      <c r="P611" s="7">
        <v>165</v>
      </c>
      <c r="Q611" s="7" t="b">
        <v>0</v>
      </c>
      <c r="R611" s="7"/>
      <c r="S611" s="15" t="s">
        <v>16</v>
      </c>
    </row>
    <row r="612" spans="1:19">
      <c r="A612" s="3" t="s">
        <v>1282</v>
      </c>
      <c r="B612" s="4" t="s">
        <v>1283</v>
      </c>
      <c r="C612" s="5" t="s">
        <v>4127</v>
      </c>
      <c r="D612" s="5">
        <v>44993</v>
      </c>
      <c r="E612" s="4">
        <v>3</v>
      </c>
      <c r="F612" s="4">
        <v>8</v>
      </c>
      <c r="G612" s="4">
        <v>2023</v>
      </c>
      <c r="H612" s="5">
        <f t="shared" si="27"/>
        <v>44993</v>
      </c>
      <c r="I612" s="9">
        <v>45008</v>
      </c>
      <c r="J612" s="4">
        <f t="shared" si="28"/>
        <v>15</v>
      </c>
      <c r="K612" s="4" t="s">
        <v>23</v>
      </c>
      <c r="L612" s="4">
        <v>48280</v>
      </c>
      <c r="M612" s="4">
        <v>1711</v>
      </c>
      <c r="N612" s="10">
        <v>2306.65</v>
      </c>
      <c r="O612" s="10">
        <f t="shared" si="29"/>
        <v>2306.65</v>
      </c>
      <c r="P612" s="4">
        <v>0</v>
      </c>
      <c r="Q612" s="4" t="b">
        <v>1</v>
      </c>
      <c r="R612" s="4"/>
      <c r="S612" s="14" t="s">
        <v>68</v>
      </c>
    </row>
    <row r="613" spans="1:19">
      <c r="A613" s="6" t="s">
        <v>1284</v>
      </c>
      <c r="B613" s="7" t="s">
        <v>1285</v>
      </c>
      <c r="C613" s="8" t="s">
        <v>4128</v>
      </c>
      <c r="D613" s="8">
        <v>44955</v>
      </c>
      <c r="E613" s="7">
        <v>1</v>
      </c>
      <c r="F613" s="7">
        <v>29</v>
      </c>
      <c r="G613" s="7">
        <v>2023</v>
      </c>
      <c r="H613" s="8">
        <f t="shared" si="27"/>
        <v>44955</v>
      </c>
      <c r="I613" s="11">
        <v>44981</v>
      </c>
      <c r="J613" s="7">
        <f t="shared" si="28"/>
        <v>26</v>
      </c>
      <c r="K613" s="7" t="s">
        <v>14</v>
      </c>
      <c r="L613" s="7">
        <v>80459</v>
      </c>
      <c r="M613" s="7">
        <v>1284</v>
      </c>
      <c r="N613" s="12">
        <v>1493.78</v>
      </c>
      <c r="O613" s="12">
        <f t="shared" si="29"/>
        <v>1493.78</v>
      </c>
      <c r="P613" s="7">
        <v>72</v>
      </c>
      <c r="Q613" s="7" t="b">
        <v>1</v>
      </c>
      <c r="R613" s="7"/>
      <c r="S613" s="15" t="s">
        <v>16</v>
      </c>
    </row>
    <row r="614" spans="1:19">
      <c r="A614" s="3" t="s">
        <v>1286</v>
      </c>
      <c r="B614" s="4" t="s">
        <v>1287</v>
      </c>
      <c r="C614" s="5" t="s">
        <v>4128</v>
      </c>
      <c r="D614" s="5">
        <v>45082</v>
      </c>
      <c r="E614" s="4">
        <v>6</v>
      </c>
      <c r="F614" s="4">
        <v>5</v>
      </c>
      <c r="G614" s="4">
        <v>2023</v>
      </c>
      <c r="H614" s="5">
        <f t="shared" si="27"/>
        <v>45082</v>
      </c>
      <c r="I614" s="9">
        <v>45083</v>
      </c>
      <c r="J614" s="4">
        <f t="shared" si="28"/>
        <v>1</v>
      </c>
      <c r="K614" s="4" t="s">
        <v>19</v>
      </c>
      <c r="L614" s="4">
        <v>17779</v>
      </c>
      <c r="M614" s="4">
        <v>672</v>
      </c>
      <c r="N614" s="10">
        <v>1139.59</v>
      </c>
      <c r="O614" s="10">
        <f t="shared" si="29"/>
        <v>1139.59</v>
      </c>
      <c r="P614" s="4">
        <v>54</v>
      </c>
      <c r="Q614" s="4" t="b">
        <v>0</v>
      </c>
      <c r="R614" s="4"/>
      <c r="S614" s="14" t="s">
        <v>20</v>
      </c>
    </row>
    <row r="615" spans="1:19">
      <c r="A615" s="6" t="s">
        <v>1288</v>
      </c>
      <c r="B615" s="7" t="s">
        <v>1289</v>
      </c>
      <c r="C615" s="8" t="s">
        <v>4129</v>
      </c>
      <c r="D615" s="8">
        <v>45290</v>
      </c>
      <c r="E615" s="7">
        <v>12</v>
      </c>
      <c r="F615" s="7">
        <v>30</v>
      </c>
      <c r="G615" s="7">
        <v>2023</v>
      </c>
      <c r="H615" s="8">
        <f t="shared" si="27"/>
        <v>45290</v>
      </c>
      <c r="I615" s="11">
        <v>45311</v>
      </c>
      <c r="J615" s="7">
        <f t="shared" si="28"/>
        <v>21</v>
      </c>
      <c r="K615" s="7" t="s">
        <v>41</v>
      </c>
      <c r="L615" s="7">
        <v>64932</v>
      </c>
      <c r="M615" s="7">
        <v>2586</v>
      </c>
      <c r="N615" s="12">
        <v>4102.3</v>
      </c>
      <c r="O615" s="12">
        <f t="shared" si="29"/>
        <v>3632.575</v>
      </c>
      <c r="P615" s="7">
        <v>0</v>
      </c>
      <c r="Q615" s="7" t="b">
        <v>1</v>
      </c>
      <c r="R615" s="7"/>
      <c r="S615" s="15" t="s">
        <v>42</v>
      </c>
    </row>
    <row r="616" spans="1:19">
      <c r="A616" s="3" t="s">
        <v>1290</v>
      </c>
      <c r="B616" s="4" t="s">
        <v>1291</v>
      </c>
      <c r="C616" s="5" t="s">
        <v>4128</v>
      </c>
      <c r="D616" s="5">
        <v>45192</v>
      </c>
      <c r="E616" s="4">
        <v>9</v>
      </c>
      <c r="F616" s="4">
        <v>23</v>
      </c>
      <c r="G616" s="4">
        <v>2023</v>
      </c>
      <c r="H616" s="5">
        <f t="shared" si="27"/>
        <v>45192</v>
      </c>
      <c r="I616" s="9">
        <v>45194</v>
      </c>
      <c r="J616" s="4">
        <f t="shared" si="28"/>
        <v>2</v>
      </c>
      <c r="K616" s="4" t="s">
        <v>33</v>
      </c>
      <c r="L616" s="4">
        <v>73936</v>
      </c>
      <c r="M616" s="4">
        <v>3643</v>
      </c>
      <c r="N616" s="10">
        <v>5594.22</v>
      </c>
      <c r="O616" s="10">
        <f t="shared" si="29"/>
        <v>3632.575</v>
      </c>
      <c r="P616" s="4">
        <v>382</v>
      </c>
      <c r="Q616" s="4" t="b">
        <v>1</v>
      </c>
      <c r="R616" s="4"/>
      <c r="S616" s="14" t="s">
        <v>34</v>
      </c>
    </row>
    <row r="617" spans="1:19">
      <c r="A617" s="6" t="s">
        <v>1292</v>
      </c>
      <c r="B617" s="7" t="s">
        <v>1293</v>
      </c>
      <c r="C617" s="8" t="s">
        <v>4131</v>
      </c>
      <c r="D617" s="8">
        <v>45055</v>
      </c>
      <c r="E617" s="7">
        <v>5</v>
      </c>
      <c r="F617" s="7">
        <v>9</v>
      </c>
      <c r="G617" s="7">
        <v>2023</v>
      </c>
      <c r="H617" s="8">
        <f t="shared" si="27"/>
        <v>45055</v>
      </c>
      <c r="I617" s="11">
        <v>45083</v>
      </c>
      <c r="J617" s="7">
        <f t="shared" si="28"/>
        <v>28</v>
      </c>
      <c r="K617" s="7" t="s">
        <v>41</v>
      </c>
      <c r="L617" s="7">
        <v>25466</v>
      </c>
      <c r="M617" s="7">
        <v>468</v>
      </c>
      <c r="N617" s="12">
        <v>473.06</v>
      </c>
      <c r="O617" s="12">
        <f t="shared" si="29"/>
        <v>473.06</v>
      </c>
      <c r="P617" s="7">
        <v>30</v>
      </c>
      <c r="Q617" s="7" t="b">
        <v>0</v>
      </c>
      <c r="R617" s="7"/>
      <c r="S617" s="15" t="s">
        <v>42</v>
      </c>
    </row>
    <row r="618" spans="1:19">
      <c r="A618" s="3" t="s">
        <v>1294</v>
      </c>
      <c r="B618" s="4" t="s">
        <v>1295</v>
      </c>
      <c r="C618" s="5" t="s">
        <v>4129</v>
      </c>
      <c r="D618" s="5">
        <v>45067</v>
      </c>
      <c r="E618" s="4">
        <v>5</v>
      </c>
      <c r="F618" s="4">
        <v>21</v>
      </c>
      <c r="G618" s="4">
        <v>2023</v>
      </c>
      <c r="H618" s="5">
        <f t="shared" si="27"/>
        <v>45067</v>
      </c>
      <c r="I618" s="9">
        <v>45086</v>
      </c>
      <c r="J618" s="4">
        <f t="shared" si="28"/>
        <v>19</v>
      </c>
      <c r="K618" s="4" t="s">
        <v>14</v>
      </c>
      <c r="L618" s="4">
        <v>37939</v>
      </c>
      <c r="M618" s="4">
        <v>1631</v>
      </c>
      <c r="N618" s="10">
        <v>2784.84</v>
      </c>
      <c r="O618" s="10">
        <f t="shared" si="29"/>
        <v>2784.84</v>
      </c>
      <c r="P618" s="4">
        <v>253</v>
      </c>
      <c r="Q618" s="4" t="b">
        <v>0</v>
      </c>
      <c r="R618" s="4"/>
      <c r="S618" s="14" t="s">
        <v>16</v>
      </c>
    </row>
    <row r="619" spans="1:19">
      <c r="A619" s="6" t="s">
        <v>1296</v>
      </c>
      <c r="B619" s="7" t="s">
        <v>1297</v>
      </c>
      <c r="C619" s="8" t="s">
        <v>4128</v>
      </c>
      <c r="D619" s="8">
        <v>44936</v>
      </c>
      <c r="E619" s="7">
        <v>1</v>
      </c>
      <c r="F619" s="7">
        <v>10</v>
      </c>
      <c r="G619" s="7">
        <v>2023</v>
      </c>
      <c r="H619" s="8">
        <f t="shared" si="27"/>
        <v>44936</v>
      </c>
      <c r="I619" s="11">
        <v>45227</v>
      </c>
      <c r="J619" s="7">
        <f t="shared" si="28"/>
        <v>291</v>
      </c>
      <c r="K619" s="7" t="s">
        <v>19</v>
      </c>
      <c r="L619" s="7">
        <v>70896</v>
      </c>
      <c r="M619" s="7">
        <v>2184</v>
      </c>
      <c r="N619" s="12">
        <v>1263.63</v>
      </c>
      <c r="O619" s="12">
        <f t="shared" si="29"/>
        <v>1263.63</v>
      </c>
      <c r="P619" s="7">
        <v>207</v>
      </c>
      <c r="Q619" s="7" t="b">
        <v>0</v>
      </c>
      <c r="R619" s="7"/>
      <c r="S619" s="15" t="s">
        <v>20</v>
      </c>
    </row>
    <row r="620" spans="1:19">
      <c r="A620" s="3" t="s">
        <v>1298</v>
      </c>
      <c r="B620" s="4" t="s">
        <v>1299</v>
      </c>
      <c r="C620" s="5" t="s">
        <v>4129</v>
      </c>
      <c r="D620" s="5">
        <v>45255</v>
      </c>
      <c r="E620" s="4">
        <v>11</v>
      </c>
      <c r="F620" s="4">
        <v>25</v>
      </c>
      <c r="G620" s="4">
        <v>2023</v>
      </c>
      <c r="H620" s="5">
        <f t="shared" si="27"/>
        <v>45255</v>
      </c>
      <c r="I620" s="9">
        <v>45283</v>
      </c>
      <c r="J620" s="4">
        <f t="shared" si="28"/>
        <v>28</v>
      </c>
      <c r="K620" s="4" t="s">
        <v>14</v>
      </c>
      <c r="L620" s="4">
        <v>36270</v>
      </c>
      <c r="M620" s="4">
        <v>904</v>
      </c>
      <c r="N620" s="10">
        <v>668.45</v>
      </c>
      <c r="O620" s="10">
        <f t="shared" si="29"/>
        <v>668.45</v>
      </c>
      <c r="P620" s="4">
        <v>81</v>
      </c>
      <c r="Q620" s="4" t="b">
        <v>1</v>
      </c>
      <c r="R620" s="4"/>
      <c r="S620" s="14" t="s">
        <v>16</v>
      </c>
    </row>
    <row r="621" spans="1:19">
      <c r="A621" s="6" t="s">
        <v>1300</v>
      </c>
      <c r="B621" s="7" t="s">
        <v>1301</v>
      </c>
      <c r="C621" s="8" t="s">
        <v>4127</v>
      </c>
      <c r="D621" s="8">
        <v>45005</v>
      </c>
      <c r="E621" s="7">
        <v>3</v>
      </c>
      <c r="F621" s="7">
        <v>20</v>
      </c>
      <c r="G621" s="7">
        <v>2023</v>
      </c>
      <c r="H621" s="8">
        <f t="shared" si="27"/>
        <v>45005</v>
      </c>
      <c r="I621" s="11">
        <v>45019</v>
      </c>
      <c r="J621" s="7">
        <f t="shared" si="28"/>
        <v>14</v>
      </c>
      <c r="K621" s="7" t="s">
        <v>41</v>
      </c>
      <c r="L621" s="7">
        <v>60163</v>
      </c>
      <c r="M621" s="7">
        <v>896</v>
      </c>
      <c r="N621" s="12">
        <v>899.08</v>
      </c>
      <c r="O621" s="12">
        <f t="shared" si="29"/>
        <v>899.08</v>
      </c>
      <c r="P621" s="7">
        <v>0</v>
      </c>
      <c r="Q621" s="7" t="b">
        <v>1</v>
      </c>
      <c r="R621" s="7"/>
      <c r="S621" s="15" t="s">
        <v>42</v>
      </c>
    </row>
    <row r="622" spans="1:19">
      <c r="A622" s="3" t="s">
        <v>1302</v>
      </c>
      <c r="B622" s="4" t="s">
        <v>1303</v>
      </c>
      <c r="C622" s="5" t="s">
        <v>4129</v>
      </c>
      <c r="D622" s="5">
        <v>45236</v>
      </c>
      <c r="E622" s="4">
        <v>11</v>
      </c>
      <c r="F622" s="4">
        <v>6</v>
      </c>
      <c r="G622" s="4">
        <v>2023</v>
      </c>
      <c r="H622" s="5">
        <f t="shared" si="27"/>
        <v>45236</v>
      </c>
      <c r="I622" s="9">
        <v>45254</v>
      </c>
      <c r="J622" s="4">
        <f t="shared" si="28"/>
        <v>18</v>
      </c>
      <c r="K622" s="4" t="s">
        <v>41</v>
      </c>
      <c r="L622" s="4">
        <v>83637</v>
      </c>
      <c r="M622" s="4">
        <v>3296</v>
      </c>
      <c r="N622" s="10">
        <v>2027.74</v>
      </c>
      <c r="O622" s="10">
        <f t="shared" si="29"/>
        <v>2027.74</v>
      </c>
      <c r="P622" s="4">
        <v>589</v>
      </c>
      <c r="Q622" s="4" t="b">
        <v>1</v>
      </c>
      <c r="R622" s="4"/>
      <c r="S622" s="14" t="s">
        <v>42</v>
      </c>
    </row>
    <row r="623" spans="1:19">
      <c r="A623" s="6" t="s">
        <v>1304</v>
      </c>
      <c r="B623" s="7" t="s">
        <v>1305</v>
      </c>
      <c r="C623" s="8" t="s">
        <v>4127</v>
      </c>
      <c r="D623" s="8">
        <v>44948</v>
      </c>
      <c r="E623" s="7">
        <v>1</v>
      </c>
      <c r="F623" s="7">
        <v>22</v>
      </c>
      <c r="G623" s="7">
        <v>2023</v>
      </c>
      <c r="H623" s="8">
        <f t="shared" si="27"/>
        <v>44948</v>
      </c>
      <c r="I623" s="11">
        <v>44971</v>
      </c>
      <c r="J623" s="7">
        <f t="shared" si="28"/>
        <v>23</v>
      </c>
      <c r="K623" s="7" t="s">
        <v>33</v>
      </c>
      <c r="L623" s="7">
        <v>52934</v>
      </c>
      <c r="M623" s="7">
        <v>1028</v>
      </c>
      <c r="N623" s="12">
        <v>876.36</v>
      </c>
      <c r="O623" s="12">
        <f t="shared" si="29"/>
        <v>876.36</v>
      </c>
      <c r="P623" s="7">
        <v>114</v>
      </c>
      <c r="Q623" s="7" t="b">
        <v>1</v>
      </c>
      <c r="R623" s="7"/>
      <c r="S623" s="15" t="s">
        <v>68</v>
      </c>
    </row>
    <row r="624" spans="1:19">
      <c r="A624" s="3" t="s">
        <v>1306</v>
      </c>
      <c r="B624" s="4" t="s">
        <v>1307</v>
      </c>
      <c r="C624" s="5" t="s">
        <v>4129</v>
      </c>
      <c r="D624" s="5">
        <v>44950</v>
      </c>
      <c r="E624" s="4">
        <v>1</v>
      </c>
      <c r="F624" s="4">
        <v>24</v>
      </c>
      <c r="G624" s="4">
        <v>2023</v>
      </c>
      <c r="H624" s="5">
        <f t="shared" si="27"/>
        <v>44950</v>
      </c>
      <c r="I624" s="9">
        <v>44966</v>
      </c>
      <c r="J624" s="4">
        <f t="shared" si="28"/>
        <v>16</v>
      </c>
      <c r="K624" s="4" t="s">
        <v>19</v>
      </c>
      <c r="L624" s="4">
        <v>65895</v>
      </c>
      <c r="M624" s="4">
        <v>1637</v>
      </c>
      <c r="N624" s="10">
        <v>2856.94</v>
      </c>
      <c r="O624" s="10">
        <f t="shared" si="29"/>
        <v>2856.94</v>
      </c>
      <c r="P624" s="4">
        <v>322</v>
      </c>
      <c r="Q624" s="4" t="b">
        <v>0</v>
      </c>
      <c r="R624" s="4"/>
      <c r="S624" s="14" t="s">
        <v>20</v>
      </c>
    </row>
    <row r="625" spans="1:19">
      <c r="A625" s="6" t="s">
        <v>1308</v>
      </c>
      <c r="B625" s="7" t="s">
        <v>1309</v>
      </c>
      <c r="C625" s="8" t="s">
        <v>4127</v>
      </c>
      <c r="D625" s="8">
        <v>45062</v>
      </c>
      <c r="E625" s="7">
        <v>5</v>
      </c>
      <c r="F625" s="7">
        <v>16</v>
      </c>
      <c r="G625" s="7">
        <v>2023</v>
      </c>
      <c r="H625" s="8">
        <f t="shared" si="27"/>
        <v>45062</v>
      </c>
      <c r="I625" s="11">
        <v>45088</v>
      </c>
      <c r="J625" s="7">
        <f t="shared" si="28"/>
        <v>26</v>
      </c>
      <c r="K625" s="7" t="s">
        <v>19</v>
      </c>
      <c r="L625" s="7">
        <v>33307</v>
      </c>
      <c r="M625" s="7">
        <v>416</v>
      </c>
      <c r="N625" s="12">
        <v>799.71</v>
      </c>
      <c r="O625" s="12">
        <f t="shared" si="29"/>
        <v>799.71</v>
      </c>
      <c r="P625" s="7">
        <v>61</v>
      </c>
      <c r="Q625" s="7" t="b">
        <v>1</v>
      </c>
      <c r="R625" s="7"/>
      <c r="S625" s="15" t="s">
        <v>20</v>
      </c>
    </row>
    <row r="626" spans="1:19">
      <c r="A626" s="3" t="s">
        <v>1310</v>
      </c>
      <c r="B626" s="4" t="s">
        <v>1311</v>
      </c>
      <c r="C626" s="5" t="s">
        <v>4129</v>
      </c>
      <c r="D626" s="5">
        <v>45140</v>
      </c>
      <c r="E626" s="4">
        <v>8</v>
      </c>
      <c r="F626" s="4">
        <v>2</v>
      </c>
      <c r="G626" s="4">
        <v>2023</v>
      </c>
      <c r="H626" s="5">
        <f t="shared" si="27"/>
        <v>45140</v>
      </c>
      <c r="I626" s="9">
        <v>44973</v>
      </c>
      <c r="J626" s="4">
        <f t="shared" si="28"/>
        <v>-167</v>
      </c>
      <c r="K626" s="4" t="s">
        <v>41</v>
      </c>
      <c r="L626" s="4">
        <v>55098</v>
      </c>
      <c r="M626" s="4">
        <v>2317</v>
      </c>
      <c r="N626" s="10">
        <v>2217.15</v>
      </c>
      <c r="O626" s="10">
        <f t="shared" si="29"/>
        <v>2217.15</v>
      </c>
      <c r="P626" s="4">
        <v>0</v>
      </c>
      <c r="Q626" s="4" t="b">
        <v>1</v>
      </c>
      <c r="R626" s="4"/>
      <c r="S626" s="14" t="s">
        <v>42</v>
      </c>
    </row>
    <row r="627" spans="1:19">
      <c r="A627" s="6" t="s">
        <v>1312</v>
      </c>
      <c r="B627" s="7" t="s">
        <v>1313</v>
      </c>
      <c r="C627" s="8" t="s">
        <v>4129</v>
      </c>
      <c r="D627" s="8">
        <v>45248</v>
      </c>
      <c r="E627" s="7">
        <v>11</v>
      </c>
      <c r="F627" s="7">
        <v>18</v>
      </c>
      <c r="G627" s="7">
        <v>2023</v>
      </c>
      <c r="H627" s="8">
        <f t="shared" si="27"/>
        <v>45248</v>
      </c>
      <c r="I627" s="11">
        <v>45271</v>
      </c>
      <c r="J627" s="7">
        <f t="shared" si="28"/>
        <v>23</v>
      </c>
      <c r="K627" s="7" t="s">
        <v>23</v>
      </c>
      <c r="L627" s="7">
        <v>61921</v>
      </c>
      <c r="M627" s="7">
        <v>2517</v>
      </c>
      <c r="N627" s="12">
        <v>2257.18</v>
      </c>
      <c r="O627" s="12">
        <f t="shared" si="29"/>
        <v>2257.18</v>
      </c>
      <c r="P627" s="7">
        <v>137</v>
      </c>
      <c r="Q627" s="7" t="b">
        <v>0</v>
      </c>
      <c r="R627" s="7"/>
      <c r="S627" s="15" t="s">
        <v>25</v>
      </c>
    </row>
    <row r="628" spans="1:19">
      <c r="A628" s="3" t="s">
        <v>1314</v>
      </c>
      <c r="B628" s="4" t="s">
        <v>1315</v>
      </c>
      <c r="C628" s="5" t="s">
        <v>4127</v>
      </c>
      <c r="D628" s="5">
        <v>45081</v>
      </c>
      <c r="E628" s="4">
        <v>6</v>
      </c>
      <c r="F628" s="4">
        <v>4</v>
      </c>
      <c r="G628" s="4">
        <v>2023</v>
      </c>
      <c r="H628" s="5">
        <f t="shared" si="27"/>
        <v>45081</v>
      </c>
      <c r="I628" s="9">
        <v>45109</v>
      </c>
      <c r="J628" s="4">
        <f t="shared" si="28"/>
        <v>28</v>
      </c>
      <c r="K628" s="4" t="s">
        <v>14</v>
      </c>
      <c r="L628" s="4">
        <v>6486</v>
      </c>
      <c r="M628" s="4">
        <v>255</v>
      </c>
      <c r="N628" s="10">
        <v>234.56</v>
      </c>
      <c r="O628" s="10">
        <f t="shared" si="29"/>
        <v>234.56</v>
      </c>
      <c r="P628" s="4">
        <v>17</v>
      </c>
      <c r="Q628" s="4" t="b">
        <v>1</v>
      </c>
      <c r="R628" s="4"/>
      <c r="S628" s="14" t="s">
        <v>16</v>
      </c>
    </row>
    <row r="629" spans="1:19">
      <c r="A629" s="6" t="s">
        <v>1316</v>
      </c>
      <c r="B629" s="7" t="s">
        <v>1317</v>
      </c>
      <c r="C629" s="8" t="s">
        <v>4131</v>
      </c>
      <c r="D629" s="8">
        <v>45277</v>
      </c>
      <c r="E629" s="7">
        <v>12</v>
      </c>
      <c r="F629" s="7">
        <v>17</v>
      </c>
      <c r="G629" s="7">
        <v>2023</v>
      </c>
      <c r="H629" s="8">
        <f t="shared" si="27"/>
        <v>45277</v>
      </c>
      <c r="I629" s="11">
        <v>45301</v>
      </c>
      <c r="J629" s="7">
        <f t="shared" si="28"/>
        <v>24</v>
      </c>
      <c r="K629" s="7" t="s">
        <v>19</v>
      </c>
      <c r="L629" s="7">
        <v>9335</v>
      </c>
      <c r="M629" s="7">
        <v>205</v>
      </c>
      <c r="N629" s="12">
        <v>187.9</v>
      </c>
      <c r="O629" s="12">
        <f t="shared" si="29"/>
        <v>187.9</v>
      </c>
      <c r="P629" s="7">
        <v>29</v>
      </c>
      <c r="Q629" s="7" t="b">
        <v>1</v>
      </c>
      <c r="R629" s="7"/>
      <c r="S629" s="15" t="s">
        <v>20</v>
      </c>
    </row>
    <row r="630" spans="1:19">
      <c r="A630" s="3" t="s">
        <v>1318</v>
      </c>
      <c r="B630" s="4" t="s">
        <v>1319</v>
      </c>
      <c r="C630" s="5" t="s">
        <v>4131</v>
      </c>
      <c r="D630" s="5" t="s">
        <v>1320</v>
      </c>
      <c r="E630" s="4">
        <v>19</v>
      </c>
      <c r="F630" s="4">
        <v>12</v>
      </c>
      <c r="G630" s="4">
        <v>2023</v>
      </c>
      <c r="H630" s="5">
        <f t="shared" si="27"/>
        <v>45279</v>
      </c>
      <c r="I630" s="9">
        <v>45281</v>
      </c>
      <c r="J630" s="4">
        <f t="shared" si="28"/>
        <v>2</v>
      </c>
      <c r="K630" s="4" t="s">
        <v>41</v>
      </c>
      <c r="L630" s="4">
        <v>87900</v>
      </c>
      <c r="M630" s="4">
        <v>1488</v>
      </c>
      <c r="N630" s="10">
        <v>824.2</v>
      </c>
      <c r="O630" s="10">
        <f t="shared" si="29"/>
        <v>824.2</v>
      </c>
      <c r="P630" s="4">
        <v>275</v>
      </c>
      <c r="Q630" s="4" t="b">
        <v>0</v>
      </c>
      <c r="R630" s="4"/>
      <c r="S630" s="14" t="s">
        <v>42</v>
      </c>
    </row>
    <row r="631" spans="1:19">
      <c r="A631" s="6" t="s">
        <v>1321</v>
      </c>
      <c r="B631" s="7" t="s">
        <v>1322</v>
      </c>
      <c r="C631" s="8" t="s">
        <v>4128</v>
      </c>
      <c r="D631" s="8">
        <v>45152</v>
      </c>
      <c r="E631" s="7">
        <v>8</v>
      </c>
      <c r="F631" s="7">
        <v>14</v>
      </c>
      <c r="G631" s="7">
        <v>2023</v>
      </c>
      <c r="H631" s="8">
        <f t="shared" si="27"/>
        <v>45152</v>
      </c>
      <c r="I631" s="11">
        <v>45162</v>
      </c>
      <c r="J631" s="7">
        <f t="shared" si="28"/>
        <v>10</v>
      </c>
      <c r="K631" s="7" t="s">
        <v>41</v>
      </c>
      <c r="L631" s="7">
        <v>90112</v>
      </c>
      <c r="M631" s="7">
        <v>3199</v>
      </c>
      <c r="N631" s="12">
        <v>6047.31</v>
      </c>
      <c r="O631" s="12">
        <f t="shared" si="29"/>
        <v>3632.575</v>
      </c>
      <c r="P631" s="7">
        <v>459</v>
      </c>
      <c r="Q631" s="7" t="b">
        <v>1</v>
      </c>
      <c r="R631" s="7"/>
      <c r="S631" s="15" t="s">
        <v>42</v>
      </c>
    </row>
    <row r="632" spans="1:19">
      <c r="A632" s="3" t="s">
        <v>1323</v>
      </c>
      <c r="B632" s="4" t="s">
        <v>1324</v>
      </c>
      <c r="C632" s="5" t="s">
        <v>4127</v>
      </c>
      <c r="D632" s="5">
        <v>45101</v>
      </c>
      <c r="E632" s="4">
        <v>6</v>
      </c>
      <c r="F632" s="4">
        <v>24</v>
      </c>
      <c r="G632" s="4">
        <v>2023</v>
      </c>
      <c r="H632" s="5">
        <f t="shared" si="27"/>
        <v>45101</v>
      </c>
      <c r="I632" s="9">
        <v>45113</v>
      </c>
      <c r="J632" s="4">
        <f t="shared" si="28"/>
        <v>12</v>
      </c>
      <c r="K632" s="4" t="s">
        <v>41</v>
      </c>
      <c r="L632" s="4">
        <v>98203</v>
      </c>
      <c r="M632" s="4">
        <v>2931</v>
      </c>
      <c r="N632" s="10">
        <v>2405.02</v>
      </c>
      <c r="O632" s="10">
        <f t="shared" si="29"/>
        <v>2405.02</v>
      </c>
      <c r="P632" s="4">
        <v>205</v>
      </c>
      <c r="Q632" s="4" t="b">
        <v>1</v>
      </c>
      <c r="R632" s="4"/>
      <c r="S632" s="14" t="s">
        <v>42</v>
      </c>
    </row>
    <row r="633" spans="1:19">
      <c r="A633" s="6" t="s">
        <v>1325</v>
      </c>
      <c r="B633" s="7" t="s">
        <v>1326</v>
      </c>
      <c r="C633" s="8" t="s">
        <v>4127</v>
      </c>
      <c r="D633" s="8">
        <v>45090</v>
      </c>
      <c r="E633" s="7">
        <v>6</v>
      </c>
      <c r="F633" s="7">
        <v>13</v>
      </c>
      <c r="G633" s="7">
        <v>2023</v>
      </c>
      <c r="H633" s="8">
        <f t="shared" si="27"/>
        <v>45090</v>
      </c>
      <c r="I633" s="11">
        <v>45093</v>
      </c>
      <c r="J633" s="7">
        <f t="shared" si="28"/>
        <v>3</v>
      </c>
      <c r="K633" s="7" t="s">
        <v>33</v>
      </c>
      <c r="L633" s="7">
        <v>12130</v>
      </c>
      <c r="M633" s="7">
        <v>207</v>
      </c>
      <c r="N633" s="12">
        <v>233.91</v>
      </c>
      <c r="O633" s="12">
        <f t="shared" si="29"/>
        <v>233.91</v>
      </c>
      <c r="P633" s="7">
        <v>13</v>
      </c>
      <c r="Q633" s="7" t="b">
        <v>1</v>
      </c>
      <c r="R633" s="7"/>
      <c r="S633" s="15" t="s">
        <v>34</v>
      </c>
    </row>
    <row r="634" spans="1:19">
      <c r="A634" s="3" t="s">
        <v>1327</v>
      </c>
      <c r="B634" s="4" t="s">
        <v>1328</v>
      </c>
      <c r="C634" s="5" t="s">
        <v>4129</v>
      </c>
      <c r="D634" s="5">
        <v>45131</v>
      </c>
      <c r="E634" s="4">
        <v>7</v>
      </c>
      <c r="F634" s="4">
        <v>24</v>
      </c>
      <c r="G634" s="4">
        <v>2023</v>
      </c>
      <c r="H634" s="5">
        <f t="shared" si="27"/>
        <v>45131</v>
      </c>
      <c r="I634" s="9">
        <v>45151</v>
      </c>
      <c r="J634" s="4">
        <f t="shared" si="28"/>
        <v>20</v>
      </c>
      <c r="K634" s="4" t="s">
        <v>19</v>
      </c>
      <c r="L634" s="4">
        <v>88508</v>
      </c>
      <c r="M634" s="4">
        <v>3313</v>
      </c>
      <c r="N634" s="10">
        <v>1704.64</v>
      </c>
      <c r="O634" s="10">
        <f t="shared" si="29"/>
        <v>1704.64</v>
      </c>
      <c r="P634" s="4">
        <v>585</v>
      </c>
      <c r="Q634" s="4" t="b">
        <v>1</v>
      </c>
      <c r="R634" s="4"/>
      <c r="S634" s="14" t="s">
        <v>20</v>
      </c>
    </row>
    <row r="635" spans="1:19">
      <c r="A635" s="6" t="s">
        <v>1329</v>
      </c>
      <c r="B635" s="7" t="s">
        <v>1330</v>
      </c>
      <c r="C635" s="8" t="s">
        <v>4131</v>
      </c>
      <c r="D635" s="8">
        <v>45214</v>
      </c>
      <c r="E635" s="7">
        <v>10</v>
      </c>
      <c r="F635" s="7">
        <v>15</v>
      </c>
      <c r="G635" s="7">
        <v>2023</v>
      </c>
      <c r="H635" s="8">
        <f t="shared" si="27"/>
        <v>45214</v>
      </c>
      <c r="I635" s="11">
        <v>45226</v>
      </c>
      <c r="J635" s="7">
        <f t="shared" si="28"/>
        <v>12</v>
      </c>
      <c r="K635" s="7" t="s">
        <v>14</v>
      </c>
      <c r="L635" s="7">
        <v>61566</v>
      </c>
      <c r="M635" s="7">
        <v>3056</v>
      </c>
      <c r="N635" s="12">
        <v>5460.87</v>
      </c>
      <c r="O635" s="12">
        <f t="shared" si="29"/>
        <v>3632.575</v>
      </c>
      <c r="P635" s="7">
        <v>216</v>
      </c>
      <c r="Q635" s="7" t="b">
        <v>0</v>
      </c>
      <c r="R635" s="7"/>
      <c r="S635" s="15" t="s">
        <v>16</v>
      </c>
    </row>
    <row r="636" spans="1:19">
      <c r="A636" s="3" t="s">
        <v>1331</v>
      </c>
      <c r="B636" s="4" t="s">
        <v>1332</v>
      </c>
      <c r="C636" s="5" t="s">
        <v>4128</v>
      </c>
      <c r="D636" s="5">
        <v>44989</v>
      </c>
      <c r="E636" s="4">
        <v>3</v>
      </c>
      <c r="F636" s="4">
        <v>4</v>
      </c>
      <c r="G636" s="4">
        <v>2023</v>
      </c>
      <c r="H636" s="5">
        <f t="shared" si="27"/>
        <v>44989</v>
      </c>
      <c r="I636" s="9">
        <v>45004</v>
      </c>
      <c r="J636" s="4">
        <f t="shared" si="28"/>
        <v>15</v>
      </c>
      <c r="K636" s="4" t="s">
        <v>19</v>
      </c>
      <c r="L636" s="4">
        <v>67703</v>
      </c>
      <c r="M636" s="4">
        <v>2700</v>
      </c>
      <c r="N636" s="10">
        <v>4311.19</v>
      </c>
      <c r="O636" s="10">
        <f t="shared" si="29"/>
        <v>3632.575</v>
      </c>
      <c r="P636" s="4">
        <v>345</v>
      </c>
      <c r="Q636" s="4" t="b">
        <v>1</v>
      </c>
      <c r="R636" s="4"/>
      <c r="S636" s="14" t="s">
        <v>20</v>
      </c>
    </row>
    <row r="637" spans="1:19">
      <c r="A637" s="6" t="s">
        <v>1333</v>
      </c>
      <c r="B637" s="7" t="s">
        <v>1334</v>
      </c>
      <c r="C637" s="8" t="s">
        <v>4131</v>
      </c>
      <c r="D637" s="8" t="s">
        <v>1335</v>
      </c>
      <c r="E637" s="7">
        <v>19</v>
      </c>
      <c r="F637" s="7">
        <v>2</v>
      </c>
      <c r="G637" s="7">
        <v>2023</v>
      </c>
      <c r="H637" s="8">
        <f t="shared" si="27"/>
        <v>44976</v>
      </c>
      <c r="I637" s="11">
        <v>45003</v>
      </c>
      <c r="J637" s="7">
        <f t="shared" si="28"/>
        <v>27</v>
      </c>
      <c r="K637" s="7" t="s">
        <v>138</v>
      </c>
      <c r="L637" s="7">
        <v>28192</v>
      </c>
      <c r="M637" s="7">
        <v>1116</v>
      </c>
      <c r="N637" s="12">
        <v>2142.87</v>
      </c>
      <c r="O637" s="12">
        <f t="shared" si="29"/>
        <v>2142.87</v>
      </c>
      <c r="P637" s="7">
        <v>62</v>
      </c>
      <c r="Q637" s="7" t="b">
        <v>1</v>
      </c>
      <c r="R637" s="7"/>
      <c r="S637" s="15" t="s">
        <v>139</v>
      </c>
    </row>
    <row r="638" spans="1:19">
      <c r="A638" s="3" t="s">
        <v>1336</v>
      </c>
      <c r="B638" s="4" t="s">
        <v>1337</v>
      </c>
      <c r="C638" s="5" t="s">
        <v>4129</v>
      </c>
      <c r="D638" s="5">
        <v>45123</v>
      </c>
      <c r="E638" s="4">
        <v>7</v>
      </c>
      <c r="F638" s="4">
        <v>16</v>
      </c>
      <c r="G638" s="4">
        <v>2023</v>
      </c>
      <c r="H638" s="5">
        <f t="shared" si="27"/>
        <v>45123</v>
      </c>
      <c r="I638" s="9">
        <v>45139</v>
      </c>
      <c r="J638" s="4">
        <f t="shared" si="28"/>
        <v>16</v>
      </c>
      <c r="K638" s="4" t="s">
        <v>41</v>
      </c>
      <c r="L638" s="4">
        <v>2062</v>
      </c>
      <c r="M638" s="4">
        <v>99</v>
      </c>
      <c r="N638" s="10">
        <v>165.57</v>
      </c>
      <c r="O638" s="10">
        <f t="shared" si="29"/>
        <v>165.57</v>
      </c>
      <c r="P638" s="4">
        <v>6</v>
      </c>
      <c r="Q638" s="4" t="b">
        <v>1</v>
      </c>
      <c r="R638" s="4"/>
      <c r="S638" s="14" t="s">
        <v>42</v>
      </c>
    </row>
    <row r="639" spans="1:19">
      <c r="A639" s="6" t="s">
        <v>1338</v>
      </c>
      <c r="B639" s="7" t="s">
        <v>1339</v>
      </c>
      <c r="C639" s="8" t="s">
        <v>4131</v>
      </c>
      <c r="D639" s="8">
        <v>45008</v>
      </c>
      <c r="E639" s="7">
        <v>3</v>
      </c>
      <c r="F639" s="7">
        <v>23</v>
      </c>
      <c r="G639" s="7">
        <v>2023</v>
      </c>
      <c r="H639" s="8">
        <f t="shared" si="27"/>
        <v>45008</v>
      </c>
      <c r="I639" s="11">
        <v>45026</v>
      </c>
      <c r="J639" s="7">
        <f t="shared" si="28"/>
        <v>18</v>
      </c>
      <c r="K639" s="7" t="s">
        <v>14</v>
      </c>
      <c r="L639" s="7">
        <v>85076</v>
      </c>
      <c r="M639" s="7">
        <v>1541</v>
      </c>
      <c r="N639" s="12">
        <v>1495.63</v>
      </c>
      <c r="O639" s="12">
        <f t="shared" si="29"/>
        <v>1495.63</v>
      </c>
      <c r="P639" s="7">
        <v>232</v>
      </c>
      <c r="Q639" s="7" t="b">
        <v>1</v>
      </c>
      <c r="R639" s="7"/>
      <c r="S639" s="15" t="s">
        <v>16</v>
      </c>
    </row>
    <row r="640" spans="1:19">
      <c r="A640" s="3" t="s">
        <v>1340</v>
      </c>
      <c r="B640" s="4" t="s">
        <v>1341</v>
      </c>
      <c r="C640" s="5" t="s">
        <v>4127</v>
      </c>
      <c r="D640" s="5">
        <v>45087</v>
      </c>
      <c r="E640" s="4">
        <v>6</v>
      </c>
      <c r="F640" s="4">
        <v>10</v>
      </c>
      <c r="G640" s="4">
        <v>2023</v>
      </c>
      <c r="H640" s="5">
        <f t="shared" si="27"/>
        <v>45087</v>
      </c>
      <c r="I640" s="9">
        <v>45093</v>
      </c>
      <c r="J640" s="4">
        <f t="shared" si="28"/>
        <v>6</v>
      </c>
      <c r="K640" s="4" t="s">
        <v>19</v>
      </c>
      <c r="L640" s="4">
        <v>90780</v>
      </c>
      <c r="M640" s="4">
        <v>2961</v>
      </c>
      <c r="N640" s="10">
        <v>2581.43</v>
      </c>
      <c r="O640" s="10">
        <f t="shared" si="29"/>
        <v>2581.43</v>
      </c>
      <c r="P640" s="4">
        <v>454</v>
      </c>
      <c r="Q640" s="4" t="b">
        <v>1</v>
      </c>
      <c r="R640" s="4"/>
      <c r="S640" s="14" t="s">
        <v>20</v>
      </c>
    </row>
    <row r="641" spans="1:19">
      <c r="A641" s="6" t="s">
        <v>1342</v>
      </c>
      <c r="B641" s="7" t="s">
        <v>1343</v>
      </c>
      <c r="C641" s="8" t="s">
        <v>4128</v>
      </c>
      <c r="D641" s="8">
        <v>45190</v>
      </c>
      <c r="E641" s="7">
        <v>9</v>
      </c>
      <c r="F641" s="7">
        <v>21</v>
      </c>
      <c r="G641" s="7">
        <v>2023</v>
      </c>
      <c r="H641" s="8">
        <f t="shared" si="27"/>
        <v>45190</v>
      </c>
      <c r="I641" s="11">
        <v>45202</v>
      </c>
      <c r="J641" s="7">
        <f t="shared" si="28"/>
        <v>12</v>
      </c>
      <c r="K641" s="7" t="s">
        <v>33</v>
      </c>
      <c r="L641" s="7">
        <v>22545</v>
      </c>
      <c r="M641" s="7">
        <v>1108</v>
      </c>
      <c r="N641" s="12">
        <v>1713.6</v>
      </c>
      <c r="O641" s="12">
        <f t="shared" si="29"/>
        <v>1713.6</v>
      </c>
      <c r="P641" s="7">
        <v>112</v>
      </c>
      <c r="Q641" s="7" t="b">
        <v>0</v>
      </c>
      <c r="R641" s="7"/>
      <c r="S641" s="15" t="s">
        <v>34</v>
      </c>
    </row>
    <row r="642" spans="1:19">
      <c r="A642" s="3" t="s">
        <v>1344</v>
      </c>
      <c r="B642" s="4" t="s">
        <v>1345</v>
      </c>
      <c r="C642" s="5" t="s">
        <v>4131</v>
      </c>
      <c r="D642" s="5">
        <v>45269</v>
      </c>
      <c r="E642" s="4">
        <v>12</v>
      </c>
      <c r="F642" s="4">
        <v>9</v>
      </c>
      <c r="G642" s="4">
        <v>2023</v>
      </c>
      <c r="H642" s="5">
        <f t="shared" ref="H642:H705" si="30">IF(E642&gt;12,DATE(G642,F642,E642),D642)</f>
        <v>45269</v>
      </c>
      <c r="I642" s="9">
        <v>45203</v>
      </c>
      <c r="J642" s="4">
        <f t="shared" ref="J642:J705" si="31">DATEDIF(H642,I642,"D")</f>
        <v>-66</v>
      </c>
      <c r="K642" s="4" t="s">
        <v>23</v>
      </c>
      <c r="L642" s="4">
        <v>22689</v>
      </c>
      <c r="M642" s="4">
        <v>376</v>
      </c>
      <c r="N642" s="10">
        <v>393.36</v>
      </c>
      <c r="O642" s="10">
        <f t="shared" si="29"/>
        <v>393.36</v>
      </c>
      <c r="P642" s="4">
        <v>30</v>
      </c>
      <c r="Q642" s="4" t="b">
        <v>1</v>
      </c>
      <c r="R642" s="4"/>
      <c r="S642" s="14" t="s">
        <v>25</v>
      </c>
    </row>
    <row r="643" spans="1:19">
      <c r="A643" s="6" t="s">
        <v>1346</v>
      </c>
      <c r="B643" s="7" t="s">
        <v>1347</v>
      </c>
      <c r="C643" s="8" t="s">
        <v>4129</v>
      </c>
      <c r="D643" s="8">
        <v>45128</v>
      </c>
      <c r="E643" s="7">
        <v>7</v>
      </c>
      <c r="F643" s="7">
        <v>21</v>
      </c>
      <c r="G643" s="7">
        <v>2023</v>
      </c>
      <c r="H643" s="8">
        <f t="shared" si="30"/>
        <v>45128</v>
      </c>
      <c r="I643" s="11">
        <v>45123</v>
      </c>
      <c r="J643" s="7">
        <f t="shared" si="31"/>
        <v>-5</v>
      </c>
      <c r="K643" s="7" t="s">
        <v>19</v>
      </c>
      <c r="L643" s="7">
        <v>12174</v>
      </c>
      <c r="M643" s="7">
        <v>462</v>
      </c>
      <c r="N643" s="12">
        <v>623.39</v>
      </c>
      <c r="O643" s="12">
        <f t="shared" ref="O643:O706" si="32">IF(N643&lt;$V$6,$V$6,IF(N643&gt;$V$7,$V$7,N643))</f>
        <v>623.39</v>
      </c>
      <c r="P643" s="7">
        <v>79</v>
      </c>
      <c r="Q643" s="7" t="b">
        <v>1</v>
      </c>
      <c r="R643" s="7"/>
      <c r="S643" s="15" t="s">
        <v>20</v>
      </c>
    </row>
    <row r="644" spans="1:19">
      <c r="A644" s="3" t="s">
        <v>1348</v>
      </c>
      <c r="B644" s="4" t="s">
        <v>1349</v>
      </c>
      <c r="C644" s="5" t="s">
        <v>4129</v>
      </c>
      <c r="D644" s="5">
        <v>45037</v>
      </c>
      <c r="E644" s="4">
        <v>4</v>
      </c>
      <c r="F644" s="4">
        <v>21</v>
      </c>
      <c r="G644" s="4">
        <v>2023</v>
      </c>
      <c r="H644" s="5">
        <f t="shared" si="30"/>
        <v>45037</v>
      </c>
      <c r="I644" s="9">
        <v>45049</v>
      </c>
      <c r="J644" s="4">
        <f t="shared" si="31"/>
        <v>12</v>
      </c>
      <c r="K644" s="4" t="s">
        <v>23</v>
      </c>
      <c r="L644" s="4">
        <v>89461</v>
      </c>
      <c r="M644" s="4">
        <v>2990</v>
      </c>
      <c r="N644" s="10">
        <v>1523.06</v>
      </c>
      <c r="O644" s="10">
        <f t="shared" si="32"/>
        <v>1523.06</v>
      </c>
      <c r="P644" s="4">
        <v>246</v>
      </c>
      <c r="Q644" s="4" t="b">
        <v>1</v>
      </c>
      <c r="R644" s="4"/>
      <c r="S644" s="14" t="s">
        <v>25</v>
      </c>
    </row>
    <row r="645" spans="1:19">
      <c r="A645" s="6" t="s">
        <v>1350</v>
      </c>
      <c r="B645" s="7" t="s">
        <v>1351</v>
      </c>
      <c r="C645" s="8" t="s">
        <v>4129</v>
      </c>
      <c r="D645" s="8">
        <v>45071</v>
      </c>
      <c r="E645" s="7">
        <v>5</v>
      </c>
      <c r="F645" s="7">
        <v>25</v>
      </c>
      <c r="G645" s="7">
        <v>2023</v>
      </c>
      <c r="H645" s="8">
        <f t="shared" si="30"/>
        <v>45071</v>
      </c>
      <c r="I645" s="11">
        <v>45095</v>
      </c>
      <c r="J645" s="7">
        <f t="shared" si="31"/>
        <v>24</v>
      </c>
      <c r="K645" s="7" t="s">
        <v>23</v>
      </c>
      <c r="L645" s="7">
        <v>10348</v>
      </c>
      <c r="M645" s="7">
        <v>346</v>
      </c>
      <c r="N645" s="12">
        <v>205.12</v>
      </c>
      <c r="O645" s="12">
        <f t="shared" si="32"/>
        <v>205.12</v>
      </c>
      <c r="P645" s="7">
        <v>45</v>
      </c>
      <c r="Q645" s="7" t="b">
        <v>1</v>
      </c>
      <c r="R645" s="7"/>
      <c r="S645" s="15" t="s">
        <v>25</v>
      </c>
    </row>
    <row r="646" spans="1:19">
      <c r="A646" s="3" t="s">
        <v>1352</v>
      </c>
      <c r="B646" s="4" t="s">
        <v>1353</v>
      </c>
      <c r="C646" s="5" t="s">
        <v>4131</v>
      </c>
      <c r="D646" s="5">
        <v>45261</v>
      </c>
      <c r="E646" s="4">
        <v>12</v>
      </c>
      <c r="F646" s="4">
        <v>1</v>
      </c>
      <c r="G646" s="4">
        <v>2023</v>
      </c>
      <c r="H646" s="5">
        <f t="shared" si="30"/>
        <v>45261</v>
      </c>
      <c r="I646" s="9">
        <v>45279</v>
      </c>
      <c r="J646" s="4">
        <f t="shared" si="31"/>
        <v>18</v>
      </c>
      <c r="K646" s="4" t="s">
        <v>19</v>
      </c>
      <c r="L646" s="4">
        <v>24714</v>
      </c>
      <c r="M646" s="4">
        <v>936</v>
      </c>
      <c r="N646" s="10">
        <v>1219.66</v>
      </c>
      <c r="O646" s="10">
        <f t="shared" si="32"/>
        <v>1219.66</v>
      </c>
      <c r="P646" s="4">
        <v>182</v>
      </c>
      <c r="Q646" s="4" t="b">
        <v>1</v>
      </c>
      <c r="R646" s="4"/>
      <c r="S646" s="14" t="s">
        <v>20</v>
      </c>
    </row>
    <row r="647" spans="1:19">
      <c r="A647" s="6" t="s">
        <v>1354</v>
      </c>
      <c r="B647" s="7" t="s">
        <v>1355</v>
      </c>
      <c r="C647" s="8" t="s">
        <v>4127</v>
      </c>
      <c r="D647" s="8">
        <v>44931</v>
      </c>
      <c r="E647" s="7">
        <v>1</v>
      </c>
      <c r="F647" s="7">
        <v>5</v>
      </c>
      <c r="G647" s="7">
        <v>2023</v>
      </c>
      <c r="H647" s="8">
        <f t="shared" si="30"/>
        <v>44931</v>
      </c>
      <c r="I647" s="11">
        <v>44949</v>
      </c>
      <c r="J647" s="7">
        <f t="shared" si="31"/>
        <v>18</v>
      </c>
      <c r="K647" s="7" t="s">
        <v>19</v>
      </c>
      <c r="L647" s="7">
        <v>39102</v>
      </c>
      <c r="M647" s="7">
        <v>1845</v>
      </c>
      <c r="N647" s="12">
        <v>2489.1</v>
      </c>
      <c r="O647" s="12">
        <f t="shared" si="32"/>
        <v>2489.1</v>
      </c>
      <c r="P647" s="7">
        <v>133</v>
      </c>
      <c r="Q647" s="7" t="b">
        <v>1</v>
      </c>
      <c r="R647" s="7"/>
      <c r="S647" s="15" t="s">
        <v>20</v>
      </c>
    </row>
    <row r="648" spans="1:19">
      <c r="A648" s="3" t="s">
        <v>1356</v>
      </c>
      <c r="B648" s="4" t="s">
        <v>1357</v>
      </c>
      <c r="C648" s="5" t="s">
        <v>4128</v>
      </c>
      <c r="D648" s="5">
        <v>45062</v>
      </c>
      <c r="E648" s="4">
        <v>5</v>
      </c>
      <c r="F648" s="4">
        <v>16</v>
      </c>
      <c r="G648" s="4">
        <v>2023</v>
      </c>
      <c r="H648" s="5">
        <f t="shared" si="30"/>
        <v>45062</v>
      </c>
      <c r="I648" s="9">
        <v>45067</v>
      </c>
      <c r="J648" s="4">
        <f t="shared" si="31"/>
        <v>5</v>
      </c>
      <c r="K648" s="4" t="s">
        <v>41</v>
      </c>
      <c r="L648" s="4">
        <v>75460</v>
      </c>
      <c r="M648" s="4">
        <v>3116</v>
      </c>
      <c r="N648" s="10">
        <v>5070.29</v>
      </c>
      <c r="O648" s="10">
        <f t="shared" si="32"/>
        <v>3632.575</v>
      </c>
      <c r="P648" s="4">
        <v>0</v>
      </c>
      <c r="Q648" s="4" t="b">
        <v>1</v>
      </c>
      <c r="R648" s="4"/>
      <c r="S648" s="14" t="s">
        <v>42</v>
      </c>
    </row>
    <row r="649" spans="1:19">
      <c r="A649" s="6" t="s">
        <v>1358</v>
      </c>
      <c r="B649" s="7" t="s">
        <v>1359</v>
      </c>
      <c r="C649" s="8" t="s">
        <v>4127</v>
      </c>
      <c r="D649" s="8">
        <v>45114</v>
      </c>
      <c r="E649" s="7">
        <v>7</v>
      </c>
      <c r="F649" s="7">
        <v>7</v>
      </c>
      <c r="G649" s="7">
        <v>2023</v>
      </c>
      <c r="H649" s="8">
        <f t="shared" si="30"/>
        <v>45114</v>
      </c>
      <c r="I649" s="11">
        <v>45125</v>
      </c>
      <c r="J649" s="7">
        <f t="shared" si="31"/>
        <v>11</v>
      </c>
      <c r="K649" s="7" t="s">
        <v>23</v>
      </c>
      <c r="L649" s="7">
        <v>90930</v>
      </c>
      <c r="M649" s="7">
        <v>1113</v>
      </c>
      <c r="N649" s="12">
        <v>776.82</v>
      </c>
      <c r="O649" s="12">
        <f t="shared" si="32"/>
        <v>776.82</v>
      </c>
      <c r="P649" s="7">
        <v>86</v>
      </c>
      <c r="Q649" s="7" t="b">
        <v>0</v>
      </c>
      <c r="R649" s="7"/>
      <c r="S649" s="15" t="s">
        <v>25</v>
      </c>
    </row>
    <row r="650" spans="1:19">
      <c r="A650" s="3" t="s">
        <v>1360</v>
      </c>
      <c r="B650" s="4" t="s">
        <v>1361</v>
      </c>
      <c r="C650" s="5" t="s">
        <v>4128</v>
      </c>
      <c r="D650" s="5">
        <v>44953</v>
      </c>
      <c r="E650" s="4">
        <v>1</v>
      </c>
      <c r="F650" s="4">
        <v>27</v>
      </c>
      <c r="G650" s="4">
        <v>2023</v>
      </c>
      <c r="H650" s="5">
        <f t="shared" si="30"/>
        <v>44953</v>
      </c>
      <c r="I650" s="9">
        <v>44977</v>
      </c>
      <c r="J650" s="4">
        <f t="shared" si="31"/>
        <v>24</v>
      </c>
      <c r="K650" s="4" t="s">
        <v>33</v>
      </c>
      <c r="L650" s="4">
        <v>7801</v>
      </c>
      <c r="M650" s="4">
        <v>344</v>
      </c>
      <c r="N650" s="10">
        <v>436.8</v>
      </c>
      <c r="O650" s="10">
        <f t="shared" si="32"/>
        <v>436.8</v>
      </c>
      <c r="P650" s="4">
        <v>46</v>
      </c>
      <c r="Q650" s="4" t="b">
        <v>1</v>
      </c>
      <c r="R650" s="4"/>
      <c r="S650" s="14" t="s">
        <v>34</v>
      </c>
    </row>
    <row r="651" spans="1:19">
      <c r="A651" s="6" t="s">
        <v>1362</v>
      </c>
      <c r="B651" s="7" t="s">
        <v>1363</v>
      </c>
      <c r="C651" s="8" t="s">
        <v>4131</v>
      </c>
      <c r="D651" s="8">
        <v>45210</v>
      </c>
      <c r="E651" s="7">
        <v>10</v>
      </c>
      <c r="F651" s="7">
        <v>11</v>
      </c>
      <c r="G651" s="7">
        <v>2023</v>
      </c>
      <c r="H651" s="8">
        <f t="shared" si="30"/>
        <v>45210</v>
      </c>
      <c r="I651" s="11">
        <v>45231</v>
      </c>
      <c r="J651" s="7">
        <f t="shared" si="31"/>
        <v>21</v>
      </c>
      <c r="K651" s="7" t="s">
        <v>33</v>
      </c>
      <c r="L651" s="7">
        <v>73267</v>
      </c>
      <c r="M651" s="7">
        <v>1393</v>
      </c>
      <c r="N651" s="12">
        <v>1102.8</v>
      </c>
      <c r="O651" s="12">
        <f t="shared" si="32"/>
        <v>1102.8</v>
      </c>
      <c r="P651" s="7">
        <v>148</v>
      </c>
      <c r="Q651" s="7" t="b">
        <v>0</v>
      </c>
      <c r="R651" s="7"/>
      <c r="S651" s="15" t="s">
        <v>34</v>
      </c>
    </row>
    <row r="652" spans="1:19">
      <c r="A652" s="3" t="s">
        <v>1364</v>
      </c>
      <c r="B652" s="4" t="s">
        <v>1365</v>
      </c>
      <c r="C652" s="5" t="s">
        <v>4128</v>
      </c>
      <c r="D652" s="5">
        <v>45157</v>
      </c>
      <c r="E652" s="4">
        <v>8</v>
      </c>
      <c r="F652" s="4">
        <v>19</v>
      </c>
      <c r="G652" s="4">
        <v>2023</v>
      </c>
      <c r="H652" s="5">
        <f t="shared" si="30"/>
        <v>45157</v>
      </c>
      <c r="I652" s="9">
        <v>45169</v>
      </c>
      <c r="J652" s="4">
        <f t="shared" si="31"/>
        <v>12</v>
      </c>
      <c r="K652" s="4" t="s">
        <v>33</v>
      </c>
      <c r="L652" s="4">
        <v>49136</v>
      </c>
      <c r="M652" s="4">
        <v>1232</v>
      </c>
      <c r="N652" s="10">
        <v>788.23</v>
      </c>
      <c r="O652" s="10">
        <f t="shared" si="32"/>
        <v>788.23</v>
      </c>
      <c r="P652" s="4">
        <v>239</v>
      </c>
      <c r="Q652" s="4" t="b">
        <v>0</v>
      </c>
      <c r="R652" s="4"/>
      <c r="S652" s="14" t="s">
        <v>34</v>
      </c>
    </row>
    <row r="653" spans="1:19">
      <c r="A653" s="6" t="s">
        <v>1366</v>
      </c>
      <c r="B653" s="7" t="s">
        <v>1367</v>
      </c>
      <c r="C653" s="8" t="s">
        <v>4127</v>
      </c>
      <c r="D653" s="8">
        <v>45246</v>
      </c>
      <c r="E653" s="7">
        <v>11</v>
      </c>
      <c r="F653" s="7">
        <v>16</v>
      </c>
      <c r="G653" s="7">
        <v>2023</v>
      </c>
      <c r="H653" s="8">
        <f t="shared" si="30"/>
        <v>45246</v>
      </c>
      <c r="I653" s="11">
        <v>45260</v>
      </c>
      <c r="J653" s="7">
        <f t="shared" si="31"/>
        <v>14</v>
      </c>
      <c r="K653" s="7" t="s">
        <v>41</v>
      </c>
      <c r="L653" s="7">
        <v>24625</v>
      </c>
      <c r="M653" s="7">
        <v>701</v>
      </c>
      <c r="N653" s="12">
        <v>782.14</v>
      </c>
      <c r="O653" s="12">
        <f t="shared" si="32"/>
        <v>782.14</v>
      </c>
      <c r="P653" s="7">
        <v>63</v>
      </c>
      <c r="Q653" s="7" t="b">
        <v>1</v>
      </c>
      <c r="R653" s="7"/>
      <c r="S653" s="15" t="s">
        <v>42</v>
      </c>
    </row>
    <row r="654" spans="1:19">
      <c r="A654" s="3" t="s">
        <v>1368</v>
      </c>
      <c r="B654" s="4" t="s">
        <v>1369</v>
      </c>
      <c r="C654" s="5" t="s">
        <v>4131</v>
      </c>
      <c r="D654" s="5">
        <v>44976</v>
      </c>
      <c r="E654" s="4">
        <v>2</v>
      </c>
      <c r="F654" s="4">
        <v>19</v>
      </c>
      <c r="G654" s="4">
        <v>2023</v>
      </c>
      <c r="H654" s="5">
        <f t="shared" si="30"/>
        <v>44976</v>
      </c>
      <c r="I654" s="9">
        <v>44982</v>
      </c>
      <c r="J654" s="4">
        <f t="shared" si="31"/>
        <v>6</v>
      </c>
      <c r="K654" s="4" t="s">
        <v>41</v>
      </c>
      <c r="L654" s="4">
        <v>83873</v>
      </c>
      <c r="M654" s="4">
        <v>2452</v>
      </c>
      <c r="N654" s="10">
        <v>1826.75</v>
      </c>
      <c r="O654" s="10">
        <f t="shared" si="32"/>
        <v>1826.75</v>
      </c>
      <c r="P654" s="4">
        <v>269</v>
      </c>
      <c r="Q654" s="4" t="b">
        <v>0</v>
      </c>
      <c r="R654" s="4"/>
      <c r="S654" s="14" t="s">
        <v>42</v>
      </c>
    </row>
    <row r="655" spans="1:19">
      <c r="A655" s="6" t="s">
        <v>1370</v>
      </c>
      <c r="B655" s="7" t="s">
        <v>1371</v>
      </c>
      <c r="C655" s="8" t="s">
        <v>4128</v>
      </c>
      <c r="D655" s="8">
        <v>45100</v>
      </c>
      <c r="E655" s="7">
        <v>6</v>
      </c>
      <c r="F655" s="7">
        <v>23</v>
      </c>
      <c r="G655" s="7">
        <v>2023</v>
      </c>
      <c r="H655" s="8">
        <f t="shared" si="30"/>
        <v>45100</v>
      </c>
      <c r="I655" s="11">
        <v>45119</v>
      </c>
      <c r="J655" s="7">
        <f t="shared" si="31"/>
        <v>19</v>
      </c>
      <c r="K655" s="7" t="s">
        <v>19</v>
      </c>
      <c r="L655" s="7">
        <v>73592</v>
      </c>
      <c r="M655" s="7">
        <v>2016</v>
      </c>
      <c r="N655" s="12">
        <v>1678.67</v>
      </c>
      <c r="O655" s="12">
        <f t="shared" si="32"/>
        <v>1678.67</v>
      </c>
      <c r="P655" s="7">
        <v>398</v>
      </c>
      <c r="Q655" s="7" t="b">
        <v>1</v>
      </c>
      <c r="R655" s="7"/>
      <c r="S655" s="15" t="s">
        <v>20</v>
      </c>
    </row>
    <row r="656" spans="1:19">
      <c r="A656" s="3" t="s">
        <v>1372</v>
      </c>
      <c r="B656" s="4" t="s">
        <v>1373</v>
      </c>
      <c r="C656" s="5" t="s">
        <v>4128</v>
      </c>
      <c r="D656" s="5">
        <v>45000</v>
      </c>
      <c r="E656" s="4">
        <v>3</v>
      </c>
      <c r="F656" s="4">
        <v>15</v>
      </c>
      <c r="G656" s="4">
        <v>2023</v>
      </c>
      <c r="H656" s="5">
        <f t="shared" si="30"/>
        <v>45000</v>
      </c>
      <c r="I656" s="9">
        <v>45013</v>
      </c>
      <c r="J656" s="4">
        <f t="shared" si="31"/>
        <v>13</v>
      </c>
      <c r="K656" s="4" t="s">
        <v>41</v>
      </c>
      <c r="L656" s="4">
        <v>78052</v>
      </c>
      <c r="M656" s="4">
        <v>3707</v>
      </c>
      <c r="N656" s="10">
        <v>3619.26</v>
      </c>
      <c r="O656" s="10">
        <f t="shared" si="32"/>
        <v>3619.26</v>
      </c>
      <c r="P656" s="4">
        <v>483</v>
      </c>
      <c r="Q656" s="4" t="b">
        <v>1</v>
      </c>
      <c r="R656" s="4"/>
      <c r="S656" s="14" t="s">
        <v>42</v>
      </c>
    </row>
    <row r="657" spans="1:19">
      <c r="A657" s="6" t="s">
        <v>1374</v>
      </c>
      <c r="B657" s="7" t="s">
        <v>1375</v>
      </c>
      <c r="C657" s="8" t="s">
        <v>4128</v>
      </c>
      <c r="D657" s="8" t="s">
        <v>1376</v>
      </c>
      <c r="E657" s="7">
        <v>14</v>
      </c>
      <c r="F657" s="7">
        <v>9</v>
      </c>
      <c r="G657" s="7">
        <v>2023</v>
      </c>
      <c r="H657" s="8">
        <f t="shared" si="30"/>
        <v>45183</v>
      </c>
      <c r="I657" s="11">
        <v>45195</v>
      </c>
      <c r="J657" s="7">
        <f t="shared" si="31"/>
        <v>12</v>
      </c>
      <c r="K657" s="7" t="s">
        <v>138</v>
      </c>
      <c r="L657" s="7">
        <v>45261</v>
      </c>
      <c r="M657" s="7">
        <v>1730</v>
      </c>
      <c r="N657" s="12">
        <v>1538.11</v>
      </c>
      <c r="O657" s="12">
        <f t="shared" si="32"/>
        <v>1538.11</v>
      </c>
      <c r="P657" s="7">
        <v>216</v>
      </c>
      <c r="Q657" s="7" t="b">
        <v>0</v>
      </c>
      <c r="R657" s="7"/>
      <c r="S657" s="15" t="s">
        <v>139</v>
      </c>
    </row>
    <row r="658" spans="1:19">
      <c r="A658" s="3" t="s">
        <v>1377</v>
      </c>
      <c r="B658" s="4" t="s">
        <v>1378</v>
      </c>
      <c r="C658" s="5" t="s">
        <v>4129</v>
      </c>
      <c r="D658" s="5">
        <v>44946</v>
      </c>
      <c r="E658" s="4">
        <v>1</v>
      </c>
      <c r="F658" s="4">
        <v>20</v>
      </c>
      <c r="G658" s="4">
        <v>2023</v>
      </c>
      <c r="H658" s="5">
        <f t="shared" si="30"/>
        <v>44946</v>
      </c>
      <c r="I658" s="9">
        <v>44961</v>
      </c>
      <c r="J658" s="4">
        <f t="shared" si="31"/>
        <v>15</v>
      </c>
      <c r="K658" s="4" t="s">
        <v>14</v>
      </c>
      <c r="L658" s="4">
        <v>2542</v>
      </c>
      <c r="M658" s="4">
        <v>89</v>
      </c>
      <c r="N658" s="10">
        <v>56.19</v>
      </c>
      <c r="O658" s="10">
        <f t="shared" si="32"/>
        <v>56.19</v>
      </c>
      <c r="P658" s="4">
        <v>7</v>
      </c>
      <c r="Q658" s="4" t="b">
        <v>0</v>
      </c>
      <c r="R658" s="4"/>
      <c r="S658" s="14" t="s">
        <v>16</v>
      </c>
    </row>
    <row r="659" spans="1:19">
      <c r="A659" s="6" t="s">
        <v>1379</v>
      </c>
      <c r="B659" s="7" t="s">
        <v>1380</v>
      </c>
      <c r="C659" s="8" t="s">
        <v>4128</v>
      </c>
      <c r="D659" s="8">
        <v>45169</v>
      </c>
      <c r="E659" s="7">
        <v>8</v>
      </c>
      <c r="F659" s="7">
        <v>31</v>
      </c>
      <c r="G659" s="7">
        <v>2023</v>
      </c>
      <c r="H659" s="8">
        <f t="shared" si="30"/>
        <v>45169</v>
      </c>
      <c r="I659" s="11">
        <v>45181</v>
      </c>
      <c r="J659" s="7">
        <f t="shared" si="31"/>
        <v>12</v>
      </c>
      <c r="K659" s="7" t="s">
        <v>33</v>
      </c>
      <c r="L659" s="7">
        <v>22677</v>
      </c>
      <c r="M659" s="7">
        <v>271</v>
      </c>
      <c r="N659" s="12">
        <v>172.05</v>
      </c>
      <c r="O659" s="12">
        <f t="shared" si="32"/>
        <v>172.05</v>
      </c>
      <c r="P659" s="7">
        <v>42</v>
      </c>
      <c r="Q659" s="7" t="b">
        <v>1</v>
      </c>
      <c r="R659" s="7"/>
      <c r="S659" s="15" t="s">
        <v>34</v>
      </c>
    </row>
    <row r="660" spans="1:19">
      <c r="A660" s="3" t="s">
        <v>1381</v>
      </c>
      <c r="B660" s="4" t="s">
        <v>1382</v>
      </c>
      <c r="C660" s="5" t="s">
        <v>4128</v>
      </c>
      <c r="D660" s="5">
        <v>45190</v>
      </c>
      <c r="E660" s="4">
        <v>9</v>
      </c>
      <c r="F660" s="4">
        <v>21</v>
      </c>
      <c r="G660" s="4">
        <v>2023</v>
      </c>
      <c r="H660" s="5">
        <f t="shared" si="30"/>
        <v>45190</v>
      </c>
      <c r="I660" s="9">
        <v>45215</v>
      </c>
      <c r="J660" s="4">
        <f t="shared" si="31"/>
        <v>25</v>
      </c>
      <c r="K660" s="4" t="s">
        <v>33</v>
      </c>
      <c r="L660" s="4">
        <v>47732</v>
      </c>
      <c r="M660" s="4">
        <v>2203</v>
      </c>
      <c r="N660" s="10">
        <v>1740.09</v>
      </c>
      <c r="O660" s="10">
        <f t="shared" si="32"/>
        <v>1740.09</v>
      </c>
      <c r="P660" s="4">
        <v>114</v>
      </c>
      <c r="Q660" s="4" t="b">
        <v>0</v>
      </c>
      <c r="R660" s="4"/>
      <c r="S660" s="14" t="s">
        <v>34</v>
      </c>
    </row>
    <row r="661" spans="1:19">
      <c r="A661" s="6" t="s">
        <v>1383</v>
      </c>
      <c r="B661" s="7" t="s">
        <v>1384</v>
      </c>
      <c r="C661" s="8" t="s">
        <v>4131</v>
      </c>
      <c r="D661" s="8">
        <v>45090</v>
      </c>
      <c r="E661" s="7">
        <v>6</v>
      </c>
      <c r="F661" s="7">
        <v>13</v>
      </c>
      <c r="G661" s="7">
        <v>2023</v>
      </c>
      <c r="H661" s="8">
        <f t="shared" si="30"/>
        <v>45090</v>
      </c>
      <c r="I661" s="11">
        <v>45100</v>
      </c>
      <c r="J661" s="7">
        <f t="shared" si="31"/>
        <v>10</v>
      </c>
      <c r="K661" s="7" t="s">
        <v>41</v>
      </c>
      <c r="L661" s="7">
        <v>51343</v>
      </c>
      <c r="M661" s="7">
        <v>2381</v>
      </c>
      <c r="N661" s="12">
        <v>1371.07</v>
      </c>
      <c r="O661" s="12">
        <f t="shared" si="32"/>
        <v>1371.07</v>
      </c>
      <c r="P661" s="7">
        <v>136</v>
      </c>
      <c r="Q661" s="7" t="b">
        <v>1</v>
      </c>
      <c r="R661" s="7"/>
      <c r="S661" s="15" t="s">
        <v>42</v>
      </c>
    </row>
    <row r="662" spans="1:19">
      <c r="A662" s="3" t="s">
        <v>1385</v>
      </c>
      <c r="B662" s="4" t="s">
        <v>1386</v>
      </c>
      <c r="C662" s="5" t="s">
        <v>4131</v>
      </c>
      <c r="D662" s="5">
        <v>45080</v>
      </c>
      <c r="E662" s="4">
        <v>6</v>
      </c>
      <c r="F662" s="4">
        <v>3</v>
      </c>
      <c r="G662" s="4">
        <v>2023</v>
      </c>
      <c r="H662" s="5">
        <f t="shared" si="30"/>
        <v>45080</v>
      </c>
      <c r="I662" s="9">
        <v>45085</v>
      </c>
      <c r="J662" s="4">
        <f t="shared" si="31"/>
        <v>5</v>
      </c>
      <c r="K662" s="4" t="s">
        <v>19</v>
      </c>
      <c r="L662" s="4">
        <v>40081</v>
      </c>
      <c r="M662" s="4">
        <v>1651</v>
      </c>
      <c r="N662" s="10">
        <v>2376.92</v>
      </c>
      <c r="O662" s="10">
        <f t="shared" si="32"/>
        <v>2376.92</v>
      </c>
      <c r="P662" s="4">
        <v>230</v>
      </c>
      <c r="Q662" s="4" t="b">
        <v>0</v>
      </c>
      <c r="R662" s="4"/>
      <c r="S662" s="14" t="s">
        <v>20</v>
      </c>
    </row>
    <row r="663" spans="1:19">
      <c r="A663" s="6" t="s">
        <v>1387</v>
      </c>
      <c r="B663" s="7" t="s">
        <v>1388</v>
      </c>
      <c r="C663" s="8" t="s">
        <v>4131</v>
      </c>
      <c r="D663" s="8">
        <v>45187</v>
      </c>
      <c r="E663" s="7">
        <v>9</v>
      </c>
      <c r="F663" s="7">
        <v>18</v>
      </c>
      <c r="G663" s="7">
        <v>2023</v>
      </c>
      <c r="H663" s="8">
        <f t="shared" si="30"/>
        <v>45187</v>
      </c>
      <c r="I663" s="11">
        <v>45214</v>
      </c>
      <c r="J663" s="7">
        <f t="shared" si="31"/>
        <v>27</v>
      </c>
      <c r="K663" s="7" t="s">
        <v>23</v>
      </c>
      <c r="L663" s="7">
        <v>63856</v>
      </c>
      <c r="M663" s="7">
        <v>656</v>
      </c>
      <c r="N663" s="12">
        <v>610.73</v>
      </c>
      <c r="O663" s="12">
        <f t="shared" si="32"/>
        <v>610.73</v>
      </c>
      <c r="P663" s="7">
        <v>0</v>
      </c>
      <c r="Q663" s="7" t="b">
        <v>0</v>
      </c>
      <c r="R663" s="7"/>
      <c r="S663" s="15" t="s">
        <v>59</v>
      </c>
    </row>
    <row r="664" spans="1:19">
      <c r="A664" s="3" t="s">
        <v>1389</v>
      </c>
      <c r="B664" s="4" t="s">
        <v>1390</v>
      </c>
      <c r="C664" s="5" t="s">
        <v>4129</v>
      </c>
      <c r="D664" s="5">
        <v>45080</v>
      </c>
      <c r="E664" s="4">
        <v>6</v>
      </c>
      <c r="F664" s="4">
        <v>3</v>
      </c>
      <c r="G664" s="4">
        <v>2023</v>
      </c>
      <c r="H664" s="5">
        <f t="shared" si="30"/>
        <v>45080</v>
      </c>
      <c r="I664" s="9">
        <v>45013</v>
      </c>
      <c r="J664" s="4">
        <f t="shared" si="31"/>
        <v>-67</v>
      </c>
      <c r="K664" s="4" t="s">
        <v>19</v>
      </c>
      <c r="L664" s="4">
        <v>94105</v>
      </c>
      <c r="M664" s="4">
        <v>1156</v>
      </c>
      <c r="N664" s="10">
        <v>1063.08</v>
      </c>
      <c r="O664" s="10">
        <f t="shared" si="32"/>
        <v>1063.08</v>
      </c>
      <c r="P664" s="4">
        <v>223</v>
      </c>
      <c r="Q664" s="4" t="b">
        <v>1</v>
      </c>
      <c r="R664" s="4"/>
      <c r="S664" s="14" t="s">
        <v>20</v>
      </c>
    </row>
    <row r="665" spans="1:19">
      <c r="A665" s="6" t="s">
        <v>1391</v>
      </c>
      <c r="B665" s="7" t="s">
        <v>1392</v>
      </c>
      <c r="C665" s="8" t="s">
        <v>4131</v>
      </c>
      <c r="D665" s="8">
        <v>45096</v>
      </c>
      <c r="E665" s="7">
        <v>6</v>
      </c>
      <c r="F665" s="7">
        <v>19</v>
      </c>
      <c r="G665" s="7">
        <v>2023</v>
      </c>
      <c r="H665" s="8">
        <f t="shared" si="30"/>
        <v>45096</v>
      </c>
      <c r="I665" s="11">
        <v>45121</v>
      </c>
      <c r="J665" s="7">
        <f t="shared" si="31"/>
        <v>25</v>
      </c>
      <c r="K665" s="7" t="s">
        <v>138</v>
      </c>
      <c r="L665" s="7">
        <v>89858</v>
      </c>
      <c r="M665" s="7">
        <v>1708</v>
      </c>
      <c r="N665" s="12">
        <v>1704.58</v>
      </c>
      <c r="O665" s="12">
        <f t="shared" si="32"/>
        <v>1704.58</v>
      </c>
      <c r="P665" s="7">
        <v>316</v>
      </c>
      <c r="Q665" s="7" t="b">
        <v>1</v>
      </c>
      <c r="R665" s="7"/>
      <c r="S665" s="15" t="s">
        <v>139</v>
      </c>
    </row>
    <row r="666" spans="1:19">
      <c r="A666" s="3" t="s">
        <v>1393</v>
      </c>
      <c r="B666" s="4" t="s">
        <v>1394</v>
      </c>
      <c r="C666" s="5" t="s">
        <v>4128</v>
      </c>
      <c r="D666" s="5">
        <v>45225</v>
      </c>
      <c r="E666" s="4">
        <v>10</v>
      </c>
      <c r="F666" s="4">
        <v>26</v>
      </c>
      <c r="G666" s="4">
        <v>2023</v>
      </c>
      <c r="H666" s="5">
        <f t="shared" si="30"/>
        <v>45225</v>
      </c>
      <c r="I666" s="9">
        <v>45254</v>
      </c>
      <c r="J666" s="4">
        <f t="shared" si="31"/>
        <v>29</v>
      </c>
      <c r="K666" s="4" t="s">
        <v>14</v>
      </c>
      <c r="L666" s="4">
        <v>20065</v>
      </c>
      <c r="M666" s="4">
        <v>306</v>
      </c>
      <c r="N666" s="10">
        <v>457.22</v>
      </c>
      <c r="O666" s="10">
        <f t="shared" si="32"/>
        <v>457.22</v>
      </c>
      <c r="P666" s="4">
        <v>48</v>
      </c>
      <c r="Q666" s="4" t="b">
        <v>1</v>
      </c>
      <c r="R666" s="4"/>
      <c r="S666" s="14" t="s">
        <v>16</v>
      </c>
    </row>
    <row r="667" spans="1:19">
      <c r="A667" s="6" t="s">
        <v>1395</v>
      </c>
      <c r="B667" s="7" t="s">
        <v>1396</v>
      </c>
      <c r="C667" s="8" t="s">
        <v>4127</v>
      </c>
      <c r="D667" s="8">
        <v>45279</v>
      </c>
      <c r="E667" s="7">
        <v>12</v>
      </c>
      <c r="F667" s="7">
        <v>19</v>
      </c>
      <c r="G667" s="7">
        <v>2023</v>
      </c>
      <c r="H667" s="8">
        <f t="shared" si="30"/>
        <v>45279</v>
      </c>
      <c r="I667" s="11">
        <v>45295</v>
      </c>
      <c r="J667" s="7">
        <f t="shared" si="31"/>
        <v>16</v>
      </c>
      <c r="K667" s="7" t="s">
        <v>41</v>
      </c>
      <c r="L667" s="7">
        <v>84460</v>
      </c>
      <c r="M667" s="7">
        <v>2192</v>
      </c>
      <c r="N667" s="12">
        <v>3958.64</v>
      </c>
      <c r="O667" s="12">
        <f t="shared" si="32"/>
        <v>3632.575</v>
      </c>
      <c r="P667" s="7">
        <v>378</v>
      </c>
      <c r="Q667" s="7" t="b">
        <v>0</v>
      </c>
      <c r="R667" s="7"/>
      <c r="S667" s="15" t="s">
        <v>42</v>
      </c>
    </row>
    <row r="668" spans="1:19">
      <c r="A668" s="3" t="s">
        <v>1397</v>
      </c>
      <c r="B668" s="4" t="s">
        <v>1398</v>
      </c>
      <c r="C668" s="5" t="s">
        <v>4131</v>
      </c>
      <c r="D668" s="5">
        <v>45062</v>
      </c>
      <c r="E668" s="4">
        <v>5</v>
      </c>
      <c r="F668" s="4">
        <v>16</v>
      </c>
      <c r="G668" s="4">
        <v>2023</v>
      </c>
      <c r="H668" s="5">
        <f t="shared" si="30"/>
        <v>45062</v>
      </c>
      <c r="I668" s="9">
        <v>45084</v>
      </c>
      <c r="J668" s="4">
        <f t="shared" si="31"/>
        <v>22</v>
      </c>
      <c r="K668" s="4" t="s">
        <v>19</v>
      </c>
      <c r="L668" s="4">
        <v>89092</v>
      </c>
      <c r="M668" s="4">
        <v>4178</v>
      </c>
      <c r="N668" s="10">
        <v>6846.2</v>
      </c>
      <c r="O668" s="10">
        <f t="shared" si="32"/>
        <v>3632.575</v>
      </c>
      <c r="P668" s="4">
        <v>0</v>
      </c>
      <c r="Q668" s="4" t="b">
        <v>0</v>
      </c>
      <c r="R668" s="4"/>
      <c r="S668" s="14" t="s">
        <v>20</v>
      </c>
    </row>
    <row r="669" spans="1:19">
      <c r="A669" s="6" t="s">
        <v>1399</v>
      </c>
      <c r="B669" s="7" t="s">
        <v>1400</v>
      </c>
      <c r="C669" s="8" t="s">
        <v>4128</v>
      </c>
      <c r="D669" s="8">
        <v>45223</v>
      </c>
      <c r="E669" s="7">
        <v>10</v>
      </c>
      <c r="F669" s="7">
        <v>24</v>
      </c>
      <c r="G669" s="7">
        <v>2023</v>
      </c>
      <c r="H669" s="8">
        <f t="shared" si="30"/>
        <v>45223</v>
      </c>
      <c r="I669" s="11">
        <v>45241</v>
      </c>
      <c r="J669" s="7">
        <f t="shared" si="31"/>
        <v>18</v>
      </c>
      <c r="K669" s="7" t="s">
        <v>33</v>
      </c>
      <c r="L669" s="7">
        <v>55693</v>
      </c>
      <c r="M669" s="7">
        <v>1608</v>
      </c>
      <c r="N669" s="12">
        <v>2558.8</v>
      </c>
      <c r="O669" s="12">
        <f t="shared" si="32"/>
        <v>2558.8</v>
      </c>
      <c r="P669" s="7">
        <v>110</v>
      </c>
      <c r="Q669" s="7" t="b">
        <v>1</v>
      </c>
      <c r="R669" s="7"/>
      <c r="S669" s="15" t="s">
        <v>34</v>
      </c>
    </row>
    <row r="670" spans="1:19">
      <c r="A670" s="3" t="s">
        <v>1401</v>
      </c>
      <c r="B670" s="4" t="s">
        <v>1402</v>
      </c>
      <c r="C670" s="5" t="s">
        <v>4129</v>
      </c>
      <c r="D670" s="5">
        <v>45225</v>
      </c>
      <c r="E670" s="4">
        <v>10</v>
      </c>
      <c r="F670" s="4">
        <v>26</v>
      </c>
      <c r="G670" s="4">
        <v>2023</v>
      </c>
      <c r="H670" s="5">
        <f t="shared" si="30"/>
        <v>45225</v>
      </c>
      <c r="I670" s="9">
        <v>45239</v>
      </c>
      <c r="J670" s="4">
        <f t="shared" si="31"/>
        <v>14</v>
      </c>
      <c r="K670" s="4" t="s">
        <v>234</v>
      </c>
      <c r="L670" s="4">
        <v>27962</v>
      </c>
      <c r="M670" s="4">
        <v>294</v>
      </c>
      <c r="N670" s="10">
        <v>360.62</v>
      </c>
      <c r="O670" s="10">
        <f t="shared" si="32"/>
        <v>360.62</v>
      </c>
      <c r="P670" s="4">
        <v>48</v>
      </c>
      <c r="Q670" s="4" t="b">
        <v>0</v>
      </c>
      <c r="R670" s="4"/>
      <c r="S670" s="14" t="s">
        <v>16</v>
      </c>
    </row>
    <row r="671" spans="1:19">
      <c r="A671" s="6" t="s">
        <v>1403</v>
      </c>
      <c r="B671" s="7" t="s">
        <v>1404</v>
      </c>
      <c r="C671" s="8" t="s">
        <v>4128</v>
      </c>
      <c r="D671" s="8">
        <v>45244</v>
      </c>
      <c r="E671" s="7">
        <v>11</v>
      </c>
      <c r="F671" s="7">
        <v>14</v>
      </c>
      <c r="G671" s="7">
        <v>2023</v>
      </c>
      <c r="H671" s="8">
        <f t="shared" si="30"/>
        <v>45244</v>
      </c>
      <c r="I671" s="11">
        <v>45256</v>
      </c>
      <c r="J671" s="7">
        <f t="shared" si="31"/>
        <v>12</v>
      </c>
      <c r="K671" s="7" t="s">
        <v>14</v>
      </c>
      <c r="L671" s="7">
        <v>29295</v>
      </c>
      <c r="M671" s="7">
        <v>624</v>
      </c>
      <c r="N671" s="12">
        <v>961.4</v>
      </c>
      <c r="O671" s="12">
        <f t="shared" si="32"/>
        <v>961.4</v>
      </c>
      <c r="P671" s="7">
        <v>50</v>
      </c>
      <c r="Q671" s="7" t="b">
        <v>0</v>
      </c>
      <c r="R671" s="7"/>
      <c r="S671" s="15" t="s">
        <v>16</v>
      </c>
    </row>
    <row r="672" spans="1:19">
      <c r="A672" s="3" t="s">
        <v>1405</v>
      </c>
      <c r="B672" s="4" t="s">
        <v>1406</v>
      </c>
      <c r="C672" s="5" t="s">
        <v>4129</v>
      </c>
      <c r="D672" s="5">
        <v>45275</v>
      </c>
      <c r="E672" s="4">
        <v>12</v>
      </c>
      <c r="F672" s="4">
        <v>15</v>
      </c>
      <c r="G672" s="4">
        <v>2023</v>
      </c>
      <c r="H672" s="5">
        <f t="shared" si="30"/>
        <v>45275</v>
      </c>
      <c r="I672" s="9">
        <v>45289</v>
      </c>
      <c r="J672" s="4">
        <f t="shared" si="31"/>
        <v>14</v>
      </c>
      <c r="K672" s="4" t="s">
        <v>41</v>
      </c>
      <c r="L672" s="4">
        <v>14807</v>
      </c>
      <c r="M672" s="4">
        <v>174</v>
      </c>
      <c r="N672" s="10">
        <v>231.27</v>
      </c>
      <c r="O672" s="10">
        <f t="shared" si="32"/>
        <v>231.27</v>
      </c>
      <c r="P672" s="4">
        <v>17</v>
      </c>
      <c r="Q672" s="4" t="b">
        <v>0</v>
      </c>
      <c r="R672" s="4"/>
      <c r="S672" s="14" t="s">
        <v>42</v>
      </c>
    </row>
    <row r="673" spans="1:19">
      <c r="A673" s="6" t="s">
        <v>1407</v>
      </c>
      <c r="B673" s="7" t="s">
        <v>1408</v>
      </c>
      <c r="C673" s="8" t="s">
        <v>4131</v>
      </c>
      <c r="D673" s="8">
        <v>45285</v>
      </c>
      <c r="E673" s="7">
        <v>12</v>
      </c>
      <c r="F673" s="7">
        <v>25</v>
      </c>
      <c r="G673" s="7">
        <v>2023</v>
      </c>
      <c r="H673" s="8">
        <f t="shared" si="30"/>
        <v>45285</v>
      </c>
      <c r="I673" s="11">
        <v>45288</v>
      </c>
      <c r="J673" s="7">
        <f t="shared" si="31"/>
        <v>3</v>
      </c>
      <c r="K673" s="7" t="s">
        <v>33</v>
      </c>
      <c r="L673" s="7">
        <v>43348</v>
      </c>
      <c r="M673" s="7">
        <v>496</v>
      </c>
      <c r="N673" s="12">
        <v>408.89</v>
      </c>
      <c r="O673" s="12">
        <f t="shared" si="32"/>
        <v>408.89</v>
      </c>
      <c r="P673" s="7">
        <v>85</v>
      </c>
      <c r="Q673" s="7" t="b">
        <v>0</v>
      </c>
      <c r="R673" s="7"/>
      <c r="S673" s="15" t="s">
        <v>34</v>
      </c>
    </row>
    <row r="674" spans="1:19">
      <c r="A674" s="3" t="s">
        <v>1409</v>
      </c>
      <c r="B674" s="4" t="s">
        <v>1410</v>
      </c>
      <c r="C674" s="5" t="s">
        <v>4127</v>
      </c>
      <c r="D674" s="5">
        <v>45087</v>
      </c>
      <c r="E674" s="4">
        <v>6</v>
      </c>
      <c r="F674" s="4">
        <v>10</v>
      </c>
      <c r="G674" s="4">
        <v>2023</v>
      </c>
      <c r="H674" s="5">
        <f t="shared" si="30"/>
        <v>45087</v>
      </c>
      <c r="I674" s="9">
        <v>45107</v>
      </c>
      <c r="J674" s="4">
        <f t="shared" si="31"/>
        <v>20</v>
      </c>
      <c r="K674" s="4" t="s">
        <v>33</v>
      </c>
      <c r="L674" s="4">
        <v>27432</v>
      </c>
      <c r="M674" s="4">
        <v>576</v>
      </c>
      <c r="N674" s="10">
        <v>468.22</v>
      </c>
      <c r="O674" s="10">
        <f t="shared" si="32"/>
        <v>468.22</v>
      </c>
      <c r="P674" s="4">
        <v>75</v>
      </c>
      <c r="Q674" s="4" t="b">
        <v>1</v>
      </c>
      <c r="R674" s="4"/>
      <c r="S674" s="14" t="s">
        <v>34</v>
      </c>
    </row>
    <row r="675" spans="1:19">
      <c r="A675" s="6" t="s">
        <v>1411</v>
      </c>
      <c r="B675" s="7" t="s">
        <v>1412</v>
      </c>
      <c r="C675" s="8" t="s">
        <v>4131</v>
      </c>
      <c r="D675" s="8">
        <v>45031</v>
      </c>
      <c r="E675" s="7">
        <v>4</v>
      </c>
      <c r="F675" s="7">
        <v>15</v>
      </c>
      <c r="G675" s="7">
        <v>2023</v>
      </c>
      <c r="H675" s="8">
        <f t="shared" si="30"/>
        <v>45031</v>
      </c>
      <c r="I675" s="11">
        <v>45040</v>
      </c>
      <c r="J675" s="7">
        <f t="shared" si="31"/>
        <v>9</v>
      </c>
      <c r="K675" s="7" t="s">
        <v>41</v>
      </c>
      <c r="L675" s="7">
        <v>84285</v>
      </c>
      <c r="M675" s="7">
        <v>1772</v>
      </c>
      <c r="N675" s="12">
        <v>1673.81</v>
      </c>
      <c r="O675" s="12">
        <f t="shared" si="32"/>
        <v>1673.81</v>
      </c>
      <c r="P675" s="7">
        <v>317</v>
      </c>
      <c r="Q675" s="7" t="b">
        <v>0</v>
      </c>
      <c r="R675" s="7"/>
      <c r="S675" s="15" t="s">
        <v>42</v>
      </c>
    </row>
    <row r="676" spans="1:19">
      <c r="A676" s="3" t="s">
        <v>1413</v>
      </c>
      <c r="B676" s="4" t="s">
        <v>1414</v>
      </c>
      <c r="C676" s="5" t="s">
        <v>4128</v>
      </c>
      <c r="D676" s="5">
        <v>45168</v>
      </c>
      <c r="E676" s="4">
        <v>8</v>
      </c>
      <c r="F676" s="4">
        <v>30</v>
      </c>
      <c r="G676" s="4">
        <v>2023</v>
      </c>
      <c r="H676" s="5">
        <f t="shared" si="30"/>
        <v>45168</v>
      </c>
      <c r="I676" s="9">
        <v>45197</v>
      </c>
      <c r="J676" s="4">
        <f t="shared" si="31"/>
        <v>29</v>
      </c>
      <c r="K676" s="4" t="s">
        <v>14</v>
      </c>
      <c r="L676" s="4">
        <v>92792</v>
      </c>
      <c r="M676" s="4">
        <v>3849</v>
      </c>
      <c r="N676" s="10">
        <v>7183.02</v>
      </c>
      <c r="O676" s="10">
        <f t="shared" si="32"/>
        <v>3632.575</v>
      </c>
      <c r="P676" s="4">
        <v>315</v>
      </c>
      <c r="Q676" s="4" t="b">
        <v>1</v>
      </c>
      <c r="R676" s="4"/>
      <c r="S676" s="14" t="s">
        <v>16</v>
      </c>
    </row>
    <row r="677" spans="1:19">
      <c r="A677" s="6" t="s">
        <v>1415</v>
      </c>
      <c r="B677" s="7" t="s">
        <v>1416</v>
      </c>
      <c r="C677" s="8" t="s">
        <v>4131</v>
      </c>
      <c r="D677" s="8">
        <v>44958</v>
      </c>
      <c r="E677" s="7">
        <v>2</v>
      </c>
      <c r="F677" s="7">
        <v>1</v>
      </c>
      <c r="G677" s="7">
        <v>2023</v>
      </c>
      <c r="H677" s="8">
        <f t="shared" si="30"/>
        <v>44958</v>
      </c>
      <c r="I677" s="11">
        <v>44963</v>
      </c>
      <c r="J677" s="7">
        <f t="shared" si="31"/>
        <v>5</v>
      </c>
      <c r="K677" s="7" t="s">
        <v>138</v>
      </c>
      <c r="L677" s="7">
        <v>58854</v>
      </c>
      <c r="M677" s="7">
        <v>2883</v>
      </c>
      <c r="N677" s="12">
        <v>3808.8</v>
      </c>
      <c r="O677" s="12">
        <f t="shared" si="32"/>
        <v>3632.575</v>
      </c>
      <c r="P677" s="7">
        <v>406</v>
      </c>
      <c r="Q677" s="7" t="b">
        <v>0</v>
      </c>
      <c r="R677" s="7"/>
      <c r="S677" s="15" t="s">
        <v>139</v>
      </c>
    </row>
    <row r="678" spans="1:19">
      <c r="A678" s="3" t="s">
        <v>1417</v>
      </c>
      <c r="B678" s="4" t="s">
        <v>1418</v>
      </c>
      <c r="C678" s="5" t="s">
        <v>4131</v>
      </c>
      <c r="D678" s="5">
        <v>45214</v>
      </c>
      <c r="E678" s="4">
        <v>10</v>
      </c>
      <c r="F678" s="4">
        <v>15</v>
      </c>
      <c r="G678" s="4">
        <v>2023</v>
      </c>
      <c r="H678" s="5">
        <f t="shared" si="30"/>
        <v>45214</v>
      </c>
      <c r="I678" s="9">
        <v>45225</v>
      </c>
      <c r="J678" s="4">
        <f t="shared" si="31"/>
        <v>11</v>
      </c>
      <c r="K678" s="4" t="s">
        <v>14</v>
      </c>
      <c r="L678" s="4">
        <v>41262</v>
      </c>
      <c r="M678" s="4">
        <v>1025</v>
      </c>
      <c r="N678" s="10">
        <v>-1640.88</v>
      </c>
      <c r="O678" s="10">
        <f t="shared" si="32"/>
        <v>-344.195</v>
      </c>
      <c r="P678" s="4">
        <v>64</v>
      </c>
      <c r="Q678" s="4" t="b">
        <v>0</v>
      </c>
      <c r="R678" s="4"/>
      <c r="S678" s="14" t="s">
        <v>16</v>
      </c>
    </row>
    <row r="679" spans="1:19">
      <c r="A679" s="6" t="s">
        <v>1419</v>
      </c>
      <c r="B679" s="7" t="s">
        <v>1420</v>
      </c>
      <c r="C679" s="8" t="s">
        <v>4127</v>
      </c>
      <c r="D679" s="8">
        <v>45196</v>
      </c>
      <c r="E679" s="7">
        <v>9</v>
      </c>
      <c r="F679" s="7">
        <v>27</v>
      </c>
      <c r="G679" s="7">
        <v>2023</v>
      </c>
      <c r="H679" s="8">
        <f t="shared" si="30"/>
        <v>45196</v>
      </c>
      <c r="I679" s="11">
        <v>45226</v>
      </c>
      <c r="J679" s="7">
        <f t="shared" si="31"/>
        <v>30</v>
      </c>
      <c r="K679" s="7" t="s">
        <v>14</v>
      </c>
      <c r="L679" s="7">
        <v>38080</v>
      </c>
      <c r="M679" s="7">
        <v>1034</v>
      </c>
      <c r="N679" s="12">
        <v>1054.51</v>
      </c>
      <c r="O679" s="12">
        <f t="shared" si="32"/>
        <v>1054.51</v>
      </c>
      <c r="P679" s="7">
        <v>151</v>
      </c>
      <c r="Q679" s="7" t="b">
        <v>0</v>
      </c>
      <c r="R679" s="7"/>
      <c r="S679" s="15" t="s">
        <v>16</v>
      </c>
    </row>
    <row r="680" spans="1:19">
      <c r="A680" s="3" t="s">
        <v>1421</v>
      </c>
      <c r="B680" s="4" t="s">
        <v>1422</v>
      </c>
      <c r="C680" s="5" t="s">
        <v>4131</v>
      </c>
      <c r="D680" s="5">
        <v>45162</v>
      </c>
      <c r="E680" s="4">
        <v>8</v>
      </c>
      <c r="F680" s="4">
        <v>24</v>
      </c>
      <c r="G680" s="4">
        <v>2023</v>
      </c>
      <c r="H680" s="5">
        <f t="shared" si="30"/>
        <v>45162</v>
      </c>
      <c r="I680" s="9">
        <v>45174</v>
      </c>
      <c r="J680" s="4">
        <f t="shared" si="31"/>
        <v>12</v>
      </c>
      <c r="K680" s="4" t="s">
        <v>41</v>
      </c>
      <c r="L680" s="4">
        <v>2324</v>
      </c>
      <c r="M680" s="4">
        <v>101</v>
      </c>
      <c r="N680" s="10">
        <v>112.27</v>
      </c>
      <c r="O680" s="10">
        <f t="shared" si="32"/>
        <v>112.27</v>
      </c>
      <c r="P680" s="4">
        <v>0</v>
      </c>
      <c r="Q680" s="4" t="b">
        <v>1</v>
      </c>
      <c r="R680" s="4"/>
      <c r="S680" s="14" t="s">
        <v>42</v>
      </c>
    </row>
    <row r="681" spans="1:19">
      <c r="A681" s="6" t="s">
        <v>1423</v>
      </c>
      <c r="B681" s="7" t="s">
        <v>1424</v>
      </c>
      <c r="C681" s="8" t="s">
        <v>4131</v>
      </c>
      <c r="D681" s="8">
        <v>45108</v>
      </c>
      <c r="E681" s="7">
        <v>7</v>
      </c>
      <c r="F681" s="7">
        <v>1</v>
      </c>
      <c r="G681" s="7">
        <v>2023</v>
      </c>
      <c r="H681" s="8">
        <f t="shared" si="30"/>
        <v>45108</v>
      </c>
      <c r="I681" s="11">
        <v>45129</v>
      </c>
      <c r="J681" s="7">
        <f t="shared" si="31"/>
        <v>21</v>
      </c>
      <c r="K681" s="7" t="s">
        <v>19</v>
      </c>
      <c r="L681" s="7">
        <v>92267</v>
      </c>
      <c r="M681" s="7">
        <v>1912</v>
      </c>
      <c r="N681" s="12">
        <v>1316.12</v>
      </c>
      <c r="O681" s="12">
        <f t="shared" si="32"/>
        <v>1316.12</v>
      </c>
      <c r="P681" s="7">
        <v>263</v>
      </c>
      <c r="Q681" s="7" t="b">
        <v>1</v>
      </c>
      <c r="R681" s="7"/>
      <c r="S681" s="15" t="s">
        <v>20</v>
      </c>
    </row>
    <row r="682" spans="1:19">
      <c r="A682" s="3" t="s">
        <v>1425</v>
      </c>
      <c r="B682" s="4" t="s">
        <v>1426</v>
      </c>
      <c r="C682" s="5" t="s">
        <v>4128</v>
      </c>
      <c r="D682" s="5">
        <v>45275</v>
      </c>
      <c r="E682" s="4">
        <v>12</v>
      </c>
      <c r="F682" s="4">
        <v>15</v>
      </c>
      <c r="G682" s="4">
        <v>2023</v>
      </c>
      <c r="H682" s="5">
        <f t="shared" si="30"/>
        <v>45275</v>
      </c>
      <c r="I682" s="9">
        <v>45290</v>
      </c>
      <c r="J682" s="4">
        <f t="shared" si="31"/>
        <v>15</v>
      </c>
      <c r="K682" s="4" t="s">
        <v>41</v>
      </c>
      <c r="L682" s="4">
        <v>36909</v>
      </c>
      <c r="M682" s="4">
        <v>599</v>
      </c>
      <c r="N682" s="10">
        <v>453.41</v>
      </c>
      <c r="O682" s="10">
        <f t="shared" si="32"/>
        <v>453.41</v>
      </c>
      <c r="P682" s="4">
        <v>53</v>
      </c>
      <c r="Q682" s="4" t="b">
        <v>1</v>
      </c>
      <c r="R682" s="4"/>
      <c r="S682" s="14" t="s">
        <v>42</v>
      </c>
    </row>
    <row r="683" spans="1:19">
      <c r="A683" s="6" t="s">
        <v>1427</v>
      </c>
      <c r="B683" s="7" t="s">
        <v>1428</v>
      </c>
      <c r="C683" s="8" t="s">
        <v>4127</v>
      </c>
      <c r="D683" s="8">
        <v>45239</v>
      </c>
      <c r="E683" s="7">
        <v>11</v>
      </c>
      <c r="F683" s="7">
        <v>9</v>
      </c>
      <c r="G683" s="7">
        <v>2023</v>
      </c>
      <c r="H683" s="8">
        <f t="shared" si="30"/>
        <v>45239</v>
      </c>
      <c r="I683" s="11">
        <v>45254</v>
      </c>
      <c r="J683" s="7">
        <f t="shared" si="31"/>
        <v>15</v>
      </c>
      <c r="K683" s="7" t="s">
        <v>41</v>
      </c>
      <c r="L683" s="7">
        <v>90339</v>
      </c>
      <c r="M683" s="7">
        <v>3986</v>
      </c>
      <c r="N683" s="12">
        <v>6939.76</v>
      </c>
      <c r="O683" s="12">
        <f t="shared" si="32"/>
        <v>3632.575</v>
      </c>
      <c r="P683" s="7">
        <v>218</v>
      </c>
      <c r="Q683" s="7" t="b">
        <v>1</v>
      </c>
      <c r="R683" s="7"/>
      <c r="S683" s="15" t="s">
        <v>42</v>
      </c>
    </row>
    <row r="684" spans="1:19">
      <c r="A684" s="3" t="s">
        <v>1429</v>
      </c>
      <c r="B684" s="4" t="s">
        <v>1430</v>
      </c>
      <c r="C684" s="5" t="s">
        <v>4127</v>
      </c>
      <c r="D684" s="5">
        <v>45069</v>
      </c>
      <c r="E684" s="4">
        <v>5</v>
      </c>
      <c r="F684" s="4">
        <v>23</v>
      </c>
      <c r="G684" s="4">
        <v>2023</v>
      </c>
      <c r="H684" s="5">
        <f t="shared" si="30"/>
        <v>45069</v>
      </c>
      <c r="I684" s="9">
        <v>45094</v>
      </c>
      <c r="J684" s="4">
        <f t="shared" si="31"/>
        <v>25</v>
      </c>
      <c r="K684" s="4" t="s">
        <v>23</v>
      </c>
      <c r="L684" s="4">
        <v>20870</v>
      </c>
      <c r="M684" s="4">
        <v>247</v>
      </c>
      <c r="N684" s="10">
        <v>340.18</v>
      </c>
      <c r="O684" s="10">
        <f t="shared" si="32"/>
        <v>340.18</v>
      </c>
      <c r="P684" s="4">
        <v>16</v>
      </c>
      <c r="Q684" s="4" t="b">
        <v>0</v>
      </c>
      <c r="R684" s="4"/>
      <c r="S684" s="14" t="s">
        <v>25</v>
      </c>
    </row>
    <row r="685" spans="1:19">
      <c r="A685" s="6" t="s">
        <v>1431</v>
      </c>
      <c r="B685" s="7" t="s">
        <v>1432</v>
      </c>
      <c r="C685" s="8" t="s">
        <v>4127</v>
      </c>
      <c r="D685" s="8">
        <v>45079</v>
      </c>
      <c r="E685" s="7">
        <v>6</v>
      </c>
      <c r="F685" s="7">
        <v>2</v>
      </c>
      <c r="G685" s="7">
        <v>2023</v>
      </c>
      <c r="H685" s="8">
        <f t="shared" si="30"/>
        <v>45079</v>
      </c>
      <c r="I685" s="11">
        <v>45097</v>
      </c>
      <c r="J685" s="7">
        <f t="shared" si="31"/>
        <v>18</v>
      </c>
      <c r="K685" s="7" t="s">
        <v>14</v>
      </c>
      <c r="L685" s="7">
        <v>35578</v>
      </c>
      <c r="M685" s="7">
        <v>1237</v>
      </c>
      <c r="N685" s="12">
        <v>1244.79</v>
      </c>
      <c r="O685" s="12">
        <f t="shared" si="32"/>
        <v>1244.79</v>
      </c>
      <c r="P685" s="7">
        <v>177</v>
      </c>
      <c r="Q685" s="7" t="b">
        <v>1</v>
      </c>
      <c r="R685" s="7"/>
      <c r="S685" s="15" t="s">
        <v>16</v>
      </c>
    </row>
    <row r="686" spans="1:19">
      <c r="A686" s="3" t="s">
        <v>1433</v>
      </c>
      <c r="B686" s="4" t="s">
        <v>1434</v>
      </c>
      <c r="C686" s="5" t="s">
        <v>4128</v>
      </c>
      <c r="D686" s="5">
        <v>45280</v>
      </c>
      <c r="E686" s="4">
        <v>12</v>
      </c>
      <c r="F686" s="4">
        <v>20</v>
      </c>
      <c r="G686" s="4">
        <v>2023</v>
      </c>
      <c r="H686" s="5">
        <f t="shared" si="30"/>
        <v>45280</v>
      </c>
      <c r="I686" s="9">
        <v>45308</v>
      </c>
      <c r="J686" s="4">
        <f t="shared" si="31"/>
        <v>28</v>
      </c>
      <c r="K686" s="4" t="s">
        <v>19</v>
      </c>
      <c r="L686" s="4">
        <v>73124</v>
      </c>
      <c r="M686" s="4">
        <v>2375</v>
      </c>
      <c r="N686" s="10">
        <v>4047.66</v>
      </c>
      <c r="O686" s="10">
        <f t="shared" si="32"/>
        <v>3632.575</v>
      </c>
      <c r="P686" s="4">
        <v>451</v>
      </c>
      <c r="Q686" s="4" t="b">
        <v>1</v>
      </c>
      <c r="R686" s="4"/>
      <c r="S686" s="14" t="s">
        <v>20</v>
      </c>
    </row>
    <row r="687" spans="1:19">
      <c r="A687" s="6" t="s">
        <v>1435</v>
      </c>
      <c r="B687" s="7" t="s">
        <v>1436</v>
      </c>
      <c r="C687" s="8" t="s">
        <v>4128</v>
      </c>
      <c r="D687" s="8">
        <v>45105</v>
      </c>
      <c r="E687" s="7">
        <v>6</v>
      </c>
      <c r="F687" s="7">
        <v>28</v>
      </c>
      <c r="G687" s="7">
        <v>2023</v>
      </c>
      <c r="H687" s="8">
        <f t="shared" si="30"/>
        <v>45105</v>
      </c>
      <c r="I687" s="11">
        <v>45127</v>
      </c>
      <c r="J687" s="7">
        <f t="shared" si="31"/>
        <v>22</v>
      </c>
      <c r="K687" s="7" t="s">
        <v>33</v>
      </c>
      <c r="L687" s="7">
        <v>27790</v>
      </c>
      <c r="M687" s="7">
        <v>662</v>
      </c>
      <c r="N687" s="12">
        <v>575.79</v>
      </c>
      <c r="O687" s="12">
        <f t="shared" si="32"/>
        <v>575.79</v>
      </c>
      <c r="P687" s="7">
        <v>53</v>
      </c>
      <c r="Q687" s="7" t="b">
        <v>1</v>
      </c>
      <c r="R687" s="7"/>
      <c r="S687" s="15" t="s">
        <v>34</v>
      </c>
    </row>
    <row r="688" spans="1:19">
      <c r="A688" s="3" t="s">
        <v>1437</v>
      </c>
      <c r="B688" s="4" t="s">
        <v>1438</v>
      </c>
      <c r="C688" s="5" t="s">
        <v>4127</v>
      </c>
      <c r="D688" s="5">
        <v>45067</v>
      </c>
      <c r="E688" s="4">
        <v>5</v>
      </c>
      <c r="F688" s="4">
        <v>21</v>
      </c>
      <c r="G688" s="4">
        <v>2023</v>
      </c>
      <c r="H688" s="5">
        <f t="shared" si="30"/>
        <v>45067</v>
      </c>
      <c r="I688" s="9">
        <v>45073</v>
      </c>
      <c r="J688" s="4">
        <f t="shared" si="31"/>
        <v>6</v>
      </c>
      <c r="K688" s="4" t="s">
        <v>415</v>
      </c>
      <c r="L688" s="4">
        <v>26289</v>
      </c>
      <c r="M688" s="4">
        <v>594</v>
      </c>
      <c r="N688" s="10">
        <v>1166.65</v>
      </c>
      <c r="O688" s="10">
        <f t="shared" si="32"/>
        <v>1166.65</v>
      </c>
      <c r="P688" s="4">
        <v>0</v>
      </c>
      <c r="Q688" s="4" t="b">
        <v>0</v>
      </c>
      <c r="R688" s="4"/>
      <c r="S688" s="14" t="s">
        <v>34</v>
      </c>
    </row>
    <row r="689" spans="1:19">
      <c r="A689" s="6" t="s">
        <v>1439</v>
      </c>
      <c r="B689" s="7" t="s">
        <v>1440</v>
      </c>
      <c r="C689" s="8" t="s">
        <v>4131</v>
      </c>
      <c r="D689" s="8">
        <v>45205</v>
      </c>
      <c r="E689" s="7">
        <v>10</v>
      </c>
      <c r="F689" s="7">
        <v>6</v>
      </c>
      <c r="G689" s="7">
        <v>2023</v>
      </c>
      <c r="H689" s="8">
        <f t="shared" si="30"/>
        <v>45205</v>
      </c>
      <c r="I689" s="11">
        <v>45234</v>
      </c>
      <c r="J689" s="7">
        <f t="shared" si="31"/>
        <v>29</v>
      </c>
      <c r="K689" s="7" t="s">
        <v>33</v>
      </c>
      <c r="L689" s="7">
        <v>56129</v>
      </c>
      <c r="M689" s="7">
        <v>2294</v>
      </c>
      <c r="N689" s="12">
        <v>2333.52</v>
      </c>
      <c r="O689" s="12">
        <f t="shared" si="32"/>
        <v>2333.52</v>
      </c>
      <c r="P689" s="7">
        <v>412</v>
      </c>
      <c r="Q689" s="7" t="b">
        <v>1</v>
      </c>
      <c r="R689" s="7"/>
      <c r="S689" s="15" t="s">
        <v>34</v>
      </c>
    </row>
    <row r="690" spans="1:19">
      <c r="A690" s="3" t="s">
        <v>1441</v>
      </c>
      <c r="B690" s="4" t="s">
        <v>1442</v>
      </c>
      <c r="C690" s="5" t="s">
        <v>4128</v>
      </c>
      <c r="D690" s="5">
        <v>45103</v>
      </c>
      <c r="E690" s="4">
        <v>6</v>
      </c>
      <c r="F690" s="4">
        <v>26</v>
      </c>
      <c r="G690" s="4">
        <v>2023</v>
      </c>
      <c r="H690" s="5">
        <f t="shared" si="30"/>
        <v>45103</v>
      </c>
      <c r="I690" s="9">
        <v>45105</v>
      </c>
      <c r="J690" s="4">
        <f t="shared" si="31"/>
        <v>2</v>
      </c>
      <c r="K690" s="4" t="s">
        <v>41</v>
      </c>
      <c r="L690" s="4">
        <v>94714</v>
      </c>
      <c r="M690" s="4">
        <v>1274</v>
      </c>
      <c r="N690" s="10">
        <v>1281.6</v>
      </c>
      <c r="O690" s="10">
        <f t="shared" si="32"/>
        <v>1281.6</v>
      </c>
      <c r="P690" s="4">
        <v>163</v>
      </c>
      <c r="Q690" s="4" t="b">
        <v>0</v>
      </c>
      <c r="R690" s="4"/>
      <c r="S690" s="14" t="s">
        <v>42</v>
      </c>
    </row>
    <row r="691" spans="1:19">
      <c r="A691" s="6" t="s">
        <v>1443</v>
      </c>
      <c r="B691" s="7" t="s">
        <v>1444</v>
      </c>
      <c r="C691" s="8" t="s">
        <v>4131</v>
      </c>
      <c r="D691" s="8" t="s">
        <v>1445</v>
      </c>
      <c r="E691" s="7">
        <v>29</v>
      </c>
      <c r="F691" s="7">
        <v>5</v>
      </c>
      <c r="G691" s="7">
        <v>2023</v>
      </c>
      <c r="H691" s="8">
        <f t="shared" si="30"/>
        <v>45075</v>
      </c>
      <c r="I691" s="11">
        <v>45086</v>
      </c>
      <c r="J691" s="7">
        <f t="shared" si="31"/>
        <v>11</v>
      </c>
      <c r="K691" s="7" t="s">
        <v>19</v>
      </c>
      <c r="L691" s="7">
        <v>95246</v>
      </c>
      <c r="M691" s="7">
        <v>1854</v>
      </c>
      <c r="N691" s="12">
        <v>1794.43</v>
      </c>
      <c r="O691" s="12">
        <f t="shared" si="32"/>
        <v>1794.43</v>
      </c>
      <c r="P691" s="7">
        <v>278</v>
      </c>
      <c r="Q691" s="7" t="b">
        <v>0</v>
      </c>
      <c r="R691" s="7"/>
      <c r="S691" s="15" t="s">
        <v>20</v>
      </c>
    </row>
    <row r="692" spans="1:19">
      <c r="A692" s="3" t="s">
        <v>1446</v>
      </c>
      <c r="B692" s="4" t="s">
        <v>1447</v>
      </c>
      <c r="C692" s="5" t="s">
        <v>4131</v>
      </c>
      <c r="D692" s="5">
        <v>45292</v>
      </c>
      <c r="E692" s="4">
        <v>1</v>
      </c>
      <c r="F692" s="4">
        <v>1</v>
      </c>
      <c r="G692" s="4">
        <v>2024</v>
      </c>
      <c r="H692" s="5">
        <f t="shared" si="30"/>
        <v>45292</v>
      </c>
      <c r="I692" s="9">
        <v>45309</v>
      </c>
      <c r="J692" s="4">
        <f t="shared" si="31"/>
        <v>17</v>
      </c>
      <c r="K692" s="4" t="s">
        <v>23</v>
      </c>
      <c r="L692" s="4">
        <v>16485</v>
      </c>
      <c r="M692" s="4">
        <v>647</v>
      </c>
      <c r="N692" s="10">
        <v>442.01</v>
      </c>
      <c r="O692" s="10">
        <f t="shared" si="32"/>
        <v>442.01</v>
      </c>
      <c r="P692" s="4">
        <v>111</v>
      </c>
      <c r="Q692" s="4" t="b">
        <v>0</v>
      </c>
      <c r="R692" s="4"/>
      <c r="S692" s="14" t="s">
        <v>25</v>
      </c>
    </row>
    <row r="693" spans="1:19">
      <c r="A693" s="6" t="s">
        <v>1448</v>
      </c>
      <c r="B693" s="7" t="s">
        <v>1449</v>
      </c>
      <c r="C693" s="8" t="s">
        <v>4129</v>
      </c>
      <c r="D693" s="8">
        <v>45153</v>
      </c>
      <c r="E693" s="7">
        <v>8</v>
      </c>
      <c r="F693" s="7">
        <v>15</v>
      </c>
      <c r="G693" s="7">
        <v>2023</v>
      </c>
      <c r="H693" s="8">
        <f t="shared" si="30"/>
        <v>45153</v>
      </c>
      <c r="I693" s="11">
        <v>45183</v>
      </c>
      <c r="J693" s="7">
        <f t="shared" si="31"/>
        <v>30</v>
      </c>
      <c r="K693" s="7" t="s">
        <v>33</v>
      </c>
      <c r="L693" s="7">
        <v>45482</v>
      </c>
      <c r="M693" s="7">
        <v>1452</v>
      </c>
      <c r="N693" s="12">
        <v>968.06</v>
      </c>
      <c r="O693" s="12">
        <f t="shared" si="32"/>
        <v>968.06</v>
      </c>
      <c r="P693" s="7">
        <v>129</v>
      </c>
      <c r="Q693" s="7" t="b">
        <v>1</v>
      </c>
      <c r="R693" s="7"/>
      <c r="S693" s="15" t="s">
        <v>34</v>
      </c>
    </row>
    <row r="694" spans="1:19">
      <c r="A694" s="3" t="s">
        <v>1450</v>
      </c>
      <c r="B694" s="4" t="s">
        <v>1451</v>
      </c>
      <c r="C694" s="5" t="s">
        <v>4129</v>
      </c>
      <c r="D694" s="5">
        <v>45036</v>
      </c>
      <c r="E694" s="4">
        <v>4</v>
      </c>
      <c r="F694" s="4">
        <v>20</v>
      </c>
      <c r="G694" s="4">
        <v>2023</v>
      </c>
      <c r="H694" s="5">
        <f t="shared" si="30"/>
        <v>45036</v>
      </c>
      <c r="I694" s="9">
        <v>45064</v>
      </c>
      <c r="J694" s="4">
        <f t="shared" si="31"/>
        <v>28</v>
      </c>
      <c r="K694" s="4" t="s">
        <v>138</v>
      </c>
      <c r="L694" s="4">
        <v>87188</v>
      </c>
      <c r="M694" s="4">
        <v>1318</v>
      </c>
      <c r="N694" s="10">
        <v>1940.3</v>
      </c>
      <c r="O694" s="10">
        <f t="shared" si="32"/>
        <v>1940.3</v>
      </c>
      <c r="P694" s="4">
        <v>124</v>
      </c>
      <c r="Q694" s="4" t="b">
        <v>1</v>
      </c>
      <c r="R694" s="4"/>
      <c r="S694" s="14" t="s">
        <v>139</v>
      </c>
    </row>
    <row r="695" spans="1:19">
      <c r="A695" s="6" t="s">
        <v>1452</v>
      </c>
      <c r="B695" s="7" t="s">
        <v>1453</v>
      </c>
      <c r="C695" s="8" t="s">
        <v>4127</v>
      </c>
      <c r="D695" s="8">
        <v>45214</v>
      </c>
      <c r="E695" s="7">
        <v>10</v>
      </c>
      <c r="F695" s="7">
        <v>15</v>
      </c>
      <c r="G695" s="7">
        <v>2023</v>
      </c>
      <c r="H695" s="8">
        <f t="shared" si="30"/>
        <v>45214</v>
      </c>
      <c r="I695" s="11">
        <v>45209</v>
      </c>
      <c r="J695" s="7">
        <f t="shared" si="31"/>
        <v>-5</v>
      </c>
      <c r="K695" s="7" t="s">
        <v>41</v>
      </c>
      <c r="L695" s="7">
        <v>5748</v>
      </c>
      <c r="M695" s="7">
        <v>260</v>
      </c>
      <c r="N695" s="12">
        <v>471.3</v>
      </c>
      <c r="O695" s="12">
        <f t="shared" si="32"/>
        <v>471.3</v>
      </c>
      <c r="P695" s="7">
        <v>13</v>
      </c>
      <c r="Q695" s="7" t="b">
        <v>0</v>
      </c>
      <c r="R695" s="7"/>
      <c r="S695" s="15" t="s">
        <v>42</v>
      </c>
    </row>
    <row r="696" spans="1:19">
      <c r="A696" s="3" t="s">
        <v>1454</v>
      </c>
      <c r="B696" s="4" t="s">
        <v>1455</v>
      </c>
      <c r="C696" s="5" t="s">
        <v>4127</v>
      </c>
      <c r="D696" s="5">
        <v>45242</v>
      </c>
      <c r="E696" s="4">
        <v>11</v>
      </c>
      <c r="F696" s="4">
        <v>12</v>
      </c>
      <c r="G696" s="4">
        <v>2023</v>
      </c>
      <c r="H696" s="5">
        <f t="shared" si="30"/>
        <v>45242</v>
      </c>
      <c r="I696" s="9">
        <v>45247</v>
      </c>
      <c r="J696" s="4">
        <f t="shared" si="31"/>
        <v>5</v>
      </c>
      <c r="K696" s="4" t="s">
        <v>33</v>
      </c>
      <c r="L696" s="4">
        <v>87769</v>
      </c>
      <c r="M696" s="4">
        <v>2258</v>
      </c>
      <c r="N696" s="10">
        <v>3806.49</v>
      </c>
      <c r="O696" s="10">
        <f t="shared" si="32"/>
        <v>3632.575</v>
      </c>
      <c r="P696" s="4">
        <v>439</v>
      </c>
      <c r="Q696" s="4" t="b">
        <v>1</v>
      </c>
      <c r="R696" s="4"/>
      <c r="S696" s="14" t="s">
        <v>34</v>
      </c>
    </row>
    <row r="697" spans="1:19">
      <c r="A697" s="6" t="s">
        <v>1456</v>
      </c>
      <c r="B697" s="7" t="s">
        <v>1457</v>
      </c>
      <c r="C697" s="8" t="s">
        <v>4129</v>
      </c>
      <c r="D697" s="8">
        <v>44952</v>
      </c>
      <c r="E697" s="7">
        <v>1</v>
      </c>
      <c r="F697" s="7">
        <v>26</v>
      </c>
      <c r="G697" s="7">
        <v>2023</v>
      </c>
      <c r="H697" s="8">
        <f t="shared" si="30"/>
        <v>44952</v>
      </c>
      <c r="I697" s="11">
        <v>44972</v>
      </c>
      <c r="J697" s="7">
        <f t="shared" si="31"/>
        <v>20</v>
      </c>
      <c r="K697" s="7" t="s">
        <v>138</v>
      </c>
      <c r="L697" s="7">
        <v>10435</v>
      </c>
      <c r="M697" s="7">
        <v>449</v>
      </c>
      <c r="N697" s="12">
        <v>319.54</v>
      </c>
      <c r="O697" s="12">
        <f t="shared" si="32"/>
        <v>319.54</v>
      </c>
      <c r="P697" s="7">
        <v>84</v>
      </c>
      <c r="Q697" s="7" t="b">
        <v>1</v>
      </c>
      <c r="R697" s="7"/>
      <c r="S697" s="15" t="s">
        <v>139</v>
      </c>
    </row>
    <row r="698" spans="1:19">
      <c r="A698" s="3" t="s">
        <v>1458</v>
      </c>
      <c r="B698" s="4" t="s">
        <v>1459</v>
      </c>
      <c r="C698" s="5" t="s">
        <v>4131</v>
      </c>
      <c r="D698" s="5">
        <v>45253</v>
      </c>
      <c r="E698" s="4">
        <v>11</v>
      </c>
      <c r="F698" s="4">
        <v>23</v>
      </c>
      <c r="G698" s="4">
        <v>2023</v>
      </c>
      <c r="H698" s="5">
        <f t="shared" si="30"/>
        <v>45253</v>
      </c>
      <c r="I698" s="9">
        <v>45264</v>
      </c>
      <c r="J698" s="4">
        <f t="shared" si="31"/>
        <v>11</v>
      </c>
      <c r="K698" s="4" t="s">
        <v>41</v>
      </c>
      <c r="L698" s="4">
        <v>4709</v>
      </c>
      <c r="M698" s="4">
        <v>195</v>
      </c>
      <c r="N698" s="10">
        <v>257.08</v>
      </c>
      <c r="O698" s="10">
        <f t="shared" si="32"/>
        <v>257.08</v>
      </c>
      <c r="P698" s="4">
        <v>32</v>
      </c>
      <c r="Q698" s="4" t="b">
        <v>1</v>
      </c>
      <c r="R698" s="4"/>
      <c r="S698" s="14" t="s">
        <v>68</v>
      </c>
    </row>
    <row r="699" spans="1:19">
      <c r="A699" s="6" t="s">
        <v>1460</v>
      </c>
      <c r="B699" s="7" t="s">
        <v>1461</v>
      </c>
      <c r="C699" s="8" t="s">
        <v>4129</v>
      </c>
      <c r="D699" s="8">
        <v>45096</v>
      </c>
      <c r="E699" s="7">
        <v>6</v>
      </c>
      <c r="F699" s="7">
        <v>19</v>
      </c>
      <c r="G699" s="7">
        <v>2023</v>
      </c>
      <c r="H699" s="8">
        <f t="shared" si="30"/>
        <v>45096</v>
      </c>
      <c r="I699" s="11">
        <v>45114</v>
      </c>
      <c r="J699" s="7">
        <f t="shared" si="31"/>
        <v>18</v>
      </c>
      <c r="K699" s="7" t="s">
        <v>14</v>
      </c>
      <c r="L699" s="7">
        <v>31355</v>
      </c>
      <c r="M699" s="7">
        <v>1096</v>
      </c>
      <c r="N699" s="12">
        <v>721.59</v>
      </c>
      <c r="O699" s="12">
        <f t="shared" si="32"/>
        <v>721.59</v>
      </c>
      <c r="P699" s="7">
        <v>67</v>
      </c>
      <c r="Q699" s="7" t="b">
        <v>0</v>
      </c>
      <c r="R699" s="7"/>
      <c r="S699" s="15" t="s">
        <v>16</v>
      </c>
    </row>
    <row r="700" spans="1:19">
      <c r="A700" s="3" t="s">
        <v>1462</v>
      </c>
      <c r="B700" s="4" t="s">
        <v>1463</v>
      </c>
      <c r="C700" s="5" t="s">
        <v>4131</v>
      </c>
      <c r="D700" s="5">
        <v>45263</v>
      </c>
      <c r="E700" s="4">
        <v>12</v>
      </c>
      <c r="F700" s="4">
        <v>3</v>
      </c>
      <c r="G700" s="4">
        <v>2023</v>
      </c>
      <c r="H700" s="5">
        <f t="shared" si="30"/>
        <v>45263</v>
      </c>
      <c r="I700" s="9">
        <v>45018</v>
      </c>
      <c r="J700" s="4">
        <f t="shared" si="31"/>
        <v>-245</v>
      </c>
      <c r="K700" s="4" t="s">
        <v>14</v>
      </c>
      <c r="L700" s="4">
        <v>56771</v>
      </c>
      <c r="M700" s="4">
        <v>1690</v>
      </c>
      <c r="N700" s="10">
        <v>959.82</v>
      </c>
      <c r="O700" s="10">
        <f t="shared" si="32"/>
        <v>959.82</v>
      </c>
      <c r="P700" s="4">
        <v>197</v>
      </c>
      <c r="Q700" s="4" t="b">
        <v>1</v>
      </c>
      <c r="R700" s="4"/>
      <c r="S700" s="14" t="s">
        <v>16</v>
      </c>
    </row>
    <row r="701" spans="1:19">
      <c r="A701" s="6" t="s">
        <v>1464</v>
      </c>
      <c r="B701" s="7" t="s">
        <v>1465</v>
      </c>
      <c r="C701" s="8" t="s">
        <v>4127</v>
      </c>
      <c r="D701" s="8">
        <v>45208</v>
      </c>
      <c r="E701" s="7">
        <v>10</v>
      </c>
      <c r="F701" s="7">
        <v>9</v>
      </c>
      <c r="G701" s="7">
        <v>2023</v>
      </c>
      <c r="H701" s="8">
        <f t="shared" si="30"/>
        <v>45208</v>
      </c>
      <c r="I701" s="11">
        <v>45235</v>
      </c>
      <c r="J701" s="7">
        <f t="shared" si="31"/>
        <v>27</v>
      </c>
      <c r="K701" s="7" t="s">
        <v>23</v>
      </c>
      <c r="L701" s="7">
        <v>58799</v>
      </c>
      <c r="M701" s="7">
        <v>2891</v>
      </c>
      <c r="N701" s="12">
        <v>4291.92</v>
      </c>
      <c r="O701" s="12">
        <f t="shared" si="32"/>
        <v>3632.575</v>
      </c>
      <c r="P701" s="7">
        <v>188</v>
      </c>
      <c r="Q701" s="7" t="b">
        <v>1</v>
      </c>
      <c r="R701" s="7"/>
      <c r="S701" s="15" t="s">
        <v>25</v>
      </c>
    </row>
    <row r="702" spans="1:19">
      <c r="A702" s="3" t="s">
        <v>1466</v>
      </c>
      <c r="B702" s="4" t="s">
        <v>1467</v>
      </c>
      <c r="C702" s="5" t="s">
        <v>4127</v>
      </c>
      <c r="D702" s="5">
        <v>45261</v>
      </c>
      <c r="E702" s="4">
        <v>12</v>
      </c>
      <c r="F702" s="4">
        <v>1</v>
      </c>
      <c r="G702" s="4">
        <v>2023</v>
      </c>
      <c r="H702" s="5">
        <f t="shared" si="30"/>
        <v>45261</v>
      </c>
      <c r="I702" s="9">
        <v>45285</v>
      </c>
      <c r="J702" s="4">
        <f t="shared" si="31"/>
        <v>24</v>
      </c>
      <c r="K702" s="4" t="s">
        <v>19</v>
      </c>
      <c r="L702" s="4">
        <v>14116</v>
      </c>
      <c r="M702" s="4">
        <v>223</v>
      </c>
      <c r="N702" s="10">
        <v>290.51</v>
      </c>
      <c r="O702" s="10">
        <f t="shared" si="32"/>
        <v>290.51</v>
      </c>
      <c r="P702" s="4">
        <v>11</v>
      </c>
      <c r="Q702" s="4" t="b">
        <v>1</v>
      </c>
      <c r="R702" s="4"/>
      <c r="S702" s="14" t="s">
        <v>20</v>
      </c>
    </row>
    <row r="703" spans="1:19">
      <c r="A703" s="6" t="s">
        <v>1468</v>
      </c>
      <c r="B703" s="7" t="s">
        <v>1469</v>
      </c>
      <c r="C703" s="8" t="s">
        <v>4131</v>
      </c>
      <c r="D703" s="8">
        <v>45171</v>
      </c>
      <c r="E703" s="7">
        <v>9</v>
      </c>
      <c r="F703" s="7">
        <v>2</v>
      </c>
      <c r="G703" s="7">
        <v>2023</v>
      </c>
      <c r="H703" s="8">
        <f t="shared" si="30"/>
        <v>45171</v>
      </c>
      <c r="I703" s="11">
        <v>45177</v>
      </c>
      <c r="J703" s="7">
        <f t="shared" si="31"/>
        <v>6</v>
      </c>
      <c r="K703" s="7" t="s">
        <v>23</v>
      </c>
      <c r="L703" s="7">
        <v>26470</v>
      </c>
      <c r="M703" s="7">
        <v>1032</v>
      </c>
      <c r="N703" s="12">
        <v>642.97</v>
      </c>
      <c r="O703" s="12">
        <f t="shared" si="32"/>
        <v>642.97</v>
      </c>
      <c r="P703" s="7">
        <v>146</v>
      </c>
      <c r="Q703" s="7" t="b">
        <v>0</v>
      </c>
      <c r="R703" s="7"/>
      <c r="S703" s="15" t="s">
        <v>25</v>
      </c>
    </row>
    <row r="704" spans="1:19">
      <c r="A704" s="3" t="s">
        <v>1470</v>
      </c>
      <c r="B704" s="4" t="s">
        <v>1471</v>
      </c>
      <c r="C704" s="5" t="s">
        <v>4127</v>
      </c>
      <c r="D704" s="5">
        <v>45074</v>
      </c>
      <c r="E704" s="4">
        <v>5</v>
      </c>
      <c r="F704" s="4">
        <v>28</v>
      </c>
      <c r="G704" s="4">
        <v>2023</v>
      </c>
      <c r="H704" s="5">
        <f t="shared" si="30"/>
        <v>45074</v>
      </c>
      <c r="I704" s="9">
        <v>45102</v>
      </c>
      <c r="J704" s="4">
        <f t="shared" si="31"/>
        <v>28</v>
      </c>
      <c r="K704" s="4" t="s">
        <v>19</v>
      </c>
      <c r="L704" s="4">
        <v>43344</v>
      </c>
      <c r="M704" s="4">
        <v>764</v>
      </c>
      <c r="N704" s="10">
        <v>422.04</v>
      </c>
      <c r="O704" s="10">
        <f t="shared" si="32"/>
        <v>422.04</v>
      </c>
      <c r="P704" s="4">
        <v>148</v>
      </c>
      <c r="Q704" s="4" t="b">
        <v>0</v>
      </c>
      <c r="R704" s="4"/>
      <c r="S704" s="14" t="s">
        <v>20</v>
      </c>
    </row>
    <row r="705" spans="1:19">
      <c r="A705" s="6" t="s">
        <v>1472</v>
      </c>
      <c r="B705" s="7" t="s">
        <v>1473</v>
      </c>
      <c r="C705" s="8" t="s">
        <v>4127</v>
      </c>
      <c r="D705" s="8">
        <v>44972</v>
      </c>
      <c r="E705" s="7">
        <v>2</v>
      </c>
      <c r="F705" s="7">
        <v>15</v>
      </c>
      <c r="G705" s="7">
        <v>2023</v>
      </c>
      <c r="H705" s="8">
        <f t="shared" si="30"/>
        <v>44972</v>
      </c>
      <c r="I705" s="11">
        <v>44998</v>
      </c>
      <c r="J705" s="7">
        <f t="shared" si="31"/>
        <v>26</v>
      </c>
      <c r="K705" s="7" t="s">
        <v>33</v>
      </c>
      <c r="L705" s="7">
        <v>43918</v>
      </c>
      <c r="M705" s="7">
        <v>1033</v>
      </c>
      <c r="N705" s="12">
        <v>2050.13</v>
      </c>
      <c r="O705" s="12">
        <f t="shared" si="32"/>
        <v>2050.13</v>
      </c>
      <c r="P705" s="7">
        <v>0</v>
      </c>
      <c r="Q705" s="7" t="b">
        <v>0</v>
      </c>
      <c r="R705" s="7"/>
      <c r="S705" s="15" t="s">
        <v>68</v>
      </c>
    </row>
    <row r="706" spans="1:19">
      <c r="A706" s="3" t="s">
        <v>1474</v>
      </c>
      <c r="B706" s="4" t="s">
        <v>1475</v>
      </c>
      <c r="C706" s="5" t="s">
        <v>4129</v>
      </c>
      <c r="D706" s="5">
        <v>44946</v>
      </c>
      <c r="E706" s="4">
        <v>1</v>
      </c>
      <c r="F706" s="4">
        <v>20</v>
      </c>
      <c r="G706" s="4">
        <v>2023</v>
      </c>
      <c r="H706" s="5">
        <f t="shared" ref="H706:H769" si="33">IF(E706&gt;12,DATE(G706,F706,E706),D706)</f>
        <v>44946</v>
      </c>
      <c r="I706" s="9">
        <v>44965</v>
      </c>
      <c r="J706" s="4">
        <f t="shared" ref="J706:J769" si="34">DATEDIF(H706,I706,"D")</f>
        <v>19</v>
      </c>
      <c r="K706" s="4" t="s">
        <v>415</v>
      </c>
      <c r="L706" s="4">
        <v>53224</v>
      </c>
      <c r="M706" s="4">
        <v>1189</v>
      </c>
      <c r="N706" s="10">
        <v>648.04</v>
      </c>
      <c r="O706" s="10">
        <f t="shared" si="32"/>
        <v>648.04</v>
      </c>
      <c r="P706" s="4">
        <v>183</v>
      </c>
      <c r="Q706" s="4" t="b">
        <v>0</v>
      </c>
      <c r="R706" s="4"/>
      <c r="S706" s="14" t="s">
        <v>34</v>
      </c>
    </row>
    <row r="707" spans="1:19">
      <c r="A707" s="6" t="s">
        <v>1476</v>
      </c>
      <c r="B707" s="7" t="s">
        <v>1477</v>
      </c>
      <c r="C707" s="8" t="s">
        <v>4131</v>
      </c>
      <c r="D707" s="8">
        <v>45017</v>
      </c>
      <c r="E707" s="7">
        <v>4</v>
      </c>
      <c r="F707" s="7">
        <v>1</v>
      </c>
      <c r="G707" s="7">
        <v>2023</v>
      </c>
      <c r="H707" s="8">
        <f t="shared" si="33"/>
        <v>45017</v>
      </c>
      <c r="I707" s="11">
        <v>44935</v>
      </c>
      <c r="J707" s="7">
        <f t="shared" si="34"/>
        <v>-82</v>
      </c>
      <c r="K707" s="7" t="s">
        <v>23</v>
      </c>
      <c r="L707" s="7">
        <v>40298</v>
      </c>
      <c r="M707" s="7">
        <v>1929</v>
      </c>
      <c r="N707" s="12">
        <v>2250.74</v>
      </c>
      <c r="O707" s="12">
        <f t="shared" ref="O707:O770" si="35">IF(N707&lt;$V$6,$V$6,IF(N707&gt;$V$7,$V$7,N707))</f>
        <v>2250.74</v>
      </c>
      <c r="P707" s="7">
        <v>124</v>
      </c>
      <c r="Q707" s="7" t="b">
        <v>1</v>
      </c>
      <c r="R707" s="7"/>
      <c r="S707" s="15" t="s">
        <v>25</v>
      </c>
    </row>
    <row r="708" spans="1:19">
      <c r="A708" s="3" t="s">
        <v>1478</v>
      </c>
      <c r="B708" s="4" t="s">
        <v>1479</v>
      </c>
      <c r="C708" s="5" t="s">
        <v>4128</v>
      </c>
      <c r="D708" s="5">
        <v>45130</v>
      </c>
      <c r="E708" s="4">
        <v>7</v>
      </c>
      <c r="F708" s="4">
        <v>23</v>
      </c>
      <c r="G708" s="4">
        <v>2023</v>
      </c>
      <c r="H708" s="5">
        <f t="shared" si="33"/>
        <v>45130</v>
      </c>
      <c r="I708" s="9">
        <v>45157</v>
      </c>
      <c r="J708" s="4">
        <f t="shared" si="34"/>
        <v>27</v>
      </c>
      <c r="K708" s="4" t="s">
        <v>41</v>
      </c>
      <c r="L708" s="4">
        <v>81219</v>
      </c>
      <c r="M708" s="4">
        <v>3954</v>
      </c>
      <c r="N708" s="10">
        <v>4969.9</v>
      </c>
      <c r="O708" s="10">
        <f t="shared" si="35"/>
        <v>3632.575</v>
      </c>
      <c r="P708" s="4">
        <v>360</v>
      </c>
      <c r="Q708" s="4" t="b">
        <v>1</v>
      </c>
      <c r="R708" s="4"/>
      <c r="S708" s="14" t="s">
        <v>42</v>
      </c>
    </row>
    <row r="709" spans="1:19">
      <c r="A709" s="6" t="s">
        <v>1480</v>
      </c>
      <c r="B709" s="7" t="s">
        <v>1481</v>
      </c>
      <c r="C709" s="8" t="s">
        <v>4128</v>
      </c>
      <c r="D709" s="8">
        <v>45075</v>
      </c>
      <c r="E709" s="7">
        <v>5</v>
      </c>
      <c r="F709" s="7">
        <v>29</v>
      </c>
      <c r="G709" s="7">
        <v>2023</v>
      </c>
      <c r="H709" s="8">
        <f t="shared" si="33"/>
        <v>45075</v>
      </c>
      <c r="I709" s="11">
        <v>45101</v>
      </c>
      <c r="J709" s="7">
        <f t="shared" si="34"/>
        <v>26</v>
      </c>
      <c r="K709" s="7" t="s">
        <v>41</v>
      </c>
      <c r="L709" s="7">
        <v>62629</v>
      </c>
      <c r="M709" s="7">
        <v>1084</v>
      </c>
      <c r="N709" s="12">
        <v>732.7</v>
      </c>
      <c r="O709" s="12">
        <f t="shared" si="35"/>
        <v>732.7</v>
      </c>
      <c r="P709" s="7">
        <v>106</v>
      </c>
      <c r="Q709" s="7" t="b">
        <v>0</v>
      </c>
      <c r="R709" s="7"/>
      <c r="S709" s="15" t="s">
        <v>42</v>
      </c>
    </row>
    <row r="710" spans="1:19">
      <c r="A710" s="3" t="s">
        <v>1482</v>
      </c>
      <c r="B710" s="4" t="s">
        <v>1483</v>
      </c>
      <c r="C710" s="5" t="s">
        <v>4129</v>
      </c>
      <c r="D710" s="5">
        <v>45217</v>
      </c>
      <c r="E710" s="4">
        <v>10</v>
      </c>
      <c r="F710" s="4">
        <v>18</v>
      </c>
      <c r="G710" s="4">
        <v>2023</v>
      </c>
      <c r="H710" s="5">
        <f t="shared" si="33"/>
        <v>45217</v>
      </c>
      <c r="I710" s="9">
        <v>45224</v>
      </c>
      <c r="J710" s="4">
        <f t="shared" si="34"/>
        <v>7</v>
      </c>
      <c r="K710" s="4" t="s">
        <v>23</v>
      </c>
      <c r="L710" s="4">
        <v>67040</v>
      </c>
      <c r="M710" s="4">
        <v>729</v>
      </c>
      <c r="N710" s="10">
        <v>549.37</v>
      </c>
      <c r="O710" s="10">
        <f t="shared" si="35"/>
        <v>549.37</v>
      </c>
      <c r="P710" s="4">
        <v>119</v>
      </c>
      <c r="Q710" s="4" t="b">
        <v>1</v>
      </c>
      <c r="R710" s="4"/>
      <c r="S710" s="14" t="s">
        <v>25</v>
      </c>
    </row>
    <row r="711" spans="1:19">
      <c r="A711" s="6" t="s">
        <v>1484</v>
      </c>
      <c r="B711" s="7" t="s">
        <v>1485</v>
      </c>
      <c r="C711" s="8" t="s">
        <v>4131</v>
      </c>
      <c r="D711" s="8">
        <v>45098</v>
      </c>
      <c r="E711" s="7">
        <v>6</v>
      </c>
      <c r="F711" s="7">
        <v>21</v>
      </c>
      <c r="G711" s="7">
        <v>2023</v>
      </c>
      <c r="H711" s="8">
        <f t="shared" si="33"/>
        <v>45098</v>
      </c>
      <c r="I711" s="11">
        <v>45125</v>
      </c>
      <c r="J711" s="7">
        <f t="shared" si="34"/>
        <v>27</v>
      </c>
      <c r="K711" s="7" t="s">
        <v>23</v>
      </c>
      <c r="L711" s="7">
        <v>29016</v>
      </c>
      <c r="M711" s="7">
        <v>1125</v>
      </c>
      <c r="N711" s="12">
        <v>1156.17</v>
      </c>
      <c r="O711" s="12">
        <f t="shared" si="35"/>
        <v>1156.17</v>
      </c>
      <c r="P711" s="7">
        <v>191</v>
      </c>
      <c r="Q711" s="7" t="b">
        <v>1</v>
      </c>
      <c r="R711" s="7"/>
      <c r="S711" s="15" t="s">
        <v>25</v>
      </c>
    </row>
    <row r="712" spans="1:19">
      <c r="A712" s="3" t="s">
        <v>1486</v>
      </c>
      <c r="B712" s="4" t="s">
        <v>1487</v>
      </c>
      <c r="C712" s="5" t="s">
        <v>4131</v>
      </c>
      <c r="D712" s="5">
        <v>45205</v>
      </c>
      <c r="E712" s="4">
        <v>10</v>
      </c>
      <c r="F712" s="4">
        <v>6</v>
      </c>
      <c r="G712" s="4">
        <v>2023</v>
      </c>
      <c r="H712" s="5">
        <f t="shared" si="33"/>
        <v>45205</v>
      </c>
      <c r="I712" s="9">
        <v>45228</v>
      </c>
      <c r="J712" s="4">
        <f t="shared" si="34"/>
        <v>23</v>
      </c>
      <c r="K712" s="4" t="s">
        <v>14</v>
      </c>
      <c r="L712" s="4">
        <v>24960</v>
      </c>
      <c r="M712" s="4">
        <v>666</v>
      </c>
      <c r="N712" s="10">
        <v>1093.91</v>
      </c>
      <c r="O712" s="10">
        <f t="shared" si="35"/>
        <v>1093.91</v>
      </c>
      <c r="P712" s="4">
        <v>71</v>
      </c>
      <c r="Q712" s="4" t="b">
        <v>1</v>
      </c>
      <c r="R712" s="4"/>
      <c r="S712" s="14" t="s">
        <v>16</v>
      </c>
    </row>
    <row r="713" spans="1:19">
      <c r="A713" s="6" t="s">
        <v>1488</v>
      </c>
      <c r="B713" s="7" t="s">
        <v>1489</v>
      </c>
      <c r="C713" s="8" t="s">
        <v>4131</v>
      </c>
      <c r="D713" s="8">
        <v>44995</v>
      </c>
      <c r="E713" s="7">
        <v>3</v>
      </c>
      <c r="F713" s="7">
        <v>10</v>
      </c>
      <c r="G713" s="7">
        <v>2023</v>
      </c>
      <c r="H713" s="8">
        <f t="shared" si="33"/>
        <v>44995</v>
      </c>
      <c r="I713" s="11">
        <v>45008</v>
      </c>
      <c r="J713" s="7">
        <f t="shared" si="34"/>
        <v>13</v>
      </c>
      <c r="K713" s="7" t="s">
        <v>14</v>
      </c>
      <c r="L713" s="7">
        <v>34591</v>
      </c>
      <c r="M713" s="7">
        <v>468</v>
      </c>
      <c r="N713" s="12">
        <v>589.97</v>
      </c>
      <c r="O713" s="12">
        <f t="shared" si="35"/>
        <v>589.97</v>
      </c>
      <c r="P713" s="7">
        <v>52</v>
      </c>
      <c r="Q713" s="7" t="b">
        <v>0</v>
      </c>
      <c r="R713" s="7"/>
      <c r="S713" s="15" t="s">
        <v>16</v>
      </c>
    </row>
    <row r="714" spans="1:19">
      <c r="A714" s="3" t="s">
        <v>1490</v>
      </c>
      <c r="B714" s="4" t="s">
        <v>1491</v>
      </c>
      <c r="C714" s="5" t="s">
        <v>4131</v>
      </c>
      <c r="D714" s="5">
        <v>45025</v>
      </c>
      <c r="E714" s="4">
        <v>4</v>
      </c>
      <c r="F714" s="4">
        <v>9</v>
      </c>
      <c r="G714" s="4">
        <v>2023</v>
      </c>
      <c r="H714" s="5">
        <f t="shared" si="33"/>
        <v>45025</v>
      </c>
      <c r="I714" s="9">
        <v>45028</v>
      </c>
      <c r="J714" s="4">
        <f t="shared" si="34"/>
        <v>3</v>
      </c>
      <c r="K714" s="4" t="s">
        <v>33</v>
      </c>
      <c r="L714" s="4">
        <v>83848</v>
      </c>
      <c r="M714" s="4">
        <v>3131</v>
      </c>
      <c r="N714" s="10">
        <v>4561.41</v>
      </c>
      <c r="O714" s="10">
        <f t="shared" si="35"/>
        <v>3632.575</v>
      </c>
      <c r="P714" s="4">
        <v>177</v>
      </c>
      <c r="Q714" s="4" t="b">
        <v>1</v>
      </c>
      <c r="R714" s="4"/>
      <c r="S714" s="14" t="s">
        <v>34</v>
      </c>
    </row>
    <row r="715" spans="1:19">
      <c r="A715" s="6" t="s">
        <v>1492</v>
      </c>
      <c r="B715" s="7" t="s">
        <v>1493</v>
      </c>
      <c r="C715" s="8" t="s">
        <v>4129</v>
      </c>
      <c r="D715" s="8">
        <v>45161</v>
      </c>
      <c r="E715" s="7">
        <v>8</v>
      </c>
      <c r="F715" s="7">
        <v>23</v>
      </c>
      <c r="G715" s="7">
        <v>2023</v>
      </c>
      <c r="H715" s="8">
        <f t="shared" si="33"/>
        <v>45161</v>
      </c>
      <c r="I715" s="11">
        <v>45188</v>
      </c>
      <c r="J715" s="7">
        <f t="shared" si="34"/>
        <v>27</v>
      </c>
      <c r="K715" s="7" t="s">
        <v>138</v>
      </c>
      <c r="L715" s="7">
        <v>68641</v>
      </c>
      <c r="M715" s="7">
        <v>2183</v>
      </c>
      <c r="N715" s="12">
        <v>4317.45</v>
      </c>
      <c r="O715" s="12">
        <f t="shared" si="35"/>
        <v>3632.575</v>
      </c>
      <c r="P715" s="7">
        <v>203</v>
      </c>
      <c r="Q715" s="7" t="b">
        <v>1</v>
      </c>
      <c r="R715" s="7"/>
      <c r="S715" s="15" t="s">
        <v>68</v>
      </c>
    </row>
    <row r="716" spans="1:19">
      <c r="A716" s="3" t="s">
        <v>1494</v>
      </c>
      <c r="B716" s="4" t="s">
        <v>1495</v>
      </c>
      <c r="C716" s="5" t="s">
        <v>4127</v>
      </c>
      <c r="D716" s="5">
        <v>44934</v>
      </c>
      <c r="E716" s="4">
        <v>1</v>
      </c>
      <c r="F716" s="4">
        <v>8</v>
      </c>
      <c r="G716" s="4">
        <v>2023</v>
      </c>
      <c r="H716" s="5">
        <f t="shared" si="33"/>
        <v>44934</v>
      </c>
      <c r="I716" s="9">
        <v>44948</v>
      </c>
      <c r="J716" s="4">
        <f t="shared" si="34"/>
        <v>14</v>
      </c>
      <c r="K716" s="4" t="s">
        <v>14</v>
      </c>
      <c r="L716" s="4">
        <v>37395</v>
      </c>
      <c r="M716" s="4">
        <v>1840</v>
      </c>
      <c r="N716" s="10">
        <v>3039.7</v>
      </c>
      <c r="O716" s="10">
        <f t="shared" si="35"/>
        <v>3039.7</v>
      </c>
      <c r="P716" s="4">
        <v>216</v>
      </c>
      <c r="Q716" s="4" t="b">
        <v>0</v>
      </c>
      <c r="R716" s="4">
        <v>37479</v>
      </c>
      <c r="S716" s="14" t="s">
        <v>16</v>
      </c>
    </row>
    <row r="717" spans="1:19">
      <c r="A717" s="6" t="s">
        <v>1496</v>
      </c>
      <c r="B717" s="7" t="s">
        <v>1497</v>
      </c>
      <c r="C717" s="8" t="s">
        <v>4129</v>
      </c>
      <c r="D717" s="8">
        <v>45217</v>
      </c>
      <c r="E717" s="7">
        <v>10</v>
      </c>
      <c r="F717" s="7">
        <v>18</v>
      </c>
      <c r="G717" s="7">
        <v>2023</v>
      </c>
      <c r="H717" s="8">
        <f t="shared" si="33"/>
        <v>45217</v>
      </c>
      <c r="I717" s="11">
        <v>45246</v>
      </c>
      <c r="J717" s="7">
        <f t="shared" si="34"/>
        <v>29</v>
      </c>
      <c r="K717" s="7" t="s">
        <v>14</v>
      </c>
      <c r="L717" s="7">
        <v>23700</v>
      </c>
      <c r="M717" s="7">
        <v>452</v>
      </c>
      <c r="N717" s="12">
        <v>520.5</v>
      </c>
      <c r="O717" s="12">
        <f t="shared" si="35"/>
        <v>520.5</v>
      </c>
      <c r="P717" s="7">
        <v>30</v>
      </c>
      <c r="Q717" s="7" t="b">
        <v>0</v>
      </c>
      <c r="R717" s="7"/>
      <c r="S717" s="15" t="s">
        <v>16</v>
      </c>
    </row>
    <row r="718" spans="1:19">
      <c r="A718" s="3" t="s">
        <v>1498</v>
      </c>
      <c r="B718" s="4" t="s">
        <v>1499</v>
      </c>
      <c r="C718" s="5" t="s">
        <v>4127</v>
      </c>
      <c r="D718" s="5">
        <v>45239</v>
      </c>
      <c r="E718" s="4">
        <v>11</v>
      </c>
      <c r="F718" s="4">
        <v>9</v>
      </c>
      <c r="G718" s="4">
        <v>2023</v>
      </c>
      <c r="H718" s="5">
        <f t="shared" si="33"/>
        <v>45239</v>
      </c>
      <c r="I718" s="9">
        <v>45243</v>
      </c>
      <c r="J718" s="4">
        <f t="shared" si="34"/>
        <v>4</v>
      </c>
      <c r="K718" s="4" t="s">
        <v>23</v>
      </c>
      <c r="L718" s="4">
        <v>35620</v>
      </c>
      <c r="M718" s="4">
        <v>931</v>
      </c>
      <c r="N718" s="10">
        <v>1088.96</v>
      </c>
      <c r="O718" s="10">
        <f t="shared" si="35"/>
        <v>1088.96</v>
      </c>
      <c r="P718" s="4">
        <v>109</v>
      </c>
      <c r="Q718" s="4" t="b">
        <v>1</v>
      </c>
      <c r="R718" s="4"/>
      <c r="S718" s="14" t="s">
        <v>68</v>
      </c>
    </row>
    <row r="719" spans="1:19">
      <c r="A719" s="6" t="s">
        <v>1500</v>
      </c>
      <c r="B719" s="7" t="s">
        <v>1501</v>
      </c>
      <c r="C719" s="8" t="s">
        <v>4131</v>
      </c>
      <c r="D719" s="8">
        <v>45145</v>
      </c>
      <c r="E719" s="7">
        <v>8</v>
      </c>
      <c r="F719" s="7">
        <v>7</v>
      </c>
      <c r="G719" s="7">
        <v>2023</v>
      </c>
      <c r="H719" s="8">
        <f t="shared" si="33"/>
        <v>45145</v>
      </c>
      <c r="I719" s="11">
        <v>45132</v>
      </c>
      <c r="J719" s="7">
        <f t="shared" si="34"/>
        <v>-13</v>
      </c>
      <c r="K719" s="7" t="s">
        <v>41</v>
      </c>
      <c r="L719" s="7">
        <v>21559</v>
      </c>
      <c r="M719" s="7">
        <v>683</v>
      </c>
      <c r="N719" s="12">
        <v>975.43</v>
      </c>
      <c r="O719" s="12">
        <f t="shared" si="35"/>
        <v>975.43</v>
      </c>
      <c r="P719" s="7">
        <v>121</v>
      </c>
      <c r="Q719" s="7" t="b">
        <v>0</v>
      </c>
      <c r="R719" s="7"/>
      <c r="S719" s="15" t="s">
        <v>42</v>
      </c>
    </row>
    <row r="720" spans="1:19">
      <c r="A720" s="3" t="s">
        <v>1502</v>
      </c>
      <c r="B720" s="4" t="s">
        <v>1503</v>
      </c>
      <c r="C720" s="5" t="s">
        <v>4129</v>
      </c>
      <c r="D720" s="5">
        <v>45181</v>
      </c>
      <c r="E720" s="4">
        <v>9</v>
      </c>
      <c r="F720" s="4">
        <v>12</v>
      </c>
      <c r="G720" s="4">
        <v>2023</v>
      </c>
      <c r="H720" s="5">
        <f t="shared" si="33"/>
        <v>45181</v>
      </c>
      <c r="I720" s="9">
        <v>45287</v>
      </c>
      <c r="J720" s="4">
        <f t="shared" si="34"/>
        <v>106</v>
      </c>
      <c r="K720" s="4" t="s">
        <v>33</v>
      </c>
      <c r="L720" s="4">
        <v>94045</v>
      </c>
      <c r="M720" s="4">
        <v>3918</v>
      </c>
      <c r="N720" s="10">
        <v>5869.35</v>
      </c>
      <c r="O720" s="10">
        <f t="shared" si="35"/>
        <v>3632.575</v>
      </c>
      <c r="P720" s="4">
        <v>537</v>
      </c>
      <c r="Q720" s="4" t="b">
        <v>1</v>
      </c>
      <c r="R720" s="4"/>
      <c r="S720" s="14" t="s">
        <v>34</v>
      </c>
    </row>
    <row r="721" spans="1:19">
      <c r="A721" s="6" t="s">
        <v>1504</v>
      </c>
      <c r="B721" s="7" t="s">
        <v>1505</v>
      </c>
      <c r="C721" s="8" t="s">
        <v>4127</v>
      </c>
      <c r="D721" s="8">
        <v>44998</v>
      </c>
      <c r="E721" s="7">
        <v>3</v>
      </c>
      <c r="F721" s="7">
        <v>13</v>
      </c>
      <c r="G721" s="7">
        <v>2023</v>
      </c>
      <c r="H721" s="8">
        <f t="shared" si="33"/>
        <v>44998</v>
      </c>
      <c r="I721" s="11">
        <v>45000</v>
      </c>
      <c r="J721" s="7">
        <f t="shared" si="34"/>
        <v>2</v>
      </c>
      <c r="K721" s="7" t="s">
        <v>14</v>
      </c>
      <c r="L721" s="7">
        <v>94396</v>
      </c>
      <c r="M721" s="7">
        <v>3016</v>
      </c>
      <c r="N721" s="12">
        <v>3773.22</v>
      </c>
      <c r="O721" s="12">
        <f t="shared" si="35"/>
        <v>3632.575</v>
      </c>
      <c r="P721" s="7">
        <v>0</v>
      </c>
      <c r="Q721" s="7" t="b">
        <v>0</v>
      </c>
      <c r="R721" s="7"/>
      <c r="S721" s="15" t="s">
        <v>16</v>
      </c>
    </row>
    <row r="722" spans="1:19">
      <c r="A722" s="3" t="s">
        <v>1506</v>
      </c>
      <c r="B722" s="4" t="s">
        <v>1507</v>
      </c>
      <c r="C722" s="5" t="s">
        <v>4128</v>
      </c>
      <c r="D722" s="5">
        <v>44930</v>
      </c>
      <c r="E722" s="4">
        <v>1</v>
      </c>
      <c r="F722" s="4">
        <v>4</v>
      </c>
      <c r="G722" s="4">
        <v>2023</v>
      </c>
      <c r="H722" s="5">
        <f t="shared" si="33"/>
        <v>44930</v>
      </c>
      <c r="I722" s="9">
        <v>44947</v>
      </c>
      <c r="J722" s="4">
        <f t="shared" si="34"/>
        <v>17</v>
      </c>
      <c r="K722" s="4" t="s">
        <v>138</v>
      </c>
      <c r="L722" s="4">
        <v>62642</v>
      </c>
      <c r="M722" s="4">
        <v>2162</v>
      </c>
      <c r="N722" s="10">
        <v>3172.28</v>
      </c>
      <c r="O722" s="10">
        <f t="shared" si="35"/>
        <v>3172.28</v>
      </c>
      <c r="P722" s="4">
        <v>170</v>
      </c>
      <c r="Q722" s="4" t="b">
        <v>1</v>
      </c>
      <c r="R722" s="4"/>
      <c r="S722" s="14" t="s">
        <v>139</v>
      </c>
    </row>
    <row r="723" spans="1:19">
      <c r="A723" s="6" t="s">
        <v>1508</v>
      </c>
      <c r="B723" s="7" t="s">
        <v>1509</v>
      </c>
      <c r="C723" s="8" t="s">
        <v>4127</v>
      </c>
      <c r="D723" s="8">
        <v>45063</v>
      </c>
      <c r="E723" s="7">
        <v>5</v>
      </c>
      <c r="F723" s="7">
        <v>17</v>
      </c>
      <c r="G723" s="7">
        <v>2023</v>
      </c>
      <c r="H723" s="8">
        <f t="shared" si="33"/>
        <v>45063</v>
      </c>
      <c r="I723" s="11">
        <v>45067</v>
      </c>
      <c r="J723" s="7">
        <f t="shared" si="34"/>
        <v>4</v>
      </c>
      <c r="K723" s="7" t="s">
        <v>41</v>
      </c>
      <c r="L723" s="7">
        <v>77539</v>
      </c>
      <c r="M723" s="7">
        <v>1476</v>
      </c>
      <c r="N723" s="12">
        <v>790.1</v>
      </c>
      <c r="O723" s="12">
        <f t="shared" si="35"/>
        <v>790.1</v>
      </c>
      <c r="P723" s="7">
        <v>178</v>
      </c>
      <c r="Q723" s="7" t="b">
        <v>1</v>
      </c>
      <c r="R723" s="7"/>
      <c r="S723" s="15" t="s">
        <v>42</v>
      </c>
    </row>
    <row r="724" spans="1:19">
      <c r="A724" s="3" t="s">
        <v>1510</v>
      </c>
      <c r="B724" s="4" t="s">
        <v>1511</v>
      </c>
      <c r="C724" s="5" t="s">
        <v>4128</v>
      </c>
      <c r="D724" s="5" t="s">
        <v>1512</v>
      </c>
      <c r="E724" s="4">
        <v>21</v>
      </c>
      <c r="F724" s="4">
        <v>10</v>
      </c>
      <c r="G724" s="4">
        <v>2023</v>
      </c>
      <c r="H724" s="5">
        <f t="shared" si="33"/>
        <v>45220</v>
      </c>
      <c r="I724" s="9">
        <v>45239</v>
      </c>
      <c r="J724" s="4">
        <f t="shared" si="34"/>
        <v>19</v>
      </c>
      <c r="K724" s="4" t="s">
        <v>14</v>
      </c>
      <c r="L724" s="4">
        <v>22732</v>
      </c>
      <c r="M724" s="4">
        <v>997</v>
      </c>
      <c r="N724" s="10">
        <v>1141</v>
      </c>
      <c r="O724" s="10">
        <f t="shared" si="35"/>
        <v>1141</v>
      </c>
      <c r="P724" s="4">
        <v>103</v>
      </c>
      <c r="Q724" s="4" t="b">
        <v>1</v>
      </c>
      <c r="R724" s="4"/>
      <c r="S724" s="14" t="s">
        <v>16</v>
      </c>
    </row>
    <row r="725" spans="1:19">
      <c r="A725" s="6" t="s">
        <v>1513</v>
      </c>
      <c r="B725" s="7" t="s">
        <v>1514</v>
      </c>
      <c r="C725" s="8" t="s">
        <v>4127</v>
      </c>
      <c r="D725" s="8">
        <v>45261</v>
      </c>
      <c r="E725" s="7">
        <v>12</v>
      </c>
      <c r="F725" s="7">
        <v>1</v>
      </c>
      <c r="G725" s="7">
        <v>2023</v>
      </c>
      <c r="H725" s="8">
        <f t="shared" si="33"/>
        <v>45261</v>
      </c>
      <c r="I725" s="11">
        <v>45262</v>
      </c>
      <c r="J725" s="7">
        <f t="shared" si="34"/>
        <v>1</v>
      </c>
      <c r="K725" s="7" t="s">
        <v>41</v>
      </c>
      <c r="L725" s="7">
        <v>92362</v>
      </c>
      <c r="M725" s="7">
        <v>2507</v>
      </c>
      <c r="N725" s="12">
        <v>2302.45</v>
      </c>
      <c r="O725" s="12">
        <f t="shared" si="35"/>
        <v>2302.45</v>
      </c>
      <c r="P725" s="7">
        <v>260</v>
      </c>
      <c r="Q725" s="7" t="b">
        <v>1</v>
      </c>
      <c r="R725" s="7"/>
      <c r="S725" s="15" t="s">
        <v>42</v>
      </c>
    </row>
    <row r="726" spans="1:19">
      <c r="A726" s="3" t="s">
        <v>1515</v>
      </c>
      <c r="B726" s="4" t="s">
        <v>1516</v>
      </c>
      <c r="C726" s="5" t="s">
        <v>4128</v>
      </c>
      <c r="D726" s="5">
        <v>45268</v>
      </c>
      <c r="E726" s="4">
        <v>12</v>
      </c>
      <c r="F726" s="4">
        <v>8</v>
      </c>
      <c r="G726" s="4">
        <v>2023</v>
      </c>
      <c r="H726" s="5">
        <f t="shared" si="33"/>
        <v>45268</v>
      </c>
      <c r="I726" s="9">
        <v>45277</v>
      </c>
      <c r="J726" s="4">
        <f t="shared" si="34"/>
        <v>9</v>
      </c>
      <c r="K726" s="4" t="s">
        <v>14</v>
      </c>
      <c r="L726" s="4">
        <v>31354</v>
      </c>
      <c r="M726" s="4">
        <v>490</v>
      </c>
      <c r="N726" s="10">
        <v>339.94</v>
      </c>
      <c r="O726" s="10">
        <f t="shared" si="35"/>
        <v>339.94</v>
      </c>
      <c r="P726" s="4">
        <v>63</v>
      </c>
      <c r="Q726" s="4" t="b">
        <v>0</v>
      </c>
      <c r="R726" s="4"/>
      <c r="S726" s="14" t="s">
        <v>16</v>
      </c>
    </row>
    <row r="727" spans="1:19">
      <c r="A727" s="6" t="s">
        <v>1517</v>
      </c>
      <c r="B727" s="7" t="s">
        <v>1518</v>
      </c>
      <c r="C727" s="8" t="s">
        <v>4131</v>
      </c>
      <c r="D727" s="8">
        <v>45134</v>
      </c>
      <c r="E727" s="7">
        <v>7</v>
      </c>
      <c r="F727" s="7">
        <v>27</v>
      </c>
      <c r="G727" s="7">
        <v>2023</v>
      </c>
      <c r="H727" s="8">
        <f t="shared" si="33"/>
        <v>45134</v>
      </c>
      <c r="I727" s="11">
        <v>45164</v>
      </c>
      <c r="J727" s="7">
        <f t="shared" si="34"/>
        <v>30</v>
      </c>
      <c r="K727" s="7" t="s">
        <v>14</v>
      </c>
      <c r="L727" s="7">
        <v>14843</v>
      </c>
      <c r="M727" s="7">
        <v>542</v>
      </c>
      <c r="N727" s="12">
        <v>351.93</v>
      </c>
      <c r="O727" s="12">
        <f t="shared" si="35"/>
        <v>351.93</v>
      </c>
      <c r="P727" s="7">
        <v>74</v>
      </c>
      <c r="Q727" s="7" t="b">
        <v>0</v>
      </c>
      <c r="R727" s="7"/>
      <c r="S727" s="15" t="s">
        <v>16</v>
      </c>
    </row>
    <row r="728" spans="1:19">
      <c r="A728" s="3" t="s">
        <v>1519</v>
      </c>
      <c r="B728" s="4" t="s">
        <v>1520</v>
      </c>
      <c r="C728" s="5" t="s">
        <v>4131</v>
      </c>
      <c r="D728" s="5">
        <v>45287</v>
      </c>
      <c r="E728" s="4">
        <v>12</v>
      </c>
      <c r="F728" s="4">
        <v>27</v>
      </c>
      <c r="G728" s="4">
        <v>2023</v>
      </c>
      <c r="H728" s="5">
        <f t="shared" si="33"/>
        <v>45287</v>
      </c>
      <c r="I728" s="9">
        <v>45305</v>
      </c>
      <c r="J728" s="4">
        <f t="shared" si="34"/>
        <v>18</v>
      </c>
      <c r="K728" s="4" t="s">
        <v>41</v>
      </c>
      <c r="L728" s="4">
        <v>72726</v>
      </c>
      <c r="M728" s="4">
        <v>1355</v>
      </c>
      <c r="N728" s="10">
        <v>1903.49</v>
      </c>
      <c r="O728" s="10">
        <f t="shared" si="35"/>
        <v>1903.49</v>
      </c>
      <c r="P728" s="4">
        <v>229</v>
      </c>
      <c r="Q728" s="4" t="b">
        <v>1</v>
      </c>
      <c r="R728" s="4"/>
      <c r="S728" s="14" t="s">
        <v>42</v>
      </c>
    </row>
    <row r="729" spans="1:19">
      <c r="A729" s="6" t="s">
        <v>1521</v>
      </c>
      <c r="B729" s="7" t="s">
        <v>1522</v>
      </c>
      <c r="C729" s="8" t="s">
        <v>4131</v>
      </c>
      <c r="D729" s="8">
        <v>45254</v>
      </c>
      <c r="E729" s="7">
        <v>11</v>
      </c>
      <c r="F729" s="7">
        <v>24</v>
      </c>
      <c r="G729" s="7">
        <v>2023</v>
      </c>
      <c r="H729" s="8">
        <f t="shared" si="33"/>
        <v>45254</v>
      </c>
      <c r="I729" s="11">
        <v>45276</v>
      </c>
      <c r="J729" s="7">
        <f t="shared" si="34"/>
        <v>22</v>
      </c>
      <c r="K729" s="7" t="s">
        <v>14</v>
      </c>
      <c r="L729" s="7">
        <v>18640</v>
      </c>
      <c r="M729" s="7">
        <v>259</v>
      </c>
      <c r="N729" s="12">
        <v>332.92</v>
      </c>
      <c r="O729" s="12">
        <f t="shared" si="35"/>
        <v>332.92</v>
      </c>
      <c r="P729" s="7">
        <v>26</v>
      </c>
      <c r="Q729" s="7" t="b">
        <v>1</v>
      </c>
      <c r="R729" s="7"/>
      <c r="S729" s="15" t="s">
        <v>16</v>
      </c>
    </row>
    <row r="730" spans="1:19">
      <c r="A730" s="3" t="s">
        <v>1523</v>
      </c>
      <c r="B730" s="4" t="s">
        <v>1524</v>
      </c>
      <c r="C730" s="5" t="s">
        <v>4131</v>
      </c>
      <c r="D730" s="5">
        <v>45241</v>
      </c>
      <c r="E730" s="4">
        <v>11</v>
      </c>
      <c r="F730" s="4">
        <v>11</v>
      </c>
      <c r="G730" s="4">
        <v>2023</v>
      </c>
      <c r="H730" s="5">
        <f t="shared" si="33"/>
        <v>45241</v>
      </c>
      <c r="I730" s="9">
        <v>45247</v>
      </c>
      <c r="J730" s="4">
        <f t="shared" si="34"/>
        <v>6</v>
      </c>
      <c r="K730" s="4" t="s">
        <v>14</v>
      </c>
      <c r="L730" s="4">
        <v>53528</v>
      </c>
      <c r="M730" s="4">
        <v>2380</v>
      </c>
      <c r="N730" s="10">
        <v>2095.3</v>
      </c>
      <c r="O730" s="10">
        <f t="shared" si="35"/>
        <v>2095.3</v>
      </c>
      <c r="P730" s="4">
        <v>406</v>
      </c>
      <c r="Q730" s="4" t="b">
        <v>1</v>
      </c>
      <c r="R730" s="4"/>
      <c r="S730" s="14" t="s">
        <v>16</v>
      </c>
    </row>
    <row r="731" spans="1:19">
      <c r="A731" s="6" t="s">
        <v>1525</v>
      </c>
      <c r="B731" s="7" t="s">
        <v>1526</v>
      </c>
      <c r="C731" s="8" t="s">
        <v>4128</v>
      </c>
      <c r="D731" s="8">
        <v>45171</v>
      </c>
      <c r="E731" s="7">
        <v>9</v>
      </c>
      <c r="F731" s="7">
        <v>2</v>
      </c>
      <c r="G731" s="7">
        <v>2023</v>
      </c>
      <c r="H731" s="8">
        <f t="shared" si="33"/>
        <v>45171</v>
      </c>
      <c r="I731" s="11">
        <v>45195</v>
      </c>
      <c r="J731" s="7">
        <f t="shared" si="34"/>
        <v>24</v>
      </c>
      <c r="K731" s="7" t="s">
        <v>23</v>
      </c>
      <c r="L731" s="7">
        <v>39413</v>
      </c>
      <c r="M731" s="7">
        <v>1119</v>
      </c>
      <c r="N731" s="12">
        <v>1349.99</v>
      </c>
      <c r="O731" s="12">
        <f t="shared" si="35"/>
        <v>1349.99</v>
      </c>
      <c r="P731" s="7">
        <v>112</v>
      </c>
      <c r="Q731" s="7" t="b">
        <v>1</v>
      </c>
      <c r="R731" s="7"/>
      <c r="S731" s="15" t="s">
        <v>68</v>
      </c>
    </row>
    <row r="732" spans="1:19">
      <c r="A732" s="3" t="s">
        <v>1527</v>
      </c>
      <c r="B732" s="4" t="s">
        <v>1528</v>
      </c>
      <c r="C732" s="5" t="s">
        <v>4127</v>
      </c>
      <c r="D732" s="5">
        <v>45237</v>
      </c>
      <c r="E732" s="4">
        <v>11</v>
      </c>
      <c r="F732" s="4">
        <v>7</v>
      </c>
      <c r="G732" s="4">
        <v>2023</v>
      </c>
      <c r="H732" s="5">
        <f t="shared" si="33"/>
        <v>45237</v>
      </c>
      <c r="I732" s="9">
        <v>45245</v>
      </c>
      <c r="J732" s="4">
        <f t="shared" si="34"/>
        <v>8</v>
      </c>
      <c r="K732" s="4" t="s">
        <v>19</v>
      </c>
      <c r="L732" s="4">
        <v>53638</v>
      </c>
      <c r="M732" s="4">
        <v>2143</v>
      </c>
      <c r="N732" s="10">
        <v>2653.78</v>
      </c>
      <c r="O732" s="10">
        <f t="shared" si="35"/>
        <v>2653.78</v>
      </c>
      <c r="P732" s="4">
        <v>124</v>
      </c>
      <c r="Q732" s="4" t="b">
        <v>1</v>
      </c>
      <c r="R732" s="4"/>
      <c r="S732" s="14" t="s">
        <v>20</v>
      </c>
    </row>
    <row r="733" spans="1:19">
      <c r="A733" s="6" t="s">
        <v>1529</v>
      </c>
      <c r="B733" s="7" t="s">
        <v>1530</v>
      </c>
      <c r="C733" s="8" t="s">
        <v>4128</v>
      </c>
      <c r="D733" s="8">
        <v>45168</v>
      </c>
      <c r="E733" s="7">
        <v>8</v>
      </c>
      <c r="F733" s="7">
        <v>30</v>
      </c>
      <c r="G733" s="7">
        <v>2023</v>
      </c>
      <c r="H733" s="8">
        <f t="shared" si="33"/>
        <v>45168</v>
      </c>
      <c r="I733" s="11">
        <v>45190</v>
      </c>
      <c r="J733" s="7">
        <f t="shared" si="34"/>
        <v>22</v>
      </c>
      <c r="K733" s="7" t="s">
        <v>19</v>
      </c>
      <c r="L733" s="7">
        <v>53736</v>
      </c>
      <c r="M733" s="7">
        <v>1161</v>
      </c>
      <c r="N733" s="12">
        <v>920.11</v>
      </c>
      <c r="O733" s="12">
        <f t="shared" si="35"/>
        <v>920.11</v>
      </c>
      <c r="P733" s="7">
        <v>154</v>
      </c>
      <c r="Q733" s="7" t="b">
        <v>1</v>
      </c>
      <c r="R733" s="7"/>
      <c r="S733" s="15" t="s">
        <v>20</v>
      </c>
    </row>
    <row r="734" spans="1:19">
      <c r="A734" s="3" t="s">
        <v>1531</v>
      </c>
      <c r="B734" s="4" t="s">
        <v>1532</v>
      </c>
      <c r="C734" s="5" t="s">
        <v>4131</v>
      </c>
      <c r="D734" s="5">
        <v>45038</v>
      </c>
      <c r="E734" s="4">
        <v>4</v>
      </c>
      <c r="F734" s="4">
        <v>22</v>
      </c>
      <c r="G734" s="4">
        <v>2023</v>
      </c>
      <c r="H734" s="5">
        <f t="shared" si="33"/>
        <v>45038</v>
      </c>
      <c r="I734" s="9">
        <v>45061</v>
      </c>
      <c r="J734" s="4">
        <f t="shared" si="34"/>
        <v>23</v>
      </c>
      <c r="K734" s="4" t="s">
        <v>33</v>
      </c>
      <c r="L734" s="4">
        <v>69866</v>
      </c>
      <c r="M734" s="4">
        <v>2897</v>
      </c>
      <c r="N734" s="10">
        <v>4282.17</v>
      </c>
      <c r="O734" s="10">
        <f t="shared" si="35"/>
        <v>3632.575</v>
      </c>
      <c r="P734" s="4">
        <v>400</v>
      </c>
      <c r="Q734" s="4" t="b">
        <v>1</v>
      </c>
      <c r="R734" s="4"/>
      <c r="S734" s="14" t="s">
        <v>34</v>
      </c>
    </row>
    <row r="735" spans="1:19">
      <c r="A735" s="6" t="s">
        <v>1533</v>
      </c>
      <c r="B735" s="7" t="s">
        <v>1534</v>
      </c>
      <c r="C735" s="8" t="s">
        <v>4131</v>
      </c>
      <c r="D735" s="8">
        <v>45232</v>
      </c>
      <c r="E735" s="7">
        <v>11</v>
      </c>
      <c r="F735" s="7">
        <v>2</v>
      </c>
      <c r="G735" s="7">
        <v>2023</v>
      </c>
      <c r="H735" s="8">
        <f t="shared" si="33"/>
        <v>45232</v>
      </c>
      <c r="I735" s="11">
        <v>44994</v>
      </c>
      <c r="J735" s="7">
        <f t="shared" si="34"/>
        <v>-238</v>
      </c>
      <c r="K735" s="7" t="s">
        <v>41</v>
      </c>
      <c r="L735" s="7">
        <v>20087</v>
      </c>
      <c r="M735" s="7">
        <v>290</v>
      </c>
      <c r="N735" s="12">
        <v>484.7</v>
      </c>
      <c r="O735" s="12">
        <f t="shared" si="35"/>
        <v>484.7</v>
      </c>
      <c r="P735" s="7">
        <v>55</v>
      </c>
      <c r="Q735" s="7" t="b">
        <v>0</v>
      </c>
      <c r="R735" s="7"/>
      <c r="S735" s="15" t="s">
        <v>42</v>
      </c>
    </row>
    <row r="736" spans="1:19">
      <c r="A736" s="3" t="s">
        <v>1535</v>
      </c>
      <c r="B736" s="4" t="s">
        <v>1536</v>
      </c>
      <c r="C736" s="5" t="s">
        <v>4131</v>
      </c>
      <c r="D736" s="5">
        <v>45155</v>
      </c>
      <c r="E736" s="4">
        <v>8</v>
      </c>
      <c r="F736" s="4">
        <v>17</v>
      </c>
      <c r="G736" s="4">
        <v>2023</v>
      </c>
      <c r="H736" s="5">
        <f t="shared" si="33"/>
        <v>45155</v>
      </c>
      <c r="I736" s="9">
        <v>45166</v>
      </c>
      <c r="J736" s="4">
        <f t="shared" si="34"/>
        <v>11</v>
      </c>
      <c r="K736" s="4" t="s">
        <v>23</v>
      </c>
      <c r="L736" s="4">
        <v>42430</v>
      </c>
      <c r="M736" s="4">
        <v>1028</v>
      </c>
      <c r="N736" s="10">
        <v>1734.44</v>
      </c>
      <c r="O736" s="10">
        <f t="shared" si="35"/>
        <v>1734.44</v>
      </c>
      <c r="P736" s="4">
        <v>163</v>
      </c>
      <c r="Q736" s="4" t="b">
        <v>1</v>
      </c>
      <c r="R736" s="4"/>
      <c r="S736" s="14" t="s">
        <v>25</v>
      </c>
    </row>
    <row r="737" spans="1:19">
      <c r="A737" s="6" t="s">
        <v>1537</v>
      </c>
      <c r="B737" s="7" t="s">
        <v>1538</v>
      </c>
      <c r="C737" s="8" t="s">
        <v>4129</v>
      </c>
      <c r="D737" s="8">
        <v>45215</v>
      </c>
      <c r="E737" s="7">
        <v>10</v>
      </c>
      <c r="F737" s="7">
        <v>16</v>
      </c>
      <c r="G737" s="7">
        <v>2023</v>
      </c>
      <c r="H737" s="8">
        <f t="shared" si="33"/>
        <v>45215</v>
      </c>
      <c r="I737" s="11">
        <v>45231</v>
      </c>
      <c r="J737" s="7">
        <f t="shared" si="34"/>
        <v>16</v>
      </c>
      <c r="K737" s="7" t="s">
        <v>266</v>
      </c>
      <c r="L737" s="7">
        <v>25504</v>
      </c>
      <c r="M737" s="7">
        <v>1252</v>
      </c>
      <c r="N737" s="12">
        <v>1757.44</v>
      </c>
      <c r="O737" s="12">
        <f t="shared" si="35"/>
        <v>1757.44</v>
      </c>
      <c r="P737" s="7">
        <v>234</v>
      </c>
      <c r="Q737" s="7" t="b">
        <v>0</v>
      </c>
      <c r="R737" s="7"/>
      <c r="S737" s="15" t="s">
        <v>20</v>
      </c>
    </row>
    <row r="738" spans="1:19">
      <c r="A738" s="3" t="s">
        <v>1539</v>
      </c>
      <c r="B738" s="4" t="s">
        <v>1540</v>
      </c>
      <c r="C738" s="5" t="s">
        <v>4128</v>
      </c>
      <c r="D738" s="5">
        <v>45185</v>
      </c>
      <c r="E738" s="4">
        <v>9</v>
      </c>
      <c r="F738" s="4">
        <v>16</v>
      </c>
      <c r="G738" s="4">
        <v>2023</v>
      </c>
      <c r="H738" s="5">
        <f t="shared" si="33"/>
        <v>45185</v>
      </c>
      <c r="I738" s="9">
        <v>45189</v>
      </c>
      <c r="J738" s="4">
        <f t="shared" si="34"/>
        <v>4</v>
      </c>
      <c r="K738" s="4" t="s">
        <v>23</v>
      </c>
      <c r="L738" s="4">
        <v>8114</v>
      </c>
      <c r="M738" s="4">
        <v>338</v>
      </c>
      <c r="N738" s="10">
        <v>428.4</v>
      </c>
      <c r="O738" s="10">
        <f t="shared" si="35"/>
        <v>428.4</v>
      </c>
      <c r="P738" s="4">
        <v>62</v>
      </c>
      <c r="Q738" s="4" t="b">
        <v>1</v>
      </c>
      <c r="R738" s="4"/>
      <c r="S738" s="14" t="s">
        <v>68</v>
      </c>
    </row>
    <row r="739" spans="1:19">
      <c r="A739" s="6" t="s">
        <v>1541</v>
      </c>
      <c r="B739" s="7" t="s">
        <v>1542</v>
      </c>
      <c r="C739" s="8" t="s">
        <v>4129</v>
      </c>
      <c r="D739" s="8">
        <v>45011</v>
      </c>
      <c r="E739" s="7">
        <v>3</v>
      </c>
      <c r="F739" s="7">
        <v>26</v>
      </c>
      <c r="G739" s="7">
        <v>2023</v>
      </c>
      <c r="H739" s="8">
        <f t="shared" si="33"/>
        <v>45011</v>
      </c>
      <c r="I739" s="11">
        <v>45022</v>
      </c>
      <c r="J739" s="7">
        <f t="shared" si="34"/>
        <v>11</v>
      </c>
      <c r="K739" s="7" t="s">
        <v>41</v>
      </c>
      <c r="L739" s="7">
        <v>79859</v>
      </c>
      <c r="M739" s="7">
        <v>2387</v>
      </c>
      <c r="N739" s="12">
        <v>1411.94</v>
      </c>
      <c r="O739" s="12">
        <f t="shared" si="35"/>
        <v>1411.94</v>
      </c>
      <c r="P739" s="7">
        <v>335</v>
      </c>
      <c r="Q739" s="7" t="b">
        <v>0</v>
      </c>
      <c r="R739" s="7"/>
      <c r="S739" s="15" t="s">
        <v>42</v>
      </c>
    </row>
    <row r="740" spans="1:19">
      <c r="A740" s="3" t="s">
        <v>1543</v>
      </c>
      <c r="B740" s="4" t="s">
        <v>1544</v>
      </c>
      <c r="C740" s="5" t="s">
        <v>4128</v>
      </c>
      <c r="D740" s="5">
        <v>44986</v>
      </c>
      <c r="E740" s="4">
        <v>3</v>
      </c>
      <c r="F740" s="4">
        <v>1</v>
      </c>
      <c r="G740" s="4">
        <v>2023</v>
      </c>
      <c r="H740" s="5">
        <f t="shared" si="33"/>
        <v>44986</v>
      </c>
      <c r="I740" s="9">
        <v>45010</v>
      </c>
      <c r="J740" s="4">
        <f t="shared" si="34"/>
        <v>24</v>
      </c>
      <c r="K740" s="4" t="s">
        <v>41</v>
      </c>
      <c r="L740" s="4">
        <v>11975</v>
      </c>
      <c r="M740" s="4">
        <v>282</v>
      </c>
      <c r="N740" s="10">
        <v>262.75</v>
      </c>
      <c r="O740" s="10">
        <f t="shared" si="35"/>
        <v>262.75</v>
      </c>
      <c r="P740" s="4">
        <v>36</v>
      </c>
      <c r="Q740" s="4" t="b">
        <v>1</v>
      </c>
      <c r="R740" s="4"/>
      <c r="S740" s="14" t="s">
        <v>42</v>
      </c>
    </row>
    <row r="741" spans="1:19">
      <c r="A741" s="6" t="s">
        <v>1545</v>
      </c>
      <c r="B741" s="7" t="s">
        <v>1546</v>
      </c>
      <c r="C741" s="8" t="s">
        <v>4131</v>
      </c>
      <c r="D741" s="8">
        <v>45147</v>
      </c>
      <c r="E741" s="7">
        <v>8</v>
      </c>
      <c r="F741" s="7">
        <v>9</v>
      </c>
      <c r="G741" s="7">
        <v>2023</v>
      </c>
      <c r="H741" s="8">
        <f t="shared" si="33"/>
        <v>45147</v>
      </c>
      <c r="I741" s="11">
        <v>45204</v>
      </c>
      <c r="J741" s="7">
        <f t="shared" si="34"/>
        <v>57</v>
      </c>
      <c r="K741" s="7" t="s">
        <v>23</v>
      </c>
      <c r="L741" s="7">
        <v>12023</v>
      </c>
      <c r="M741" s="7">
        <v>539</v>
      </c>
      <c r="N741" s="12">
        <v>344.91</v>
      </c>
      <c r="O741" s="12">
        <f t="shared" si="35"/>
        <v>344.91</v>
      </c>
      <c r="P741" s="7">
        <v>72</v>
      </c>
      <c r="Q741" s="7" t="b">
        <v>0</v>
      </c>
      <c r="R741" s="7"/>
      <c r="S741" s="15" t="s">
        <v>59</v>
      </c>
    </row>
    <row r="742" spans="1:19">
      <c r="A742" s="3" t="s">
        <v>1547</v>
      </c>
      <c r="B742" s="4" t="s">
        <v>1548</v>
      </c>
      <c r="C742" s="5" t="s">
        <v>4131</v>
      </c>
      <c r="D742" s="5">
        <v>45188</v>
      </c>
      <c r="E742" s="4">
        <v>9</v>
      </c>
      <c r="F742" s="4">
        <v>19</v>
      </c>
      <c r="G742" s="4">
        <v>2023</v>
      </c>
      <c r="H742" s="5">
        <f t="shared" si="33"/>
        <v>45188</v>
      </c>
      <c r="I742" s="9">
        <v>45214</v>
      </c>
      <c r="J742" s="4">
        <f t="shared" si="34"/>
        <v>26</v>
      </c>
      <c r="K742" s="4" t="s">
        <v>33</v>
      </c>
      <c r="L742" s="4">
        <v>22447</v>
      </c>
      <c r="M742" s="4">
        <v>713</v>
      </c>
      <c r="N742" s="10">
        <v>1387.31</v>
      </c>
      <c r="O742" s="10">
        <f t="shared" si="35"/>
        <v>1387.31</v>
      </c>
      <c r="P742" s="4">
        <v>140</v>
      </c>
      <c r="Q742" s="4" t="b">
        <v>0</v>
      </c>
      <c r="R742" s="4"/>
      <c r="S742" s="14" t="s">
        <v>34</v>
      </c>
    </row>
    <row r="743" spans="1:19">
      <c r="A743" s="6" t="s">
        <v>1549</v>
      </c>
      <c r="B743" s="7" t="s">
        <v>1550</v>
      </c>
      <c r="C743" s="8" t="s">
        <v>4127</v>
      </c>
      <c r="D743" s="8">
        <v>44994</v>
      </c>
      <c r="E743" s="7">
        <v>3</v>
      </c>
      <c r="F743" s="7">
        <v>9</v>
      </c>
      <c r="G743" s="7">
        <v>2023</v>
      </c>
      <c r="H743" s="8">
        <f t="shared" si="33"/>
        <v>44994</v>
      </c>
      <c r="I743" s="11">
        <v>45006</v>
      </c>
      <c r="J743" s="7">
        <f t="shared" si="34"/>
        <v>12</v>
      </c>
      <c r="K743" s="7" t="s">
        <v>23</v>
      </c>
      <c r="L743" s="7">
        <v>91469</v>
      </c>
      <c r="M743" s="7">
        <v>3689</v>
      </c>
      <c r="N743" s="12">
        <v>2591.97</v>
      </c>
      <c r="O743" s="12">
        <f t="shared" si="35"/>
        <v>2591.97</v>
      </c>
      <c r="P743" s="7">
        <v>612</v>
      </c>
      <c r="Q743" s="7" t="b">
        <v>1</v>
      </c>
      <c r="R743" s="7"/>
      <c r="S743" s="15" t="s">
        <v>25</v>
      </c>
    </row>
    <row r="744" spans="1:19">
      <c r="A744" s="3" t="s">
        <v>1551</v>
      </c>
      <c r="B744" s="4" t="s">
        <v>1552</v>
      </c>
      <c r="C744" s="5" t="s">
        <v>4128</v>
      </c>
      <c r="D744" s="5">
        <v>44956</v>
      </c>
      <c r="E744" s="4">
        <v>1</v>
      </c>
      <c r="F744" s="4">
        <v>30</v>
      </c>
      <c r="G744" s="4">
        <v>2023</v>
      </c>
      <c r="H744" s="5">
        <f t="shared" si="33"/>
        <v>44956</v>
      </c>
      <c r="I744" s="9">
        <v>44974</v>
      </c>
      <c r="J744" s="4">
        <f t="shared" si="34"/>
        <v>18</v>
      </c>
      <c r="K744" s="4" t="s">
        <v>41</v>
      </c>
      <c r="L744" s="4">
        <v>24959</v>
      </c>
      <c r="M744" s="4">
        <v>1002</v>
      </c>
      <c r="N744" s="10">
        <v>729.12</v>
      </c>
      <c r="O744" s="10">
        <f t="shared" si="35"/>
        <v>729.12</v>
      </c>
      <c r="P744" s="4">
        <v>66</v>
      </c>
      <c r="Q744" s="4" t="b">
        <v>1</v>
      </c>
      <c r="R744" s="4"/>
      <c r="S744" s="14" t="s">
        <v>42</v>
      </c>
    </row>
    <row r="745" spans="1:19">
      <c r="A745" s="6" t="s">
        <v>1553</v>
      </c>
      <c r="B745" s="7" t="s">
        <v>1554</v>
      </c>
      <c r="C745" s="8" t="s">
        <v>4129</v>
      </c>
      <c r="D745" s="8">
        <v>45084</v>
      </c>
      <c r="E745" s="7">
        <v>6</v>
      </c>
      <c r="F745" s="7">
        <v>7</v>
      </c>
      <c r="G745" s="7">
        <v>2023</v>
      </c>
      <c r="H745" s="8">
        <f t="shared" si="33"/>
        <v>45084</v>
      </c>
      <c r="I745" s="11">
        <v>45114</v>
      </c>
      <c r="J745" s="7">
        <f t="shared" si="34"/>
        <v>30</v>
      </c>
      <c r="K745" s="7" t="s">
        <v>33</v>
      </c>
      <c r="L745" s="7">
        <v>67203</v>
      </c>
      <c r="M745" s="7">
        <v>720</v>
      </c>
      <c r="N745" s="12">
        <v>1320.74</v>
      </c>
      <c r="O745" s="12">
        <f t="shared" si="35"/>
        <v>1320.74</v>
      </c>
      <c r="P745" s="7">
        <v>120</v>
      </c>
      <c r="Q745" s="7" t="b">
        <v>0</v>
      </c>
      <c r="R745" s="7"/>
      <c r="S745" s="15" t="s">
        <v>34</v>
      </c>
    </row>
    <row r="746" spans="1:19">
      <c r="A746" s="3" t="s">
        <v>1555</v>
      </c>
      <c r="B746" s="4" t="s">
        <v>1556</v>
      </c>
      <c r="C746" s="5" t="s">
        <v>4129</v>
      </c>
      <c r="D746" s="5">
        <v>44928</v>
      </c>
      <c r="E746" s="4">
        <v>1</v>
      </c>
      <c r="F746" s="4">
        <v>2</v>
      </c>
      <c r="G746" s="4">
        <v>2023</v>
      </c>
      <c r="H746" s="5">
        <f t="shared" si="33"/>
        <v>44928</v>
      </c>
      <c r="I746" s="9">
        <v>44941</v>
      </c>
      <c r="J746" s="4">
        <f t="shared" si="34"/>
        <v>13</v>
      </c>
      <c r="K746" s="4" t="s">
        <v>23</v>
      </c>
      <c r="L746" s="4">
        <v>30703</v>
      </c>
      <c r="M746" s="4">
        <v>462</v>
      </c>
      <c r="N746" s="10">
        <v>885.14</v>
      </c>
      <c r="O746" s="10">
        <f t="shared" si="35"/>
        <v>885.14</v>
      </c>
      <c r="P746" s="4">
        <v>34</v>
      </c>
      <c r="Q746" s="4" t="b">
        <v>0</v>
      </c>
      <c r="R746" s="4"/>
      <c r="S746" s="14" t="s">
        <v>25</v>
      </c>
    </row>
    <row r="747" spans="1:19">
      <c r="A747" s="6" t="s">
        <v>1557</v>
      </c>
      <c r="B747" s="7" t="s">
        <v>1558</v>
      </c>
      <c r="C747" s="8" t="s">
        <v>4128</v>
      </c>
      <c r="D747" s="8">
        <v>44950</v>
      </c>
      <c r="E747" s="7">
        <v>1</v>
      </c>
      <c r="F747" s="7">
        <v>24</v>
      </c>
      <c r="G747" s="7">
        <v>2023</v>
      </c>
      <c r="H747" s="8">
        <f t="shared" si="33"/>
        <v>44950</v>
      </c>
      <c r="I747" s="11">
        <v>44967</v>
      </c>
      <c r="J747" s="7">
        <f t="shared" si="34"/>
        <v>17</v>
      </c>
      <c r="K747" s="7" t="s">
        <v>41</v>
      </c>
      <c r="L747" s="7">
        <v>10337</v>
      </c>
      <c r="M747" s="7">
        <v>376</v>
      </c>
      <c r="N747" s="12">
        <v>619.93</v>
      </c>
      <c r="O747" s="12">
        <f t="shared" si="35"/>
        <v>619.93</v>
      </c>
      <c r="P747" s="7">
        <v>44</v>
      </c>
      <c r="Q747" s="7" t="b">
        <v>0</v>
      </c>
      <c r="R747" s="7"/>
      <c r="S747" s="15" t="s">
        <v>42</v>
      </c>
    </row>
    <row r="748" spans="1:19">
      <c r="A748" s="3" t="s">
        <v>1559</v>
      </c>
      <c r="B748" s="4" t="s">
        <v>1560</v>
      </c>
      <c r="C748" s="5" t="s">
        <v>4129</v>
      </c>
      <c r="D748" s="5">
        <v>45204</v>
      </c>
      <c r="E748" s="4">
        <v>10</v>
      </c>
      <c r="F748" s="4">
        <v>5</v>
      </c>
      <c r="G748" s="4">
        <v>2023</v>
      </c>
      <c r="H748" s="5">
        <f t="shared" si="33"/>
        <v>45204</v>
      </c>
      <c r="I748" s="9">
        <v>45226</v>
      </c>
      <c r="J748" s="4">
        <f t="shared" si="34"/>
        <v>22</v>
      </c>
      <c r="K748" s="4" t="s">
        <v>19</v>
      </c>
      <c r="L748" s="4">
        <v>47427</v>
      </c>
      <c r="M748" s="4">
        <v>780</v>
      </c>
      <c r="N748" s="10">
        <v>396.32</v>
      </c>
      <c r="O748" s="10">
        <f t="shared" si="35"/>
        <v>396.32</v>
      </c>
      <c r="P748" s="4">
        <v>63</v>
      </c>
      <c r="Q748" s="4" t="b">
        <v>1</v>
      </c>
      <c r="R748" s="4"/>
      <c r="S748" s="14" t="s">
        <v>20</v>
      </c>
    </row>
    <row r="749" spans="1:19">
      <c r="A749" s="6" t="s">
        <v>1561</v>
      </c>
      <c r="B749" s="7" t="s">
        <v>1562</v>
      </c>
      <c r="C749" s="8" t="s">
        <v>4128</v>
      </c>
      <c r="D749" s="8">
        <v>44962</v>
      </c>
      <c r="E749" s="7">
        <v>2</v>
      </c>
      <c r="F749" s="7">
        <v>5</v>
      </c>
      <c r="G749" s="7">
        <v>2023</v>
      </c>
      <c r="H749" s="8">
        <f t="shared" si="33"/>
        <v>44962</v>
      </c>
      <c r="I749" s="11">
        <v>44989</v>
      </c>
      <c r="J749" s="7">
        <f t="shared" si="34"/>
        <v>27</v>
      </c>
      <c r="K749" s="7" t="s">
        <v>14</v>
      </c>
      <c r="L749" s="7">
        <v>62529</v>
      </c>
      <c r="M749" s="7">
        <v>1264</v>
      </c>
      <c r="N749" s="12">
        <v>634.55</v>
      </c>
      <c r="O749" s="12">
        <f t="shared" si="35"/>
        <v>634.55</v>
      </c>
      <c r="P749" s="7">
        <v>193</v>
      </c>
      <c r="Q749" s="7" t="b">
        <v>0</v>
      </c>
      <c r="R749" s="7"/>
      <c r="S749" s="15" t="s">
        <v>16</v>
      </c>
    </row>
    <row r="750" spans="1:19">
      <c r="A750" s="3" t="s">
        <v>1563</v>
      </c>
      <c r="B750" s="4" t="s">
        <v>1564</v>
      </c>
      <c r="C750" s="5" t="s">
        <v>4128</v>
      </c>
      <c r="D750" s="5">
        <v>45073</v>
      </c>
      <c r="E750" s="4">
        <v>5</v>
      </c>
      <c r="F750" s="4">
        <v>27</v>
      </c>
      <c r="G750" s="4">
        <v>2023</v>
      </c>
      <c r="H750" s="5">
        <f t="shared" si="33"/>
        <v>45073</v>
      </c>
      <c r="I750" s="9">
        <v>45086</v>
      </c>
      <c r="J750" s="4">
        <f t="shared" si="34"/>
        <v>13</v>
      </c>
      <c r="K750" s="4" t="s">
        <v>41</v>
      </c>
      <c r="L750" s="4">
        <v>85665</v>
      </c>
      <c r="M750" s="4">
        <v>4100</v>
      </c>
      <c r="N750" s="10">
        <v>4375.32</v>
      </c>
      <c r="O750" s="10">
        <f t="shared" si="35"/>
        <v>3632.575</v>
      </c>
      <c r="P750" s="4">
        <v>744</v>
      </c>
      <c r="Q750" s="4" t="b">
        <v>1</v>
      </c>
      <c r="R750" s="4"/>
      <c r="S750" s="14" t="s">
        <v>42</v>
      </c>
    </row>
    <row r="751" spans="1:19">
      <c r="A751" s="6" t="s">
        <v>1565</v>
      </c>
      <c r="B751" s="7" t="s">
        <v>1566</v>
      </c>
      <c r="C751" s="8" t="s">
        <v>4129</v>
      </c>
      <c r="D751" s="8">
        <v>45255</v>
      </c>
      <c r="E751" s="7">
        <v>11</v>
      </c>
      <c r="F751" s="7">
        <v>25</v>
      </c>
      <c r="G751" s="7">
        <v>2023</v>
      </c>
      <c r="H751" s="8">
        <f t="shared" si="33"/>
        <v>45255</v>
      </c>
      <c r="I751" s="11">
        <v>45263</v>
      </c>
      <c r="J751" s="7">
        <f t="shared" si="34"/>
        <v>8</v>
      </c>
      <c r="K751" s="7" t="s">
        <v>14</v>
      </c>
      <c r="L751" s="7">
        <v>32921</v>
      </c>
      <c r="M751" s="7">
        <v>1066</v>
      </c>
      <c r="N751" s="12">
        <v>762.29</v>
      </c>
      <c r="O751" s="12">
        <f t="shared" si="35"/>
        <v>762.29</v>
      </c>
      <c r="P751" s="7">
        <v>99</v>
      </c>
      <c r="Q751" s="7" t="b">
        <v>0</v>
      </c>
      <c r="R751" s="7"/>
      <c r="S751" s="15" t="s">
        <v>16</v>
      </c>
    </row>
    <row r="752" spans="1:19">
      <c r="A752" s="3" t="s">
        <v>1567</v>
      </c>
      <c r="B752" s="4" t="s">
        <v>1568</v>
      </c>
      <c r="C752" s="5" t="s">
        <v>4128</v>
      </c>
      <c r="D752" s="5">
        <v>45142</v>
      </c>
      <c r="E752" s="4">
        <v>8</v>
      </c>
      <c r="F752" s="4">
        <v>4</v>
      </c>
      <c r="G752" s="4">
        <v>2023</v>
      </c>
      <c r="H752" s="5">
        <f t="shared" si="33"/>
        <v>45142</v>
      </c>
      <c r="I752" s="9">
        <v>45161</v>
      </c>
      <c r="J752" s="4">
        <f t="shared" si="34"/>
        <v>19</v>
      </c>
      <c r="K752" s="4" t="s">
        <v>41</v>
      </c>
      <c r="L752" s="4">
        <v>34307</v>
      </c>
      <c r="M752" s="4">
        <v>1373</v>
      </c>
      <c r="N752" s="10">
        <v>724.37</v>
      </c>
      <c r="O752" s="10">
        <f t="shared" si="35"/>
        <v>724.37</v>
      </c>
      <c r="P752" s="4">
        <v>85</v>
      </c>
      <c r="Q752" s="4" t="b">
        <v>1</v>
      </c>
      <c r="R752" s="4"/>
      <c r="S752" s="14" t="s">
        <v>42</v>
      </c>
    </row>
    <row r="753" spans="1:19">
      <c r="A753" s="6" t="s">
        <v>1569</v>
      </c>
      <c r="B753" s="7" t="s">
        <v>1570</v>
      </c>
      <c r="C753" s="8" t="s">
        <v>4129</v>
      </c>
      <c r="D753" s="8">
        <v>45156</v>
      </c>
      <c r="E753" s="7">
        <v>8</v>
      </c>
      <c r="F753" s="7">
        <v>18</v>
      </c>
      <c r="G753" s="7">
        <v>2023</v>
      </c>
      <c r="H753" s="8">
        <f t="shared" si="33"/>
        <v>45156</v>
      </c>
      <c r="I753" s="11">
        <v>45168</v>
      </c>
      <c r="J753" s="7">
        <f t="shared" si="34"/>
        <v>12</v>
      </c>
      <c r="K753" s="7" t="s">
        <v>41</v>
      </c>
      <c r="L753" s="7">
        <v>28355</v>
      </c>
      <c r="M753" s="7">
        <v>916</v>
      </c>
      <c r="N753" s="12">
        <v>1095.63</v>
      </c>
      <c r="O753" s="12">
        <f t="shared" si="35"/>
        <v>1095.63</v>
      </c>
      <c r="P753" s="7">
        <v>86</v>
      </c>
      <c r="Q753" s="7" t="b">
        <v>1</v>
      </c>
      <c r="R753" s="7"/>
      <c r="S753" s="15" t="s">
        <v>42</v>
      </c>
    </row>
    <row r="754" spans="1:19">
      <c r="A754" s="3" t="s">
        <v>1571</v>
      </c>
      <c r="B754" s="4" t="s">
        <v>1572</v>
      </c>
      <c r="C754" s="5" t="s">
        <v>4129</v>
      </c>
      <c r="D754" s="5">
        <v>45267</v>
      </c>
      <c r="E754" s="4">
        <v>12</v>
      </c>
      <c r="F754" s="4">
        <v>7</v>
      </c>
      <c r="G754" s="4">
        <v>2023</v>
      </c>
      <c r="H754" s="5">
        <f t="shared" si="33"/>
        <v>45267</v>
      </c>
      <c r="I754" s="9">
        <v>45143</v>
      </c>
      <c r="J754" s="4">
        <f t="shared" si="34"/>
        <v>-124</v>
      </c>
      <c r="K754" s="4" t="s">
        <v>14</v>
      </c>
      <c r="L754" s="4">
        <v>5835</v>
      </c>
      <c r="M754" s="4">
        <v>187</v>
      </c>
      <c r="N754" s="10">
        <v>358.03</v>
      </c>
      <c r="O754" s="10">
        <f t="shared" si="35"/>
        <v>358.03</v>
      </c>
      <c r="P754" s="4">
        <v>28</v>
      </c>
      <c r="Q754" s="4" t="b">
        <v>1</v>
      </c>
      <c r="R754" s="4"/>
      <c r="S754" s="14" t="s">
        <v>16</v>
      </c>
    </row>
    <row r="755" spans="1:19">
      <c r="A755" s="6" t="s">
        <v>1573</v>
      </c>
      <c r="B755" s="7" t="s">
        <v>1574</v>
      </c>
      <c r="C755" s="8" t="s">
        <v>4128</v>
      </c>
      <c r="D755" s="8">
        <v>45265</v>
      </c>
      <c r="E755" s="7">
        <v>12</v>
      </c>
      <c r="F755" s="7">
        <v>5</v>
      </c>
      <c r="G755" s="7">
        <v>2023</v>
      </c>
      <c r="H755" s="8">
        <f t="shared" si="33"/>
        <v>45265</v>
      </c>
      <c r="I755" s="11">
        <v>45279</v>
      </c>
      <c r="J755" s="7">
        <f t="shared" si="34"/>
        <v>14</v>
      </c>
      <c r="K755" s="7" t="s">
        <v>41</v>
      </c>
      <c r="L755" s="7">
        <v>21159</v>
      </c>
      <c r="M755" s="7">
        <v>291</v>
      </c>
      <c r="N755" s="12">
        <v>286.85</v>
      </c>
      <c r="O755" s="12">
        <f t="shared" si="35"/>
        <v>286.85</v>
      </c>
      <c r="P755" s="7">
        <v>28</v>
      </c>
      <c r="Q755" s="7" t="b">
        <v>1</v>
      </c>
      <c r="R755" s="7"/>
      <c r="S755" s="15" t="s">
        <v>68</v>
      </c>
    </row>
    <row r="756" spans="1:19">
      <c r="A756" s="3" t="s">
        <v>1575</v>
      </c>
      <c r="B756" s="4" t="s">
        <v>1576</v>
      </c>
      <c r="C756" s="5" t="s">
        <v>4129</v>
      </c>
      <c r="D756" s="5">
        <v>45105</v>
      </c>
      <c r="E756" s="4">
        <v>6</v>
      </c>
      <c r="F756" s="4">
        <v>28</v>
      </c>
      <c r="G756" s="4">
        <v>2023</v>
      </c>
      <c r="H756" s="5">
        <f t="shared" si="33"/>
        <v>45105</v>
      </c>
      <c r="I756" s="9">
        <v>45128</v>
      </c>
      <c r="J756" s="4">
        <f t="shared" si="34"/>
        <v>23</v>
      </c>
      <c r="K756" s="4" t="s">
        <v>14</v>
      </c>
      <c r="L756" s="4">
        <v>48605</v>
      </c>
      <c r="M756" s="4">
        <v>1154</v>
      </c>
      <c r="N756" s="10">
        <v>1721.43</v>
      </c>
      <c r="O756" s="10">
        <f t="shared" si="35"/>
        <v>1721.43</v>
      </c>
      <c r="P756" s="4">
        <v>105</v>
      </c>
      <c r="Q756" s="4" t="b">
        <v>0</v>
      </c>
      <c r="R756" s="4"/>
      <c r="S756" s="14" t="s">
        <v>16</v>
      </c>
    </row>
    <row r="757" spans="1:19">
      <c r="A757" s="6" t="s">
        <v>1577</v>
      </c>
      <c r="B757" s="7" t="s">
        <v>1578</v>
      </c>
      <c r="C757" s="8" t="s">
        <v>4129</v>
      </c>
      <c r="D757" s="8">
        <v>45128</v>
      </c>
      <c r="E757" s="7">
        <v>7</v>
      </c>
      <c r="F757" s="7">
        <v>21</v>
      </c>
      <c r="G757" s="7">
        <v>2023</v>
      </c>
      <c r="H757" s="8">
        <f t="shared" si="33"/>
        <v>45128</v>
      </c>
      <c r="I757" s="11">
        <v>45153</v>
      </c>
      <c r="J757" s="7">
        <f t="shared" si="34"/>
        <v>25</v>
      </c>
      <c r="K757" s="7" t="s">
        <v>33</v>
      </c>
      <c r="L757" s="7">
        <v>39088</v>
      </c>
      <c r="M757" s="7">
        <v>832</v>
      </c>
      <c r="N757" s="12">
        <v>1229.99</v>
      </c>
      <c r="O757" s="12">
        <f t="shared" si="35"/>
        <v>1229.99</v>
      </c>
      <c r="P757" s="7">
        <v>64</v>
      </c>
      <c r="Q757" s="7" t="b">
        <v>1</v>
      </c>
      <c r="R757" s="7"/>
      <c r="S757" s="15" t="s">
        <v>34</v>
      </c>
    </row>
    <row r="758" spans="1:19">
      <c r="A758" s="3" t="s">
        <v>1579</v>
      </c>
      <c r="B758" s="4" t="s">
        <v>1580</v>
      </c>
      <c r="C758" s="5" t="s">
        <v>4127</v>
      </c>
      <c r="D758" s="5">
        <v>45041</v>
      </c>
      <c r="E758" s="4">
        <v>4</v>
      </c>
      <c r="F758" s="4">
        <v>25</v>
      </c>
      <c r="G758" s="4">
        <v>2023</v>
      </c>
      <c r="H758" s="5">
        <f t="shared" si="33"/>
        <v>45041</v>
      </c>
      <c r="I758" s="9">
        <v>45045</v>
      </c>
      <c r="J758" s="4">
        <f t="shared" si="34"/>
        <v>4</v>
      </c>
      <c r="K758" s="4" t="s">
        <v>14</v>
      </c>
      <c r="L758" s="4">
        <v>79752</v>
      </c>
      <c r="M758" s="4">
        <v>2043</v>
      </c>
      <c r="N758" s="10">
        <v>1790.93</v>
      </c>
      <c r="O758" s="10">
        <f t="shared" si="35"/>
        <v>1790.93</v>
      </c>
      <c r="P758" s="4">
        <v>254</v>
      </c>
      <c r="Q758" s="4" t="b">
        <v>0</v>
      </c>
      <c r="R758" s="4"/>
      <c r="S758" s="14" t="s">
        <v>16</v>
      </c>
    </row>
    <row r="759" spans="1:19">
      <c r="A759" s="6" t="s">
        <v>1581</v>
      </c>
      <c r="B759" s="7" t="s">
        <v>1582</v>
      </c>
      <c r="C759" s="8" t="s">
        <v>4131</v>
      </c>
      <c r="D759" s="8">
        <v>45079</v>
      </c>
      <c r="E759" s="7">
        <v>6</v>
      </c>
      <c r="F759" s="7">
        <v>2</v>
      </c>
      <c r="G759" s="7">
        <v>2023</v>
      </c>
      <c r="H759" s="8">
        <f t="shared" si="33"/>
        <v>45079</v>
      </c>
      <c r="I759" s="11">
        <v>45087</v>
      </c>
      <c r="J759" s="7">
        <f t="shared" si="34"/>
        <v>8</v>
      </c>
      <c r="K759" s="7" t="s">
        <v>33</v>
      </c>
      <c r="L759" s="7">
        <v>56284</v>
      </c>
      <c r="M759" s="7">
        <v>2360</v>
      </c>
      <c r="N759" s="12">
        <v>3482.51</v>
      </c>
      <c r="O759" s="12">
        <f t="shared" si="35"/>
        <v>3482.51</v>
      </c>
      <c r="P759" s="7">
        <v>215</v>
      </c>
      <c r="Q759" s="7" t="b">
        <v>0</v>
      </c>
      <c r="R759" s="7"/>
      <c r="S759" s="15" t="s">
        <v>34</v>
      </c>
    </row>
    <row r="760" spans="1:19">
      <c r="A760" s="3" t="s">
        <v>1583</v>
      </c>
      <c r="B760" s="4" t="s">
        <v>1584</v>
      </c>
      <c r="C760" s="5" t="s">
        <v>4127</v>
      </c>
      <c r="D760" s="5">
        <v>45144</v>
      </c>
      <c r="E760" s="4">
        <v>8</v>
      </c>
      <c r="F760" s="4">
        <v>6</v>
      </c>
      <c r="G760" s="4">
        <v>2023</v>
      </c>
      <c r="H760" s="5">
        <f t="shared" si="33"/>
        <v>45144</v>
      </c>
      <c r="I760" s="9">
        <v>45165</v>
      </c>
      <c r="J760" s="4">
        <f t="shared" si="34"/>
        <v>21</v>
      </c>
      <c r="K760" s="4" t="s">
        <v>415</v>
      </c>
      <c r="L760" s="4">
        <v>58043</v>
      </c>
      <c r="M760" s="4">
        <v>1443</v>
      </c>
      <c r="N760" s="10">
        <v>1181.1</v>
      </c>
      <c r="O760" s="10">
        <f t="shared" si="35"/>
        <v>1181.1</v>
      </c>
      <c r="P760" s="4">
        <v>230</v>
      </c>
      <c r="Q760" s="4" t="b">
        <v>0</v>
      </c>
      <c r="R760" s="4"/>
      <c r="S760" s="14" t="s">
        <v>34</v>
      </c>
    </row>
    <row r="761" spans="1:19">
      <c r="A761" s="6" t="s">
        <v>1585</v>
      </c>
      <c r="B761" s="7" t="s">
        <v>1586</v>
      </c>
      <c r="C761" s="8" t="s">
        <v>4131</v>
      </c>
      <c r="D761" s="8">
        <v>45053</v>
      </c>
      <c r="E761" s="7">
        <v>5</v>
      </c>
      <c r="F761" s="7">
        <v>7</v>
      </c>
      <c r="G761" s="7">
        <v>2023</v>
      </c>
      <c r="H761" s="8">
        <f t="shared" si="33"/>
        <v>45053</v>
      </c>
      <c r="I761" s="11">
        <v>45074</v>
      </c>
      <c r="J761" s="7">
        <f t="shared" si="34"/>
        <v>21</v>
      </c>
      <c r="K761" s="7" t="s">
        <v>138</v>
      </c>
      <c r="L761" s="7">
        <v>36547</v>
      </c>
      <c r="M761" s="7">
        <v>1025</v>
      </c>
      <c r="N761" s="12">
        <v>700.09</v>
      </c>
      <c r="O761" s="12">
        <f t="shared" si="35"/>
        <v>700.09</v>
      </c>
      <c r="P761" s="7">
        <v>0</v>
      </c>
      <c r="Q761" s="7" t="b">
        <v>1</v>
      </c>
      <c r="R761" s="7"/>
      <c r="S761" s="15" t="s">
        <v>139</v>
      </c>
    </row>
    <row r="762" spans="1:19">
      <c r="A762" s="3" t="s">
        <v>1587</v>
      </c>
      <c r="B762" s="4" t="s">
        <v>1588</v>
      </c>
      <c r="C762" s="5" t="s">
        <v>4128</v>
      </c>
      <c r="D762" s="5">
        <v>45023</v>
      </c>
      <c r="E762" s="4">
        <v>4</v>
      </c>
      <c r="F762" s="4">
        <v>7</v>
      </c>
      <c r="G762" s="4">
        <v>2023</v>
      </c>
      <c r="H762" s="5">
        <f t="shared" si="33"/>
        <v>45023</v>
      </c>
      <c r="I762" s="9">
        <v>45038</v>
      </c>
      <c r="J762" s="4">
        <f t="shared" si="34"/>
        <v>15</v>
      </c>
      <c r="K762" s="4" t="s">
        <v>14</v>
      </c>
      <c r="L762" s="4">
        <v>98007</v>
      </c>
      <c r="M762" s="4">
        <v>2537</v>
      </c>
      <c r="N762" s="10">
        <v>3937.61</v>
      </c>
      <c r="O762" s="10">
        <f t="shared" si="35"/>
        <v>3632.575</v>
      </c>
      <c r="P762" s="4">
        <v>379</v>
      </c>
      <c r="Q762" s="4" t="b">
        <v>1</v>
      </c>
      <c r="R762" s="4"/>
      <c r="S762" s="14" t="s">
        <v>68</v>
      </c>
    </row>
    <row r="763" spans="1:19">
      <c r="A763" s="6" t="s">
        <v>1589</v>
      </c>
      <c r="B763" s="7" t="s">
        <v>1590</v>
      </c>
      <c r="C763" s="8" t="s">
        <v>4128</v>
      </c>
      <c r="D763" s="8" t="s">
        <v>1591</v>
      </c>
      <c r="E763" s="7">
        <v>27</v>
      </c>
      <c r="F763" s="7">
        <v>2</v>
      </c>
      <c r="G763" s="7">
        <v>2023</v>
      </c>
      <c r="H763" s="8">
        <f t="shared" si="33"/>
        <v>44984</v>
      </c>
      <c r="I763" s="11">
        <v>44989</v>
      </c>
      <c r="J763" s="7">
        <f t="shared" si="34"/>
        <v>5</v>
      </c>
      <c r="K763" s="7" t="s">
        <v>234</v>
      </c>
      <c r="L763" s="7">
        <v>83844</v>
      </c>
      <c r="M763" s="7">
        <v>1151</v>
      </c>
      <c r="N763" s="12">
        <v>771.36</v>
      </c>
      <c r="O763" s="12">
        <f t="shared" si="35"/>
        <v>771.36</v>
      </c>
      <c r="P763" s="7">
        <v>98</v>
      </c>
      <c r="Q763" s="7" t="b">
        <v>1</v>
      </c>
      <c r="R763" s="7"/>
      <c r="S763" s="15" t="s">
        <v>16</v>
      </c>
    </row>
    <row r="764" spans="1:19">
      <c r="A764" s="3" t="s">
        <v>1592</v>
      </c>
      <c r="B764" s="4" t="s">
        <v>1593</v>
      </c>
      <c r="C764" s="5" t="s">
        <v>4128</v>
      </c>
      <c r="D764" s="5">
        <v>45265</v>
      </c>
      <c r="E764" s="4">
        <v>12</v>
      </c>
      <c r="F764" s="4">
        <v>5</v>
      </c>
      <c r="G764" s="4">
        <v>2023</v>
      </c>
      <c r="H764" s="5">
        <f t="shared" si="33"/>
        <v>45265</v>
      </c>
      <c r="I764" s="9">
        <v>45292</v>
      </c>
      <c r="J764" s="4">
        <f t="shared" si="34"/>
        <v>27</v>
      </c>
      <c r="K764" s="4" t="s">
        <v>41</v>
      </c>
      <c r="L764" s="4">
        <v>28532</v>
      </c>
      <c r="M764" s="4">
        <v>788</v>
      </c>
      <c r="N764" s="10">
        <v>1572.35</v>
      </c>
      <c r="O764" s="10">
        <f t="shared" si="35"/>
        <v>1572.35</v>
      </c>
      <c r="P764" s="4">
        <v>97</v>
      </c>
      <c r="Q764" s="4" t="b">
        <v>0</v>
      </c>
      <c r="R764" s="4"/>
      <c r="S764" s="14" t="s">
        <v>42</v>
      </c>
    </row>
    <row r="765" spans="1:19">
      <c r="A765" s="6" t="s">
        <v>1594</v>
      </c>
      <c r="B765" s="7" t="s">
        <v>1595</v>
      </c>
      <c r="C765" s="8" t="s">
        <v>4129</v>
      </c>
      <c r="D765" s="8">
        <v>44935</v>
      </c>
      <c r="E765" s="7">
        <v>1</v>
      </c>
      <c r="F765" s="7">
        <v>9</v>
      </c>
      <c r="G765" s="7">
        <v>2023</v>
      </c>
      <c r="H765" s="8">
        <f t="shared" si="33"/>
        <v>44935</v>
      </c>
      <c r="I765" s="11">
        <v>45193</v>
      </c>
      <c r="J765" s="7">
        <f t="shared" si="34"/>
        <v>258</v>
      </c>
      <c r="K765" s="7" t="s">
        <v>23</v>
      </c>
      <c r="L765" s="7">
        <v>35349</v>
      </c>
      <c r="M765" s="7">
        <v>630</v>
      </c>
      <c r="N765" s="12">
        <v>488.36</v>
      </c>
      <c r="O765" s="12">
        <f t="shared" si="35"/>
        <v>488.36</v>
      </c>
      <c r="P765" s="7">
        <v>58</v>
      </c>
      <c r="Q765" s="7" t="b">
        <v>0</v>
      </c>
      <c r="R765" s="7"/>
      <c r="S765" s="15" t="s">
        <v>68</v>
      </c>
    </row>
    <row r="766" spans="1:19">
      <c r="A766" s="3" t="s">
        <v>1596</v>
      </c>
      <c r="B766" s="4" t="s">
        <v>1597</v>
      </c>
      <c r="C766" s="5" t="s">
        <v>4129</v>
      </c>
      <c r="D766" s="5">
        <v>44937</v>
      </c>
      <c r="E766" s="4">
        <v>1</v>
      </c>
      <c r="F766" s="4">
        <v>11</v>
      </c>
      <c r="G766" s="4">
        <v>2023</v>
      </c>
      <c r="H766" s="5">
        <f t="shared" si="33"/>
        <v>44937</v>
      </c>
      <c r="I766" s="9">
        <v>45260</v>
      </c>
      <c r="J766" s="4">
        <f t="shared" si="34"/>
        <v>323</v>
      </c>
      <c r="K766" s="4" t="s">
        <v>14</v>
      </c>
      <c r="L766" s="4">
        <v>46445</v>
      </c>
      <c r="M766" s="4">
        <v>811</v>
      </c>
      <c r="N766" s="10">
        <v>1128.27</v>
      </c>
      <c r="O766" s="10">
        <f t="shared" si="35"/>
        <v>1128.27</v>
      </c>
      <c r="P766" s="4">
        <v>128</v>
      </c>
      <c r="Q766" s="4" t="b">
        <v>0</v>
      </c>
      <c r="R766" s="4"/>
      <c r="S766" s="14" t="s">
        <v>16</v>
      </c>
    </row>
    <row r="767" spans="1:19">
      <c r="A767" s="6" t="s">
        <v>1598</v>
      </c>
      <c r="B767" s="7" t="s">
        <v>1599</v>
      </c>
      <c r="C767" s="8" t="s">
        <v>4131</v>
      </c>
      <c r="D767" s="8">
        <v>45233</v>
      </c>
      <c r="E767" s="7">
        <v>11</v>
      </c>
      <c r="F767" s="7">
        <v>3</v>
      </c>
      <c r="G767" s="7">
        <v>2023</v>
      </c>
      <c r="H767" s="8">
        <f t="shared" si="33"/>
        <v>45233</v>
      </c>
      <c r="I767" s="11">
        <v>45258</v>
      </c>
      <c r="J767" s="7">
        <f t="shared" si="34"/>
        <v>25</v>
      </c>
      <c r="K767" s="7" t="s">
        <v>33</v>
      </c>
      <c r="L767" s="7">
        <v>6713</v>
      </c>
      <c r="M767" s="7">
        <v>92</v>
      </c>
      <c r="N767" s="12">
        <v>102.77</v>
      </c>
      <c r="O767" s="12">
        <f t="shared" si="35"/>
        <v>102.77</v>
      </c>
      <c r="P767" s="7">
        <v>17</v>
      </c>
      <c r="Q767" s="7" t="b">
        <v>0</v>
      </c>
      <c r="R767" s="7"/>
      <c r="S767" s="15" t="s">
        <v>34</v>
      </c>
    </row>
    <row r="768" spans="1:19">
      <c r="A768" s="3" t="s">
        <v>1600</v>
      </c>
      <c r="B768" s="4" t="s">
        <v>1601</v>
      </c>
      <c r="C768" s="5" t="s">
        <v>4128</v>
      </c>
      <c r="D768" s="5">
        <v>45052</v>
      </c>
      <c r="E768" s="4">
        <v>5</v>
      </c>
      <c r="F768" s="4">
        <v>6</v>
      </c>
      <c r="G768" s="4">
        <v>2023</v>
      </c>
      <c r="H768" s="5">
        <f t="shared" si="33"/>
        <v>45052</v>
      </c>
      <c r="I768" s="9">
        <v>45059</v>
      </c>
      <c r="J768" s="4">
        <f t="shared" si="34"/>
        <v>7</v>
      </c>
      <c r="K768" s="4" t="s">
        <v>19</v>
      </c>
      <c r="L768" s="4">
        <v>57178</v>
      </c>
      <c r="M768" s="4">
        <v>1387</v>
      </c>
      <c r="N768" s="10">
        <v>956.45</v>
      </c>
      <c r="O768" s="10">
        <f t="shared" si="35"/>
        <v>956.45</v>
      </c>
      <c r="P768" s="4">
        <v>0</v>
      </c>
      <c r="Q768" s="4" t="b">
        <v>1</v>
      </c>
      <c r="R768" s="4"/>
      <c r="S768" s="14" t="s">
        <v>20</v>
      </c>
    </row>
    <row r="769" spans="1:19">
      <c r="A769" s="6" t="s">
        <v>1602</v>
      </c>
      <c r="B769" s="7" t="s">
        <v>1603</v>
      </c>
      <c r="C769" s="8" t="s">
        <v>4128</v>
      </c>
      <c r="D769" s="8">
        <v>45046</v>
      </c>
      <c r="E769" s="7">
        <v>4</v>
      </c>
      <c r="F769" s="7">
        <v>30</v>
      </c>
      <c r="G769" s="7">
        <v>2023</v>
      </c>
      <c r="H769" s="8">
        <f t="shared" si="33"/>
        <v>45046</v>
      </c>
      <c r="I769" s="11">
        <v>45069</v>
      </c>
      <c r="J769" s="7">
        <f t="shared" si="34"/>
        <v>23</v>
      </c>
      <c r="K769" s="7" t="s">
        <v>41</v>
      </c>
      <c r="L769" s="7">
        <v>50407</v>
      </c>
      <c r="M769" s="7">
        <v>2031</v>
      </c>
      <c r="N769" s="12">
        <v>1100.33</v>
      </c>
      <c r="O769" s="12">
        <f t="shared" si="35"/>
        <v>1100.33</v>
      </c>
      <c r="P769" s="7">
        <v>279</v>
      </c>
      <c r="Q769" s="7" t="b">
        <v>0</v>
      </c>
      <c r="R769" s="7"/>
      <c r="S769" s="15" t="s">
        <v>42</v>
      </c>
    </row>
    <row r="770" spans="1:19">
      <c r="A770" s="3" t="s">
        <v>1604</v>
      </c>
      <c r="B770" s="4" t="s">
        <v>1605</v>
      </c>
      <c r="C770" s="5" t="s">
        <v>4131</v>
      </c>
      <c r="D770" s="5">
        <v>44955</v>
      </c>
      <c r="E770" s="4">
        <v>1</v>
      </c>
      <c r="F770" s="4">
        <v>29</v>
      </c>
      <c r="G770" s="4">
        <v>2023</v>
      </c>
      <c r="H770" s="5">
        <f t="shared" ref="H770:H833" si="36">IF(E770&gt;12,DATE(G770,F770,E770),D770)</f>
        <v>44955</v>
      </c>
      <c r="I770" s="9">
        <v>44956</v>
      </c>
      <c r="J770" s="4">
        <f t="shared" ref="J770:J833" si="37">DATEDIF(H770,I770,"D")</f>
        <v>1</v>
      </c>
      <c r="K770" s="4" t="s">
        <v>33</v>
      </c>
      <c r="L770" s="4">
        <v>71340</v>
      </c>
      <c r="M770" s="4">
        <v>1502</v>
      </c>
      <c r="N770" s="10">
        <v>2154.02</v>
      </c>
      <c r="O770" s="10">
        <f t="shared" si="35"/>
        <v>2154.02</v>
      </c>
      <c r="P770" s="4">
        <v>0</v>
      </c>
      <c r="Q770" s="4" t="b">
        <v>1</v>
      </c>
      <c r="R770" s="4"/>
      <c r="S770" s="14" t="s">
        <v>34</v>
      </c>
    </row>
    <row r="771" spans="1:19">
      <c r="A771" s="6" t="s">
        <v>1606</v>
      </c>
      <c r="B771" s="7" t="s">
        <v>1607</v>
      </c>
      <c r="C771" s="8" t="s">
        <v>4129</v>
      </c>
      <c r="D771" s="8">
        <v>45046</v>
      </c>
      <c r="E771" s="7">
        <v>4</v>
      </c>
      <c r="F771" s="7">
        <v>30</v>
      </c>
      <c r="G771" s="7">
        <v>2023</v>
      </c>
      <c r="H771" s="8">
        <f t="shared" si="36"/>
        <v>45046</v>
      </c>
      <c r="I771" s="11">
        <v>45075</v>
      </c>
      <c r="J771" s="7">
        <f t="shared" si="37"/>
        <v>29</v>
      </c>
      <c r="K771" s="7" t="s">
        <v>41</v>
      </c>
      <c r="L771" s="7">
        <v>51990</v>
      </c>
      <c r="M771" s="7">
        <v>1169</v>
      </c>
      <c r="N771" s="12">
        <v>1999.15</v>
      </c>
      <c r="O771" s="12">
        <f t="shared" ref="O771:O834" si="38">IF(N771&lt;$V$6,$V$6,IF(N771&gt;$V$7,$V$7,N771))</f>
        <v>1999.15</v>
      </c>
      <c r="P771" s="7">
        <v>201</v>
      </c>
      <c r="Q771" s="7" t="b">
        <v>1</v>
      </c>
      <c r="R771" s="7"/>
      <c r="S771" s="15" t="s">
        <v>68</v>
      </c>
    </row>
    <row r="772" spans="1:19">
      <c r="A772" s="3" t="s">
        <v>1608</v>
      </c>
      <c r="B772" s="4" t="s">
        <v>1609</v>
      </c>
      <c r="C772" s="5" t="s">
        <v>4128</v>
      </c>
      <c r="D772" s="5">
        <v>45090</v>
      </c>
      <c r="E772" s="4">
        <v>6</v>
      </c>
      <c r="F772" s="4">
        <v>13</v>
      </c>
      <c r="G772" s="4">
        <v>2023</v>
      </c>
      <c r="H772" s="5">
        <f t="shared" si="36"/>
        <v>45090</v>
      </c>
      <c r="I772" s="9">
        <v>45116</v>
      </c>
      <c r="J772" s="4">
        <f t="shared" si="37"/>
        <v>26</v>
      </c>
      <c r="K772" s="4" t="s">
        <v>23</v>
      </c>
      <c r="L772" s="4">
        <v>76672</v>
      </c>
      <c r="M772" s="4">
        <v>2737</v>
      </c>
      <c r="N772" s="10">
        <v>4825.4</v>
      </c>
      <c r="O772" s="10">
        <f t="shared" si="38"/>
        <v>3632.575</v>
      </c>
      <c r="P772" s="4">
        <v>417</v>
      </c>
      <c r="Q772" s="4" t="b">
        <v>1</v>
      </c>
      <c r="R772" s="4"/>
      <c r="S772" s="14" t="s">
        <v>25</v>
      </c>
    </row>
    <row r="773" spans="1:19">
      <c r="A773" s="6" t="s">
        <v>1610</v>
      </c>
      <c r="B773" s="7" t="s">
        <v>1611</v>
      </c>
      <c r="C773" s="8" t="s">
        <v>4127</v>
      </c>
      <c r="D773" s="8">
        <v>45091</v>
      </c>
      <c r="E773" s="7">
        <v>6</v>
      </c>
      <c r="F773" s="7">
        <v>14</v>
      </c>
      <c r="G773" s="7">
        <v>2023</v>
      </c>
      <c r="H773" s="8">
        <f t="shared" si="36"/>
        <v>45091</v>
      </c>
      <c r="I773" s="11">
        <v>45108</v>
      </c>
      <c r="J773" s="7">
        <f t="shared" si="37"/>
        <v>17</v>
      </c>
      <c r="K773" s="7" t="s">
        <v>19</v>
      </c>
      <c r="L773" s="7">
        <v>66545</v>
      </c>
      <c r="M773" s="7">
        <v>1186</v>
      </c>
      <c r="N773" s="12">
        <v>1451.75</v>
      </c>
      <c r="O773" s="12">
        <f t="shared" si="38"/>
        <v>1451.75</v>
      </c>
      <c r="P773" s="7">
        <v>91</v>
      </c>
      <c r="Q773" s="7" t="b">
        <v>0</v>
      </c>
      <c r="R773" s="7"/>
      <c r="S773" s="15" t="s">
        <v>20</v>
      </c>
    </row>
    <row r="774" spans="1:19">
      <c r="A774" s="3" t="s">
        <v>1612</v>
      </c>
      <c r="B774" s="4" t="s">
        <v>1613</v>
      </c>
      <c r="C774" s="5" t="s">
        <v>4131</v>
      </c>
      <c r="D774" s="5">
        <v>45265</v>
      </c>
      <c r="E774" s="4">
        <v>12</v>
      </c>
      <c r="F774" s="4">
        <v>5</v>
      </c>
      <c r="G774" s="4">
        <v>2023</v>
      </c>
      <c r="H774" s="5">
        <f t="shared" si="36"/>
        <v>45265</v>
      </c>
      <c r="I774" s="9">
        <v>45291</v>
      </c>
      <c r="J774" s="4">
        <f t="shared" si="37"/>
        <v>26</v>
      </c>
      <c r="K774" s="4" t="s">
        <v>23</v>
      </c>
      <c r="L774" s="4">
        <v>85791</v>
      </c>
      <c r="M774" s="4">
        <v>3935</v>
      </c>
      <c r="N774" s="10">
        <v>6556.43</v>
      </c>
      <c r="O774" s="10">
        <f t="shared" si="38"/>
        <v>3632.575</v>
      </c>
      <c r="P774" s="4">
        <v>681</v>
      </c>
      <c r="Q774" s="4" t="b">
        <v>1</v>
      </c>
      <c r="R774" s="4"/>
      <c r="S774" s="14" t="s">
        <v>25</v>
      </c>
    </row>
    <row r="775" spans="1:19">
      <c r="A775" s="6" t="s">
        <v>1614</v>
      </c>
      <c r="B775" s="7" t="s">
        <v>1615</v>
      </c>
      <c r="C775" s="8" t="s">
        <v>4128</v>
      </c>
      <c r="D775" s="8" t="s">
        <v>1616</v>
      </c>
      <c r="E775" s="7">
        <v>21</v>
      </c>
      <c r="F775" s="7">
        <v>5</v>
      </c>
      <c r="G775" s="7">
        <v>2023</v>
      </c>
      <c r="H775" s="8">
        <f t="shared" si="36"/>
        <v>45067</v>
      </c>
      <c r="I775" s="11">
        <v>45071</v>
      </c>
      <c r="J775" s="7">
        <f t="shared" si="37"/>
        <v>4</v>
      </c>
      <c r="K775" s="7" t="s">
        <v>19</v>
      </c>
      <c r="L775" s="7">
        <v>59141</v>
      </c>
      <c r="M775" s="7">
        <v>1821</v>
      </c>
      <c r="N775" s="12">
        <v>2748.38</v>
      </c>
      <c r="O775" s="12">
        <f t="shared" si="38"/>
        <v>2748.38</v>
      </c>
      <c r="P775" s="7">
        <v>208</v>
      </c>
      <c r="Q775" s="7" t="b">
        <v>0</v>
      </c>
      <c r="R775" s="7"/>
      <c r="S775" s="15" t="s">
        <v>20</v>
      </c>
    </row>
    <row r="776" spans="1:19">
      <c r="A776" s="3" t="s">
        <v>1617</v>
      </c>
      <c r="B776" s="4" t="s">
        <v>1618</v>
      </c>
      <c r="C776" s="5" t="s">
        <v>4129</v>
      </c>
      <c r="D776" s="5">
        <v>45229</v>
      </c>
      <c r="E776" s="4">
        <v>10</v>
      </c>
      <c r="F776" s="4">
        <v>30</v>
      </c>
      <c r="G776" s="4">
        <v>2023</v>
      </c>
      <c r="H776" s="5">
        <f t="shared" si="36"/>
        <v>45229</v>
      </c>
      <c r="I776" s="9">
        <v>45245</v>
      </c>
      <c r="J776" s="4">
        <f t="shared" si="37"/>
        <v>16</v>
      </c>
      <c r="K776" s="4" t="s">
        <v>14</v>
      </c>
      <c r="L776" s="4">
        <v>24793</v>
      </c>
      <c r="M776" s="4">
        <v>691</v>
      </c>
      <c r="N776" s="10">
        <v>1096.19</v>
      </c>
      <c r="O776" s="10">
        <f t="shared" si="38"/>
        <v>1096.19</v>
      </c>
      <c r="P776" s="4">
        <v>54</v>
      </c>
      <c r="Q776" s="4" t="b">
        <v>0</v>
      </c>
      <c r="R776" s="4"/>
      <c r="S776" s="14" t="s">
        <v>16</v>
      </c>
    </row>
    <row r="777" spans="1:19">
      <c r="A777" s="6" t="s">
        <v>1619</v>
      </c>
      <c r="B777" s="7" t="s">
        <v>1620</v>
      </c>
      <c r="C777" s="8" t="s">
        <v>4127</v>
      </c>
      <c r="D777" s="8">
        <v>45247</v>
      </c>
      <c r="E777" s="7">
        <v>11</v>
      </c>
      <c r="F777" s="7">
        <v>17</v>
      </c>
      <c r="G777" s="7">
        <v>2023</v>
      </c>
      <c r="H777" s="8">
        <f t="shared" si="36"/>
        <v>45247</v>
      </c>
      <c r="I777" s="11">
        <v>45252</v>
      </c>
      <c r="J777" s="7">
        <f t="shared" si="37"/>
        <v>5</v>
      </c>
      <c r="K777" s="7" t="s">
        <v>191</v>
      </c>
      <c r="L777" s="7">
        <v>57570</v>
      </c>
      <c r="M777" s="7">
        <v>1860</v>
      </c>
      <c r="N777" s="12">
        <v>2304.35</v>
      </c>
      <c r="O777" s="12">
        <f t="shared" si="38"/>
        <v>2304.35</v>
      </c>
      <c r="P777" s="7">
        <v>171</v>
      </c>
      <c r="Q777" s="7" t="b">
        <v>1</v>
      </c>
      <c r="R777" s="7"/>
      <c r="S777" s="15" t="s">
        <v>42</v>
      </c>
    </row>
    <row r="778" spans="1:19">
      <c r="A778" s="3" t="s">
        <v>1621</v>
      </c>
      <c r="B778" s="4" t="s">
        <v>1622</v>
      </c>
      <c r="C778" s="5" t="s">
        <v>4128</v>
      </c>
      <c r="D778" s="5">
        <v>44951</v>
      </c>
      <c r="E778" s="4">
        <v>1</v>
      </c>
      <c r="F778" s="4">
        <v>25</v>
      </c>
      <c r="G778" s="4">
        <v>2023</v>
      </c>
      <c r="H778" s="5">
        <f t="shared" si="36"/>
        <v>44951</v>
      </c>
      <c r="I778" s="9">
        <v>44981</v>
      </c>
      <c r="J778" s="4">
        <f t="shared" si="37"/>
        <v>30</v>
      </c>
      <c r="K778" s="4" t="s">
        <v>19</v>
      </c>
      <c r="L778" s="4">
        <v>96084</v>
      </c>
      <c r="M778" s="4">
        <v>1598</v>
      </c>
      <c r="N778" s="10">
        <v>2317.29</v>
      </c>
      <c r="O778" s="10">
        <f t="shared" si="38"/>
        <v>2317.29</v>
      </c>
      <c r="P778" s="4">
        <v>144</v>
      </c>
      <c r="Q778" s="4" t="b">
        <v>1</v>
      </c>
      <c r="R778" s="4"/>
      <c r="S778" s="14" t="s">
        <v>20</v>
      </c>
    </row>
    <row r="779" spans="1:19">
      <c r="A779" s="6" t="s">
        <v>1623</v>
      </c>
      <c r="B779" s="7" t="s">
        <v>1624</v>
      </c>
      <c r="C779" s="8" t="s">
        <v>4131</v>
      </c>
      <c r="D779" s="8">
        <v>45270</v>
      </c>
      <c r="E779" s="7">
        <v>12</v>
      </c>
      <c r="F779" s="7">
        <v>10</v>
      </c>
      <c r="G779" s="7">
        <v>2023</v>
      </c>
      <c r="H779" s="8">
        <f t="shared" si="36"/>
        <v>45270</v>
      </c>
      <c r="I779" s="11">
        <v>45273</v>
      </c>
      <c r="J779" s="7">
        <f t="shared" si="37"/>
        <v>3</v>
      </c>
      <c r="K779" s="7" t="s">
        <v>23</v>
      </c>
      <c r="L779" s="7">
        <v>38892</v>
      </c>
      <c r="M779" s="7">
        <v>1343</v>
      </c>
      <c r="N779" s="12">
        <v>2294.23</v>
      </c>
      <c r="O779" s="12">
        <f t="shared" si="38"/>
        <v>2294.23</v>
      </c>
      <c r="P779" s="7">
        <v>0</v>
      </c>
      <c r="Q779" s="7" t="b">
        <v>0</v>
      </c>
      <c r="R779" s="7"/>
      <c r="S779" s="15" t="s">
        <v>25</v>
      </c>
    </row>
    <row r="780" spans="1:19">
      <c r="A780" s="3" t="s">
        <v>1625</v>
      </c>
      <c r="B780" s="4" t="s">
        <v>1626</v>
      </c>
      <c r="C780" s="5" t="s">
        <v>4131</v>
      </c>
      <c r="D780" s="5">
        <v>45283</v>
      </c>
      <c r="E780" s="4">
        <v>12</v>
      </c>
      <c r="F780" s="4">
        <v>23</v>
      </c>
      <c r="G780" s="4">
        <v>2023</v>
      </c>
      <c r="H780" s="5">
        <f t="shared" si="36"/>
        <v>45283</v>
      </c>
      <c r="I780" s="9">
        <v>45306</v>
      </c>
      <c r="J780" s="4">
        <f t="shared" si="37"/>
        <v>23</v>
      </c>
      <c r="K780" s="4" t="s">
        <v>19</v>
      </c>
      <c r="L780" s="4">
        <v>2015</v>
      </c>
      <c r="M780" s="4">
        <v>49</v>
      </c>
      <c r="N780" s="10">
        <v>53.74</v>
      </c>
      <c r="O780" s="10">
        <f t="shared" si="38"/>
        <v>53.74</v>
      </c>
      <c r="P780" s="4">
        <v>4</v>
      </c>
      <c r="Q780" s="4" t="b">
        <v>0</v>
      </c>
      <c r="R780" s="4"/>
      <c r="S780" s="14" t="s">
        <v>20</v>
      </c>
    </row>
    <row r="781" spans="1:19">
      <c r="A781" s="6" t="s">
        <v>1627</v>
      </c>
      <c r="B781" s="7" t="s">
        <v>1628</v>
      </c>
      <c r="C781" s="8" t="s">
        <v>4129</v>
      </c>
      <c r="D781" s="8">
        <v>45119</v>
      </c>
      <c r="E781" s="7">
        <v>7</v>
      </c>
      <c r="F781" s="7">
        <v>12</v>
      </c>
      <c r="G781" s="7">
        <v>2023</v>
      </c>
      <c r="H781" s="8">
        <f t="shared" si="36"/>
        <v>45119</v>
      </c>
      <c r="I781" s="11">
        <v>45129</v>
      </c>
      <c r="J781" s="7">
        <f t="shared" si="37"/>
        <v>10</v>
      </c>
      <c r="K781" s="7" t="s">
        <v>415</v>
      </c>
      <c r="L781" s="7">
        <v>62813</v>
      </c>
      <c r="M781" s="7">
        <v>2882</v>
      </c>
      <c r="N781" s="12">
        <v>4925.25</v>
      </c>
      <c r="O781" s="12">
        <f t="shared" si="38"/>
        <v>3632.575</v>
      </c>
      <c r="P781" s="7">
        <v>197</v>
      </c>
      <c r="Q781" s="7" t="b">
        <v>1</v>
      </c>
      <c r="R781" s="7"/>
      <c r="S781" s="15" t="s">
        <v>34</v>
      </c>
    </row>
    <row r="782" spans="1:19">
      <c r="A782" s="3" t="s">
        <v>1629</v>
      </c>
      <c r="B782" s="4" t="s">
        <v>1630</v>
      </c>
      <c r="C782" s="5" t="s">
        <v>4131</v>
      </c>
      <c r="D782" s="5">
        <v>45050</v>
      </c>
      <c r="E782" s="4">
        <v>5</v>
      </c>
      <c r="F782" s="4">
        <v>4</v>
      </c>
      <c r="G782" s="4">
        <v>2023</v>
      </c>
      <c r="H782" s="5">
        <f t="shared" si="36"/>
        <v>45050</v>
      </c>
      <c r="I782" s="9">
        <v>45058</v>
      </c>
      <c r="J782" s="4">
        <f t="shared" si="37"/>
        <v>8</v>
      </c>
      <c r="K782" s="4" t="s">
        <v>138</v>
      </c>
      <c r="L782" s="4">
        <v>28712</v>
      </c>
      <c r="M782" s="4">
        <v>481</v>
      </c>
      <c r="N782" s="10">
        <v>667.64</v>
      </c>
      <c r="O782" s="10">
        <f t="shared" si="38"/>
        <v>667.64</v>
      </c>
      <c r="P782" s="4">
        <v>32</v>
      </c>
      <c r="Q782" s="4" t="b">
        <v>1</v>
      </c>
      <c r="R782" s="4"/>
      <c r="S782" s="14" t="s">
        <v>139</v>
      </c>
    </row>
    <row r="783" spans="1:19">
      <c r="A783" s="6" t="s">
        <v>1631</v>
      </c>
      <c r="B783" s="7" t="s">
        <v>1632</v>
      </c>
      <c r="C783" s="8" t="s">
        <v>4128</v>
      </c>
      <c r="D783" s="8">
        <v>45289</v>
      </c>
      <c r="E783" s="7">
        <v>12</v>
      </c>
      <c r="F783" s="7">
        <v>29</v>
      </c>
      <c r="G783" s="7">
        <v>2023</v>
      </c>
      <c r="H783" s="8">
        <f t="shared" si="36"/>
        <v>45289</v>
      </c>
      <c r="I783" s="11">
        <v>45314</v>
      </c>
      <c r="J783" s="7">
        <f t="shared" si="37"/>
        <v>25</v>
      </c>
      <c r="K783" s="7" t="s">
        <v>14</v>
      </c>
      <c r="L783" s="7">
        <v>9415</v>
      </c>
      <c r="M783" s="7">
        <v>285</v>
      </c>
      <c r="N783" s="12">
        <v>213.42</v>
      </c>
      <c r="O783" s="12">
        <f t="shared" si="38"/>
        <v>213.42</v>
      </c>
      <c r="P783" s="7">
        <v>39</v>
      </c>
      <c r="Q783" s="7" t="b">
        <v>1</v>
      </c>
      <c r="R783" s="7"/>
      <c r="S783" s="15" t="s">
        <v>16</v>
      </c>
    </row>
    <row r="784" spans="1:19">
      <c r="A784" s="3" t="s">
        <v>1633</v>
      </c>
      <c r="B784" s="4" t="s">
        <v>1634</v>
      </c>
      <c r="C784" s="5" t="s">
        <v>4129</v>
      </c>
      <c r="D784" s="5">
        <v>44956</v>
      </c>
      <c r="E784" s="4">
        <v>1</v>
      </c>
      <c r="F784" s="4">
        <v>30</v>
      </c>
      <c r="G784" s="4">
        <v>2023</v>
      </c>
      <c r="H784" s="5">
        <f t="shared" si="36"/>
        <v>44956</v>
      </c>
      <c r="I784" s="9">
        <v>44969</v>
      </c>
      <c r="J784" s="4">
        <f t="shared" si="37"/>
        <v>13</v>
      </c>
      <c r="K784" s="4" t="s">
        <v>41</v>
      </c>
      <c r="L784" s="4">
        <v>63292</v>
      </c>
      <c r="M784" s="4">
        <v>2147</v>
      </c>
      <c r="N784" s="10">
        <v>1153</v>
      </c>
      <c r="O784" s="10">
        <f t="shared" si="38"/>
        <v>1153</v>
      </c>
      <c r="P784" s="4">
        <v>343</v>
      </c>
      <c r="Q784" s="4" t="b">
        <v>0</v>
      </c>
      <c r="R784" s="4"/>
      <c r="S784" s="14" t="s">
        <v>42</v>
      </c>
    </row>
    <row r="785" spans="1:19">
      <c r="A785" s="6" t="s">
        <v>1635</v>
      </c>
      <c r="B785" s="7" t="s">
        <v>1636</v>
      </c>
      <c r="C785" s="8" t="s">
        <v>4131</v>
      </c>
      <c r="D785" s="8">
        <v>45212</v>
      </c>
      <c r="E785" s="7">
        <v>10</v>
      </c>
      <c r="F785" s="7">
        <v>13</v>
      </c>
      <c r="G785" s="7">
        <v>2023</v>
      </c>
      <c r="H785" s="8">
        <f t="shared" si="36"/>
        <v>45212</v>
      </c>
      <c r="I785" s="11">
        <v>45222</v>
      </c>
      <c r="J785" s="7">
        <f t="shared" si="37"/>
        <v>10</v>
      </c>
      <c r="K785" s="7" t="s">
        <v>19</v>
      </c>
      <c r="L785" s="7">
        <v>24833</v>
      </c>
      <c r="M785" s="7">
        <v>281</v>
      </c>
      <c r="N785" s="12">
        <v>293.4</v>
      </c>
      <c r="O785" s="12">
        <f t="shared" si="38"/>
        <v>293.4</v>
      </c>
      <c r="P785" s="7">
        <v>27</v>
      </c>
      <c r="Q785" s="7" t="b">
        <v>0</v>
      </c>
      <c r="R785" s="7"/>
      <c r="S785" s="15" t="s">
        <v>20</v>
      </c>
    </row>
    <row r="786" spans="1:19">
      <c r="A786" s="3" t="s">
        <v>1637</v>
      </c>
      <c r="B786" s="4" t="s">
        <v>1638</v>
      </c>
      <c r="C786" s="5" t="s">
        <v>4127</v>
      </c>
      <c r="D786" s="5">
        <v>45057</v>
      </c>
      <c r="E786" s="4">
        <v>5</v>
      </c>
      <c r="F786" s="4">
        <v>11</v>
      </c>
      <c r="G786" s="4">
        <v>2023</v>
      </c>
      <c r="H786" s="5">
        <f t="shared" si="36"/>
        <v>45057</v>
      </c>
      <c r="I786" s="9">
        <v>45084</v>
      </c>
      <c r="J786" s="4">
        <f t="shared" si="37"/>
        <v>27</v>
      </c>
      <c r="K786" s="4" t="s">
        <v>19</v>
      </c>
      <c r="L786" s="4">
        <v>5158</v>
      </c>
      <c r="M786" s="4">
        <v>126</v>
      </c>
      <c r="N786" s="10">
        <v>166.33</v>
      </c>
      <c r="O786" s="10">
        <f t="shared" si="38"/>
        <v>166.33</v>
      </c>
      <c r="P786" s="4">
        <v>6</v>
      </c>
      <c r="Q786" s="4" t="b">
        <v>0</v>
      </c>
      <c r="R786" s="4"/>
      <c r="S786" s="14" t="s">
        <v>20</v>
      </c>
    </row>
    <row r="787" spans="1:19">
      <c r="A787" s="6" t="s">
        <v>1639</v>
      </c>
      <c r="B787" s="7" t="s">
        <v>1640</v>
      </c>
      <c r="C787" s="8" t="s">
        <v>4131</v>
      </c>
      <c r="D787" s="8">
        <v>45157</v>
      </c>
      <c r="E787" s="7">
        <v>8</v>
      </c>
      <c r="F787" s="7">
        <v>19</v>
      </c>
      <c r="G787" s="7">
        <v>2023</v>
      </c>
      <c r="H787" s="8">
        <f t="shared" si="36"/>
        <v>45157</v>
      </c>
      <c r="I787" s="11">
        <v>45164</v>
      </c>
      <c r="J787" s="7">
        <f t="shared" si="37"/>
        <v>7</v>
      </c>
      <c r="K787" s="7" t="s">
        <v>14</v>
      </c>
      <c r="L787" s="7">
        <v>63680</v>
      </c>
      <c r="M787" s="7">
        <v>2502</v>
      </c>
      <c r="N787" s="12">
        <v>4402.85</v>
      </c>
      <c r="O787" s="12">
        <f t="shared" si="38"/>
        <v>3632.575</v>
      </c>
      <c r="P787" s="7">
        <v>172</v>
      </c>
      <c r="Q787" s="7" t="b">
        <v>1</v>
      </c>
      <c r="R787" s="7"/>
      <c r="S787" s="15" t="s">
        <v>16</v>
      </c>
    </row>
    <row r="788" spans="1:19">
      <c r="A788" s="3" t="s">
        <v>1641</v>
      </c>
      <c r="B788" s="4" t="s">
        <v>1642</v>
      </c>
      <c r="C788" s="5" t="s">
        <v>4127</v>
      </c>
      <c r="D788" s="5">
        <v>45142</v>
      </c>
      <c r="E788" s="4">
        <v>8</v>
      </c>
      <c r="F788" s="4">
        <v>4</v>
      </c>
      <c r="G788" s="4">
        <v>2023</v>
      </c>
      <c r="H788" s="5">
        <f t="shared" si="36"/>
        <v>45142</v>
      </c>
      <c r="I788" s="9">
        <v>45042</v>
      </c>
      <c r="J788" s="4">
        <f t="shared" si="37"/>
        <v>-100</v>
      </c>
      <c r="K788" s="4" t="s">
        <v>23</v>
      </c>
      <c r="L788" s="4">
        <v>21309</v>
      </c>
      <c r="M788" s="4">
        <v>912</v>
      </c>
      <c r="N788" s="10">
        <v>630.4</v>
      </c>
      <c r="O788" s="10">
        <f t="shared" si="38"/>
        <v>630.4</v>
      </c>
      <c r="P788" s="4">
        <v>170</v>
      </c>
      <c r="Q788" s="4" t="b">
        <v>1</v>
      </c>
      <c r="R788" s="4"/>
      <c r="S788" s="14" t="s">
        <v>25</v>
      </c>
    </row>
    <row r="789" spans="1:19">
      <c r="A789" s="6" t="s">
        <v>1643</v>
      </c>
      <c r="B789" s="7" t="s">
        <v>1644</v>
      </c>
      <c r="C789" s="8" t="s">
        <v>4129</v>
      </c>
      <c r="D789" s="8">
        <v>45120</v>
      </c>
      <c r="E789" s="7">
        <v>7</v>
      </c>
      <c r="F789" s="7">
        <v>13</v>
      </c>
      <c r="G789" s="7">
        <v>2023</v>
      </c>
      <c r="H789" s="8">
        <f t="shared" si="36"/>
        <v>45120</v>
      </c>
      <c r="I789" s="11">
        <v>45141</v>
      </c>
      <c r="J789" s="7">
        <f t="shared" si="37"/>
        <v>21</v>
      </c>
      <c r="K789" s="7" t="s">
        <v>19</v>
      </c>
      <c r="L789" s="7">
        <v>7970</v>
      </c>
      <c r="M789" s="7">
        <v>179</v>
      </c>
      <c r="N789" s="12">
        <v>304.36</v>
      </c>
      <c r="O789" s="12">
        <f t="shared" si="38"/>
        <v>304.36</v>
      </c>
      <c r="P789" s="7">
        <v>22</v>
      </c>
      <c r="Q789" s="7" t="b">
        <v>1</v>
      </c>
      <c r="R789" s="7"/>
      <c r="S789" s="15" t="s">
        <v>20</v>
      </c>
    </row>
    <row r="790" spans="1:19">
      <c r="A790" s="3" t="s">
        <v>1645</v>
      </c>
      <c r="B790" s="4" t="s">
        <v>1646</v>
      </c>
      <c r="C790" s="5" t="s">
        <v>4127</v>
      </c>
      <c r="D790" s="5">
        <v>44964</v>
      </c>
      <c r="E790" s="4">
        <v>2</v>
      </c>
      <c r="F790" s="4">
        <v>7</v>
      </c>
      <c r="G790" s="4">
        <v>2023</v>
      </c>
      <c r="H790" s="5">
        <f t="shared" si="36"/>
        <v>44964</v>
      </c>
      <c r="I790" s="9">
        <v>44968</v>
      </c>
      <c r="J790" s="4">
        <f t="shared" si="37"/>
        <v>4</v>
      </c>
      <c r="K790" s="4" t="s">
        <v>41</v>
      </c>
      <c r="L790" s="4">
        <v>73474</v>
      </c>
      <c r="M790" s="4">
        <v>3081</v>
      </c>
      <c r="N790" s="10">
        <v>5528.9</v>
      </c>
      <c r="O790" s="10">
        <f t="shared" si="38"/>
        <v>3632.575</v>
      </c>
      <c r="P790" s="4">
        <v>363</v>
      </c>
      <c r="Q790" s="4" t="b">
        <v>1</v>
      </c>
      <c r="R790" s="4"/>
      <c r="S790" s="14" t="s">
        <v>42</v>
      </c>
    </row>
    <row r="791" spans="1:19">
      <c r="A791" s="6" t="s">
        <v>1647</v>
      </c>
      <c r="B791" s="7" t="s">
        <v>1648</v>
      </c>
      <c r="C791" s="8" t="s">
        <v>4127</v>
      </c>
      <c r="D791" s="8">
        <v>45270</v>
      </c>
      <c r="E791" s="7">
        <v>12</v>
      </c>
      <c r="F791" s="7">
        <v>10</v>
      </c>
      <c r="G791" s="7">
        <v>2023</v>
      </c>
      <c r="H791" s="8">
        <f t="shared" si="36"/>
        <v>45270</v>
      </c>
      <c r="I791" s="11">
        <v>45297</v>
      </c>
      <c r="J791" s="7">
        <f t="shared" si="37"/>
        <v>27</v>
      </c>
      <c r="K791" s="7" t="s">
        <v>19</v>
      </c>
      <c r="L791" s="7">
        <v>87704</v>
      </c>
      <c r="M791" s="7">
        <v>4272</v>
      </c>
      <c r="N791" s="12">
        <v>500000</v>
      </c>
      <c r="O791" s="12">
        <f t="shared" si="38"/>
        <v>3632.575</v>
      </c>
      <c r="P791" s="7">
        <v>237</v>
      </c>
      <c r="Q791" s="7" t="b">
        <v>0</v>
      </c>
      <c r="R791" s="7"/>
      <c r="S791" s="15" t="s">
        <v>20</v>
      </c>
    </row>
    <row r="792" spans="1:19">
      <c r="A792" s="3" t="s">
        <v>1649</v>
      </c>
      <c r="B792" s="4" t="s">
        <v>1650</v>
      </c>
      <c r="C792" s="5" t="s">
        <v>4127</v>
      </c>
      <c r="D792" s="5">
        <v>45097</v>
      </c>
      <c r="E792" s="4">
        <v>6</v>
      </c>
      <c r="F792" s="4">
        <v>20</v>
      </c>
      <c r="G792" s="4">
        <v>2023</v>
      </c>
      <c r="H792" s="5">
        <f t="shared" si="36"/>
        <v>45097</v>
      </c>
      <c r="I792" s="9">
        <v>45104</v>
      </c>
      <c r="J792" s="4">
        <f t="shared" si="37"/>
        <v>7</v>
      </c>
      <c r="K792" s="4" t="s">
        <v>23</v>
      </c>
      <c r="L792" s="4">
        <v>47540</v>
      </c>
      <c r="M792" s="4">
        <v>2104</v>
      </c>
      <c r="N792" s="10">
        <v>3739.63</v>
      </c>
      <c r="O792" s="10">
        <f t="shared" si="38"/>
        <v>3632.575</v>
      </c>
      <c r="P792" s="4">
        <v>335</v>
      </c>
      <c r="Q792" s="4" t="b">
        <v>0</v>
      </c>
      <c r="R792" s="4"/>
      <c r="S792" s="14" t="s">
        <v>25</v>
      </c>
    </row>
    <row r="793" spans="1:19">
      <c r="A793" s="6" t="s">
        <v>1651</v>
      </c>
      <c r="B793" s="7" t="s">
        <v>1652</v>
      </c>
      <c r="C793" s="8" t="s">
        <v>4129</v>
      </c>
      <c r="D793" s="8">
        <v>45035</v>
      </c>
      <c r="E793" s="7">
        <v>4</v>
      </c>
      <c r="F793" s="7">
        <v>19</v>
      </c>
      <c r="G793" s="7">
        <v>2023</v>
      </c>
      <c r="H793" s="8">
        <f t="shared" si="36"/>
        <v>45035</v>
      </c>
      <c r="I793" s="11">
        <v>45036</v>
      </c>
      <c r="J793" s="7">
        <f t="shared" si="37"/>
        <v>1</v>
      </c>
      <c r="K793" s="7" t="s">
        <v>14</v>
      </c>
      <c r="L793" s="7">
        <v>21384</v>
      </c>
      <c r="M793" s="7">
        <v>314</v>
      </c>
      <c r="N793" s="12">
        <v>623.97</v>
      </c>
      <c r="O793" s="12">
        <f t="shared" si="38"/>
        <v>623.97</v>
      </c>
      <c r="P793" s="7">
        <v>40</v>
      </c>
      <c r="Q793" s="7" t="b">
        <v>0</v>
      </c>
      <c r="R793" s="7"/>
      <c r="S793" s="15" t="s">
        <v>16</v>
      </c>
    </row>
    <row r="794" spans="1:19">
      <c r="A794" s="3" t="s">
        <v>1653</v>
      </c>
      <c r="B794" s="4" t="s">
        <v>1654</v>
      </c>
      <c r="C794" s="5" t="s">
        <v>4128</v>
      </c>
      <c r="D794" s="5">
        <v>44987</v>
      </c>
      <c r="E794" s="4">
        <v>3</v>
      </c>
      <c r="F794" s="4">
        <v>2</v>
      </c>
      <c r="G794" s="4">
        <v>2023</v>
      </c>
      <c r="H794" s="5">
        <f t="shared" si="36"/>
        <v>44987</v>
      </c>
      <c r="I794" s="9">
        <v>44988</v>
      </c>
      <c r="J794" s="4">
        <f t="shared" si="37"/>
        <v>1</v>
      </c>
      <c r="K794" s="4" t="s">
        <v>41</v>
      </c>
      <c r="L794" s="4">
        <v>19017</v>
      </c>
      <c r="M794" s="4">
        <v>752</v>
      </c>
      <c r="N794" s="10">
        <v>1195.87</v>
      </c>
      <c r="O794" s="10">
        <f t="shared" si="38"/>
        <v>1195.87</v>
      </c>
      <c r="P794" s="4">
        <v>60</v>
      </c>
      <c r="Q794" s="4" t="b">
        <v>0</v>
      </c>
      <c r="R794" s="4"/>
      <c r="S794" s="14" t="s">
        <v>42</v>
      </c>
    </row>
    <row r="795" spans="1:19">
      <c r="A795" s="6" t="s">
        <v>1655</v>
      </c>
      <c r="B795" s="7" t="s">
        <v>1656</v>
      </c>
      <c r="C795" s="8" t="s">
        <v>4129</v>
      </c>
      <c r="D795" s="8">
        <v>45051</v>
      </c>
      <c r="E795" s="7">
        <v>5</v>
      </c>
      <c r="F795" s="7">
        <v>5</v>
      </c>
      <c r="G795" s="7">
        <v>2023</v>
      </c>
      <c r="H795" s="8">
        <f t="shared" si="36"/>
        <v>45051</v>
      </c>
      <c r="I795" s="11">
        <v>45052</v>
      </c>
      <c r="J795" s="7">
        <f t="shared" si="37"/>
        <v>1</v>
      </c>
      <c r="K795" s="7" t="s">
        <v>14</v>
      </c>
      <c r="L795" s="7">
        <v>76880</v>
      </c>
      <c r="M795" s="7">
        <v>1751</v>
      </c>
      <c r="N795" s="12">
        <v>2936.7</v>
      </c>
      <c r="O795" s="12">
        <f t="shared" si="38"/>
        <v>2936.7</v>
      </c>
      <c r="P795" s="7">
        <v>116</v>
      </c>
      <c r="Q795" s="7" t="b">
        <v>1</v>
      </c>
      <c r="R795" s="7"/>
      <c r="S795" s="15" t="s">
        <v>16</v>
      </c>
    </row>
    <row r="796" spans="1:19">
      <c r="A796" s="3" t="s">
        <v>1657</v>
      </c>
      <c r="B796" s="4" t="s">
        <v>1658</v>
      </c>
      <c r="C796" s="5" t="s">
        <v>4131</v>
      </c>
      <c r="D796" s="5">
        <v>45130</v>
      </c>
      <c r="E796" s="4">
        <v>7</v>
      </c>
      <c r="F796" s="4">
        <v>23</v>
      </c>
      <c r="G796" s="4">
        <v>2023</v>
      </c>
      <c r="H796" s="5">
        <f t="shared" si="36"/>
        <v>45130</v>
      </c>
      <c r="I796" s="9">
        <v>45140</v>
      </c>
      <c r="J796" s="4">
        <f t="shared" si="37"/>
        <v>10</v>
      </c>
      <c r="K796" s="4" t="s">
        <v>33</v>
      </c>
      <c r="L796" s="4">
        <v>9702</v>
      </c>
      <c r="M796" s="4">
        <v>480</v>
      </c>
      <c r="N796" s="10">
        <v>955.98</v>
      </c>
      <c r="O796" s="10">
        <f t="shared" si="38"/>
        <v>955.98</v>
      </c>
      <c r="P796" s="4">
        <v>51</v>
      </c>
      <c r="Q796" s="4" t="b">
        <v>0</v>
      </c>
      <c r="R796" s="4"/>
      <c r="S796" s="14" t="s">
        <v>34</v>
      </c>
    </row>
    <row r="797" spans="1:19">
      <c r="A797" s="6" t="s">
        <v>1659</v>
      </c>
      <c r="B797" s="7" t="s">
        <v>1660</v>
      </c>
      <c r="C797" s="8" t="s">
        <v>4127</v>
      </c>
      <c r="D797" s="8">
        <v>45071</v>
      </c>
      <c r="E797" s="7">
        <v>5</v>
      </c>
      <c r="F797" s="7">
        <v>25</v>
      </c>
      <c r="G797" s="7">
        <v>2023</v>
      </c>
      <c r="H797" s="8">
        <f t="shared" si="36"/>
        <v>45071</v>
      </c>
      <c r="I797" s="11">
        <v>45075</v>
      </c>
      <c r="J797" s="7">
        <f t="shared" si="37"/>
        <v>4</v>
      </c>
      <c r="K797" s="7" t="s">
        <v>14</v>
      </c>
      <c r="L797" s="7">
        <v>1384</v>
      </c>
      <c r="M797" s="7">
        <v>40</v>
      </c>
      <c r="N797" s="12">
        <v>56.33</v>
      </c>
      <c r="O797" s="12">
        <f t="shared" si="38"/>
        <v>56.33</v>
      </c>
      <c r="P797" s="7">
        <v>7</v>
      </c>
      <c r="Q797" s="7" t="b">
        <v>0</v>
      </c>
      <c r="R797" s="7"/>
      <c r="S797" s="15" t="s">
        <v>16</v>
      </c>
    </row>
    <row r="798" spans="1:19">
      <c r="A798" s="3" t="s">
        <v>1661</v>
      </c>
      <c r="B798" s="4" t="s">
        <v>1662</v>
      </c>
      <c r="C798" s="5" t="s">
        <v>4128</v>
      </c>
      <c r="D798" s="5">
        <v>45110</v>
      </c>
      <c r="E798" s="4">
        <v>7</v>
      </c>
      <c r="F798" s="4">
        <v>3</v>
      </c>
      <c r="G798" s="4">
        <v>2023</v>
      </c>
      <c r="H798" s="5">
        <f t="shared" si="36"/>
        <v>45110</v>
      </c>
      <c r="I798" s="9">
        <v>45117</v>
      </c>
      <c r="J798" s="4">
        <f t="shared" si="37"/>
        <v>7</v>
      </c>
      <c r="K798" s="4" t="s">
        <v>33</v>
      </c>
      <c r="L798" s="4">
        <v>1404</v>
      </c>
      <c r="M798" s="4">
        <v>20</v>
      </c>
      <c r="N798" s="10">
        <v>19.24</v>
      </c>
      <c r="O798" s="10">
        <f t="shared" si="38"/>
        <v>19.24</v>
      </c>
      <c r="P798" s="4">
        <v>3</v>
      </c>
      <c r="Q798" s="4" t="b">
        <v>1</v>
      </c>
      <c r="R798" s="4"/>
      <c r="S798" s="14" t="s">
        <v>34</v>
      </c>
    </row>
    <row r="799" spans="1:19">
      <c r="A799" s="6" t="s">
        <v>1663</v>
      </c>
      <c r="B799" s="7" t="s">
        <v>1664</v>
      </c>
      <c r="C799" s="8" t="s">
        <v>4131</v>
      </c>
      <c r="D799" s="8">
        <v>45181</v>
      </c>
      <c r="E799" s="7">
        <v>9</v>
      </c>
      <c r="F799" s="7">
        <v>12</v>
      </c>
      <c r="G799" s="7">
        <v>2023</v>
      </c>
      <c r="H799" s="8">
        <f t="shared" si="36"/>
        <v>45181</v>
      </c>
      <c r="I799" s="11">
        <v>45187</v>
      </c>
      <c r="J799" s="7">
        <f t="shared" si="37"/>
        <v>6</v>
      </c>
      <c r="K799" s="7" t="s">
        <v>14</v>
      </c>
      <c r="L799" s="7">
        <v>41943</v>
      </c>
      <c r="M799" s="7">
        <v>1636</v>
      </c>
      <c r="N799" s="12">
        <v>2873.3</v>
      </c>
      <c r="O799" s="12">
        <f t="shared" si="38"/>
        <v>2873.3</v>
      </c>
      <c r="P799" s="7">
        <v>229</v>
      </c>
      <c r="Q799" s="7" t="b">
        <v>1</v>
      </c>
      <c r="R799" s="7"/>
      <c r="S799" s="15" t="s">
        <v>16</v>
      </c>
    </row>
    <row r="800" spans="1:19">
      <c r="A800" s="3" t="s">
        <v>1665</v>
      </c>
      <c r="B800" s="4" t="s">
        <v>1666</v>
      </c>
      <c r="C800" s="5" t="s">
        <v>4129</v>
      </c>
      <c r="D800" s="5">
        <v>45167</v>
      </c>
      <c r="E800" s="4">
        <v>8</v>
      </c>
      <c r="F800" s="4">
        <v>29</v>
      </c>
      <c r="G800" s="4">
        <v>2023</v>
      </c>
      <c r="H800" s="5">
        <f t="shared" si="36"/>
        <v>45167</v>
      </c>
      <c r="I800" s="9">
        <v>45194</v>
      </c>
      <c r="J800" s="4">
        <f t="shared" si="37"/>
        <v>27</v>
      </c>
      <c r="K800" s="4" t="s">
        <v>41</v>
      </c>
      <c r="L800" s="4">
        <v>48926</v>
      </c>
      <c r="M800" s="4">
        <v>1121</v>
      </c>
      <c r="N800" s="10">
        <v>1593.76</v>
      </c>
      <c r="O800" s="10">
        <f t="shared" si="38"/>
        <v>1593.76</v>
      </c>
      <c r="P800" s="4">
        <v>178</v>
      </c>
      <c r="Q800" s="4" t="b">
        <v>1</v>
      </c>
      <c r="R800" s="4"/>
      <c r="S800" s="14" t="s">
        <v>42</v>
      </c>
    </row>
    <row r="801" spans="1:19">
      <c r="A801" s="6" t="s">
        <v>1667</v>
      </c>
      <c r="B801" s="7" t="s">
        <v>1668</v>
      </c>
      <c r="C801" s="8" t="s">
        <v>4127</v>
      </c>
      <c r="D801" s="8">
        <v>45031</v>
      </c>
      <c r="E801" s="7">
        <v>4</v>
      </c>
      <c r="F801" s="7">
        <v>15</v>
      </c>
      <c r="G801" s="7">
        <v>2023</v>
      </c>
      <c r="H801" s="8">
        <f t="shared" si="36"/>
        <v>45031</v>
      </c>
      <c r="I801" s="11">
        <v>45056</v>
      </c>
      <c r="J801" s="7">
        <f t="shared" si="37"/>
        <v>25</v>
      </c>
      <c r="K801" s="7" t="s">
        <v>23</v>
      </c>
      <c r="L801" s="7">
        <v>30189</v>
      </c>
      <c r="M801" s="7">
        <v>1505</v>
      </c>
      <c r="N801" s="12">
        <v>2064.55</v>
      </c>
      <c r="O801" s="12">
        <f t="shared" si="38"/>
        <v>2064.55</v>
      </c>
      <c r="P801" s="7">
        <v>101</v>
      </c>
      <c r="Q801" s="7" t="b">
        <v>1</v>
      </c>
      <c r="R801" s="7"/>
      <c r="S801" s="15" t="s">
        <v>25</v>
      </c>
    </row>
    <row r="802" spans="1:19">
      <c r="A802" s="3" t="s">
        <v>1669</v>
      </c>
      <c r="B802" s="4" t="s">
        <v>1670</v>
      </c>
      <c r="C802" s="5" t="s">
        <v>4127</v>
      </c>
      <c r="D802" s="5">
        <v>45215</v>
      </c>
      <c r="E802" s="4">
        <v>10</v>
      </c>
      <c r="F802" s="4">
        <v>16</v>
      </c>
      <c r="G802" s="4">
        <v>2023</v>
      </c>
      <c r="H802" s="5">
        <f t="shared" si="36"/>
        <v>45215</v>
      </c>
      <c r="I802" s="9">
        <v>45237</v>
      </c>
      <c r="J802" s="4">
        <f t="shared" si="37"/>
        <v>22</v>
      </c>
      <c r="K802" s="4" t="s">
        <v>19</v>
      </c>
      <c r="L802" s="4">
        <v>13763</v>
      </c>
      <c r="M802" s="4">
        <v>677</v>
      </c>
      <c r="N802" s="10">
        <v>596.07</v>
      </c>
      <c r="O802" s="10">
        <f t="shared" si="38"/>
        <v>596.07</v>
      </c>
      <c r="P802" s="4">
        <v>93</v>
      </c>
      <c r="Q802" s="4" t="b">
        <v>1</v>
      </c>
      <c r="R802" s="4"/>
      <c r="S802" s="14" t="s">
        <v>20</v>
      </c>
    </row>
    <row r="803" spans="1:19">
      <c r="A803" s="6" t="s">
        <v>1671</v>
      </c>
      <c r="B803" s="7" t="s">
        <v>1672</v>
      </c>
      <c r="C803" s="8" t="s">
        <v>4127</v>
      </c>
      <c r="D803" s="8">
        <v>44935</v>
      </c>
      <c r="E803" s="7">
        <v>1</v>
      </c>
      <c r="F803" s="7">
        <v>9</v>
      </c>
      <c r="G803" s="7">
        <v>2023</v>
      </c>
      <c r="H803" s="8">
        <f t="shared" si="36"/>
        <v>44935</v>
      </c>
      <c r="I803" s="11">
        <v>44938</v>
      </c>
      <c r="J803" s="7">
        <f t="shared" si="37"/>
        <v>3</v>
      </c>
      <c r="K803" s="7" t="s">
        <v>23</v>
      </c>
      <c r="L803" s="7">
        <v>19384</v>
      </c>
      <c r="M803" s="7">
        <v>702</v>
      </c>
      <c r="N803" s="12">
        <v>1147.42</v>
      </c>
      <c r="O803" s="12">
        <f t="shared" si="38"/>
        <v>1147.42</v>
      </c>
      <c r="P803" s="7">
        <v>105</v>
      </c>
      <c r="Q803" s="7" t="b">
        <v>1</v>
      </c>
      <c r="R803" s="7"/>
      <c r="S803" s="15" t="s">
        <v>25</v>
      </c>
    </row>
    <row r="804" spans="1:19">
      <c r="A804" s="3" t="s">
        <v>1673</v>
      </c>
      <c r="B804" s="4" t="s">
        <v>1674</v>
      </c>
      <c r="C804" s="5" t="s">
        <v>4129</v>
      </c>
      <c r="D804" s="5">
        <v>45223</v>
      </c>
      <c r="E804" s="4">
        <v>10</v>
      </c>
      <c r="F804" s="4">
        <v>24</v>
      </c>
      <c r="G804" s="4">
        <v>2023</v>
      </c>
      <c r="H804" s="5">
        <f t="shared" si="36"/>
        <v>45223</v>
      </c>
      <c r="I804" s="9">
        <v>45218</v>
      </c>
      <c r="J804" s="4">
        <f t="shared" si="37"/>
        <v>-5</v>
      </c>
      <c r="K804" s="4" t="s">
        <v>14</v>
      </c>
      <c r="L804" s="4">
        <v>61100</v>
      </c>
      <c r="M804" s="4">
        <v>928</v>
      </c>
      <c r="N804" s="10">
        <v>577.68</v>
      </c>
      <c r="O804" s="10">
        <f t="shared" si="38"/>
        <v>577.68</v>
      </c>
      <c r="P804" s="4">
        <v>74</v>
      </c>
      <c r="Q804" s="4" t="b">
        <v>1</v>
      </c>
      <c r="R804" s="4"/>
      <c r="S804" s="14" t="s">
        <v>16</v>
      </c>
    </row>
    <row r="805" spans="1:19">
      <c r="A805" s="6" t="s">
        <v>1675</v>
      </c>
      <c r="B805" s="7" t="s">
        <v>1676</v>
      </c>
      <c r="C805" s="8" t="s">
        <v>4131</v>
      </c>
      <c r="D805" s="8">
        <v>45027</v>
      </c>
      <c r="E805" s="7">
        <v>4</v>
      </c>
      <c r="F805" s="7">
        <v>11</v>
      </c>
      <c r="G805" s="7">
        <v>2023</v>
      </c>
      <c r="H805" s="8">
        <f t="shared" si="36"/>
        <v>45027</v>
      </c>
      <c r="I805" s="11">
        <v>45022</v>
      </c>
      <c r="J805" s="7">
        <f t="shared" si="37"/>
        <v>-5</v>
      </c>
      <c r="K805" s="7" t="s">
        <v>14</v>
      </c>
      <c r="L805" s="7">
        <v>99142</v>
      </c>
      <c r="M805" s="7">
        <v>3715</v>
      </c>
      <c r="N805" s="12">
        <v>7008.09</v>
      </c>
      <c r="O805" s="12">
        <f t="shared" si="38"/>
        <v>3632.575</v>
      </c>
      <c r="P805" s="7">
        <v>676</v>
      </c>
      <c r="Q805" s="7" t="b">
        <v>1</v>
      </c>
      <c r="R805" s="7"/>
      <c r="S805" s="15" t="s">
        <v>68</v>
      </c>
    </row>
    <row r="806" spans="1:19">
      <c r="A806" s="3" t="s">
        <v>1677</v>
      </c>
      <c r="B806" s="4" t="s">
        <v>1678</v>
      </c>
      <c r="C806" s="5" t="s">
        <v>4127</v>
      </c>
      <c r="D806" s="5">
        <v>45052</v>
      </c>
      <c r="E806" s="4">
        <v>5</v>
      </c>
      <c r="F806" s="4">
        <v>6</v>
      </c>
      <c r="G806" s="4">
        <v>2023</v>
      </c>
      <c r="H806" s="5">
        <f t="shared" si="36"/>
        <v>45052</v>
      </c>
      <c r="I806" s="9">
        <v>45047</v>
      </c>
      <c r="J806" s="4">
        <f t="shared" si="37"/>
        <v>-5</v>
      </c>
      <c r="K806" s="4" t="s">
        <v>138</v>
      </c>
      <c r="L806" s="4">
        <v>10860</v>
      </c>
      <c r="M806" s="4">
        <v>149</v>
      </c>
      <c r="N806" s="10">
        <v>147.32</v>
      </c>
      <c r="O806" s="10">
        <f t="shared" si="38"/>
        <v>147.32</v>
      </c>
      <c r="P806" s="4">
        <v>11</v>
      </c>
      <c r="Q806" s="4" t="b">
        <v>1</v>
      </c>
      <c r="R806" s="4"/>
      <c r="S806" s="14" t="s">
        <v>139</v>
      </c>
    </row>
    <row r="807" spans="1:19">
      <c r="A807" s="6" t="s">
        <v>1679</v>
      </c>
      <c r="B807" s="7" t="s">
        <v>1680</v>
      </c>
      <c r="C807" s="8" t="s">
        <v>4127</v>
      </c>
      <c r="D807" s="8">
        <v>45277</v>
      </c>
      <c r="E807" s="7">
        <v>12</v>
      </c>
      <c r="F807" s="7">
        <v>17</v>
      </c>
      <c r="G807" s="7">
        <v>2023</v>
      </c>
      <c r="H807" s="8">
        <f t="shared" si="36"/>
        <v>45277</v>
      </c>
      <c r="I807" s="11">
        <v>45281</v>
      </c>
      <c r="J807" s="7">
        <f t="shared" si="37"/>
        <v>4</v>
      </c>
      <c r="K807" s="7" t="s">
        <v>14</v>
      </c>
      <c r="L807" s="7">
        <v>81642</v>
      </c>
      <c r="M807" s="7">
        <v>912</v>
      </c>
      <c r="N807" s="12">
        <v>630.8</v>
      </c>
      <c r="O807" s="12">
        <f t="shared" si="38"/>
        <v>630.8</v>
      </c>
      <c r="P807" s="7">
        <v>88</v>
      </c>
      <c r="Q807" s="7" t="b">
        <v>1</v>
      </c>
      <c r="R807" s="7"/>
      <c r="S807" s="15" t="s">
        <v>68</v>
      </c>
    </row>
    <row r="808" spans="1:19">
      <c r="A808" s="3" t="s">
        <v>1681</v>
      </c>
      <c r="B808" s="4" t="s">
        <v>1682</v>
      </c>
      <c r="C808" s="5" t="s">
        <v>4127</v>
      </c>
      <c r="D808" s="5">
        <v>45177</v>
      </c>
      <c r="E808" s="4">
        <v>9</v>
      </c>
      <c r="F808" s="4">
        <v>8</v>
      </c>
      <c r="G808" s="4">
        <v>2023</v>
      </c>
      <c r="H808" s="5">
        <f t="shared" si="36"/>
        <v>45177</v>
      </c>
      <c r="I808" s="9">
        <v>45191</v>
      </c>
      <c r="J808" s="4">
        <f t="shared" si="37"/>
        <v>14</v>
      </c>
      <c r="K808" s="4" t="s">
        <v>23</v>
      </c>
      <c r="L808" s="4">
        <v>51612</v>
      </c>
      <c r="M808" s="4">
        <v>2215</v>
      </c>
      <c r="N808" s="10">
        <v>2577.26</v>
      </c>
      <c r="O808" s="10">
        <f t="shared" si="38"/>
        <v>2577.26</v>
      </c>
      <c r="P808" s="4">
        <v>316</v>
      </c>
      <c r="Q808" s="4" t="b">
        <v>0</v>
      </c>
      <c r="R808" s="4">
        <v>51694</v>
      </c>
      <c r="S808" s="14" t="s">
        <v>68</v>
      </c>
    </row>
    <row r="809" spans="1:19">
      <c r="A809" s="6" t="s">
        <v>1683</v>
      </c>
      <c r="B809" s="7" t="s">
        <v>1684</v>
      </c>
      <c r="C809" s="8" t="s">
        <v>4129</v>
      </c>
      <c r="D809" s="8">
        <v>45178</v>
      </c>
      <c r="E809" s="7">
        <v>9</v>
      </c>
      <c r="F809" s="7">
        <v>9</v>
      </c>
      <c r="G809" s="7">
        <v>2023</v>
      </c>
      <c r="H809" s="8">
        <f t="shared" si="36"/>
        <v>45178</v>
      </c>
      <c r="I809" s="11">
        <v>45190</v>
      </c>
      <c r="J809" s="7">
        <f t="shared" si="37"/>
        <v>12</v>
      </c>
      <c r="K809" s="7" t="s">
        <v>14</v>
      </c>
      <c r="L809" s="7">
        <v>24574</v>
      </c>
      <c r="M809" s="7">
        <v>451</v>
      </c>
      <c r="N809" s="12">
        <v>254.23</v>
      </c>
      <c r="O809" s="12">
        <f t="shared" si="38"/>
        <v>254.23</v>
      </c>
      <c r="P809" s="7">
        <v>65</v>
      </c>
      <c r="Q809" s="7" t="b">
        <v>1</v>
      </c>
      <c r="R809" s="7"/>
      <c r="S809" s="15" t="s">
        <v>16</v>
      </c>
    </row>
    <row r="810" spans="1:19">
      <c r="A810" s="3" t="s">
        <v>1685</v>
      </c>
      <c r="B810" s="4" t="s">
        <v>1686</v>
      </c>
      <c r="C810" s="5" t="s">
        <v>4127</v>
      </c>
      <c r="D810" s="5">
        <v>45107</v>
      </c>
      <c r="E810" s="4">
        <v>6</v>
      </c>
      <c r="F810" s="4">
        <v>30</v>
      </c>
      <c r="G810" s="4">
        <v>2023</v>
      </c>
      <c r="H810" s="5">
        <f t="shared" si="36"/>
        <v>45107</v>
      </c>
      <c r="I810" s="9">
        <v>45129</v>
      </c>
      <c r="J810" s="4">
        <f t="shared" si="37"/>
        <v>22</v>
      </c>
      <c r="K810" s="4" t="s">
        <v>23</v>
      </c>
      <c r="L810" s="4">
        <v>24524</v>
      </c>
      <c r="M810" s="4">
        <v>617</v>
      </c>
      <c r="N810" s="10">
        <v>942.12</v>
      </c>
      <c r="O810" s="10">
        <f t="shared" si="38"/>
        <v>942.12</v>
      </c>
      <c r="P810" s="4">
        <v>95</v>
      </c>
      <c r="Q810" s="4" t="b">
        <v>1</v>
      </c>
      <c r="R810" s="4"/>
      <c r="S810" s="14" t="s">
        <v>25</v>
      </c>
    </row>
    <row r="811" spans="1:19">
      <c r="A811" s="6" t="s">
        <v>1687</v>
      </c>
      <c r="B811" s="7" t="s">
        <v>1688</v>
      </c>
      <c r="C811" s="8" t="s">
        <v>4129</v>
      </c>
      <c r="D811" s="8">
        <v>45177</v>
      </c>
      <c r="E811" s="7">
        <v>9</v>
      </c>
      <c r="F811" s="7">
        <v>8</v>
      </c>
      <c r="G811" s="7">
        <v>2023</v>
      </c>
      <c r="H811" s="8">
        <f t="shared" si="36"/>
        <v>45177</v>
      </c>
      <c r="I811" s="11">
        <v>45190</v>
      </c>
      <c r="J811" s="7">
        <f t="shared" si="37"/>
        <v>13</v>
      </c>
      <c r="K811" s="7" t="s">
        <v>138</v>
      </c>
      <c r="L811" s="7">
        <v>70172</v>
      </c>
      <c r="M811" s="7">
        <v>3434</v>
      </c>
      <c r="N811" s="12">
        <v>6366.84</v>
      </c>
      <c r="O811" s="12">
        <f t="shared" si="38"/>
        <v>3632.575</v>
      </c>
      <c r="P811" s="7">
        <v>229</v>
      </c>
      <c r="Q811" s="7" t="b">
        <v>1</v>
      </c>
      <c r="R811" s="7"/>
      <c r="S811" s="15" t="s">
        <v>139</v>
      </c>
    </row>
    <row r="812" spans="1:19">
      <c r="A812" s="3" t="s">
        <v>1689</v>
      </c>
      <c r="B812" s="4" t="s">
        <v>1690</v>
      </c>
      <c r="C812" s="5" t="s">
        <v>4129</v>
      </c>
      <c r="D812" s="5">
        <v>45255</v>
      </c>
      <c r="E812" s="4">
        <v>11</v>
      </c>
      <c r="F812" s="4">
        <v>25</v>
      </c>
      <c r="G812" s="4">
        <v>2023</v>
      </c>
      <c r="H812" s="5">
        <f t="shared" si="36"/>
        <v>45255</v>
      </c>
      <c r="I812" s="9">
        <v>45256</v>
      </c>
      <c r="J812" s="4">
        <f t="shared" si="37"/>
        <v>1</v>
      </c>
      <c r="K812" s="4" t="s">
        <v>33</v>
      </c>
      <c r="L812" s="4">
        <v>11916</v>
      </c>
      <c r="M812" s="4">
        <v>279</v>
      </c>
      <c r="N812" s="10">
        <v>489.89</v>
      </c>
      <c r="O812" s="10">
        <f t="shared" si="38"/>
        <v>489.89</v>
      </c>
      <c r="P812" s="4">
        <v>0</v>
      </c>
      <c r="Q812" s="4" t="b">
        <v>1</v>
      </c>
      <c r="R812" s="4"/>
      <c r="S812" s="14" t="s">
        <v>68</v>
      </c>
    </row>
    <row r="813" spans="1:19">
      <c r="A813" s="6" t="s">
        <v>1691</v>
      </c>
      <c r="B813" s="7" t="s">
        <v>1692</v>
      </c>
      <c r="C813" s="8" t="s">
        <v>4131</v>
      </c>
      <c r="D813" s="8">
        <v>44965</v>
      </c>
      <c r="E813" s="7">
        <v>2</v>
      </c>
      <c r="F813" s="7">
        <v>8</v>
      </c>
      <c r="G813" s="7">
        <v>2023</v>
      </c>
      <c r="H813" s="8">
        <f t="shared" si="36"/>
        <v>44965</v>
      </c>
      <c r="I813" s="11">
        <v>44988</v>
      </c>
      <c r="J813" s="7">
        <f t="shared" si="37"/>
        <v>23</v>
      </c>
      <c r="K813" s="7" t="s">
        <v>23</v>
      </c>
      <c r="L813" s="7">
        <v>5809</v>
      </c>
      <c r="M813" s="7">
        <v>126</v>
      </c>
      <c r="N813" s="12">
        <v>87.07</v>
      </c>
      <c r="O813" s="12">
        <f t="shared" si="38"/>
        <v>87.07</v>
      </c>
      <c r="P813" s="7">
        <v>16</v>
      </c>
      <c r="Q813" s="7" t="b">
        <v>1</v>
      </c>
      <c r="R813" s="7"/>
      <c r="S813" s="15" t="s">
        <v>25</v>
      </c>
    </row>
    <row r="814" spans="1:19">
      <c r="A814" s="3" t="s">
        <v>1693</v>
      </c>
      <c r="B814" s="4" t="s">
        <v>1694</v>
      </c>
      <c r="C814" s="5" t="s">
        <v>4129</v>
      </c>
      <c r="D814" s="5">
        <v>44930</v>
      </c>
      <c r="E814" s="4">
        <v>1</v>
      </c>
      <c r="F814" s="4">
        <v>4</v>
      </c>
      <c r="G814" s="4">
        <v>2023</v>
      </c>
      <c r="H814" s="5">
        <f t="shared" si="36"/>
        <v>44930</v>
      </c>
      <c r="I814" s="9">
        <v>44950</v>
      </c>
      <c r="J814" s="4">
        <f t="shared" si="37"/>
        <v>20</v>
      </c>
      <c r="K814" s="4" t="s">
        <v>23</v>
      </c>
      <c r="L814" s="4">
        <v>33201</v>
      </c>
      <c r="M814" s="4">
        <v>1551</v>
      </c>
      <c r="N814" s="10">
        <v>1069.27</v>
      </c>
      <c r="O814" s="10">
        <f t="shared" si="38"/>
        <v>1069.27</v>
      </c>
      <c r="P814" s="4">
        <v>187</v>
      </c>
      <c r="Q814" s="4" t="b">
        <v>1</v>
      </c>
      <c r="R814" s="4"/>
      <c r="S814" s="14" t="s">
        <v>25</v>
      </c>
    </row>
    <row r="815" spans="1:19">
      <c r="A815" s="6" t="s">
        <v>1695</v>
      </c>
      <c r="B815" s="7" t="s">
        <v>1696</v>
      </c>
      <c r="C815" s="8" t="s">
        <v>4129</v>
      </c>
      <c r="D815" s="8" t="s">
        <v>1697</v>
      </c>
      <c r="E815" s="7">
        <v>29</v>
      </c>
      <c r="F815" s="7">
        <v>4</v>
      </c>
      <c r="G815" s="7">
        <v>2023</v>
      </c>
      <c r="H815" s="8">
        <f t="shared" si="36"/>
        <v>45045</v>
      </c>
      <c r="I815" s="11">
        <v>45055</v>
      </c>
      <c r="J815" s="7">
        <f t="shared" si="37"/>
        <v>10</v>
      </c>
      <c r="K815" s="7" t="s">
        <v>14</v>
      </c>
      <c r="L815" s="7">
        <v>54330</v>
      </c>
      <c r="M815" s="7">
        <v>783</v>
      </c>
      <c r="N815" s="12">
        <v>1346.88</v>
      </c>
      <c r="O815" s="12">
        <f t="shared" si="38"/>
        <v>1346.88</v>
      </c>
      <c r="P815" s="7">
        <v>154</v>
      </c>
      <c r="Q815" s="7" t="b">
        <v>0</v>
      </c>
      <c r="R815" s="7"/>
      <c r="S815" s="15" t="s">
        <v>16</v>
      </c>
    </row>
    <row r="816" spans="1:19">
      <c r="A816" s="3" t="s">
        <v>1698</v>
      </c>
      <c r="B816" s="4" t="s">
        <v>1699</v>
      </c>
      <c r="C816" s="5" t="s">
        <v>4131</v>
      </c>
      <c r="D816" s="5" t="s">
        <v>1700</v>
      </c>
      <c r="E816" s="4">
        <v>19</v>
      </c>
      <c r="F816" s="4">
        <v>3</v>
      </c>
      <c r="G816" s="4">
        <v>2023</v>
      </c>
      <c r="H816" s="5">
        <f t="shared" si="36"/>
        <v>45004</v>
      </c>
      <c r="I816" s="9">
        <v>45015</v>
      </c>
      <c r="J816" s="4">
        <f t="shared" si="37"/>
        <v>11</v>
      </c>
      <c r="K816" s="4" t="s">
        <v>14</v>
      </c>
      <c r="L816" s="4">
        <v>14456</v>
      </c>
      <c r="M816" s="4">
        <v>583</v>
      </c>
      <c r="N816" s="10">
        <v>1099.76</v>
      </c>
      <c r="O816" s="10">
        <f t="shared" si="38"/>
        <v>1099.76</v>
      </c>
      <c r="P816" s="4">
        <v>93</v>
      </c>
      <c r="Q816" s="4" t="b">
        <v>0</v>
      </c>
      <c r="R816" s="4"/>
      <c r="S816" s="14" t="s">
        <v>16</v>
      </c>
    </row>
    <row r="817" spans="1:19">
      <c r="A817" s="6" t="s">
        <v>1701</v>
      </c>
      <c r="B817" s="7" t="s">
        <v>1702</v>
      </c>
      <c r="C817" s="8" t="s">
        <v>4129</v>
      </c>
      <c r="D817" s="8">
        <v>45185</v>
      </c>
      <c r="E817" s="7">
        <v>9</v>
      </c>
      <c r="F817" s="7">
        <v>16</v>
      </c>
      <c r="G817" s="7">
        <v>2023</v>
      </c>
      <c r="H817" s="8">
        <f t="shared" si="36"/>
        <v>45185</v>
      </c>
      <c r="I817" s="11">
        <v>45198</v>
      </c>
      <c r="J817" s="7">
        <f t="shared" si="37"/>
        <v>13</v>
      </c>
      <c r="K817" s="7" t="s">
        <v>33</v>
      </c>
      <c r="L817" s="7">
        <v>57397</v>
      </c>
      <c r="M817" s="7">
        <v>2842</v>
      </c>
      <c r="N817" s="12">
        <v>3384.84</v>
      </c>
      <c r="O817" s="12">
        <f t="shared" si="38"/>
        <v>3384.84</v>
      </c>
      <c r="P817" s="7">
        <v>192</v>
      </c>
      <c r="Q817" s="7" t="b">
        <v>0</v>
      </c>
      <c r="R817" s="7"/>
      <c r="S817" s="15" t="s">
        <v>34</v>
      </c>
    </row>
    <row r="818" spans="1:19">
      <c r="A818" s="3" t="s">
        <v>1703</v>
      </c>
      <c r="B818" s="4" t="s">
        <v>1704</v>
      </c>
      <c r="C818" s="5" t="s">
        <v>4129</v>
      </c>
      <c r="D818" s="5">
        <v>45253</v>
      </c>
      <c r="E818" s="4">
        <v>11</v>
      </c>
      <c r="F818" s="4">
        <v>23</v>
      </c>
      <c r="G818" s="4">
        <v>2023</v>
      </c>
      <c r="H818" s="5">
        <f t="shared" si="36"/>
        <v>45253</v>
      </c>
      <c r="I818" s="9">
        <v>45265</v>
      </c>
      <c r="J818" s="4">
        <f t="shared" si="37"/>
        <v>12</v>
      </c>
      <c r="K818" s="4" t="s">
        <v>41</v>
      </c>
      <c r="L818" s="4">
        <v>39765</v>
      </c>
      <c r="M818" s="4">
        <v>1831</v>
      </c>
      <c r="N818" s="10">
        <v>2285.92</v>
      </c>
      <c r="O818" s="10">
        <f t="shared" si="38"/>
        <v>2285.92</v>
      </c>
      <c r="P818" s="4">
        <v>299</v>
      </c>
      <c r="Q818" s="4" t="b">
        <v>1</v>
      </c>
      <c r="R818" s="4"/>
      <c r="S818" s="14" t="s">
        <v>42</v>
      </c>
    </row>
    <row r="819" spans="1:19">
      <c r="A819" s="6" t="s">
        <v>1705</v>
      </c>
      <c r="B819" s="7" t="s">
        <v>1706</v>
      </c>
      <c r="C819" s="8" t="s">
        <v>4128</v>
      </c>
      <c r="D819" s="8">
        <v>45174</v>
      </c>
      <c r="E819" s="7">
        <v>9</v>
      </c>
      <c r="F819" s="7">
        <v>5</v>
      </c>
      <c r="G819" s="7">
        <v>2023</v>
      </c>
      <c r="H819" s="8">
        <f t="shared" si="36"/>
        <v>45174</v>
      </c>
      <c r="I819" s="11">
        <v>45062</v>
      </c>
      <c r="J819" s="7">
        <f t="shared" si="37"/>
        <v>-112</v>
      </c>
      <c r="K819" s="7" t="s">
        <v>23</v>
      </c>
      <c r="L819" s="7">
        <v>35816</v>
      </c>
      <c r="M819" s="7">
        <v>1291</v>
      </c>
      <c r="N819" s="12">
        <v>-1261.81</v>
      </c>
      <c r="O819" s="12">
        <f t="shared" si="38"/>
        <v>-344.195</v>
      </c>
      <c r="P819" s="7">
        <v>82</v>
      </c>
      <c r="Q819" s="7" t="b">
        <v>1</v>
      </c>
      <c r="R819" s="7">
        <v>35860</v>
      </c>
      <c r="S819" s="15" t="s">
        <v>25</v>
      </c>
    </row>
    <row r="820" spans="1:19">
      <c r="A820" s="3" t="s">
        <v>1707</v>
      </c>
      <c r="B820" s="4" t="s">
        <v>1708</v>
      </c>
      <c r="C820" s="5" t="s">
        <v>4128</v>
      </c>
      <c r="D820" s="5">
        <v>45199</v>
      </c>
      <c r="E820" s="4">
        <v>9</v>
      </c>
      <c r="F820" s="4">
        <v>30</v>
      </c>
      <c r="G820" s="4">
        <v>2023</v>
      </c>
      <c r="H820" s="5">
        <f t="shared" si="36"/>
        <v>45199</v>
      </c>
      <c r="I820" s="9">
        <v>45209</v>
      </c>
      <c r="J820" s="4">
        <f t="shared" si="37"/>
        <v>10</v>
      </c>
      <c r="K820" s="4" t="s">
        <v>23</v>
      </c>
      <c r="L820" s="4">
        <v>46106</v>
      </c>
      <c r="M820" s="4">
        <v>1040</v>
      </c>
      <c r="N820" s="10">
        <v>1915.05</v>
      </c>
      <c r="O820" s="10">
        <f t="shared" si="38"/>
        <v>1915.05</v>
      </c>
      <c r="P820" s="4">
        <v>56</v>
      </c>
      <c r="Q820" s="4" t="b">
        <v>0</v>
      </c>
      <c r="R820" s="4"/>
      <c r="S820" s="14" t="s">
        <v>59</v>
      </c>
    </row>
    <row r="821" spans="1:19">
      <c r="A821" s="6" t="s">
        <v>1709</v>
      </c>
      <c r="B821" s="7" t="s">
        <v>1710</v>
      </c>
      <c r="C821" s="8" t="s">
        <v>4129</v>
      </c>
      <c r="D821" s="8">
        <v>45198</v>
      </c>
      <c r="E821" s="7">
        <v>9</v>
      </c>
      <c r="F821" s="7">
        <v>29</v>
      </c>
      <c r="G821" s="7">
        <v>2023</v>
      </c>
      <c r="H821" s="8">
        <f t="shared" si="36"/>
        <v>45198</v>
      </c>
      <c r="I821" s="11">
        <v>45212</v>
      </c>
      <c r="J821" s="7">
        <f t="shared" si="37"/>
        <v>14</v>
      </c>
      <c r="K821" s="7" t="s">
        <v>19</v>
      </c>
      <c r="L821" s="7">
        <v>54932</v>
      </c>
      <c r="M821" s="7">
        <v>1108</v>
      </c>
      <c r="N821" s="12">
        <v>1625.83</v>
      </c>
      <c r="O821" s="12">
        <f t="shared" si="38"/>
        <v>1625.83</v>
      </c>
      <c r="P821" s="7">
        <v>122</v>
      </c>
      <c r="Q821" s="7" t="b">
        <v>0</v>
      </c>
      <c r="R821" s="7"/>
      <c r="S821" s="15" t="s">
        <v>20</v>
      </c>
    </row>
    <row r="822" spans="1:19">
      <c r="A822" s="3" t="s">
        <v>1711</v>
      </c>
      <c r="B822" s="4" t="s">
        <v>1712</v>
      </c>
      <c r="C822" s="5" t="s">
        <v>4128</v>
      </c>
      <c r="D822" s="5" t="s">
        <v>1713</v>
      </c>
      <c r="E822" s="4">
        <v>27</v>
      </c>
      <c r="F822" s="4">
        <v>5</v>
      </c>
      <c r="G822" s="4">
        <v>2023</v>
      </c>
      <c r="H822" s="5">
        <f t="shared" si="36"/>
        <v>45073</v>
      </c>
      <c r="I822" s="9">
        <v>45093</v>
      </c>
      <c r="J822" s="4">
        <f t="shared" si="37"/>
        <v>20</v>
      </c>
      <c r="K822" s="4" t="s">
        <v>23</v>
      </c>
      <c r="L822" s="4">
        <v>18100</v>
      </c>
      <c r="M822" s="4">
        <v>774</v>
      </c>
      <c r="N822" s="10">
        <v>721.66</v>
      </c>
      <c r="O822" s="10">
        <f t="shared" si="38"/>
        <v>721.66</v>
      </c>
      <c r="P822" s="4">
        <v>154</v>
      </c>
      <c r="Q822" s="4" t="b">
        <v>1</v>
      </c>
      <c r="R822" s="4"/>
      <c r="S822" s="14" t="s">
        <v>25</v>
      </c>
    </row>
    <row r="823" spans="1:19">
      <c r="A823" s="6" t="s">
        <v>1714</v>
      </c>
      <c r="B823" s="7" t="s">
        <v>1715</v>
      </c>
      <c r="C823" s="8" t="s">
        <v>4128</v>
      </c>
      <c r="D823" s="8">
        <v>45284</v>
      </c>
      <c r="E823" s="7">
        <v>12</v>
      </c>
      <c r="F823" s="7">
        <v>24</v>
      </c>
      <c r="G823" s="7">
        <v>2023</v>
      </c>
      <c r="H823" s="8">
        <f t="shared" si="36"/>
        <v>45284</v>
      </c>
      <c r="I823" s="11">
        <v>45303</v>
      </c>
      <c r="J823" s="7">
        <f t="shared" si="37"/>
        <v>19</v>
      </c>
      <c r="K823" s="7" t="s">
        <v>14</v>
      </c>
      <c r="L823" s="7">
        <v>58091</v>
      </c>
      <c r="M823" s="7">
        <v>2625</v>
      </c>
      <c r="N823" s="12">
        <v>2488.96</v>
      </c>
      <c r="O823" s="12">
        <f t="shared" si="38"/>
        <v>2488.96</v>
      </c>
      <c r="P823" s="7">
        <v>200</v>
      </c>
      <c r="Q823" s="7" t="b">
        <v>0</v>
      </c>
      <c r="R823" s="7"/>
      <c r="S823" s="15" t="s">
        <v>16</v>
      </c>
    </row>
    <row r="824" spans="1:19">
      <c r="A824" s="3" t="s">
        <v>1716</v>
      </c>
      <c r="B824" s="4" t="s">
        <v>1717</v>
      </c>
      <c r="C824" s="5" t="s">
        <v>4131</v>
      </c>
      <c r="D824" s="5">
        <v>45018</v>
      </c>
      <c r="E824" s="4">
        <v>4</v>
      </c>
      <c r="F824" s="4">
        <v>2</v>
      </c>
      <c r="G824" s="4">
        <v>2023</v>
      </c>
      <c r="H824" s="5">
        <f t="shared" si="36"/>
        <v>45018</v>
      </c>
      <c r="I824" s="9">
        <v>44991</v>
      </c>
      <c r="J824" s="4">
        <f t="shared" si="37"/>
        <v>-27</v>
      </c>
      <c r="K824" s="4" t="s">
        <v>14</v>
      </c>
      <c r="L824" s="4">
        <v>22949</v>
      </c>
      <c r="M824" s="4">
        <v>711</v>
      </c>
      <c r="N824" s="10">
        <v>1305.96</v>
      </c>
      <c r="O824" s="10">
        <f t="shared" si="38"/>
        <v>1305.96</v>
      </c>
      <c r="P824" s="4">
        <v>107</v>
      </c>
      <c r="Q824" s="4" t="b">
        <v>1</v>
      </c>
      <c r="R824" s="4"/>
      <c r="S824" s="14" t="s">
        <v>16</v>
      </c>
    </row>
    <row r="825" spans="1:19">
      <c r="A825" s="6" t="s">
        <v>1718</v>
      </c>
      <c r="B825" s="7" t="s">
        <v>1719</v>
      </c>
      <c r="C825" s="8" t="s">
        <v>4129</v>
      </c>
      <c r="D825" s="8">
        <v>45003</v>
      </c>
      <c r="E825" s="7">
        <v>3</v>
      </c>
      <c r="F825" s="7">
        <v>18</v>
      </c>
      <c r="G825" s="7">
        <v>2023</v>
      </c>
      <c r="H825" s="8">
        <f t="shared" si="36"/>
        <v>45003</v>
      </c>
      <c r="I825" s="11">
        <v>45019</v>
      </c>
      <c r="J825" s="7">
        <f t="shared" si="37"/>
        <v>16</v>
      </c>
      <c r="K825" s="7" t="s">
        <v>23</v>
      </c>
      <c r="L825" s="7">
        <v>71080</v>
      </c>
      <c r="M825" s="7">
        <v>1405</v>
      </c>
      <c r="N825" s="12">
        <v>731.23</v>
      </c>
      <c r="O825" s="12">
        <f t="shared" si="38"/>
        <v>731.23</v>
      </c>
      <c r="P825" s="7">
        <v>106</v>
      </c>
      <c r="Q825" s="7" t="b">
        <v>1</v>
      </c>
      <c r="R825" s="7"/>
      <c r="S825" s="15" t="s">
        <v>25</v>
      </c>
    </row>
    <row r="826" spans="1:19">
      <c r="A826" s="3" t="s">
        <v>1720</v>
      </c>
      <c r="B826" s="4" t="s">
        <v>1721</v>
      </c>
      <c r="C826" s="5" t="s">
        <v>4129</v>
      </c>
      <c r="D826" s="5">
        <v>45056</v>
      </c>
      <c r="E826" s="4">
        <v>5</v>
      </c>
      <c r="F826" s="4">
        <v>10</v>
      </c>
      <c r="G826" s="4">
        <v>2023</v>
      </c>
      <c r="H826" s="5">
        <f t="shared" si="36"/>
        <v>45056</v>
      </c>
      <c r="I826" s="9">
        <v>45077</v>
      </c>
      <c r="J826" s="4">
        <f t="shared" si="37"/>
        <v>21</v>
      </c>
      <c r="K826" s="4" t="s">
        <v>41</v>
      </c>
      <c r="L826" s="4">
        <v>38744</v>
      </c>
      <c r="M826" s="4">
        <v>562</v>
      </c>
      <c r="N826" s="10">
        <v>553.06</v>
      </c>
      <c r="O826" s="10">
        <f t="shared" si="38"/>
        <v>553.06</v>
      </c>
      <c r="P826" s="4">
        <v>89</v>
      </c>
      <c r="Q826" s="4" t="b">
        <v>0</v>
      </c>
      <c r="R826" s="4"/>
      <c r="S826" s="14" t="s">
        <v>42</v>
      </c>
    </row>
    <row r="827" spans="1:19">
      <c r="A827" s="6" t="s">
        <v>1722</v>
      </c>
      <c r="B827" s="7" t="s">
        <v>1723</v>
      </c>
      <c r="C827" s="8" t="s">
        <v>4128</v>
      </c>
      <c r="D827" s="8" t="s">
        <v>1724</v>
      </c>
      <c r="E827" s="7">
        <v>23</v>
      </c>
      <c r="F827" s="7">
        <v>7</v>
      </c>
      <c r="G827" s="7">
        <v>2023</v>
      </c>
      <c r="H827" s="8">
        <f t="shared" si="36"/>
        <v>45130</v>
      </c>
      <c r="I827" s="11">
        <v>45150</v>
      </c>
      <c r="J827" s="7">
        <f t="shared" si="37"/>
        <v>20</v>
      </c>
      <c r="K827" s="7" t="s">
        <v>19</v>
      </c>
      <c r="L827" s="7">
        <v>46543</v>
      </c>
      <c r="M827" s="7">
        <v>627</v>
      </c>
      <c r="N827" s="12">
        <v>834.87</v>
      </c>
      <c r="O827" s="12">
        <f t="shared" si="38"/>
        <v>834.87</v>
      </c>
      <c r="P827" s="7">
        <v>78</v>
      </c>
      <c r="Q827" s="7" t="b">
        <v>1</v>
      </c>
      <c r="R827" s="7"/>
      <c r="S827" s="15" t="s">
        <v>20</v>
      </c>
    </row>
    <row r="828" spans="1:19">
      <c r="A828" s="3" t="s">
        <v>1725</v>
      </c>
      <c r="B828" s="4" t="s">
        <v>1726</v>
      </c>
      <c r="C828" s="5" t="s">
        <v>4128</v>
      </c>
      <c r="D828" s="5">
        <v>45134</v>
      </c>
      <c r="E828" s="4">
        <v>7</v>
      </c>
      <c r="F828" s="4">
        <v>27</v>
      </c>
      <c r="G828" s="4">
        <v>2023</v>
      </c>
      <c r="H828" s="5">
        <f t="shared" si="36"/>
        <v>45134</v>
      </c>
      <c r="I828" s="9">
        <v>45153</v>
      </c>
      <c r="J828" s="4">
        <f t="shared" si="37"/>
        <v>19</v>
      </c>
      <c r="K828" s="4" t="s">
        <v>19</v>
      </c>
      <c r="L828" s="4">
        <v>93193</v>
      </c>
      <c r="M828" s="4">
        <v>3612</v>
      </c>
      <c r="N828" s="10">
        <v>2609.04</v>
      </c>
      <c r="O828" s="10">
        <f t="shared" si="38"/>
        <v>2609.04</v>
      </c>
      <c r="P828" s="4">
        <v>549</v>
      </c>
      <c r="Q828" s="4" t="b">
        <v>0</v>
      </c>
      <c r="R828" s="4"/>
      <c r="S828" s="14" t="s">
        <v>20</v>
      </c>
    </row>
    <row r="829" spans="1:19">
      <c r="A829" s="6" t="s">
        <v>1727</v>
      </c>
      <c r="B829" s="7" t="s">
        <v>1728</v>
      </c>
      <c r="C829" s="8" t="s">
        <v>4128</v>
      </c>
      <c r="D829" s="8">
        <v>45283</v>
      </c>
      <c r="E829" s="7">
        <v>12</v>
      </c>
      <c r="F829" s="7">
        <v>23</v>
      </c>
      <c r="G829" s="7">
        <v>2023</v>
      </c>
      <c r="H829" s="8">
        <f t="shared" si="36"/>
        <v>45283</v>
      </c>
      <c r="I829" s="11">
        <v>45285</v>
      </c>
      <c r="J829" s="7">
        <f t="shared" si="37"/>
        <v>2</v>
      </c>
      <c r="K829" s="7" t="s">
        <v>14</v>
      </c>
      <c r="L829" s="7">
        <v>37187</v>
      </c>
      <c r="M829" s="7">
        <v>996</v>
      </c>
      <c r="N829" s="12">
        <v>635.6</v>
      </c>
      <c r="O829" s="12">
        <f t="shared" si="38"/>
        <v>635.6</v>
      </c>
      <c r="P829" s="7">
        <v>80</v>
      </c>
      <c r="Q829" s="7" t="b">
        <v>1</v>
      </c>
      <c r="R829" s="7"/>
      <c r="S829" s="15" t="s">
        <v>16</v>
      </c>
    </row>
    <row r="830" spans="1:19">
      <c r="A830" s="3" t="s">
        <v>1729</v>
      </c>
      <c r="B830" s="4" t="s">
        <v>1730</v>
      </c>
      <c r="C830" s="5" t="s">
        <v>4127</v>
      </c>
      <c r="D830" s="5">
        <v>44968</v>
      </c>
      <c r="E830" s="4">
        <v>2</v>
      </c>
      <c r="F830" s="4">
        <v>11</v>
      </c>
      <c r="G830" s="4">
        <v>2023</v>
      </c>
      <c r="H830" s="5">
        <f t="shared" si="36"/>
        <v>44968</v>
      </c>
      <c r="I830" s="9">
        <v>44990</v>
      </c>
      <c r="J830" s="4">
        <f t="shared" si="37"/>
        <v>22</v>
      </c>
      <c r="K830" s="4" t="s">
        <v>33</v>
      </c>
      <c r="L830" s="4">
        <v>8239</v>
      </c>
      <c r="M830" s="4">
        <v>380</v>
      </c>
      <c r="N830" s="10">
        <v>654.71</v>
      </c>
      <c r="O830" s="10">
        <f t="shared" si="38"/>
        <v>654.71</v>
      </c>
      <c r="P830" s="4">
        <v>61</v>
      </c>
      <c r="Q830" s="4" t="b">
        <v>1</v>
      </c>
      <c r="R830" s="4"/>
      <c r="S830" s="14" t="s">
        <v>68</v>
      </c>
    </row>
    <row r="831" spans="1:19">
      <c r="A831" s="6" t="s">
        <v>1731</v>
      </c>
      <c r="B831" s="7" t="s">
        <v>1732</v>
      </c>
      <c r="C831" s="8" t="s">
        <v>4127</v>
      </c>
      <c r="D831" s="8" t="s">
        <v>1733</v>
      </c>
      <c r="E831" s="7">
        <v>17</v>
      </c>
      <c r="F831" s="7">
        <v>1</v>
      </c>
      <c r="G831" s="7">
        <v>2023</v>
      </c>
      <c r="H831" s="8">
        <f t="shared" si="36"/>
        <v>44943</v>
      </c>
      <c r="I831" s="11">
        <v>44959</v>
      </c>
      <c r="J831" s="7">
        <f t="shared" si="37"/>
        <v>16</v>
      </c>
      <c r="K831" s="7" t="s">
        <v>19</v>
      </c>
      <c r="L831" s="7">
        <v>15489</v>
      </c>
      <c r="M831" s="7">
        <v>613</v>
      </c>
      <c r="N831" s="12">
        <v>1128.9</v>
      </c>
      <c r="O831" s="12">
        <f t="shared" si="38"/>
        <v>1128.9</v>
      </c>
      <c r="P831" s="7">
        <v>0</v>
      </c>
      <c r="Q831" s="7" t="b">
        <v>1</v>
      </c>
      <c r="R831" s="7"/>
      <c r="S831" s="15" t="s">
        <v>20</v>
      </c>
    </row>
    <row r="832" spans="1:19">
      <c r="A832" s="3" t="s">
        <v>1734</v>
      </c>
      <c r="B832" s="4" t="s">
        <v>1735</v>
      </c>
      <c r="C832" s="5" t="s">
        <v>4128</v>
      </c>
      <c r="D832" s="5">
        <v>45121</v>
      </c>
      <c r="E832" s="4">
        <v>7</v>
      </c>
      <c r="F832" s="4">
        <v>14</v>
      </c>
      <c r="G832" s="4">
        <v>2023</v>
      </c>
      <c r="H832" s="5">
        <f t="shared" si="36"/>
        <v>45121</v>
      </c>
      <c r="I832" s="9">
        <v>45123</v>
      </c>
      <c r="J832" s="4">
        <f t="shared" si="37"/>
        <v>2</v>
      </c>
      <c r="K832" s="4" t="s">
        <v>41</v>
      </c>
      <c r="L832" s="4">
        <v>59017</v>
      </c>
      <c r="M832" s="4">
        <v>1041</v>
      </c>
      <c r="N832" s="10">
        <v>1806.56</v>
      </c>
      <c r="O832" s="10">
        <f t="shared" si="38"/>
        <v>1806.56</v>
      </c>
      <c r="P832" s="4">
        <v>155</v>
      </c>
      <c r="Q832" s="4" t="b">
        <v>0</v>
      </c>
      <c r="R832" s="4"/>
      <c r="S832" s="14" t="s">
        <v>42</v>
      </c>
    </row>
    <row r="833" spans="1:19">
      <c r="A833" s="6" t="s">
        <v>1736</v>
      </c>
      <c r="B833" s="7" t="s">
        <v>1737</v>
      </c>
      <c r="C833" s="8" t="s">
        <v>4131</v>
      </c>
      <c r="D833" s="8" t="s">
        <v>1738</v>
      </c>
      <c r="E833" s="7">
        <v>23</v>
      </c>
      <c r="F833" s="7">
        <v>11</v>
      </c>
      <c r="G833" s="7">
        <v>2023</v>
      </c>
      <c r="H833" s="8">
        <f t="shared" si="36"/>
        <v>45253</v>
      </c>
      <c r="I833" s="11">
        <v>45269</v>
      </c>
      <c r="J833" s="7">
        <f t="shared" si="37"/>
        <v>16</v>
      </c>
      <c r="K833" s="7" t="s">
        <v>14</v>
      </c>
      <c r="L833" s="7">
        <v>62877</v>
      </c>
      <c r="M833" s="7">
        <v>2172</v>
      </c>
      <c r="N833" s="12">
        <v>4014.25</v>
      </c>
      <c r="O833" s="12">
        <f t="shared" si="38"/>
        <v>3632.575</v>
      </c>
      <c r="P833" s="7">
        <v>269</v>
      </c>
      <c r="Q833" s="7" t="b">
        <v>1</v>
      </c>
      <c r="R833" s="7"/>
      <c r="S833" s="15" t="s">
        <v>16</v>
      </c>
    </row>
    <row r="834" spans="1:19">
      <c r="A834" s="3" t="s">
        <v>1739</v>
      </c>
      <c r="B834" s="4" t="s">
        <v>1740</v>
      </c>
      <c r="C834" s="5" t="s">
        <v>4128</v>
      </c>
      <c r="D834" s="5" t="s">
        <v>1741</v>
      </c>
      <c r="E834" s="4">
        <v>29</v>
      </c>
      <c r="F834" s="4">
        <v>3</v>
      </c>
      <c r="G834" s="4">
        <v>2023</v>
      </c>
      <c r="H834" s="5">
        <f t="shared" ref="H834:H897" si="39">IF(E834&gt;12,DATE(G834,F834,E834),D834)</f>
        <v>45014</v>
      </c>
      <c r="I834" s="9">
        <v>45025</v>
      </c>
      <c r="J834" s="4">
        <f t="shared" ref="J834:J897" si="40">DATEDIF(H834,I834,"D")</f>
        <v>11</v>
      </c>
      <c r="K834" s="4" t="s">
        <v>14</v>
      </c>
      <c r="L834" s="4">
        <v>44125</v>
      </c>
      <c r="M834" s="4">
        <v>1209</v>
      </c>
      <c r="N834" s="10">
        <v>1607.57</v>
      </c>
      <c r="O834" s="10">
        <f t="shared" si="38"/>
        <v>1607.57</v>
      </c>
      <c r="P834" s="4">
        <v>227</v>
      </c>
      <c r="Q834" s="4" t="b">
        <v>1</v>
      </c>
      <c r="R834" s="4"/>
      <c r="S834" s="14" t="s">
        <v>16</v>
      </c>
    </row>
    <row r="835" spans="1:19">
      <c r="A835" s="6" t="s">
        <v>1742</v>
      </c>
      <c r="B835" s="7" t="s">
        <v>1743</v>
      </c>
      <c r="C835" s="8" t="s">
        <v>4129</v>
      </c>
      <c r="D835" s="8">
        <v>45149</v>
      </c>
      <c r="E835" s="7">
        <v>8</v>
      </c>
      <c r="F835" s="7">
        <v>11</v>
      </c>
      <c r="G835" s="7">
        <v>2023</v>
      </c>
      <c r="H835" s="8">
        <f t="shared" si="39"/>
        <v>45149</v>
      </c>
      <c r="I835" s="11">
        <v>45161</v>
      </c>
      <c r="J835" s="7">
        <f t="shared" si="40"/>
        <v>12</v>
      </c>
      <c r="K835" s="7" t="s">
        <v>41</v>
      </c>
      <c r="L835" s="7">
        <v>50922</v>
      </c>
      <c r="M835" s="7">
        <v>1685</v>
      </c>
      <c r="N835" s="12">
        <v>2895.48</v>
      </c>
      <c r="O835" s="12">
        <f t="shared" ref="O835:O898" si="41">IF(N835&lt;$V$6,$V$6,IF(N835&gt;$V$7,$V$7,N835))</f>
        <v>2895.48</v>
      </c>
      <c r="P835" s="7">
        <v>88</v>
      </c>
      <c r="Q835" s="7" t="b">
        <v>0</v>
      </c>
      <c r="R835" s="7"/>
      <c r="S835" s="15" t="s">
        <v>42</v>
      </c>
    </row>
    <row r="836" spans="1:19">
      <c r="A836" s="3" t="s">
        <v>1744</v>
      </c>
      <c r="B836" s="4" t="s">
        <v>1745</v>
      </c>
      <c r="C836" s="5" t="s">
        <v>4131</v>
      </c>
      <c r="D836" s="5">
        <v>44975</v>
      </c>
      <c r="E836" s="4">
        <v>2</v>
      </c>
      <c r="F836" s="4">
        <v>18</v>
      </c>
      <c r="G836" s="4">
        <v>2023</v>
      </c>
      <c r="H836" s="5">
        <f t="shared" si="39"/>
        <v>44975</v>
      </c>
      <c r="I836" s="9">
        <v>44976</v>
      </c>
      <c r="J836" s="4">
        <f t="shared" si="40"/>
        <v>1</v>
      </c>
      <c r="K836" s="4" t="s">
        <v>33</v>
      </c>
      <c r="L836" s="4">
        <v>95074</v>
      </c>
      <c r="M836" s="4">
        <v>3757</v>
      </c>
      <c r="N836" s="10">
        <v>4042.77</v>
      </c>
      <c r="O836" s="10">
        <f t="shared" si="41"/>
        <v>3632.575</v>
      </c>
      <c r="P836" s="4">
        <v>599</v>
      </c>
      <c r="Q836" s="4" t="b">
        <v>0</v>
      </c>
      <c r="R836" s="4"/>
      <c r="S836" s="14" t="s">
        <v>34</v>
      </c>
    </row>
    <row r="837" spans="1:19">
      <c r="A837" s="6" t="s">
        <v>1746</v>
      </c>
      <c r="B837" s="7" t="s">
        <v>1747</v>
      </c>
      <c r="C837" s="8" t="s">
        <v>4131</v>
      </c>
      <c r="D837" s="8">
        <v>45044</v>
      </c>
      <c r="E837" s="7">
        <v>4</v>
      </c>
      <c r="F837" s="7">
        <v>28</v>
      </c>
      <c r="G837" s="7">
        <v>2023</v>
      </c>
      <c r="H837" s="8">
        <f t="shared" si="39"/>
        <v>45044</v>
      </c>
      <c r="I837" s="11">
        <v>45053</v>
      </c>
      <c r="J837" s="7">
        <f t="shared" si="40"/>
        <v>9</v>
      </c>
      <c r="K837" s="7" t="s">
        <v>19</v>
      </c>
      <c r="L837" s="7">
        <v>33049</v>
      </c>
      <c r="M837" s="7">
        <v>1396</v>
      </c>
      <c r="N837" s="12">
        <v>2093.16</v>
      </c>
      <c r="O837" s="12">
        <f t="shared" si="41"/>
        <v>2093.16</v>
      </c>
      <c r="P837" s="7">
        <v>255</v>
      </c>
      <c r="Q837" s="7" t="b">
        <v>1</v>
      </c>
      <c r="R837" s="7"/>
      <c r="S837" s="15" t="s">
        <v>20</v>
      </c>
    </row>
    <row r="838" spans="1:19">
      <c r="A838" s="3" t="s">
        <v>1748</v>
      </c>
      <c r="B838" s="4" t="s">
        <v>1749</v>
      </c>
      <c r="C838" s="5" t="s">
        <v>4129</v>
      </c>
      <c r="D838" s="5">
        <v>45217</v>
      </c>
      <c r="E838" s="4">
        <v>10</v>
      </c>
      <c r="F838" s="4">
        <v>18</v>
      </c>
      <c r="G838" s="4">
        <v>2023</v>
      </c>
      <c r="H838" s="5">
        <f t="shared" si="39"/>
        <v>45217</v>
      </c>
      <c r="I838" s="9">
        <v>45240</v>
      </c>
      <c r="J838" s="4">
        <f t="shared" si="40"/>
        <v>23</v>
      </c>
      <c r="K838" s="4" t="s">
        <v>23</v>
      </c>
      <c r="L838" s="4">
        <v>38131</v>
      </c>
      <c r="M838" s="4">
        <v>1668</v>
      </c>
      <c r="N838" s="10">
        <v>3308.07</v>
      </c>
      <c r="O838" s="10">
        <f t="shared" si="41"/>
        <v>3308.07</v>
      </c>
      <c r="P838" s="4">
        <v>0</v>
      </c>
      <c r="Q838" s="4" t="b">
        <v>1</v>
      </c>
      <c r="R838" s="4"/>
      <c r="S838" s="14" t="s">
        <v>25</v>
      </c>
    </row>
    <row r="839" spans="1:19">
      <c r="A839" s="6" t="s">
        <v>1750</v>
      </c>
      <c r="B839" s="7" t="s">
        <v>1751</v>
      </c>
      <c r="C839" s="8" t="s">
        <v>4128</v>
      </c>
      <c r="D839" s="8">
        <v>44965</v>
      </c>
      <c r="E839" s="7">
        <v>2</v>
      </c>
      <c r="F839" s="7">
        <v>8</v>
      </c>
      <c r="G839" s="7">
        <v>2023</v>
      </c>
      <c r="H839" s="8">
        <f t="shared" si="39"/>
        <v>44965</v>
      </c>
      <c r="I839" s="11">
        <v>44981</v>
      </c>
      <c r="J839" s="7">
        <f t="shared" si="40"/>
        <v>16</v>
      </c>
      <c r="K839" s="7" t="s">
        <v>19</v>
      </c>
      <c r="L839" s="7">
        <v>43944</v>
      </c>
      <c r="M839" s="7">
        <v>885</v>
      </c>
      <c r="N839" s="12">
        <v>742.15</v>
      </c>
      <c r="O839" s="12">
        <f t="shared" si="41"/>
        <v>742.15</v>
      </c>
      <c r="P839" s="7">
        <v>103</v>
      </c>
      <c r="Q839" s="7" t="b">
        <v>1</v>
      </c>
      <c r="R839" s="7"/>
      <c r="S839" s="15" t="s">
        <v>20</v>
      </c>
    </row>
    <row r="840" spans="1:19">
      <c r="A840" s="3" t="s">
        <v>1752</v>
      </c>
      <c r="B840" s="4" t="s">
        <v>1753</v>
      </c>
      <c r="C840" s="5" t="s">
        <v>4129</v>
      </c>
      <c r="D840" s="5">
        <v>45205</v>
      </c>
      <c r="E840" s="4">
        <v>10</v>
      </c>
      <c r="F840" s="4">
        <v>6</v>
      </c>
      <c r="G840" s="4">
        <v>2023</v>
      </c>
      <c r="H840" s="5">
        <f t="shared" si="39"/>
        <v>45205</v>
      </c>
      <c r="I840" s="9">
        <v>45115</v>
      </c>
      <c r="J840" s="4">
        <f t="shared" si="40"/>
        <v>-90</v>
      </c>
      <c r="K840" s="4" t="s">
        <v>266</v>
      </c>
      <c r="L840" s="4">
        <v>74963</v>
      </c>
      <c r="M840" s="4">
        <v>842</v>
      </c>
      <c r="N840" s="10">
        <v>913.44</v>
      </c>
      <c r="O840" s="10">
        <f t="shared" si="41"/>
        <v>913.44</v>
      </c>
      <c r="P840" s="4">
        <v>67</v>
      </c>
      <c r="Q840" s="4" t="b">
        <v>0</v>
      </c>
      <c r="R840" s="4"/>
      <c r="S840" s="14" t="s">
        <v>20</v>
      </c>
    </row>
    <row r="841" spans="1:19">
      <c r="A841" s="6" t="s">
        <v>1754</v>
      </c>
      <c r="B841" s="7" t="s">
        <v>1755</v>
      </c>
      <c r="C841" s="8" t="s">
        <v>4131</v>
      </c>
      <c r="D841" s="8">
        <v>45236</v>
      </c>
      <c r="E841" s="7">
        <v>11</v>
      </c>
      <c r="F841" s="7">
        <v>6</v>
      </c>
      <c r="G841" s="7">
        <v>2023</v>
      </c>
      <c r="H841" s="8">
        <f t="shared" si="39"/>
        <v>45236</v>
      </c>
      <c r="I841" s="11">
        <v>45114</v>
      </c>
      <c r="J841" s="7">
        <f t="shared" si="40"/>
        <v>-122</v>
      </c>
      <c r="K841" s="7" t="s">
        <v>266</v>
      </c>
      <c r="L841" s="7">
        <v>25285</v>
      </c>
      <c r="M841" s="7">
        <v>1000</v>
      </c>
      <c r="N841" s="12">
        <v>1220.07</v>
      </c>
      <c r="O841" s="12">
        <f t="shared" si="41"/>
        <v>1220.07</v>
      </c>
      <c r="P841" s="7">
        <v>0</v>
      </c>
      <c r="Q841" s="7" t="b">
        <v>1</v>
      </c>
      <c r="R841" s="7"/>
      <c r="S841" s="15" t="s">
        <v>20</v>
      </c>
    </row>
    <row r="842" spans="1:19">
      <c r="A842" s="3" t="s">
        <v>1756</v>
      </c>
      <c r="B842" s="4" t="s">
        <v>1757</v>
      </c>
      <c r="C842" s="5" t="s">
        <v>4129</v>
      </c>
      <c r="D842" s="5">
        <v>45033</v>
      </c>
      <c r="E842" s="4">
        <v>4</v>
      </c>
      <c r="F842" s="4">
        <v>17</v>
      </c>
      <c r="G842" s="4">
        <v>2023</v>
      </c>
      <c r="H842" s="5">
        <f t="shared" si="39"/>
        <v>45033</v>
      </c>
      <c r="I842" s="9">
        <v>45046</v>
      </c>
      <c r="J842" s="4">
        <f t="shared" si="40"/>
        <v>13</v>
      </c>
      <c r="K842" s="4" t="s">
        <v>14</v>
      </c>
      <c r="L842" s="4">
        <v>38626</v>
      </c>
      <c r="M842" s="4">
        <v>550</v>
      </c>
      <c r="N842" s="10">
        <v>388.86</v>
      </c>
      <c r="O842" s="10">
        <f t="shared" si="41"/>
        <v>388.86</v>
      </c>
      <c r="P842" s="4">
        <v>81</v>
      </c>
      <c r="Q842" s="4" t="b">
        <v>0</v>
      </c>
      <c r="R842" s="4"/>
      <c r="S842" s="14" t="s">
        <v>16</v>
      </c>
    </row>
    <row r="843" spans="1:19">
      <c r="A843" s="6" t="s">
        <v>1758</v>
      </c>
      <c r="B843" s="7" t="s">
        <v>1759</v>
      </c>
      <c r="C843" s="8" t="s">
        <v>4127</v>
      </c>
      <c r="D843" s="8">
        <v>45291</v>
      </c>
      <c r="E843" s="7">
        <v>12</v>
      </c>
      <c r="F843" s="7">
        <v>31</v>
      </c>
      <c r="G843" s="7">
        <v>2023</v>
      </c>
      <c r="H843" s="8">
        <f t="shared" si="39"/>
        <v>45291</v>
      </c>
      <c r="I843" s="11">
        <v>45316</v>
      </c>
      <c r="J843" s="7">
        <f t="shared" si="40"/>
        <v>25</v>
      </c>
      <c r="K843" s="7" t="s">
        <v>14</v>
      </c>
      <c r="L843" s="7">
        <v>43808</v>
      </c>
      <c r="M843" s="7">
        <v>989</v>
      </c>
      <c r="N843" s="12">
        <v>614.72</v>
      </c>
      <c r="O843" s="12">
        <f t="shared" si="41"/>
        <v>614.72</v>
      </c>
      <c r="P843" s="7">
        <v>94</v>
      </c>
      <c r="Q843" s="7" t="b">
        <v>1</v>
      </c>
      <c r="R843" s="7"/>
      <c r="S843" s="15" t="s">
        <v>16</v>
      </c>
    </row>
    <row r="844" spans="1:19">
      <c r="A844" s="3" t="s">
        <v>1760</v>
      </c>
      <c r="B844" s="4" t="s">
        <v>1761</v>
      </c>
      <c r="C844" s="5" t="s">
        <v>4131</v>
      </c>
      <c r="D844" s="5">
        <v>45080</v>
      </c>
      <c r="E844" s="4">
        <v>6</v>
      </c>
      <c r="F844" s="4">
        <v>3</v>
      </c>
      <c r="G844" s="4">
        <v>2023</v>
      </c>
      <c r="H844" s="5">
        <f t="shared" si="39"/>
        <v>45080</v>
      </c>
      <c r="I844" s="9">
        <v>45098</v>
      </c>
      <c r="J844" s="4">
        <f t="shared" si="40"/>
        <v>18</v>
      </c>
      <c r="K844" s="4" t="s">
        <v>23</v>
      </c>
      <c r="L844" s="4">
        <v>89464</v>
      </c>
      <c r="M844" s="4">
        <v>908</v>
      </c>
      <c r="N844" s="10">
        <v>1584.08</v>
      </c>
      <c r="O844" s="10">
        <f t="shared" si="41"/>
        <v>1584.08</v>
      </c>
      <c r="P844" s="4">
        <v>108</v>
      </c>
      <c r="Q844" s="4" t="b">
        <v>1</v>
      </c>
      <c r="R844" s="4"/>
      <c r="S844" s="14" t="s">
        <v>25</v>
      </c>
    </row>
    <row r="845" spans="1:19">
      <c r="A845" s="6" t="s">
        <v>1762</v>
      </c>
      <c r="B845" s="7" t="s">
        <v>1763</v>
      </c>
      <c r="C845" s="8" t="s">
        <v>4128</v>
      </c>
      <c r="D845" s="8">
        <v>45126</v>
      </c>
      <c r="E845" s="7">
        <v>7</v>
      </c>
      <c r="F845" s="7">
        <v>19</v>
      </c>
      <c r="G845" s="7">
        <v>2023</v>
      </c>
      <c r="H845" s="8">
        <f t="shared" si="39"/>
        <v>45126</v>
      </c>
      <c r="I845" s="11">
        <v>45151</v>
      </c>
      <c r="J845" s="7">
        <f t="shared" si="40"/>
        <v>25</v>
      </c>
      <c r="K845" s="7" t="s">
        <v>41</v>
      </c>
      <c r="L845" s="7">
        <v>54871</v>
      </c>
      <c r="M845" s="7">
        <v>2044</v>
      </c>
      <c r="N845" s="12">
        <v>4016.85</v>
      </c>
      <c r="O845" s="12">
        <f t="shared" si="41"/>
        <v>3632.575</v>
      </c>
      <c r="P845" s="7">
        <v>0</v>
      </c>
      <c r="Q845" s="7" t="b">
        <v>1</v>
      </c>
      <c r="R845" s="7"/>
      <c r="S845" s="15" t="s">
        <v>42</v>
      </c>
    </row>
    <row r="846" spans="1:19">
      <c r="A846" s="3" t="s">
        <v>1764</v>
      </c>
      <c r="B846" s="4" t="s">
        <v>1765</v>
      </c>
      <c r="C846" s="5" t="s">
        <v>4128</v>
      </c>
      <c r="D846" s="5">
        <v>45123</v>
      </c>
      <c r="E846" s="4">
        <v>7</v>
      </c>
      <c r="F846" s="4">
        <v>16</v>
      </c>
      <c r="G846" s="4">
        <v>2023</v>
      </c>
      <c r="H846" s="5">
        <f t="shared" si="39"/>
        <v>45123</v>
      </c>
      <c r="I846" s="9">
        <v>45127</v>
      </c>
      <c r="J846" s="4">
        <f t="shared" si="40"/>
        <v>4</v>
      </c>
      <c r="K846" s="4" t="s">
        <v>23</v>
      </c>
      <c r="L846" s="4">
        <v>20198</v>
      </c>
      <c r="M846" s="4">
        <v>337</v>
      </c>
      <c r="N846" s="10">
        <v>373.09</v>
      </c>
      <c r="O846" s="10">
        <f t="shared" si="41"/>
        <v>373.09</v>
      </c>
      <c r="P846" s="4">
        <v>35</v>
      </c>
      <c r="Q846" s="4" t="b">
        <v>0</v>
      </c>
      <c r="R846" s="4"/>
      <c r="S846" s="14" t="s">
        <v>25</v>
      </c>
    </row>
    <row r="847" spans="1:19">
      <c r="A847" s="6" t="s">
        <v>1766</v>
      </c>
      <c r="B847" s="7" t="s">
        <v>1767</v>
      </c>
      <c r="C847" s="8" t="s">
        <v>4128</v>
      </c>
      <c r="D847" s="8">
        <v>45279</v>
      </c>
      <c r="E847" s="7">
        <v>12</v>
      </c>
      <c r="F847" s="7">
        <v>19</v>
      </c>
      <c r="G847" s="7">
        <v>2023</v>
      </c>
      <c r="H847" s="8">
        <f t="shared" si="39"/>
        <v>45279</v>
      </c>
      <c r="I847" s="11">
        <v>45293</v>
      </c>
      <c r="J847" s="7">
        <f t="shared" si="40"/>
        <v>14</v>
      </c>
      <c r="K847" s="7" t="s">
        <v>14</v>
      </c>
      <c r="L847" s="7">
        <v>20758</v>
      </c>
      <c r="M847" s="7">
        <v>751</v>
      </c>
      <c r="N847" s="12">
        <v>474.24</v>
      </c>
      <c r="O847" s="12">
        <f t="shared" si="41"/>
        <v>474.24</v>
      </c>
      <c r="P847" s="7">
        <v>55</v>
      </c>
      <c r="Q847" s="7" t="b">
        <v>1</v>
      </c>
      <c r="R847" s="7"/>
      <c r="S847" s="15" t="s">
        <v>16</v>
      </c>
    </row>
    <row r="848" spans="1:19">
      <c r="A848" s="3" t="s">
        <v>1768</v>
      </c>
      <c r="B848" s="4" t="s">
        <v>1769</v>
      </c>
      <c r="C848" s="5" t="s">
        <v>4127</v>
      </c>
      <c r="D848" s="5" t="s">
        <v>1770</v>
      </c>
      <c r="E848" s="4">
        <v>27</v>
      </c>
      <c r="F848" s="4">
        <v>6</v>
      </c>
      <c r="G848" s="4">
        <v>2023</v>
      </c>
      <c r="H848" s="5">
        <f t="shared" si="39"/>
        <v>45104</v>
      </c>
      <c r="I848" s="9">
        <v>45127</v>
      </c>
      <c r="J848" s="4">
        <f t="shared" si="40"/>
        <v>23</v>
      </c>
      <c r="K848" s="4" t="s">
        <v>19</v>
      </c>
      <c r="L848" s="4">
        <v>16254</v>
      </c>
      <c r="M848" s="4">
        <v>807</v>
      </c>
      <c r="N848" s="10">
        <v>483.17</v>
      </c>
      <c r="O848" s="10">
        <f t="shared" si="41"/>
        <v>483.17</v>
      </c>
      <c r="P848" s="4">
        <v>147</v>
      </c>
      <c r="Q848" s="4" t="b">
        <v>1</v>
      </c>
      <c r="R848" s="4"/>
      <c r="S848" s="14" t="s">
        <v>20</v>
      </c>
    </row>
    <row r="849" spans="1:19">
      <c r="A849" s="6" t="s">
        <v>1771</v>
      </c>
      <c r="B849" s="7" t="s">
        <v>1772</v>
      </c>
      <c r="C849" s="8" t="s">
        <v>4128</v>
      </c>
      <c r="D849" s="8">
        <v>45150</v>
      </c>
      <c r="E849" s="7">
        <v>8</v>
      </c>
      <c r="F849" s="7">
        <v>12</v>
      </c>
      <c r="G849" s="7">
        <v>2023</v>
      </c>
      <c r="H849" s="8">
        <f t="shared" si="39"/>
        <v>45150</v>
      </c>
      <c r="I849" s="11">
        <v>45287</v>
      </c>
      <c r="J849" s="7">
        <f t="shared" si="40"/>
        <v>137</v>
      </c>
      <c r="K849" s="7" t="s">
        <v>19</v>
      </c>
      <c r="L849" s="7">
        <v>45238</v>
      </c>
      <c r="M849" s="7">
        <v>583</v>
      </c>
      <c r="N849" s="12">
        <v>1070.96</v>
      </c>
      <c r="O849" s="12">
        <f t="shared" si="41"/>
        <v>1070.96</v>
      </c>
      <c r="P849" s="7">
        <v>30</v>
      </c>
      <c r="Q849" s="7" t="b">
        <v>0</v>
      </c>
      <c r="R849" s="7"/>
      <c r="S849" s="15" t="s">
        <v>20</v>
      </c>
    </row>
    <row r="850" spans="1:19">
      <c r="A850" s="3" t="s">
        <v>1773</v>
      </c>
      <c r="B850" s="4" t="s">
        <v>1774</v>
      </c>
      <c r="C850" s="5" t="s">
        <v>4131</v>
      </c>
      <c r="D850" s="5">
        <v>45236</v>
      </c>
      <c r="E850" s="4">
        <v>11</v>
      </c>
      <c r="F850" s="4">
        <v>6</v>
      </c>
      <c r="G850" s="4">
        <v>2023</v>
      </c>
      <c r="H850" s="5">
        <f t="shared" si="39"/>
        <v>45236</v>
      </c>
      <c r="I850" s="9">
        <v>45256</v>
      </c>
      <c r="J850" s="4">
        <f t="shared" si="40"/>
        <v>20</v>
      </c>
      <c r="K850" s="4" t="s">
        <v>19</v>
      </c>
      <c r="L850" s="4">
        <v>2252</v>
      </c>
      <c r="M850" s="4">
        <v>29</v>
      </c>
      <c r="N850" s="10">
        <v>34.68</v>
      </c>
      <c r="O850" s="10">
        <f t="shared" si="41"/>
        <v>34.68</v>
      </c>
      <c r="P850" s="4">
        <v>5</v>
      </c>
      <c r="Q850" s="4" t="b">
        <v>1</v>
      </c>
      <c r="R850" s="4"/>
      <c r="S850" s="14" t="s">
        <v>20</v>
      </c>
    </row>
    <row r="851" spans="1:19">
      <c r="A851" s="6" t="s">
        <v>1775</v>
      </c>
      <c r="B851" s="7" t="s">
        <v>1776</v>
      </c>
      <c r="C851" s="8" t="s">
        <v>4131</v>
      </c>
      <c r="D851" s="8">
        <v>45130</v>
      </c>
      <c r="E851" s="7">
        <v>7</v>
      </c>
      <c r="F851" s="7">
        <v>23</v>
      </c>
      <c r="G851" s="7">
        <v>2023</v>
      </c>
      <c r="H851" s="8">
        <f t="shared" si="39"/>
        <v>45130</v>
      </c>
      <c r="I851" s="11">
        <v>45159</v>
      </c>
      <c r="J851" s="7">
        <f t="shared" si="40"/>
        <v>29</v>
      </c>
      <c r="K851" s="7" t="s">
        <v>33</v>
      </c>
      <c r="L851" s="7">
        <v>40764</v>
      </c>
      <c r="M851" s="7">
        <v>962</v>
      </c>
      <c r="N851" s="12">
        <v>942.8</v>
      </c>
      <c r="O851" s="12">
        <f t="shared" si="41"/>
        <v>942.8</v>
      </c>
      <c r="P851" s="7">
        <v>130</v>
      </c>
      <c r="Q851" s="7" t="b">
        <v>1</v>
      </c>
      <c r="R851" s="7"/>
      <c r="S851" s="15" t="s">
        <v>68</v>
      </c>
    </row>
    <row r="852" spans="1:19">
      <c r="A852" s="3" t="s">
        <v>1777</v>
      </c>
      <c r="B852" s="4" t="s">
        <v>1778</v>
      </c>
      <c r="C852" s="5" t="s">
        <v>4128</v>
      </c>
      <c r="D852" s="5">
        <v>45251</v>
      </c>
      <c r="E852" s="4">
        <v>11</v>
      </c>
      <c r="F852" s="4">
        <v>21</v>
      </c>
      <c r="G852" s="4">
        <v>2023</v>
      </c>
      <c r="H852" s="5">
        <f t="shared" si="39"/>
        <v>45251</v>
      </c>
      <c r="I852" s="9">
        <v>45263</v>
      </c>
      <c r="J852" s="4">
        <f t="shared" si="40"/>
        <v>12</v>
      </c>
      <c r="K852" s="4" t="s">
        <v>33</v>
      </c>
      <c r="L852" s="4">
        <v>78709</v>
      </c>
      <c r="M852" s="4">
        <v>3514</v>
      </c>
      <c r="N852" s="10">
        <v>4268.43</v>
      </c>
      <c r="O852" s="10">
        <f t="shared" si="41"/>
        <v>3632.575</v>
      </c>
      <c r="P852" s="4">
        <v>0</v>
      </c>
      <c r="Q852" s="4" t="b">
        <v>1</v>
      </c>
      <c r="R852" s="4"/>
      <c r="S852" s="14" t="s">
        <v>34</v>
      </c>
    </row>
    <row r="853" spans="1:19">
      <c r="A853" s="6" t="s">
        <v>1779</v>
      </c>
      <c r="B853" s="7" t="s">
        <v>1780</v>
      </c>
      <c r="C853" s="8" t="s">
        <v>4129</v>
      </c>
      <c r="D853" s="8">
        <v>45178</v>
      </c>
      <c r="E853" s="7">
        <v>9</v>
      </c>
      <c r="F853" s="7">
        <v>9</v>
      </c>
      <c r="G853" s="7">
        <v>2023</v>
      </c>
      <c r="H853" s="8">
        <f t="shared" si="39"/>
        <v>45178</v>
      </c>
      <c r="I853" s="11">
        <v>45200</v>
      </c>
      <c r="J853" s="7">
        <f t="shared" si="40"/>
        <v>22</v>
      </c>
      <c r="K853" s="7" t="s">
        <v>33</v>
      </c>
      <c r="L853" s="7">
        <v>38441</v>
      </c>
      <c r="M853" s="7">
        <v>715</v>
      </c>
      <c r="N853" s="12">
        <v>698.88</v>
      </c>
      <c r="O853" s="12">
        <f t="shared" si="41"/>
        <v>698.88</v>
      </c>
      <c r="P853" s="7">
        <v>113</v>
      </c>
      <c r="Q853" s="7" t="b">
        <v>0</v>
      </c>
      <c r="R853" s="7"/>
      <c r="S853" s="15" t="s">
        <v>34</v>
      </c>
    </row>
    <row r="854" spans="1:19">
      <c r="A854" s="3" t="s">
        <v>1781</v>
      </c>
      <c r="B854" s="4" t="s">
        <v>1782</v>
      </c>
      <c r="C854" s="5" t="s">
        <v>4127</v>
      </c>
      <c r="D854" s="5">
        <v>45119</v>
      </c>
      <c r="E854" s="4">
        <v>7</v>
      </c>
      <c r="F854" s="4">
        <v>12</v>
      </c>
      <c r="G854" s="4">
        <v>2023</v>
      </c>
      <c r="H854" s="5">
        <f t="shared" si="39"/>
        <v>45119</v>
      </c>
      <c r="I854" s="9">
        <v>45135</v>
      </c>
      <c r="J854" s="4">
        <f t="shared" si="40"/>
        <v>16</v>
      </c>
      <c r="K854" s="4" t="s">
        <v>14</v>
      </c>
      <c r="L854" s="4">
        <v>93234</v>
      </c>
      <c r="M854" s="4">
        <v>2276</v>
      </c>
      <c r="N854" s="10">
        <v>2807.57</v>
      </c>
      <c r="O854" s="10">
        <f t="shared" si="41"/>
        <v>2807.57</v>
      </c>
      <c r="P854" s="4">
        <v>287</v>
      </c>
      <c r="Q854" s="4" t="b">
        <v>1</v>
      </c>
      <c r="R854" s="4"/>
      <c r="S854" s="14" t="s">
        <v>16</v>
      </c>
    </row>
    <row r="855" spans="1:19">
      <c r="A855" s="6" t="s">
        <v>1783</v>
      </c>
      <c r="B855" s="7" t="s">
        <v>1784</v>
      </c>
      <c r="C855" s="8" t="s">
        <v>4129</v>
      </c>
      <c r="D855" s="8">
        <v>45265</v>
      </c>
      <c r="E855" s="7">
        <v>12</v>
      </c>
      <c r="F855" s="7">
        <v>5</v>
      </c>
      <c r="G855" s="7">
        <v>2023</v>
      </c>
      <c r="H855" s="8">
        <f t="shared" si="39"/>
        <v>45265</v>
      </c>
      <c r="I855" s="11">
        <v>45266</v>
      </c>
      <c r="J855" s="7">
        <f t="shared" si="40"/>
        <v>1</v>
      </c>
      <c r="K855" s="7" t="s">
        <v>23</v>
      </c>
      <c r="L855" s="7">
        <v>54682</v>
      </c>
      <c r="M855" s="7">
        <v>696</v>
      </c>
      <c r="N855" s="12">
        <v>1245.38</v>
      </c>
      <c r="O855" s="12">
        <f t="shared" si="41"/>
        <v>1245.38</v>
      </c>
      <c r="P855" s="7">
        <v>86</v>
      </c>
      <c r="Q855" s="7" t="b">
        <v>0</v>
      </c>
      <c r="R855" s="7"/>
      <c r="S855" s="15" t="s">
        <v>25</v>
      </c>
    </row>
    <row r="856" spans="1:19">
      <c r="A856" s="3" t="s">
        <v>1785</v>
      </c>
      <c r="B856" s="4" t="s">
        <v>1786</v>
      </c>
      <c r="C856" s="5" t="s">
        <v>4127</v>
      </c>
      <c r="D856" s="5">
        <v>45078</v>
      </c>
      <c r="E856" s="4">
        <v>6</v>
      </c>
      <c r="F856" s="4">
        <v>1</v>
      </c>
      <c r="G856" s="4">
        <v>2023</v>
      </c>
      <c r="H856" s="5">
        <f t="shared" si="39"/>
        <v>45078</v>
      </c>
      <c r="I856" s="9">
        <v>45091</v>
      </c>
      <c r="J856" s="4">
        <f t="shared" si="40"/>
        <v>13</v>
      </c>
      <c r="K856" s="4" t="s">
        <v>41</v>
      </c>
      <c r="L856" s="4">
        <v>60494</v>
      </c>
      <c r="M856" s="4">
        <v>2451</v>
      </c>
      <c r="N856" s="10">
        <v>3403.1</v>
      </c>
      <c r="O856" s="10">
        <f t="shared" si="41"/>
        <v>3403.1</v>
      </c>
      <c r="P856" s="4">
        <v>163</v>
      </c>
      <c r="Q856" s="4" t="b">
        <v>1</v>
      </c>
      <c r="R856" s="4"/>
      <c r="S856" s="14" t="s">
        <v>42</v>
      </c>
    </row>
    <row r="857" spans="1:19">
      <c r="A857" s="6" t="s">
        <v>1787</v>
      </c>
      <c r="B857" s="7" t="s">
        <v>1788</v>
      </c>
      <c r="C857" s="8" t="s">
        <v>4127</v>
      </c>
      <c r="D857" s="8">
        <v>44969</v>
      </c>
      <c r="E857" s="7">
        <v>2</v>
      </c>
      <c r="F857" s="7">
        <v>12</v>
      </c>
      <c r="G857" s="7">
        <v>2023</v>
      </c>
      <c r="H857" s="8">
        <f t="shared" si="39"/>
        <v>44969</v>
      </c>
      <c r="I857" s="11">
        <v>44971</v>
      </c>
      <c r="J857" s="7">
        <f t="shared" si="40"/>
        <v>2</v>
      </c>
      <c r="K857" s="7" t="s">
        <v>33</v>
      </c>
      <c r="L857" s="7">
        <v>82317</v>
      </c>
      <c r="M857" s="7">
        <v>2167</v>
      </c>
      <c r="N857" s="12">
        <v>3341.47</v>
      </c>
      <c r="O857" s="12">
        <f t="shared" si="41"/>
        <v>3341.47</v>
      </c>
      <c r="P857" s="7">
        <v>234</v>
      </c>
      <c r="Q857" s="7" t="b">
        <v>1</v>
      </c>
      <c r="R857" s="7"/>
      <c r="S857" s="15" t="s">
        <v>34</v>
      </c>
    </row>
    <row r="858" spans="1:19">
      <c r="A858" s="3" t="s">
        <v>1789</v>
      </c>
      <c r="B858" s="4" t="s">
        <v>1790</v>
      </c>
      <c r="C858" s="5" t="s">
        <v>4131</v>
      </c>
      <c r="D858" s="5">
        <v>45251</v>
      </c>
      <c r="E858" s="4">
        <v>11</v>
      </c>
      <c r="F858" s="4">
        <v>21</v>
      </c>
      <c r="G858" s="4">
        <v>2023</v>
      </c>
      <c r="H858" s="5">
        <f t="shared" si="39"/>
        <v>45251</v>
      </c>
      <c r="I858" s="9">
        <v>45267</v>
      </c>
      <c r="J858" s="4">
        <f t="shared" si="40"/>
        <v>16</v>
      </c>
      <c r="K858" s="4" t="s">
        <v>19</v>
      </c>
      <c r="L858" s="4">
        <v>66215</v>
      </c>
      <c r="M858" s="4">
        <v>2673</v>
      </c>
      <c r="N858" s="10">
        <v>2798.65</v>
      </c>
      <c r="O858" s="10">
        <f t="shared" si="41"/>
        <v>2798.65</v>
      </c>
      <c r="P858" s="4">
        <v>230</v>
      </c>
      <c r="Q858" s="4" t="b">
        <v>1</v>
      </c>
      <c r="R858" s="4"/>
      <c r="S858" s="14" t="s">
        <v>20</v>
      </c>
    </row>
    <row r="859" spans="1:19">
      <c r="A859" s="6" t="s">
        <v>1791</v>
      </c>
      <c r="B859" s="7" t="s">
        <v>1792</v>
      </c>
      <c r="C859" s="8" t="s">
        <v>4127</v>
      </c>
      <c r="D859" s="8">
        <v>45111</v>
      </c>
      <c r="E859" s="7">
        <v>7</v>
      </c>
      <c r="F859" s="7">
        <v>4</v>
      </c>
      <c r="G859" s="7">
        <v>2023</v>
      </c>
      <c r="H859" s="8">
        <f t="shared" si="39"/>
        <v>45111</v>
      </c>
      <c r="I859" s="11">
        <v>45048</v>
      </c>
      <c r="J859" s="7">
        <f t="shared" si="40"/>
        <v>-63</v>
      </c>
      <c r="K859" s="7" t="s">
        <v>33</v>
      </c>
      <c r="L859" s="7">
        <v>79587</v>
      </c>
      <c r="M859" s="7">
        <v>3672</v>
      </c>
      <c r="N859" s="12">
        <v>5903.69</v>
      </c>
      <c r="O859" s="12">
        <f t="shared" si="41"/>
        <v>3632.575</v>
      </c>
      <c r="P859" s="7">
        <v>192</v>
      </c>
      <c r="Q859" s="7" t="b">
        <v>0</v>
      </c>
      <c r="R859" s="7"/>
      <c r="S859" s="15" t="s">
        <v>34</v>
      </c>
    </row>
    <row r="860" spans="1:19">
      <c r="A860" s="3" t="s">
        <v>1793</v>
      </c>
      <c r="B860" s="4" t="s">
        <v>1794</v>
      </c>
      <c r="C860" s="5" t="s">
        <v>4131</v>
      </c>
      <c r="D860" s="5">
        <v>45084</v>
      </c>
      <c r="E860" s="4">
        <v>6</v>
      </c>
      <c r="F860" s="4">
        <v>7</v>
      </c>
      <c r="G860" s="4">
        <v>2023</v>
      </c>
      <c r="H860" s="5">
        <f t="shared" si="39"/>
        <v>45084</v>
      </c>
      <c r="I860" s="9">
        <v>45113</v>
      </c>
      <c r="J860" s="4">
        <f t="shared" si="40"/>
        <v>29</v>
      </c>
      <c r="K860" s="4" t="s">
        <v>14</v>
      </c>
      <c r="L860" s="4">
        <v>7949</v>
      </c>
      <c r="M860" s="4">
        <v>153</v>
      </c>
      <c r="N860" s="10">
        <v>229.49</v>
      </c>
      <c r="O860" s="10">
        <f t="shared" si="41"/>
        <v>229.49</v>
      </c>
      <c r="P860" s="4">
        <v>15</v>
      </c>
      <c r="Q860" s="4" t="b">
        <v>0</v>
      </c>
      <c r="R860" s="4"/>
      <c r="S860" s="14" t="s">
        <v>16</v>
      </c>
    </row>
    <row r="861" spans="1:19">
      <c r="A861" s="6" t="s">
        <v>1795</v>
      </c>
      <c r="B861" s="7" t="s">
        <v>1796</v>
      </c>
      <c r="C861" s="8" t="s">
        <v>4129</v>
      </c>
      <c r="D861" s="8">
        <v>44979</v>
      </c>
      <c r="E861" s="7">
        <v>2</v>
      </c>
      <c r="F861" s="7">
        <v>22</v>
      </c>
      <c r="G861" s="7">
        <v>2023</v>
      </c>
      <c r="H861" s="8">
        <f t="shared" si="39"/>
        <v>44979</v>
      </c>
      <c r="I861" s="11">
        <v>44982</v>
      </c>
      <c r="J861" s="7">
        <f t="shared" si="40"/>
        <v>3</v>
      </c>
      <c r="K861" s="7" t="s">
        <v>234</v>
      </c>
      <c r="L861" s="7">
        <v>56393</v>
      </c>
      <c r="M861" s="7">
        <v>2385</v>
      </c>
      <c r="N861" s="12">
        <v>1620.23</v>
      </c>
      <c r="O861" s="12">
        <f t="shared" si="41"/>
        <v>1620.23</v>
      </c>
      <c r="P861" s="7">
        <v>151</v>
      </c>
      <c r="Q861" s="7" t="b">
        <v>1</v>
      </c>
      <c r="R861" s="7"/>
      <c r="S861" s="15" t="s">
        <v>16</v>
      </c>
    </row>
    <row r="862" spans="1:19">
      <c r="A862" s="3" t="s">
        <v>1797</v>
      </c>
      <c r="B862" s="4" t="s">
        <v>1798</v>
      </c>
      <c r="C862" s="5" t="s">
        <v>4129</v>
      </c>
      <c r="D862" s="5">
        <v>45156</v>
      </c>
      <c r="E862" s="4">
        <v>8</v>
      </c>
      <c r="F862" s="4">
        <v>18</v>
      </c>
      <c r="G862" s="4">
        <v>2023</v>
      </c>
      <c r="H862" s="5">
        <f t="shared" si="39"/>
        <v>45156</v>
      </c>
      <c r="I862" s="9">
        <v>45172</v>
      </c>
      <c r="J862" s="4">
        <f t="shared" si="40"/>
        <v>16</v>
      </c>
      <c r="K862" s="4" t="s">
        <v>14</v>
      </c>
      <c r="L862" s="4">
        <v>74553</v>
      </c>
      <c r="M862" s="4">
        <v>921</v>
      </c>
      <c r="N862" s="10">
        <v>1251.61</v>
      </c>
      <c r="O862" s="10">
        <f t="shared" si="41"/>
        <v>1251.61</v>
      </c>
      <c r="P862" s="4">
        <v>81</v>
      </c>
      <c r="Q862" s="4" t="b">
        <v>0</v>
      </c>
      <c r="R862" s="4"/>
      <c r="S862" s="14" t="s">
        <v>16</v>
      </c>
    </row>
    <row r="863" spans="1:19">
      <c r="A863" s="6" t="s">
        <v>1799</v>
      </c>
      <c r="B863" s="7" t="s">
        <v>1800</v>
      </c>
      <c r="C863" s="8" t="s">
        <v>4129</v>
      </c>
      <c r="D863" s="8" t="s">
        <v>47</v>
      </c>
      <c r="E863" s="7">
        <v>22</v>
      </c>
      <c r="F863" s="7">
        <v>2</v>
      </c>
      <c r="G863" s="7">
        <v>2023</v>
      </c>
      <c r="H863" s="8">
        <f t="shared" si="39"/>
        <v>44979</v>
      </c>
      <c r="I863" s="11">
        <v>44974</v>
      </c>
      <c r="J863" s="7">
        <f t="shared" si="40"/>
        <v>-5</v>
      </c>
      <c r="K863" s="7" t="s">
        <v>33</v>
      </c>
      <c r="L863" s="7">
        <v>7941</v>
      </c>
      <c r="M863" s="7">
        <v>364</v>
      </c>
      <c r="N863" s="12">
        <v>322.18</v>
      </c>
      <c r="O863" s="12">
        <f t="shared" si="41"/>
        <v>322.18</v>
      </c>
      <c r="P863" s="7">
        <v>23</v>
      </c>
      <c r="Q863" s="7" t="b">
        <v>0</v>
      </c>
      <c r="R863" s="7"/>
      <c r="S863" s="15" t="s">
        <v>34</v>
      </c>
    </row>
    <row r="864" spans="1:19">
      <c r="A864" s="3" t="s">
        <v>1801</v>
      </c>
      <c r="B864" s="4" t="s">
        <v>1802</v>
      </c>
      <c r="C864" s="5" t="s">
        <v>4131</v>
      </c>
      <c r="D864" s="5">
        <v>45108</v>
      </c>
      <c r="E864" s="4">
        <v>7</v>
      </c>
      <c r="F864" s="4">
        <v>1</v>
      </c>
      <c r="G864" s="4">
        <v>2023</v>
      </c>
      <c r="H864" s="5">
        <f t="shared" si="39"/>
        <v>45108</v>
      </c>
      <c r="I864" s="9">
        <v>45126</v>
      </c>
      <c r="J864" s="4">
        <f t="shared" si="40"/>
        <v>18</v>
      </c>
      <c r="K864" s="4" t="s">
        <v>14</v>
      </c>
      <c r="L864" s="4">
        <v>26934</v>
      </c>
      <c r="M864" s="4">
        <v>970</v>
      </c>
      <c r="N864" s="10">
        <v>1654.96</v>
      </c>
      <c r="O864" s="10">
        <f t="shared" si="41"/>
        <v>1654.96</v>
      </c>
      <c r="P864" s="4">
        <v>63</v>
      </c>
      <c r="Q864" s="4" t="b">
        <v>0</v>
      </c>
      <c r="R864" s="4"/>
      <c r="S864" s="14" t="s">
        <v>16</v>
      </c>
    </row>
    <row r="865" spans="1:19">
      <c r="A865" s="6" t="s">
        <v>1803</v>
      </c>
      <c r="B865" s="7" t="s">
        <v>1804</v>
      </c>
      <c r="C865" s="8" t="s">
        <v>4129</v>
      </c>
      <c r="D865" s="8">
        <v>45093</v>
      </c>
      <c r="E865" s="7">
        <v>6</v>
      </c>
      <c r="F865" s="7">
        <v>16</v>
      </c>
      <c r="G865" s="7">
        <v>2023</v>
      </c>
      <c r="H865" s="8">
        <f t="shared" si="39"/>
        <v>45093</v>
      </c>
      <c r="I865" s="11">
        <v>45096</v>
      </c>
      <c r="J865" s="7">
        <f t="shared" si="40"/>
        <v>3</v>
      </c>
      <c r="K865" s="7" t="s">
        <v>19</v>
      </c>
      <c r="L865" s="7">
        <v>24386</v>
      </c>
      <c r="M865" s="7">
        <v>1096</v>
      </c>
      <c r="N865" s="12">
        <v>1248.24</v>
      </c>
      <c r="O865" s="12">
        <f t="shared" si="41"/>
        <v>1248.24</v>
      </c>
      <c r="P865" s="7">
        <v>87</v>
      </c>
      <c r="Q865" s="7" t="b">
        <v>0</v>
      </c>
      <c r="R865" s="7"/>
      <c r="S865" s="15" t="s">
        <v>20</v>
      </c>
    </row>
    <row r="866" spans="1:19">
      <c r="A866" s="3" t="s">
        <v>1805</v>
      </c>
      <c r="B866" s="4" t="s">
        <v>1806</v>
      </c>
      <c r="C866" s="5" t="s">
        <v>4127</v>
      </c>
      <c r="D866" s="5">
        <v>45138</v>
      </c>
      <c r="E866" s="4">
        <v>7</v>
      </c>
      <c r="F866" s="4">
        <v>31</v>
      </c>
      <c r="G866" s="4">
        <v>2023</v>
      </c>
      <c r="H866" s="5">
        <f t="shared" si="39"/>
        <v>45138</v>
      </c>
      <c r="I866" s="9">
        <v>45141</v>
      </c>
      <c r="J866" s="4">
        <f t="shared" si="40"/>
        <v>3</v>
      </c>
      <c r="K866" s="4" t="s">
        <v>14</v>
      </c>
      <c r="L866" s="4">
        <v>62886</v>
      </c>
      <c r="M866" s="4">
        <v>629</v>
      </c>
      <c r="N866" s="10">
        <v>1252.98</v>
      </c>
      <c r="O866" s="10">
        <f t="shared" si="41"/>
        <v>1252.98</v>
      </c>
      <c r="P866" s="4">
        <v>125</v>
      </c>
      <c r="Q866" s="4" t="b">
        <v>0</v>
      </c>
      <c r="R866" s="4"/>
      <c r="S866" s="14" t="s">
        <v>16</v>
      </c>
    </row>
    <row r="867" spans="1:19">
      <c r="A867" s="6" t="s">
        <v>1807</v>
      </c>
      <c r="B867" s="7" t="s">
        <v>1808</v>
      </c>
      <c r="C867" s="8" t="s">
        <v>4127</v>
      </c>
      <c r="D867" s="8">
        <v>45213</v>
      </c>
      <c r="E867" s="7">
        <v>10</v>
      </c>
      <c r="F867" s="7">
        <v>14</v>
      </c>
      <c r="G867" s="7">
        <v>2023</v>
      </c>
      <c r="H867" s="8">
        <f t="shared" si="39"/>
        <v>45213</v>
      </c>
      <c r="I867" s="11">
        <v>45208</v>
      </c>
      <c r="J867" s="7">
        <f t="shared" si="40"/>
        <v>-5</v>
      </c>
      <c r="K867" s="7" t="s">
        <v>14</v>
      </c>
      <c r="L867" s="7">
        <v>76745</v>
      </c>
      <c r="M867" s="7">
        <v>1286</v>
      </c>
      <c r="N867" s="12">
        <v>821.43</v>
      </c>
      <c r="O867" s="12">
        <f t="shared" si="41"/>
        <v>821.43</v>
      </c>
      <c r="P867" s="7">
        <v>64</v>
      </c>
      <c r="Q867" s="7" t="b">
        <v>1</v>
      </c>
      <c r="R867" s="7"/>
      <c r="S867" s="15" t="s">
        <v>16</v>
      </c>
    </row>
    <row r="868" spans="1:19">
      <c r="A868" s="3" t="s">
        <v>1809</v>
      </c>
      <c r="B868" s="4" t="s">
        <v>1810</v>
      </c>
      <c r="C868" s="5" t="s">
        <v>4128</v>
      </c>
      <c r="D868" s="5">
        <v>45219</v>
      </c>
      <c r="E868" s="4">
        <v>10</v>
      </c>
      <c r="F868" s="4">
        <v>20</v>
      </c>
      <c r="G868" s="4">
        <v>2023</v>
      </c>
      <c r="H868" s="5">
        <f t="shared" si="39"/>
        <v>45219</v>
      </c>
      <c r="I868" s="9">
        <v>45243</v>
      </c>
      <c r="J868" s="4">
        <f t="shared" si="40"/>
        <v>24</v>
      </c>
      <c r="K868" s="4" t="s">
        <v>23</v>
      </c>
      <c r="L868" s="4">
        <v>84251</v>
      </c>
      <c r="M868" s="4">
        <v>2156</v>
      </c>
      <c r="N868" s="10">
        <v>3601.64</v>
      </c>
      <c r="O868" s="10">
        <f t="shared" si="41"/>
        <v>3601.64</v>
      </c>
      <c r="P868" s="4">
        <v>314</v>
      </c>
      <c r="Q868" s="4" t="b">
        <v>1</v>
      </c>
      <c r="R868" s="4"/>
      <c r="S868" s="14" t="s">
        <v>25</v>
      </c>
    </row>
    <row r="869" spans="1:19">
      <c r="A869" s="6" t="s">
        <v>1811</v>
      </c>
      <c r="B869" s="7" t="s">
        <v>1812</v>
      </c>
      <c r="C869" s="8" t="s">
        <v>4127</v>
      </c>
      <c r="D869" s="8">
        <v>45013</v>
      </c>
      <c r="E869" s="7">
        <v>3</v>
      </c>
      <c r="F869" s="7">
        <v>28</v>
      </c>
      <c r="G869" s="7">
        <v>2023</v>
      </c>
      <c r="H869" s="8">
        <f t="shared" si="39"/>
        <v>45013</v>
      </c>
      <c r="I869" s="11">
        <v>45040</v>
      </c>
      <c r="J869" s="7">
        <f t="shared" si="40"/>
        <v>27</v>
      </c>
      <c r="K869" s="7" t="s">
        <v>191</v>
      </c>
      <c r="L869" s="7">
        <v>95456</v>
      </c>
      <c r="M869" s="7">
        <v>2403</v>
      </c>
      <c r="N869" s="12">
        <v>3629.86</v>
      </c>
      <c r="O869" s="12">
        <f t="shared" si="41"/>
        <v>3629.86</v>
      </c>
      <c r="P869" s="7">
        <v>171</v>
      </c>
      <c r="Q869" s="7" t="b">
        <v>0</v>
      </c>
      <c r="R869" s="7"/>
      <c r="S869" s="15" t="s">
        <v>42</v>
      </c>
    </row>
    <row r="870" spans="1:19">
      <c r="A870" s="3" t="s">
        <v>1813</v>
      </c>
      <c r="B870" s="4" t="s">
        <v>1814</v>
      </c>
      <c r="C870" s="5" t="s">
        <v>4131</v>
      </c>
      <c r="D870" s="5">
        <v>45179</v>
      </c>
      <c r="E870" s="4">
        <v>9</v>
      </c>
      <c r="F870" s="4">
        <v>10</v>
      </c>
      <c r="G870" s="4">
        <v>2023</v>
      </c>
      <c r="H870" s="5">
        <f t="shared" si="39"/>
        <v>45179</v>
      </c>
      <c r="I870" s="9">
        <v>45202</v>
      </c>
      <c r="J870" s="4">
        <f t="shared" si="40"/>
        <v>23</v>
      </c>
      <c r="K870" s="4" t="s">
        <v>14</v>
      </c>
      <c r="L870" s="4">
        <v>54413</v>
      </c>
      <c r="M870" s="4">
        <v>1037</v>
      </c>
      <c r="N870" s="10">
        <v>1712.34</v>
      </c>
      <c r="O870" s="10">
        <f t="shared" si="41"/>
        <v>1712.34</v>
      </c>
      <c r="P870" s="4">
        <v>195</v>
      </c>
      <c r="Q870" s="4" t="b">
        <v>1</v>
      </c>
      <c r="R870" s="4"/>
      <c r="S870" s="14" t="s">
        <v>16</v>
      </c>
    </row>
    <row r="871" spans="1:19">
      <c r="A871" s="6" t="s">
        <v>1815</v>
      </c>
      <c r="B871" s="7" t="s">
        <v>1816</v>
      </c>
      <c r="C871" s="8" t="s">
        <v>4127</v>
      </c>
      <c r="D871" s="8">
        <v>45068</v>
      </c>
      <c r="E871" s="7">
        <v>5</v>
      </c>
      <c r="F871" s="7">
        <v>22</v>
      </c>
      <c r="G871" s="7">
        <v>2023</v>
      </c>
      <c r="H871" s="8">
        <f t="shared" si="39"/>
        <v>45068</v>
      </c>
      <c r="I871" s="11">
        <v>45089</v>
      </c>
      <c r="J871" s="7">
        <f t="shared" si="40"/>
        <v>21</v>
      </c>
      <c r="K871" s="7" t="s">
        <v>23</v>
      </c>
      <c r="L871" s="7">
        <v>57800</v>
      </c>
      <c r="M871" s="7">
        <v>1460</v>
      </c>
      <c r="N871" s="12">
        <v>1403.49</v>
      </c>
      <c r="O871" s="12">
        <f t="shared" si="41"/>
        <v>1403.49</v>
      </c>
      <c r="P871" s="7">
        <v>93</v>
      </c>
      <c r="Q871" s="7" t="b">
        <v>1</v>
      </c>
      <c r="R871" s="7"/>
      <c r="S871" s="15" t="s">
        <v>25</v>
      </c>
    </row>
    <row r="872" spans="1:19">
      <c r="A872" s="3" t="s">
        <v>1817</v>
      </c>
      <c r="B872" s="4" t="s">
        <v>1818</v>
      </c>
      <c r="C872" s="5" t="s">
        <v>4129</v>
      </c>
      <c r="D872" s="5">
        <v>44966</v>
      </c>
      <c r="E872" s="4">
        <v>2</v>
      </c>
      <c r="F872" s="4">
        <v>9</v>
      </c>
      <c r="G872" s="4">
        <v>2023</v>
      </c>
      <c r="H872" s="5">
        <f t="shared" si="39"/>
        <v>44966</v>
      </c>
      <c r="I872" s="9">
        <v>44996</v>
      </c>
      <c r="J872" s="4">
        <f t="shared" si="40"/>
        <v>30</v>
      </c>
      <c r="K872" s="4" t="s">
        <v>14</v>
      </c>
      <c r="L872" s="4">
        <v>98239</v>
      </c>
      <c r="M872" s="4">
        <v>1488</v>
      </c>
      <c r="N872" s="10">
        <v>1842.27</v>
      </c>
      <c r="O872" s="10">
        <f t="shared" si="41"/>
        <v>1842.27</v>
      </c>
      <c r="P872" s="4">
        <v>287</v>
      </c>
      <c r="Q872" s="4" t="b">
        <v>1</v>
      </c>
      <c r="R872" s="4"/>
      <c r="S872" s="14" t="s">
        <v>16</v>
      </c>
    </row>
    <row r="873" spans="1:19">
      <c r="A873" s="6" t="s">
        <v>1819</v>
      </c>
      <c r="B873" s="7" t="s">
        <v>1820</v>
      </c>
      <c r="C873" s="8" t="s">
        <v>4131</v>
      </c>
      <c r="D873" s="8">
        <v>45247</v>
      </c>
      <c r="E873" s="7">
        <v>11</v>
      </c>
      <c r="F873" s="7">
        <v>17</v>
      </c>
      <c r="G873" s="7">
        <v>2023</v>
      </c>
      <c r="H873" s="8">
        <f t="shared" si="39"/>
        <v>45247</v>
      </c>
      <c r="I873" s="11">
        <v>45251</v>
      </c>
      <c r="J873" s="7">
        <f t="shared" si="40"/>
        <v>4</v>
      </c>
      <c r="K873" s="7" t="s">
        <v>19</v>
      </c>
      <c r="L873" s="7">
        <v>43318</v>
      </c>
      <c r="M873" s="7">
        <v>1148</v>
      </c>
      <c r="N873" s="12">
        <v>1945.59</v>
      </c>
      <c r="O873" s="12">
        <f t="shared" si="41"/>
        <v>1945.59</v>
      </c>
      <c r="P873" s="7">
        <v>162</v>
      </c>
      <c r="Q873" s="7" t="b">
        <v>1</v>
      </c>
      <c r="R873" s="7"/>
      <c r="S873" s="15" t="s">
        <v>20</v>
      </c>
    </row>
    <row r="874" spans="1:19">
      <c r="A874" s="3" t="s">
        <v>1821</v>
      </c>
      <c r="B874" s="4" t="s">
        <v>1822</v>
      </c>
      <c r="C874" s="5" t="s">
        <v>4128</v>
      </c>
      <c r="D874" s="5">
        <v>45161</v>
      </c>
      <c r="E874" s="4">
        <v>8</v>
      </c>
      <c r="F874" s="4">
        <v>23</v>
      </c>
      <c r="G874" s="4">
        <v>2023</v>
      </c>
      <c r="H874" s="5">
        <f t="shared" si="39"/>
        <v>45161</v>
      </c>
      <c r="I874" s="9">
        <v>45176</v>
      </c>
      <c r="J874" s="4">
        <f t="shared" si="40"/>
        <v>15</v>
      </c>
      <c r="K874" s="4" t="s">
        <v>14</v>
      </c>
      <c r="L874" s="4">
        <v>71173</v>
      </c>
      <c r="M874" s="4">
        <v>2995</v>
      </c>
      <c r="N874" s="10">
        <v>2542.19</v>
      </c>
      <c r="O874" s="10">
        <f t="shared" si="41"/>
        <v>2542.19</v>
      </c>
      <c r="P874" s="4">
        <v>150</v>
      </c>
      <c r="Q874" s="4" t="b">
        <v>1</v>
      </c>
      <c r="R874" s="4"/>
      <c r="S874" s="14" t="s">
        <v>16</v>
      </c>
    </row>
    <row r="875" spans="1:19">
      <c r="A875" s="6" t="s">
        <v>1823</v>
      </c>
      <c r="B875" s="7" t="s">
        <v>1824</v>
      </c>
      <c r="C875" s="8" t="s">
        <v>4129</v>
      </c>
      <c r="D875" s="8">
        <v>45129</v>
      </c>
      <c r="E875" s="7">
        <v>7</v>
      </c>
      <c r="F875" s="7">
        <v>22</v>
      </c>
      <c r="G875" s="7">
        <v>2023</v>
      </c>
      <c r="H875" s="8">
        <f t="shared" si="39"/>
        <v>45129</v>
      </c>
      <c r="I875" s="11">
        <v>45142</v>
      </c>
      <c r="J875" s="7">
        <f t="shared" si="40"/>
        <v>13</v>
      </c>
      <c r="K875" s="7" t="s">
        <v>23</v>
      </c>
      <c r="L875" s="7">
        <v>71390</v>
      </c>
      <c r="M875" s="7">
        <v>2081</v>
      </c>
      <c r="N875" s="12">
        <v>1746.06</v>
      </c>
      <c r="O875" s="12">
        <f t="shared" si="41"/>
        <v>1746.06</v>
      </c>
      <c r="P875" s="7">
        <v>383</v>
      </c>
      <c r="Q875" s="7" t="b">
        <v>1</v>
      </c>
      <c r="R875" s="7"/>
      <c r="S875" s="15" t="s">
        <v>25</v>
      </c>
    </row>
    <row r="876" spans="1:19">
      <c r="A876" s="3" t="s">
        <v>1825</v>
      </c>
      <c r="B876" s="4" t="s">
        <v>1826</v>
      </c>
      <c r="C876" s="5" t="s">
        <v>4127</v>
      </c>
      <c r="D876" s="5">
        <v>45095</v>
      </c>
      <c r="E876" s="4">
        <v>6</v>
      </c>
      <c r="F876" s="4">
        <v>18</v>
      </c>
      <c r="G876" s="4">
        <v>2023</v>
      </c>
      <c r="H876" s="5">
        <f t="shared" si="39"/>
        <v>45095</v>
      </c>
      <c r="I876" s="9">
        <v>45119</v>
      </c>
      <c r="J876" s="4">
        <f t="shared" si="40"/>
        <v>24</v>
      </c>
      <c r="K876" s="4" t="s">
        <v>14</v>
      </c>
      <c r="L876" s="4">
        <v>53329</v>
      </c>
      <c r="M876" s="4">
        <v>571</v>
      </c>
      <c r="N876" s="10">
        <v>757.48</v>
      </c>
      <c r="O876" s="10">
        <f t="shared" si="41"/>
        <v>757.48</v>
      </c>
      <c r="P876" s="4">
        <v>73</v>
      </c>
      <c r="Q876" s="4" t="b">
        <v>1</v>
      </c>
      <c r="R876" s="4"/>
      <c r="S876" s="14" t="s">
        <v>16</v>
      </c>
    </row>
    <row r="877" spans="1:19">
      <c r="A877" s="6" t="s">
        <v>1827</v>
      </c>
      <c r="B877" s="7" t="s">
        <v>1828</v>
      </c>
      <c r="C877" s="8" t="s">
        <v>4127</v>
      </c>
      <c r="D877" s="8">
        <v>45260</v>
      </c>
      <c r="E877" s="7">
        <v>11</v>
      </c>
      <c r="F877" s="7">
        <v>30</v>
      </c>
      <c r="G877" s="7">
        <v>2023</v>
      </c>
      <c r="H877" s="8">
        <f t="shared" si="39"/>
        <v>45260</v>
      </c>
      <c r="I877" s="11">
        <v>45271</v>
      </c>
      <c r="J877" s="7">
        <f t="shared" si="40"/>
        <v>11</v>
      </c>
      <c r="K877" s="7" t="s">
        <v>19</v>
      </c>
      <c r="L877" s="7">
        <v>44088</v>
      </c>
      <c r="M877" s="7">
        <v>1184</v>
      </c>
      <c r="N877" s="12">
        <v>1521.85</v>
      </c>
      <c r="O877" s="12">
        <f t="shared" si="41"/>
        <v>1521.85</v>
      </c>
      <c r="P877" s="7">
        <v>105</v>
      </c>
      <c r="Q877" s="7" t="b">
        <v>1</v>
      </c>
      <c r="R877" s="7"/>
      <c r="S877" s="15" t="s">
        <v>20</v>
      </c>
    </row>
    <row r="878" spans="1:19">
      <c r="A878" s="3" t="s">
        <v>1829</v>
      </c>
      <c r="B878" s="4" t="s">
        <v>1830</v>
      </c>
      <c r="C878" s="5" t="s">
        <v>4127</v>
      </c>
      <c r="D878" s="5">
        <v>45091</v>
      </c>
      <c r="E878" s="4">
        <v>6</v>
      </c>
      <c r="F878" s="4">
        <v>14</v>
      </c>
      <c r="G878" s="4">
        <v>2023</v>
      </c>
      <c r="H878" s="5">
        <f t="shared" si="39"/>
        <v>45091</v>
      </c>
      <c r="I878" s="9">
        <v>45099</v>
      </c>
      <c r="J878" s="4">
        <f t="shared" si="40"/>
        <v>8</v>
      </c>
      <c r="K878" s="4" t="s">
        <v>41</v>
      </c>
      <c r="L878" s="4">
        <v>40811</v>
      </c>
      <c r="M878" s="4">
        <v>452</v>
      </c>
      <c r="N878" s="10">
        <v>417.37</v>
      </c>
      <c r="O878" s="10">
        <f t="shared" si="41"/>
        <v>417.37</v>
      </c>
      <c r="P878" s="4">
        <v>74</v>
      </c>
      <c r="Q878" s="4" t="b">
        <v>1</v>
      </c>
      <c r="R878" s="4"/>
      <c r="S878" s="14" t="s">
        <v>42</v>
      </c>
    </row>
    <row r="879" spans="1:19">
      <c r="A879" s="6" t="s">
        <v>1831</v>
      </c>
      <c r="B879" s="7" t="s">
        <v>1832</v>
      </c>
      <c r="C879" s="8" t="s">
        <v>4129</v>
      </c>
      <c r="D879" s="8">
        <v>45172</v>
      </c>
      <c r="E879" s="7">
        <v>9</v>
      </c>
      <c r="F879" s="7">
        <v>3</v>
      </c>
      <c r="G879" s="7">
        <v>2023</v>
      </c>
      <c r="H879" s="8">
        <f t="shared" si="39"/>
        <v>45172</v>
      </c>
      <c r="I879" s="11">
        <v>45192</v>
      </c>
      <c r="J879" s="7">
        <f t="shared" si="40"/>
        <v>20</v>
      </c>
      <c r="K879" s="7" t="s">
        <v>234</v>
      </c>
      <c r="L879" s="7">
        <v>56479</v>
      </c>
      <c r="M879" s="7">
        <v>2747</v>
      </c>
      <c r="N879" s="12">
        <v>2601.72</v>
      </c>
      <c r="O879" s="12">
        <f t="shared" si="41"/>
        <v>2601.72</v>
      </c>
      <c r="P879" s="7">
        <v>519</v>
      </c>
      <c r="Q879" s="7" t="b">
        <v>0</v>
      </c>
      <c r="R879" s="7"/>
      <c r="S879" s="15" t="s">
        <v>16</v>
      </c>
    </row>
    <row r="880" spans="1:19">
      <c r="A880" s="3" t="s">
        <v>1833</v>
      </c>
      <c r="B880" s="4" t="s">
        <v>1834</v>
      </c>
      <c r="C880" s="5" t="s">
        <v>4128</v>
      </c>
      <c r="D880" s="5">
        <v>45090</v>
      </c>
      <c r="E880" s="4">
        <v>6</v>
      </c>
      <c r="F880" s="4">
        <v>13</v>
      </c>
      <c r="G880" s="4">
        <v>2023</v>
      </c>
      <c r="H880" s="5">
        <f t="shared" si="39"/>
        <v>45090</v>
      </c>
      <c r="I880" s="9">
        <v>45106</v>
      </c>
      <c r="J880" s="4">
        <f t="shared" si="40"/>
        <v>16</v>
      </c>
      <c r="K880" s="4" t="s">
        <v>41</v>
      </c>
      <c r="L880" s="4">
        <v>86392</v>
      </c>
      <c r="M880" s="4">
        <v>1304</v>
      </c>
      <c r="N880" s="10">
        <v>1195.47</v>
      </c>
      <c r="O880" s="10">
        <f t="shared" si="41"/>
        <v>1195.47</v>
      </c>
      <c r="P880" s="4">
        <v>159</v>
      </c>
      <c r="Q880" s="4" t="b">
        <v>0</v>
      </c>
      <c r="R880" s="4"/>
      <c r="S880" s="14" t="s">
        <v>42</v>
      </c>
    </row>
    <row r="881" spans="1:19">
      <c r="A881" s="6" t="s">
        <v>1835</v>
      </c>
      <c r="B881" s="7" t="s">
        <v>1836</v>
      </c>
      <c r="C881" s="8" t="s">
        <v>4131</v>
      </c>
      <c r="D881" s="8">
        <v>45178</v>
      </c>
      <c r="E881" s="7">
        <v>9</v>
      </c>
      <c r="F881" s="7">
        <v>9</v>
      </c>
      <c r="G881" s="7">
        <v>2023</v>
      </c>
      <c r="H881" s="8">
        <f t="shared" si="39"/>
        <v>45178</v>
      </c>
      <c r="I881" s="11">
        <v>45180</v>
      </c>
      <c r="J881" s="7">
        <f t="shared" si="40"/>
        <v>2</v>
      </c>
      <c r="K881" s="7" t="s">
        <v>14</v>
      </c>
      <c r="L881" s="7">
        <v>88369</v>
      </c>
      <c r="M881" s="7">
        <v>3385</v>
      </c>
      <c r="N881" s="12">
        <v>5609.85</v>
      </c>
      <c r="O881" s="12">
        <f t="shared" si="41"/>
        <v>3632.575</v>
      </c>
      <c r="P881" s="7">
        <v>329</v>
      </c>
      <c r="Q881" s="7" t="b">
        <v>1</v>
      </c>
      <c r="R881" s="7"/>
      <c r="S881" s="15" t="s">
        <v>16</v>
      </c>
    </row>
    <row r="882" spans="1:19">
      <c r="A882" s="3" t="s">
        <v>1837</v>
      </c>
      <c r="B882" s="4" t="s">
        <v>1838</v>
      </c>
      <c r="C882" s="5" t="s">
        <v>4128</v>
      </c>
      <c r="D882" s="5">
        <v>45093</v>
      </c>
      <c r="E882" s="4">
        <v>6</v>
      </c>
      <c r="F882" s="4">
        <v>16</v>
      </c>
      <c r="G882" s="4">
        <v>2023</v>
      </c>
      <c r="H882" s="5">
        <f t="shared" si="39"/>
        <v>45093</v>
      </c>
      <c r="I882" s="9">
        <v>45104</v>
      </c>
      <c r="J882" s="4">
        <f t="shared" si="40"/>
        <v>11</v>
      </c>
      <c r="K882" s="4" t="s">
        <v>33</v>
      </c>
      <c r="L882" s="4">
        <v>20963</v>
      </c>
      <c r="M882" s="4">
        <v>1025</v>
      </c>
      <c r="N882" s="10">
        <v>1514.8</v>
      </c>
      <c r="O882" s="10">
        <f t="shared" si="41"/>
        <v>1514.8</v>
      </c>
      <c r="P882" s="4">
        <v>172</v>
      </c>
      <c r="Q882" s="4" t="b">
        <v>0</v>
      </c>
      <c r="R882" s="4"/>
      <c r="S882" s="14" t="s">
        <v>34</v>
      </c>
    </row>
    <row r="883" spans="1:19">
      <c r="A883" s="6" t="s">
        <v>1839</v>
      </c>
      <c r="B883" s="7" t="s">
        <v>1840</v>
      </c>
      <c r="C883" s="8" t="s">
        <v>4131</v>
      </c>
      <c r="D883" s="8">
        <v>45128</v>
      </c>
      <c r="E883" s="7">
        <v>7</v>
      </c>
      <c r="F883" s="7">
        <v>21</v>
      </c>
      <c r="G883" s="7">
        <v>2023</v>
      </c>
      <c r="H883" s="8">
        <f t="shared" si="39"/>
        <v>45128</v>
      </c>
      <c r="I883" s="11">
        <v>45138</v>
      </c>
      <c r="J883" s="7">
        <f t="shared" si="40"/>
        <v>10</v>
      </c>
      <c r="K883" s="7" t="s">
        <v>23</v>
      </c>
      <c r="L883" s="7">
        <v>56123</v>
      </c>
      <c r="M883" s="7">
        <v>2415</v>
      </c>
      <c r="N883" s="12">
        <v>4222.93</v>
      </c>
      <c r="O883" s="12">
        <f t="shared" si="41"/>
        <v>3632.575</v>
      </c>
      <c r="P883" s="7">
        <v>367</v>
      </c>
      <c r="Q883" s="7" t="b">
        <v>0</v>
      </c>
      <c r="R883" s="7"/>
      <c r="S883" s="15" t="s">
        <v>25</v>
      </c>
    </row>
    <row r="884" spans="1:19">
      <c r="A884" s="3" t="s">
        <v>1841</v>
      </c>
      <c r="B884" s="4" t="s">
        <v>1842</v>
      </c>
      <c r="C884" s="5" t="s">
        <v>4128</v>
      </c>
      <c r="D884" s="5">
        <v>45029</v>
      </c>
      <c r="E884" s="4">
        <v>4</v>
      </c>
      <c r="F884" s="4">
        <v>13</v>
      </c>
      <c r="G884" s="4">
        <v>2023</v>
      </c>
      <c r="H884" s="5">
        <f t="shared" si="39"/>
        <v>45029</v>
      </c>
      <c r="I884" s="9">
        <v>45047</v>
      </c>
      <c r="J884" s="4">
        <f t="shared" si="40"/>
        <v>18</v>
      </c>
      <c r="K884" s="4" t="s">
        <v>41</v>
      </c>
      <c r="L884" s="4">
        <v>93705</v>
      </c>
      <c r="M884" s="4">
        <v>3558</v>
      </c>
      <c r="N884" s="10">
        <v>6985.1</v>
      </c>
      <c r="O884" s="10">
        <f t="shared" si="41"/>
        <v>3632.575</v>
      </c>
      <c r="P884" s="4">
        <v>652</v>
      </c>
      <c r="Q884" s="4" t="b">
        <v>1</v>
      </c>
      <c r="R884" s="4"/>
      <c r="S884" s="14" t="s">
        <v>42</v>
      </c>
    </row>
    <row r="885" spans="1:19">
      <c r="A885" s="6" t="s">
        <v>1843</v>
      </c>
      <c r="B885" s="7" t="s">
        <v>1844</v>
      </c>
      <c r="C885" s="8" t="s">
        <v>4127</v>
      </c>
      <c r="D885" s="8">
        <v>45276</v>
      </c>
      <c r="E885" s="7">
        <v>12</v>
      </c>
      <c r="F885" s="7">
        <v>16</v>
      </c>
      <c r="G885" s="7">
        <v>2023</v>
      </c>
      <c r="H885" s="8">
        <f t="shared" si="39"/>
        <v>45276</v>
      </c>
      <c r="I885" s="11">
        <v>45301</v>
      </c>
      <c r="J885" s="7">
        <f t="shared" si="40"/>
        <v>25</v>
      </c>
      <c r="K885" s="7" t="s">
        <v>14</v>
      </c>
      <c r="L885" s="7">
        <v>74477</v>
      </c>
      <c r="M885" s="7">
        <v>3245</v>
      </c>
      <c r="N885" s="12">
        <v>3930.49</v>
      </c>
      <c r="O885" s="12">
        <f t="shared" si="41"/>
        <v>3632.575</v>
      </c>
      <c r="P885" s="7">
        <v>499</v>
      </c>
      <c r="Q885" s="7" t="b">
        <v>0</v>
      </c>
      <c r="R885" s="7"/>
      <c r="S885" s="15" t="s">
        <v>16</v>
      </c>
    </row>
    <row r="886" spans="1:19">
      <c r="A886" s="3" t="s">
        <v>1845</v>
      </c>
      <c r="B886" s="4" t="s">
        <v>1846</v>
      </c>
      <c r="C886" s="5" t="s">
        <v>4128</v>
      </c>
      <c r="D886" s="5">
        <v>45163</v>
      </c>
      <c r="E886" s="4">
        <v>8</v>
      </c>
      <c r="F886" s="4">
        <v>25</v>
      </c>
      <c r="G886" s="4">
        <v>2023</v>
      </c>
      <c r="H886" s="5">
        <f t="shared" si="39"/>
        <v>45163</v>
      </c>
      <c r="I886" s="9">
        <v>45186</v>
      </c>
      <c r="J886" s="4">
        <f t="shared" si="40"/>
        <v>23</v>
      </c>
      <c r="K886" s="4" t="s">
        <v>41</v>
      </c>
      <c r="L886" s="4">
        <v>15388</v>
      </c>
      <c r="M886" s="4">
        <v>758</v>
      </c>
      <c r="N886" s="10">
        <v>454.83</v>
      </c>
      <c r="O886" s="10">
        <f t="shared" si="41"/>
        <v>454.83</v>
      </c>
      <c r="P886" s="4">
        <v>65</v>
      </c>
      <c r="Q886" s="4" t="b">
        <v>0</v>
      </c>
      <c r="R886" s="4"/>
      <c r="S886" s="14" t="s">
        <v>68</v>
      </c>
    </row>
    <row r="887" spans="1:19">
      <c r="A887" s="6" t="s">
        <v>1847</v>
      </c>
      <c r="B887" s="7" t="s">
        <v>1848</v>
      </c>
      <c r="C887" s="8" t="s">
        <v>4131</v>
      </c>
      <c r="D887" s="8">
        <v>45076</v>
      </c>
      <c r="E887" s="7">
        <v>5</v>
      </c>
      <c r="F887" s="7">
        <v>30</v>
      </c>
      <c r="G887" s="7">
        <v>2023</v>
      </c>
      <c r="H887" s="8">
        <f t="shared" si="39"/>
        <v>45076</v>
      </c>
      <c r="I887" s="11">
        <v>45104</v>
      </c>
      <c r="J887" s="7">
        <f t="shared" si="40"/>
        <v>28</v>
      </c>
      <c r="K887" s="7" t="s">
        <v>14</v>
      </c>
      <c r="L887" s="7">
        <v>6569</v>
      </c>
      <c r="M887" s="7">
        <v>228</v>
      </c>
      <c r="N887" s="12">
        <v>130.45</v>
      </c>
      <c r="O887" s="12">
        <f t="shared" si="41"/>
        <v>130.45</v>
      </c>
      <c r="P887" s="7">
        <v>43</v>
      </c>
      <c r="Q887" s="7" t="b">
        <v>1</v>
      </c>
      <c r="R887" s="7"/>
      <c r="S887" s="15" t="s">
        <v>16</v>
      </c>
    </row>
    <row r="888" spans="1:19">
      <c r="A888" s="3" t="s">
        <v>1849</v>
      </c>
      <c r="B888" s="4" t="s">
        <v>1850</v>
      </c>
      <c r="C888" s="5" t="s">
        <v>4127</v>
      </c>
      <c r="D888" s="5">
        <v>45136</v>
      </c>
      <c r="E888" s="4">
        <v>7</v>
      </c>
      <c r="F888" s="4">
        <v>29</v>
      </c>
      <c r="G888" s="4">
        <v>2023</v>
      </c>
      <c r="H888" s="5">
        <f t="shared" si="39"/>
        <v>45136</v>
      </c>
      <c r="I888" s="9">
        <v>45151</v>
      </c>
      <c r="J888" s="4">
        <f t="shared" si="40"/>
        <v>15</v>
      </c>
      <c r="K888" s="4" t="s">
        <v>41</v>
      </c>
      <c r="L888" s="4">
        <v>70836</v>
      </c>
      <c r="M888" s="4">
        <v>2292</v>
      </c>
      <c r="N888" s="10">
        <v>-2162.5</v>
      </c>
      <c r="O888" s="10">
        <f t="shared" si="41"/>
        <v>-344.195</v>
      </c>
      <c r="P888" s="4">
        <v>150</v>
      </c>
      <c r="Q888" s="4" t="b">
        <v>1</v>
      </c>
      <c r="R888" s="4"/>
      <c r="S888" s="14" t="s">
        <v>42</v>
      </c>
    </row>
    <row r="889" spans="1:19">
      <c r="A889" s="6" t="s">
        <v>1851</v>
      </c>
      <c r="B889" s="7" t="s">
        <v>1852</v>
      </c>
      <c r="C889" s="8" t="s">
        <v>4128</v>
      </c>
      <c r="D889" s="8">
        <v>45082</v>
      </c>
      <c r="E889" s="7">
        <v>6</v>
      </c>
      <c r="F889" s="7">
        <v>5</v>
      </c>
      <c r="G889" s="7">
        <v>2023</v>
      </c>
      <c r="H889" s="8">
        <f t="shared" si="39"/>
        <v>45082</v>
      </c>
      <c r="I889" s="11">
        <v>45089</v>
      </c>
      <c r="J889" s="7">
        <f t="shared" si="40"/>
        <v>7</v>
      </c>
      <c r="K889" s="7" t="s">
        <v>33</v>
      </c>
      <c r="L889" s="7">
        <v>37586</v>
      </c>
      <c r="M889" s="7">
        <v>1320</v>
      </c>
      <c r="N889" s="12">
        <v>2506.44</v>
      </c>
      <c r="O889" s="12">
        <f t="shared" si="41"/>
        <v>2506.44</v>
      </c>
      <c r="P889" s="7">
        <v>119</v>
      </c>
      <c r="Q889" s="7" t="b">
        <v>1</v>
      </c>
      <c r="R889" s="7"/>
      <c r="S889" s="15" t="s">
        <v>34</v>
      </c>
    </row>
    <row r="890" spans="1:19">
      <c r="A890" s="3" t="s">
        <v>1853</v>
      </c>
      <c r="B890" s="4" t="s">
        <v>1854</v>
      </c>
      <c r="C890" s="5" t="s">
        <v>4128</v>
      </c>
      <c r="D890" s="5">
        <v>45143</v>
      </c>
      <c r="E890" s="4">
        <v>8</v>
      </c>
      <c r="F890" s="4">
        <v>5</v>
      </c>
      <c r="G890" s="4">
        <v>2023</v>
      </c>
      <c r="H890" s="5">
        <f t="shared" si="39"/>
        <v>45143</v>
      </c>
      <c r="I890" s="9">
        <v>45074</v>
      </c>
      <c r="J890" s="4">
        <f t="shared" si="40"/>
        <v>-69</v>
      </c>
      <c r="K890" s="4" t="s">
        <v>41</v>
      </c>
      <c r="L890" s="4">
        <v>13015</v>
      </c>
      <c r="M890" s="4">
        <v>407</v>
      </c>
      <c r="N890" s="10">
        <v>522.92</v>
      </c>
      <c r="O890" s="10">
        <f t="shared" si="41"/>
        <v>522.92</v>
      </c>
      <c r="P890" s="4">
        <v>52</v>
      </c>
      <c r="Q890" s="4" t="b">
        <v>0</v>
      </c>
      <c r="R890" s="4">
        <v>13074</v>
      </c>
      <c r="S890" s="14" t="s">
        <v>42</v>
      </c>
    </row>
    <row r="891" spans="1:19">
      <c r="A891" s="6" t="s">
        <v>1855</v>
      </c>
      <c r="B891" s="7" t="s">
        <v>1856</v>
      </c>
      <c r="C891" s="8" t="s">
        <v>4129</v>
      </c>
      <c r="D891" s="8">
        <v>45233</v>
      </c>
      <c r="E891" s="7">
        <v>11</v>
      </c>
      <c r="F891" s="7">
        <v>3</v>
      </c>
      <c r="G891" s="7">
        <v>2023</v>
      </c>
      <c r="H891" s="8">
        <f t="shared" si="39"/>
        <v>45233</v>
      </c>
      <c r="I891" s="11">
        <v>45247</v>
      </c>
      <c r="J891" s="7">
        <f t="shared" si="40"/>
        <v>14</v>
      </c>
      <c r="K891" s="7" t="s">
        <v>19</v>
      </c>
      <c r="L891" s="7">
        <v>46002</v>
      </c>
      <c r="M891" s="7">
        <v>1628</v>
      </c>
      <c r="N891" s="12">
        <v>1477.7</v>
      </c>
      <c r="O891" s="12">
        <f t="shared" si="41"/>
        <v>1477.7</v>
      </c>
      <c r="P891" s="7">
        <v>219</v>
      </c>
      <c r="Q891" s="7" t="b">
        <v>0</v>
      </c>
      <c r="R891" s="7"/>
      <c r="S891" s="15" t="s">
        <v>20</v>
      </c>
    </row>
    <row r="892" spans="1:19">
      <c r="A892" s="3" t="s">
        <v>1857</v>
      </c>
      <c r="B892" s="4" t="s">
        <v>1858</v>
      </c>
      <c r="C892" s="5" t="s">
        <v>4127</v>
      </c>
      <c r="D892" s="5">
        <v>45186</v>
      </c>
      <c r="E892" s="4">
        <v>9</v>
      </c>
      <c r="F892" s="4">
        <v>17</v>
      </c>
      <c r="G892" s="4">
        <v>2023</v>
      </c>
      <c r="H892" s="5">
        <f t="shared" si="39"/>
        <v>45186</v>
      </c>
      <c r="I892" s="9">
        <v>45190</v>
      </c>
      <c r="J892" s="4">
        <f t="shared" si="40"/>
        <v>4</v>
      </c>
      <c r="K892" s="4" t="s">
        <v>33</v>
      </c>
      <c r="L892" s="4">
        <v>7254</v>
      </c>
      <c r="M892" s="4">
        <v>203</v>
      </c>
      <c r="N892" s="10">
        <v>223.05</v>
      </c>
      <c r="O892" s="10">
        <f t="shared" si="41"/>
        <v>223.05</v>
      </c>
      <c r="P892" s="4">
        <v>10</v>
      </c>
      <c r="Q892" s="4" t="b">
        <v>1</v>
      </c>
      <c r="R892" s="4"/>
      <c r="S892" s="14" t="s">
        <v>34</v>
      </c>
    </row>
    <row r="893" spans="1:19">
      <c r="A893" s="6" t="s">
        <v>1859</v>
      </c>
      <c r="B893" s="7" t="s">
        <v>1860</v>
      </c>
      <c r="C893" s="8" t="s">
        <v>4128</v>
      </c>
      <c r="D893" s="8">
        <v>45141</v>
      </c>
      <c r="E893" s="7">
        <v>8</v>
      </c>
      <c r="F893" s="7">
        <v>3</v>
      </c>
      <c r="G893" s="7">
        <v>2023</v>
      </c>
      <c r="H893" s="8">
        <f t="shared" si="39"/>
        <v>45141</v>
      </c>
      <c r="I893" s="11">
        <v>45142</v>
      </c>
      <c r="J893" s="7">
        <f t="shared" si="40"/>
        <v>1</v>
      </c>
      <c r="K893" s="7" t="s">
        <v>33</v>
      </c>
      <c r="L893" s="7">
        <v>18144</v>
      </c>
      <c r="M893" s="7">
        <v>339</v>
      </c>
      <c r="N893" s="12">
        <v>473.89</v>
      </c>
      <c r="O893" s="12">
        <f t="shared" si="41"/>
        <v>473.89</v>
      </c>
      <c r="P893" s="7">
        <v>56</v>
      </c>
      <c r="Q893" s="7" t="b">
        <v>0</v>
      </c>
      <c r="R893" s="7"/>
      <c r="S893" s="15" t="s">
        <v>34</v>
      </c>
    </row>
    <row r="894" spans="1:19">
      <c r="A894" s="3" t="s">
        <v>1861</v>
      </c>
      <c r="B894" s="4" t="s">
        <v>1862</v>
      </c>
      <c r="C894" s="5" t="s">
        <v>4127</v>
      </c>
      <c r="D894" s="5">
        <v>45111</v>
      </c>
      <c r="E894" s="4">
        <v>7</v>
      </c>
      <c r="F894" s="4">
        <v>4</v>
      </c>
      <c r="G894" s="4">
        <v>2023</v>
      </c>
      <c r="H894" s="5">
        <f t="shared" si="39"/>
        <v>45111</v>
      </c>
      <c r="I894" s="9">
        <v>45133</v>
      </c>
      <c r="J894" s="4">
        <f t="shared" si="40"/>
        <v>22</v>
      </c>
      <c r="K894" s="4" t="s">
        <v>19</v>
      </c>
      <c r="L894" s="4">
        <v>25214</v>
      </c>
      <c r="M894" s="4">
        <v>373</v>
      </c>
      <c r="N894" s="10">
        <v>551.83</v>
      </c>
      <c r="O894" s="10">
        <f t="shared" si="41"/>
        <v>551.83</v>
      </c>
      <c r="P894" s="4">
        <v>38</v>
      </c>
      <c r="Q894" s="4" t="b">
        <v>0</v>
      </c>
      <c r="R894" s="4"/>
      <c r="S894" s="14" t="s">
        <v>20</v>
      </c>
    </row>
    <row r="895" spans="1:19">
      <c r="A895" s="6" t="s">
        <v>1863</v>
      </c>
      <c r="B895" s="7" t="s">
        <v>1864</v>
      </c>
      <c r="C895" s="8" t="s">
        <v>4129</v>
      </c>
      <c r="D895" s="8">
        <v>45231</v>
      </c>
      <c r="E895" s="7">
        <v>11</v>
      </c>
      <c r="F895" s="7">
        <v>1</v>
      </c>
      <c r="G895" s="7">
        <v>2023</v>
      </c>
      <c r="H895" s="8">
        <f t="shared" si="39"/>
        <v>45231</v>
      </c>
      <c r="I895" s="11">
        <v>44942</v>
      </c>
      <c r="J895" s="7">
        <f t="shared" si="40"/>
        <v>-289</v>
      </c>
      <c r="K895" s="7" t="s">
        <v>14</v>
      </c>
      <c r="L895" s="7">
        <v>81719</v>
      </c>
      <c r="M895" s="7">
        <v>1040</v>
      </c>
      <c r="N895" s="12">
        <v>760.11</v>
      </c>
      <c r="O895" s="12">
        <f t="shared" si="41"/>
        <v>760.11</v>
      </c>
      <c r="P895" s="7">
        <v>115</v>
      </c>
      <c r="Q895" s="7" t="b">
        <v>1</v>
      </c>
      <c r="R895" s="7"/>
      <c r="S895" s="15" t="s">
        <v>16</v>
      </c>
    </row>
    <row r="896" spans="1:19">
      <c r="A896" s="3" t="s">
        <v>1865</v>
      </c>
      <c r="B896" s="4" t="s">
        <v>1866</v>
      </c>
      <c r="C896" s="5" t="s">
        <v>4128</v>
      </c>
      <c r="D896" s="5">
        <v>45054</v>
      </c>
      <c r="E896" s="4">
        <v>5</v>
      </c>
      <c r="F896" s="4">
        <v>8</v>
      </c>
      <c r="G896" s="4">
        <v>2023</v>
      </c>
      <c r="H896" s="5">
        <f t="shared" si="39"/>
        <v>45054</v>
      </c>
      <c r="I896" s="9">
        <v>45073</v>
      </c>
      <c r="J896" s="4">
        <f t="shared" si="40"/>
        <v>19</v>
      </c>
      <c r="K896" s="4" t="s">
        <v>33</v>
      </c>
      <c r="L896" s="4">
        <v>72774</v>
      </c>
      <c r="M896" s="4">
        <v>1494</v>
      </c>
      <c r="N896" s="10">
        <v>2936.53</v>
      </c>
      <c r="O896" s="10">
        <f t="shared" si="41"/>
        <v>2936.53</v>
      </c>
      <c r="P896" s="4">
        <v>256</v>
      </c>
      <c r="Q896" s="4" t="b">
        <v>0</v>
      </c>
      <c r="R896" s="4"/>
      <c r="S896" s="14" t="s">
        <v>34</v>
      </c>
    </row>
    <row r="897" spans="1:19">
      <c r="A897" s="6" t="s">
        <v>1867</v>
      </c>
      <c r="B897" s="7" t="s">
        <v>1868</v>
      </c>
      <c r="C897" s="8" t="s">
        <v>4128</v>
      </c>
      <c r="D897" s="8">
        <v>45258</v>
      </c>
      <c r="E897" s="7">
        <v>11</v>
      </c>
      <c r="F897" s="7">
        <v>28</v>
      </c>
      <c r="G897" s="7">
        <v>2023</v>
      </c>
      <c r="H897" s="8">
        <f t="shared" si="39"/>
        <v>45258</v>
      </c>
      <c r="I897" s="11">
        <v>45286</v>
      </c>
      <c r="J897" s="7">
        <f t="shared" si="40"/>
        <v>28</v>
      </c>
      <c r="K897" s="7" t="s">
        <v>19</v>
      </c>
      <c r="L897" s="7">
        <v>7090</v>
      </c>
      <c r="M897" s="7">
        <v>83</v>
      </c>
      <c r="N897" s="12">
        <v>109.32</v>
      </c>
      <c r="O897" s="12">
        <f t="shared" si="41"/>
        <v>109.32</v>
      </c>
      <c r="P897" s="7">
        <v>8</v>
      </c>
      <c r="Q897" s="7" t="b">
        <v>1</v>
      </c>
      <c r="R897" s="7"/>
      <c r="S897" s="15" t="s">
        <v>20</v>
      </c>
    </row>
    <row r="898" spans="1:19">
      <c r="A898" s="3" t="s">
        <v>1869</v>
      </c>
      <c r="B898" s="4" t="s">
        <v>1870</v>
      </c>
      <c r="C898" s="5" t="s">
        <v>4128</v>
      </c>
      <c r="D898" s="5">
        <v>45257</v>
      </c>
      <c r="E898" s="4">
        <v>11</v>
      </c>
      <c r="F898" s="4">
        <v>27</v>
      </c>
      <c r="G898" s="4">
        <v>2023</v>
      </c>
      <c r="H898" s="5">
        <f t="shared" ref="H898:H961" si="42">IF(E898&gt;12,DATE(G898,F898,E898),D898)</f>
        <v>45257</v>
      </c>
      <c r="I898" s="9">
        <v>45279</v>
      </c>
      <c r="J898" s="4">
        <f t="shared" ref="J898:J961" si="43">DATEDIF(H898,I898,"D")</f>
        <v>22</v>
      </c>
      <c r="K898" s="4" t="s">
        <v>41</v>
      </c>
      <c r="L898" s="4">
        <v>12637</v>
      </c>
      <c r="M898" s="4">
        <v>413</v>
      </c>
      <c r="N898" s="10">
        <v>290.56</v>
      </c>
      <c r="O898" s="10">
        <f t="shared" si="41"/>
        <v>290.56</v>
      </c>
      <c r="P898" s="4">
        <v>23</v>
      </c>
      <c r="Q898" s="4" t="b">
        <v>0</v>
      </c>
      <c r="R898" s="4"/>
      <c r="S898" s="14" t="s">
        <v>68</v>
      </c>
    </row>
    <row r="899" spans="1:19">
      <c r="A899" s="6" t="s">
        <v>1871</v>
      </c>
      <c r="B899" s="7" t="s">
        <v>1872</v>
      </c>
      <c r="C899" s="8" t="s">
        <v>4131</v>
      </c>
      <c r="D899" s="8">
        <v>45096</v>
      </c>
      <c r="E899" s="7">
        <v>6</v>
      </c>
      <c r="F899" s="7">
        <v>19</v>
      </c>
      <c r="G899" s="7">
        <v>2023</v>
      </c>
      <c r="H899" s="8">
        <f t="shared" si="42"/>
        <v>45096</v>
      </c>
      <c r="I899" s="11">
        <v>45121</v>
      </c>
      <c r="J899" s="7">
        <f t="shared" si="43"/>
        <v>25</v>
      </c>
      <c r="K899" s="7" t="s">
        <v>33</v>
      </c>
      <c r="L899" s="7">
        <v>23415</v>
      </c>
      <c r="M899" s="7">
        <v>499</v>
      </c>
      <c r="N899" s="12">
        <v>918.39</v>
      </c>
      <c r="O899" s="12">
        <f t="shared" ref="O899:O962" si="44">IF(N899&lt;$V$6,$V$6,IF(N899&gt;$V$7,$V$7,N899))</f>
        <v>918.39</v>
      </c>
      <c r="P899" s="7">
        <v>0</v>
      </c>
      <c r="Q899" s="7" t="b">
        <v>1</v>
      </c>
      <c r="R899" s="7"/>
      <c r="S899" s="15" t="s">
        <v>34</v>
      </c>
    </row>
    <row r="900" spans="1:19">
      <c r="A900" s="3" t="s">
        <v>1873</v>
      </c>
      <c r="B900" s="4" t="s">
        <v>1874</v>
      </c>
      <c r="C900" s="5" t="s">
        <v>4129</v>
      </c>
      <c r="D900" s="5">
        <v>45078</v>
      </c>
      <c r="E900" s="4">
        <v>6</v>
      </c>
      <c r="F900" s="4">
        <v>1</v>
      </c>
      <c r="G900" s="4">
        <v>2023</v>
      </c>
      <c r="H900" s="5">
        <f t="shared" si="42"/>
        <v>45078</v>
      </c>
      <c r="I900" s="9">
        <v>44933</v>
      </c>
      <c r="J900" s="4">
        <f t="shared" si="43"/>
        <v>-145</v>
      </c>
      <c r="K900" s="4" t="s">
        <v>23</v>
      </c>
      <c r="L900" s="4">
        <v>25071</v>
      </c>
      <c r="M900" s="4">
        <v>1077</v>
      </c>
      <c r="N900" s="10">
        <v>659.08</v>
      </c>
      <c r="O900" s="10">
        <f t="shared" si="44"/>
        <v>659.08</v>
      </c>
      <c r="P900" s="4">
        <v>208</v>
      </c>
      <c r="Q900" s="4" t="b">
        <v>1</v>
      </c>
      <c r="R900" s="4"/>
      <c r="S900" s="14" t="s">
        <v>59</v>
      </c>
    </row>
    <row r="901" spans="1:19">
      <c r="A901" s="6" t="s">
        <v>1875</v>
      </c>
      <c r="B901" s="7" t="s">
        <v>1876</v>
      </c>
      <c r="C901" s="8" t="s">
        <v>4127</v>
      </c>
      <c r="D901" s="8">
        <v>45040</v>
      </c>
      <c r="E901" s="7">
        <v>4</v>
      </c>
      <c r="F901" s="7">
        <v>24</v>
      </c>
      <c r="G901" s="7">
        <v>2023</v>
      </c>
      <c r="H901" s="8">
        <f t="shared" si="42"/>
        <v>45040</v>
      </c>
      <c r="I901" s="11">
        <v>45070</v>
      </c>
      <c r="J901" s="7">
        <f t="shared" si="43"/>
        <v>30</v>
      </c>
      <c r="K901" s="7" t="s">
        <v>19</v>
      </c>
      <c r="L901" s="7">
        <v>59243</v>
      </c>
      <c r="M901" s="7">
        <v>768</v>
      </c>
      <c r="N901" s="12">
        <v>1429.71</v>
      </c>
      <c r="O901" s="12">
        <f t="shared" si="44"/>
        <v>1429.71</v>
      </c>
      <c r="P901" s="7">
        <v>46</v>
      </c>
      <c r="Q901" s="7" t="b">
        <v>1</v>
      </c>
      <c r="R901" s="7"/>
      <c r="S901" s="15" t="s">
        <v>20</v>
      </c>
    </row>
    <row r="902" spans="1:19">
      <c r="A902" s="3" t="s">
        <v>1877</v>
      </c>
      <c r="B902" s="4" t="s">
        <v>1878</v>
      </c>
      <c r="C902" s="5" t="s">
        <v>4129</v>
      </c>
      <c r="D902" s="5">
        <v>45224</v>
      </c>
      <c r="E902" s="4">
        <v>10</v>
      </c>
      <c r="F902" s="4">
        <v>25</v>
      </c>
      <c r="G902" s="4">
        <v>2023</v>
      </c>
      <c r="H902" s="5">
        <f t="shared" si="42"/>
        <v>45224</v>
      </c>
      <c r="I902" s="9">
        <v>45241</v>
      </c>
      <c r="J902" s="4">
        <f t="shared" si="43"/>
        <v>17</v>
      </c>
      <c r="K902" s="4" t="s">
        <v>19</v>
      </c>
      <c r="L902" s="4">
        <v>42240</v>
      </c>
      <c r="M902" s="4">
        <v>804</v>
      </c>
      <c r="N902" s="10">
        <v>1603.86</v>
      </c>
      <c r="O902" s="10">
        <f t="shared" si="44"/>
        <v>1603.86</v>
      </c>
      <c r="P902" s="4">
        <v>83</v>
      </c>
      <c r="Q902" s="4" t="b">
        <v>0</v>
      </c>
      <c r="R902" s="4"/>
      <c r="S902" s="14" t="s">
        <v>20</v>
      </c>
    </row>
    <row r="903" spans="1:19">
      <c r="A903" s="6" t="s">
        <v>1879</v>
      </c>
      <c r="B903" s="7" t="s">
        <v>1880</v>
      </c>
      <c r="C903" s="8" t="s">
        <v>4129</v>
      </c>
      <c r="D903" s="8">
        <v>45118</v>
      </c>
      <c r="E903" s="7">
        <v>7</v>
      </c>
      <c r="F903" s="7">
        <v>11</v>
      </c>
      <c r="G903" s="7">
        <v>2023</v>
      </c>
      <c r="H903" s="8">
        <f t="shared" si="42"/>
        <v>45118</v>
      </c>
      <c r="I903" s="11">
        <v>45133</v>
      </c>
      <c r="J903" s="7">
        <f t="shared" si="43"/>
        <v>15</v>
      </c>
      <c r="K903" s="7" t="s">
        <v>19</v>
      </c>
      <c r="L903" s="7">
        <v>84807</v>
      </c>
      <c r="M903" s="7">
        <v>3325</v>
      </c>
      <c r="N903" s="12">
        <v>5155.9</v>
      </c>
      <c r="O903" s="12">
        <f t="shared" si="44"/>
        <v>3632.575</v>
      </c>
      <c r="P903" s="7">
        <v>417</v>
      </c>
      <c r="Q903" s="7" t="b">
        <v>0</v>
      </c>
      <c r="R903" s="7"/>
      <c r="S903" s="15" t="s">
        <v>20</v>
      </c>
    </row>
    <row r="904" spans="1:19">
      <c r="A904" s="3" t="s">
        <v>1881</v>
      </c>
      <c r="B904" s="4" t="s">
        <v>1882</v>
      </c>
      <c r="C904" s="5" t="s">
        <v>4129</v>
      </c>
      <c r="D904" s="5">
        <v>45228</v>
      </c>
      <c r="E904" s="4">
        <v>10</v>
      </c>
      <c r="F904" s="4">
        <v>29</v>
      </c>
      <c r="G904" s="4">
        <v>2023</v>
      </c>
      <c r="H904" s="5">
        <f t="shared" si="42"/>
        <v>45228</v>
      </c>
      <c r="I904" s="9">
        <v>45231</v>
      </c>
      <c r="J904" s="4">
        <f t="shared" si="43"/>
        <v>3</v>
      </c>
      <c r="K904" s="4" t="s">
        <v>14</v>
      </c>
      <c r="L904" s="4">
        <v>34434</v>
      </c>
      <c r="M904" s="4">
        <v>1169</v>
      </c>
      <c r="N904" s="10">
        <v>1935.48</v>
      </c>
      <c r="O904" s="10">
        <f t="shared" si="44"/>
        <v>1935.48</v>
      </c>
      <c r="P904" s="4">
        <v>144</v>
      </c>
      <c r="Q904" s="4" t="b">
        <v>1</v>
      </c>
      <c r="R904" s="4"/>
      <c r="S904" s="14" t="s">
        <v>16</v>
      </c>
    </row>
    <row r="905" spans="1:19">
      <c r="A905" s="6" t="s">
        <v>1883</v>
      </c>
      <c r="B905" s="7" t="s">
        <v>1884</v>
      </c>
      <c r="C905" s="8" t="s">
        <v>4128</v>
      </c>
      <c r="D905" s="8">
        <v>44939</v>
      </c>
      <c r="E905" s="7">
        <v>1</v>
      </c>
      <c r="F905" s="7">
        <v>13</v>
      </c>
      <c r="G905" s="7">
        <v>2023</v>
      </c>
      <c r="H905" s="8">
        <f t="shared" si="42"/>
        <v>44939</v>
      </c>
      <c r="I905" s="11">
        <v>44956</v>
      </c>
      <c r="J905" s="7">
        <f t="shared" si="43"/>
        <v>17</v>
      </c>
      <c r="K905" s="7" t="s">
        <v>41</v>
      </c>
      <c r="L905" s="7">
        <v>70724</v>
      </c>
      <c r="M905" s="7">
        <v>889</v>
      </c>
      <c r="N905" s="12">
        <v>894.29</v>
      </c>
      <c r="O905" s="12">
        <f t="shared" si="44"/>
        <v>894.29</v>
      </c>
      <c r="P905" s="7">
        <v>44</v>
      </c>
      <c r="Q905" s="7" t="b">
        <v>1</v>
      </c>
      <c r="R905" s="7"/>
      <c r="S905" s="15" t="s">
        <v>42</v>
      </c>
    </row>
    <row r="906" spans="1:19">
      <c r="A906" s="3" t="s">
        <v>1885</v>
      </c>
      <c r="B906" s="4" t="s">
        <v>1886</v>
      </c>
      <c r="C906" s="5" t="s">
        <v>4127</v>
      </c>
      <c r="D906" s="5">
        <v>44970</v>
      </c>
      <c r="E906" s="4">
        <v>2</v>
      </c>
      <c r="F906" s="4">
        <v>13</v>
      </c>
      <c r="G906" s="4">
        <v>2023</v>
      </c>
      <c r="H906" s="5">
        <f t="shared" si="42"/>
        <v>44970</v>
      </c>
      <c r="I906" s="9">
        <v>44976</v>
      </c>
      <c r="J906" s="4">
        <f t="shared" si="43"/>
        <v>6</v>
      </c>
      <c r="K906" s="4" t="s">
        <v>19</v>
      </c>
      <c r="L906" s="4">
        <v>76697</v>
      </c>
      <c r="M906" s="4">
        <v>3458</v>
      </c>
      <c r="N906" s="10">
        <v>6612.96</v>
      </c>
      <c r="O906" s="10">
        <f t="shared" si="44"/>
        <v>3632.575</v>
      </c>
      <c r="P906" s="4">
        <v>432</v>
      </c>
      <c r="Q906" s="4" t="b">
        <v>0</v>
      </c>
      <c r="R906" s="4"/>
      <c r="S906" s="14" t="s">
        <v>20</v>
      </c>
    </row>
    <row r="907" spans="1:19">
      <c r="A907" s="6" t="s">
        <v>1887</v>
      </c>
      <c r="B907" s="7" t="s">
        <v>1888</v>
      </c>
      <c r="C907" s="8" t="s">
        <v>4131</v>
      </c>
      <c r="D907" s="8">
        <v>44999</v>
      </c>
      <c r="E907" s="7">
        <v>3</v>
      </c>
      <c r="F907" s="7">
        <v>14</v>
      </c>
      <c r="G907" s="7">
        <v>2023</v>
      </c>
      <c r="H907" s="8">
        <f t="shared" si="42"/>
        <v>44999</v>
      </c>
      <c r="I907" s="11">
        <v>45014</v>
      </c>
      <c r="J907" s="7">
        <f t="shared" si="43"/>
        <v>15</v>
      </c>
      <c r="K907" s="7" t="s">
        <v>23</v>
      </c>
      <c r="L907" s="7">
        <v>29732</v>
      </c>
      <c r="M907" s="7">
        <v>1340</v>
      </c>
      <c r="N907" s="12">
        <v>1734.73</v>
      </c>
      <c r="O907" s="12">
        <f t="shared" si="44"/>
        <v>1734.73</v>
      </c>
      <c r="P907" s="7">
        <v>144</v>
      </c>
      <c r="Q907" s="7" t="b">
        <v>0</v>
      </c>
      <c r="R907" s="7"/>
      <c r="S907" s="15" t="s">
        <v>25</v>
      </c>
    </row>
    <row r="908" spans="1:19">
      <c r="A908" s="3" t="s">
        <v>1889</v>
      </c>
      <c r="B908" s="4" t="s">
        <v>1890</v>
      </c>
      <c r="C908" s="5" t="s">
        <v>4131</v>
      </c>
      <c r="D908" s="5">
        <v>45032</v>
      </c>
      <c r="E908" s="4">
        <v>4</v>
      </c>
      <c r="F908" s="4">
        <v>16</v>
      </c>
      <c r="G908" s="4">
        <v>2023</v>
      </c>
      <c r="H908" s="5">
        <f t="shared" si="42"/>
        <v>45032</v>
      </c>
      <c r="I908" s="9">
        <v>45041</v>
      </c>
      <c r="J908" s="4">
        <f t="shared" si="43"/>
        <v>9</v>
      </c>
      <c r="K908" s="4" t="s">
        <v>138</v>
      </c>
      <c r="L908" s="4">
        <v>12314</v>
      </c>
      <c r="M908" s="4">
        <v>285</v>
      </c>
      <c r="N908" s="10">
        <v>455.6</v>
      </c>
      <c r="O908" s="10">
        <f t="shared" si="44"/>
        <v>455.6</v>
      </c>
      <c r="P908" s="4">
        <v>55</v>
      </c>
      <c r="Q908" s="4" t="b">
        <v>0</v>
      </c>
      <c r="R908" s="4"/>
      <c r="S908" s="14" t="s">
        <v>139</v>
      </c>
    </row>
    <row r="909" spans="1:19">
      <c r="A909" s="6" t="s">
        <v>1891</v>
      </c>
      <c r="B909" s="7" t="s">
        <v>1892</v>
      </c>
      <c r="C909" s="8" t="s">
        <v>4129</v>
      </c>
      <c r="D909" s="8">
        <v>44976</v>
      </c>
      <c r="E909" s="7">
        <v>2</v>
      </c>
      <c r="F909" s="7">
        <v>19</v>
      </c>
      <c r="G909" s="7">
        <v>2023</v>
      </c>
      <c r="H909" s="8">
        <f t="shared" si="42"/>
        <v>44976</v>
      </c>
      <c r="I909" s="11">
        <v>44999</v>
      </c>
      <c r="J909" s="7">
        <f t="shared" si="43"/>
        <v>23</v>
      </c>
      <c r="K909" s="7" t="s">
        <v>23</v>
      </c>
      <c r="L909" s="7">
        <v>24954</v>
      </c>
      <c r="M909" s="7">
        <v>589</v>
      </c>
      <c r="N909" s="12">
        <v>1110.95</v>
      </c>
      <c r="O909" s="12">
        <f t="shared" si="44"/>
        <v>1110.95</v>
      </c>
      <c r="P909" s="7">
        <v>43</v>
      </c>
      <c r="Q909" s="7" t="b">
        <v>1</v>
      </c>
      <c r="R909" s="7"/>
      <c r="S909" s="15" t="s">
        <v>25</v>
      </c>
    </row>
    <row r="910" spans="1:19">
      <c r="A910" s="3" t="s">
        <v>1893</v>
      </c>
      <c r="B910" s="4" t="s">
        <v>1894</v>
      </c>
      <c r="C910" s="5" t="s">
        <v>4131</v>
      </c>
      <c r="D910" s="5" t="s">
        <v>1895</v>
      </c>
      <c r="E910" s="4">
        <v>13</v>
      </c>
      <c r="F910" s="4">
        <v>6</v>
      </c>
      <c r="G910" s="4">
        <v>2023</v>
      </c>
      <c r="H910" s="5">
        <f t="shared" si="42"/>
        <v>45090</v>
      </c>
      <c r="I910" s="9">
        <v>45109</v>
      </c>
      <c r="J910" s="4">
        <f t="shared" si="43"/>
        <v>19</v>
      </c>
      <c r="K910" s="4" t="s">
        <v>19</v>
      </c>
      <c r="L910" s="4">
        <v>58108</v>
      </c>
      <c r="M910" s="4">
        <v>2879</v>
      </c>
      <c r="N910" s="10">
        <v>5650.81</v>
      </c>
      <c r="O910" s="10">
        <f t="shared" si="44"/>
        <v>3632.575</v>
      </c>
      <c r="P910" s="4">
        <v>296</v>
      </c>
      <c r="Q910" s="4" t="b">
        <v>1</v>
      </c>
      <c r="R910" s="4"/>
      <c r="S910" s="14" t="s">
        <v>20</v>
      </c>
    </row>
    <row r="911" spans="1:19">
      <c r="A911" s="6" t="s">
        <v>1896</v>
      </c>
      <c r="B911" s="7" t="s">
        <v>1897</v>
      </c>
      <c r="C911" s="8" t="s">
        <v>4127</v>
      </c>
      <c r="D911" s="8">
        <v>44949</v>
      </c>
      <c r="E911" s="7">
        <v>1</v>
      </c>
      <c r="F911" s="7">
        <v>23</v>
      </c>
      <c r="G911" s="7">
        <v>2023</v>
      </c>
      <c r="H911" s="8">
        <f t="shared" si="42"/>
        <v>44949</v>
      </c>
      <c r="I911" s="11">
        <v>44962</v>
      </c>
      <c r="J911" s="7">
        <f t="shared" si="43"/>
        <v>13</v>
      </c>
      <c r="K911" s="7" t="s">
        <v>138</v>
      </c>
      <c r="L911" s="7">
        <v>88044</v>
      </c>
      <c r="M911" s="7">
        <v>3085</v>
      </c>
      <c r="N911" s="12">
        <v>5398.15</v>
      </c>
      <c r="O911" s="12">
        <f t="shared" si="44"/>
        <v>3632.575</v>
      </c>
      <c r="P911" s="7">
        <v>348</v>
      </c>
      <c r="Q911" s="7" t="b">
        <v>1</v>
      </c>
      <c r="R911" s="7"/>
      <c r="S911" s="15" t="s">
        <v>139</v>
      </c>
    </row>
    <row r="912" spans="1:19">
      <c r="A912" s="3" t="s">
        <v>1898</v>
      </c>
      <c r="B912" s="4" t="s">
        <v>1899</v>
      </c>
      <c r="C912" s="5" t="s">
        <v>4129</v>
      </c>
      <c r="D912" s="5">
        <v>45102</v>
      </c>
      <c r="E912" s="4">
        <v>6</v>
      </c>
      <c r="F912" s="4">
        <v>25</v>
      </c>
      <c r="G912" s="4">
        <v>2023</v>
      </c>
      <c r="H912" s="5">
        <f t="shared" si="42"/>
        <v>45102</v>
      </c>
      <c r="I912" s="9">
        <v>45128</v>
      </c>
      <c r="J912" s="4">
        <f t="shared" si="43"/>
        <v>26</v>
      </c>
      <c r="K912" s="4" t="s">
        <v>19</v>
      </c>
      <c r="L912" s="4">
        <v>88505</v>
      </c>
      <c r="M912" s="4">
        <v>2766</v>
      </c>
      <c r="N912" s="10">
        <v>2640.22</v>
      </c>
      <c r="O912" s="10">
        <f t="shared" si="44"/>
        <v>2640.22</v>
      </c>
      <c r="P912" s="4">
        <v>300</v>
      </c>
      <c r="Q912" s="4" t="b">
        <v>0</v>
      </c>
      <c r="R912" s="4"/>
      <c r="S912" s="14" t="s">
        <v>20</v>
      </c>
    </row>
    <row r="913" spans="1:19">
      <c r="A913" s="6" t="s">
        <v>1900</v>
      </c>
      <c r="B913" s="7" t="s">
        <v>1901</v>
      </c>
      <c r="C913" s="8" t="s">
        <v>4128</v>
      </c>
      <c r="D913" s="8">
        <v>45011</v>
      </c>
      <c r="E913" s="7">
        <v>3</v>
      </c>
      <c r="F913" s="7">
        <v>26</v>
      </c>
      <c r="G913" s="7">
        <v>2023</v>
      </c>
      <c r="H913" s="8">
        <f t="shared" si="42"/>
        <v>45011</v>
      </c>
      <c r="I913" s="11">
        <v>45041</v>
      </c>
      <c r="J913" s="7">
        <f t="shared" si="43"/>
        <v>30</v>
      </c>
      <c r="K913" s="7" t="s">
        <v>23</v>
      </c>
      <c r="L913" s="7">
        <v>37668</v>
      </c>
      <c r="M913" s="7">
        <v>1639</v>
      </c>
      <c r="N913" s="12">
        <v>3195.76</v>
      </c>
      <c r="O913" s="12">
        <f t="shared" si="44"/>
        <v>3195.76</v>
      </c>
      <c r="P913" s="7">
        <v>245</v>
      </c>
      <c r="Q913" s="7" t="b">
        <v>0</v>
      </c>
      <c r="R913" s="7"/>
      <c r="S913" s="15" t="s">
        <v>25</v>
      </c>
    </row>
    <row r="914" spans="1:19">
      <c r="A914" s="3" t="s">
        <v>1902</v>
      </c>
      <c r="B914" s="4" t="s">
        <v>1903</v>
      </c>
      <c r="C914" s="5" t="s">
        <v>4129</v>
      </c>
      <c r="D914" s="5">
        <v>45191</v>
      </c>
      <c r="E914" s="4">
        <v>9</v>
      </c>
      <c r="F914" s="4">
        <v>22</v>
      </c>
      <c r="G914" s="4">
        <v>2023</v>
      </c>
      <c r="H914" s="5">
        <f t="shared" si="42"/>
        <v>45191</v>
      </c>
      <c r="I914" s="9">
        <v>45209</v>
      </c>
      <c r="J914" s="4">
        <f t="shared" si="43"/>
        <v>18</v>
      </c>
      <c r="K914" s="4" t="s">
        <v>19</v>
      </c>
      <c r="L914" s="4">
        <v>24061</v>
      </c>
      <c r="M914" s="4">
        <v>515</v>
      </c>
      <c r="N914" s="10">
        <v>742.72</v>
      </c>
      <c r="O914" s="10">
        <f t="shared" si="44"/>
        <v>742.72</v>
      </c>
      <c r="P914" s="4">
        <v>42</v>
      </c>
      <c r="Q914" s="4" t="b">
        <v>1</v>
      </c>
      <c r="R914" s="4"/>
      <c r="S914" s="14" t="s">
        <v>20</v>
      </c>
    </row>
    <row r="915" spans="1:19">
      <c r="A915" s="6" t="s">
        <v>1904</v>
      </c>
      <c r="B915" s="7" t="s">
        <v>1905</v>
      </c>
      <c r="C915" s="8" t="s">
        <v>4128</v>
      </c>
      <c r="D915" s="8">
        <v>45213</v>
      </c>
      <c r="E915" s="7">
        <v>10</v>
      </c>
      <c r="F915" s="7">
        <v>14</v>
      </c>
      <c r="G915" s="7">
        <v>2023</v>
      </c>
      <c r="H915" s="8">
        <f t="shared" si="42"/>
        <v>45213</v>
      </c>
      <c r="I915" s="11">
        <v>45234</v>
      </c>
      <c r="J915" s="7">
        <f t="shared" si="43"/>
        <v>21</v>
      </c>
      <c r="K915" s="7" t="s">
        <v>19</v>
      </c>
      <c r="L915" s="7">
        <v>80252</v>
      </c>
      <c r="M915" s="7">
        <v>2180</v>
      </c>
      <c r="N915" s="12">
        <v>4133.2</v>
      </c>
      <c r="O915" s="12">
        <f t="shared" si="44"/>
        <v>3632.575</v>
      </c>
      <c r="P915" s="7">
        <v>181</v>
      </c>
      <c r="Q915" s="7" t="b">
        <v>0</v>
      </c>
      <c r="R915" s="7"/>
      <c r="S915" s="15" t="s">
        <v>20</v>
      </c>
    </row>
    <row r="916" spans="1:19">
      <c r="A916" s="3" t="s">
        <v>1906</v>
      </c>
      <c r="B916" s="4" t="s">
        <v>1907</v>
      </c>
      <c r="C916" s="5" t="s">
        <v>4127</v>
      </c>
      <c r="D916" s="5">
        <v>45134</v>
      </c>
      <c r="E916" s="4">
        <v>7</v>
      </c>
      <c r="F916" s="4">
        <v>27</v>
      </c>
      <c r="G916" s="4">
        <v>2023</v>
      </c>
      <c r="H916" s="5">
        <f t="shared" si="42"/>
        <v>45134</v>
      </c>
      <c r="I916" s="9">
        <v>45158</v>
      </c>
      <c r="J916" s="4">
        <f t="shared" si="43"/>
        <v>24</v>
      </c>
      <c r="K916" s="4" t="s">
        <v>33</v>
      </c>
      <c r="L916" s="4">
        <v>40749</v>
      </c>
      <c r="M916" s="4">
        <v>843</v>
      </c>
      <c r="N916" s="10">
        <v>1276.43</v>
      </c>
      <c r="O916" s="10">
        <f t="shared" si="44"/>
        <v>1276.43</v>
      </c>
      <c r="P916" s="4">
        <v>0</v>
      </c>
      <c r="Q916" s="4" t="b">
        <v>0</v>
      </c>
      <c r="R916" s="4"/>
      <c r="S916" s="14" t="s">
        <v>68</v>
      </c>
    </row>
    <row r="917" spans="1:19">
      <c r="A917" s="6" t="s">
        <v>1908</v>
      </c>
      <c r="B917" s="7" t="s">
        <v>1909</v>
      </c>
      <c r="C917" s="8" t="s">
        <v>4128</v>
      </c>
      <c r="D917" s="8">
        <v>45263</v>
      </c>
      <c r="E917" s="7">
        <v>12</v>
      </c>
      <c r="F917" s="7">
        <v>3</v>
      </c>
      <c r="G917" s="7">
        <v>2023</v>
      </c>
      <c r="H917" s="8">
        <f t="shared" si="42"/>
        <v>45263</v>
      </c>
      <c r="I917" s="11">
        <v>44999</v>
      </c>
      <c r="J917" s="7">
        <f t="shared" si="43"/>
        <v>-264</v>
      </c>
      <c r="K917" s="7" t="s">
        <v>33</v>
      </c>
      <c r="L917" s="7">
        <v>17907</v>
      </c>
      <c r="M917" s="7">
        <v>744</v>
      </c>
      <c r="N917" s="12">
        <v>714.88</v>
      </c>
      <c r="O917" s="12">
        <f t="shared" si="44"/>
        <v>714.88</v>
      </c>
      <c r="P917" s="7">
        <v>93</v>
      </c>
      <c r="Q917" s="7" t="b">
        <v>1</v>
      </c>
      <c r="R917" s="7"/>
      <c r="S917" s="15" t="s">
        <v>34</v>
      </c>
    </row>
    <row r="918" spans="1:19">
      <c r="A918" s="3" t="s">
        <v>1910</v>
      </c>
      <c r="B918" s="4" t="s">
        <v>1911</v>
      </c>
      <c r="C918" s="5" t="s">
        <v>4128</v>
      </c>
      <c r="D918" s="5">
        <v>45241</v>
      </c>
      <c r="E918" s="4">
        <v>11</v>
      </c>
      <c r="F918" s="4">
        <v>11</v>
      </c>
      <c r="G918" s="4">
        <v>2023</v>
      </c>
      <c r="H918" s="5">
        <f t="shared" si="42"/>
        <v>45241</v>
      </c>
      <c r="I918" s="9">
        <v>45250</v>
      </c>
      <c r="J918" s="4">
        <f t="shared" si="43"/>
        <v>9</v>
      </c>
      <c r="K918" s="4" t="s">
        <v>33</v>
      </c>
      <c r="L918" s="4">
        <v>19777</v>
      </c>
      <c r="M918" s="4">
        <v>651</v>
      </c>
      <c r="N918" s="10">
        <v>686.83</v>
      </c>
      <c r="O918" s="10">
        <f t="shared" si="44"/>
        <v>686.83</v>
      </c>
      <c r="P918" s="4">
        <v>73</v>
      </c>
      <c r="Q918" s="4" t="b">
        <v>1</v>
      </c>
      <c r="R918" s="4"/>
      <c r="S918" s="14" t="s">
        <v>34</v>
      </c>
    </row>
    <row r="919" spans="1:19">
      <c r="A919" s="6" t="s">
        <v>1912</v>
      </c>
      <c r="B919" s="7" t="s">
        <v>1913</v>
      </c>
      <c r="C919" s="8" t="s">
        <v>4127</v>
      </c>
      <c r="D919" s="8">
        <v>45146</v>
      </c>
      <c r="E919" s="7">
        <v>8</v>
      </c>
      <c r="F919" s="7">
        <v>8</v>
      </c>
      <c r="G919" s="7">
        <v>2023</v>
      </c>
      <c r="H919" s="8">
        <f t="shared" si="42"/>
        <v>45146</v>
      </c>
      <c r="I919" s="11">
        <v>45165</v>
      </c>
      <c r="J919" s="7">
        <f t="shared" si="43"/>
        <v>19</v>
      </c>
      <c r="K919" s="7" t="s">
        <v>14</v>
      </c>
      <c r="L919" s="7">
        <v>94229</v>
      </c>
      <c r="M919" s="7">
        <v>3425</v>
      </c>
      <c r="N919" s="12">
        <v>4540.55</v>
      </c>
      <c r="O919" s="12">
        <f t="shared" si="44"/>
        <v>3632.575</v>
      </c>
      <c r="P919" s="7">
        <v>258</v>
      </c>
      <c r="Q919" s="7" t="b">
        <v>1</v>
      </c>
      <c r="R919" s="7"/>
      <c r="S919" s="15" t="s">
        <v>16</v>
      </c>
    </row>
    <row r="920" spans="1:19">
      <c r="A920" s="3" t="s">
        <v>1914</v>
      </c>
      <c r="B920" s="4" t="s">
        <v>1915</v>
      </c>
      <c r="C920" s="5" t="s">
        <v>4127</v>
      </c>
      <c r="D920" s="5">
        <v>45032</v>
      </c>
      <c r="E920" s="4">
        <v>4</v>
      </c>
      <c r="F920" s="4">
        <v>16</v>
      </c>
      <c r="G920" s="4">
        <v>2023</v>
      </c>
      <c r="H920" s="5">
        <f t="shared" si="42"/>
        <v>45032</v>
      </c>
      <c r="I920" s="9">
        <v>45036</v>
      </c>
      <c r="J920" s="4">
        <f t="shared" si="43"/>
        <v>4</v>
      </c>
      <c r="K920" s="4" t="s">
        <v>14</v>
      </c>
      <c r="L920" s="4">
        <v>52745</v>
      </c>
      <c r="M920" s="4">
        <v>1059</v>
      </c>
      <c r="N920" s="10">
        <v>1784.44</v>
      </c>
      <c r="O920" s="10">
        <f t="shared" si="44"/>
        <v>1784.44</v>
      </c>
      <c r="P920" s="4">
        <v>82</v>
      </c>
      <c r="Q920" s="4" t="b">
        <v>1</v>
      </c>
      <c r="R920" s="4"/>
      <c r="S920" s="14" t="s">
        <v>16</v>
      </c>
    </row>
    <row r="921" spans="1:19">
      <c r="A921" s="6" t="s">
        <v>1916</v>
      </c>
      <c r="B921" s="7" t="s">
        <v>1917</v>
      </c>
      <c r="C921" s="8" t="s">
        <v>4129</v>
      </c>
      <c r="D921" s="8">
        <v>44959</v>
      </c>
      <c r="E921" s="7">
        <v>2</v>
      </c>
      <c r="F921" s="7">
        <v>2</v>
      </c>
      <c r="G921" s="7">
        <v>2023</v>
      </c>
      <c r="H921" s="8">
        <f t="shared" si="42"/>
        <v>44959</v>
      </c>
      <c r="I921" s="11">
        <v>44982</v>
      </c>
      <c r="J921" s="7">
        <f t="shared" si="43"/>
        <v>23</v>
      </c>
      <c r="K921" s="7" t="s">
        <v>19</v>
      </c>
      <c r="L921" s="7">
        <v>92865</v>
      </c>
      <c r="M921" s="7">
        <v>1746</v>
      </c>
      <c r="N921" s="12">
        <v>1705.8</v>
      </c>
      <c r="O921" s="12">
        <f t="shared" si="44"/>
        <v>1705.8</v>
      </c>
      <c r="P921" s="7">
        <v>0</v>
      </c>
      <c r="Q921" s="7" t="b">
        <v>0</v>
      </c>
      <c r="R921" s="7"/>
      <c r="S921" s="15" t="s">
        <v>20</v>
      </c>
    </row>
    <row r="922" spans="1:19">
      <c r="A922" s="3" t="s">
        <v>1918</v>
      </c>
      <c r="B922" s="4" t="s">
        <v>1919</v>
      </c>
      <c r="C922" s="5" t="s">
        <v>4127</v>
      </c>
      <c r="D922" s="5">
        <v>45201</v>
      </c>
      <c r="E922" s="4">
        <v>10</v>
      </c>
      <c r="F922" s="4">
        <v>2</v>
      </c>
      <c r="G922" s="4">
        <v>2023</v>
      </c>
      <c r="H922" s="5">
        <f t="shared" si="42"/>
        <v>45201</v>
      </c>
      <c r="I922" s="9">
        <v>45218</v>
      </c>
      <c r="J922" s="4">
        <f t="shared" si="43"/>
        <v>17</v>
      </c>
      <c r="K922" s="4" t="s">
        <v>41</v>
      </c>
      <c r="L922" s="4">
        <v>82818</v>
      </c>
      <c r="M922" s="4">
        <v>2446</v>
      </c>
      <c r="N922" s="10">
        <v>3350.03</v>
      </c>
      <c r="O922" s="10">
        <f t="shared" si="44"/>
        <v>3350.03</v>
      </c>
      <c r="P922" s="4">
        <v>155</v>
      </c>
      <c r="Q922" s="4" t="b">
        <v>0</v>
      </c>
      <c r="R922" s="4"/>
      <c r="S922" s="14" t="s">
        <v>42</v>
      </c>
    </row>
    <row r="923" spans="1:19">
      <c r="A923" s="6" t="s">
        <v>1920</v>
      </c>
      <c r="B923" s="7" t="s">
        <v>1921</v>
      </c>
      <c r="C923" s="8" t="s">
        <v>4128</v>
      </c>
      <c r="D923" s="8">
        <v>45161</v>
      </c>
      <c r="E923" s="7">
        <v>8</v>
      </c>
      <c r="F923" s="7">
        <v>23</v>
      </c>
      <c r="G923" s="7">
        <v>2023</v>
      </c>
      <c r="H923" s="8">
        <f t="shared" si="42"/>
        <v>45161</v>
      </c>
      <c r="I923" s="11">
        <v>45177</v>
      </c>
      <c r="J923" s="7">
        <f t="shared" si="43"/>
        <v>16</v>
      </c>
      <c r="K923" s="7" t="s">
        <v>33</v>
      </c>
      <c r="L923" s="7">
        <v>24624</v>
      </c>
      <c r="M923" s="7">
        <v>972</v>
      </c>
      <c r="N923" s="12">
        <v>989.92</v>
      </c>
      <c r="O923" s="12">
        <f t="shared" si="44"/>
        <v>989.92</v>
      </c>
      <c r="P923" s="7">
        <v>129</v>
      </c>
      <c r="Q923" s="7" t="b">
        <v>0</v>
      </c>
      <c r="R923" s="7"/>
      <c r="S923" s="15" t="s">
        <v>68</v>
      </c>
    </row>
    <row r="924" spans="1:19">
      <c r="A924" s="3" t="s">
        <v>1922</v>
      </c>
      <c r="B924" s="4" t="s">
        <v>1923</v>
      </c>
      <c r="C924" s="5" t="s">
        <v>4129</v>
      </c>
      <c r="D924" s="5">
        <v>45177</v>
      </c>
      <c r="E924" s="4">
        <v>9</v>
      </c>
      <c r="F924" s="4">
        <v>8</v>
      </c>
      <c r="G924" s="4">
        <v>2023</v>
      </c>
      <c r="H924" s="5">
        <f t="shared" si="42"/>
        <v>45177</v>
      </c>
      <c r="I924" s="9">
        <v>45183</v>
      </c>
      <c r="J924" s="4">
        <f t="shared" si="43"/>
        <v>6</v>
      </c>
      <c r="K924" s="4" t="s">
        <v>33</v>
      </c>
      <c r="L924" s="4">
        <v>24321</v>
      </c>
      <c r="M924" s="4">
        <v>754</v>
      </c>
      <c r="N924" s="10">
        <v>1299.64</v>
      </c>
      <c r="O924" s="10">
        <f t="shared" si="44"/>
        <v>1299.64</v>
      </c>
      <c r="P924" s="4">
        <v>138</v>
      </c>
      <c r="Q924" s="4" t="b">
        <v>1</v>
      </c>
      <c r="R924" s="4"/>
      <c r="S924" s="14" t="s">
        <v>34</v>
      </c>
    </row>
    <row r="925" spans="1:19">
      <c r="A925" s="6" t="s">
        <v>1924</v>
      </c>
      <c r="B925" s="7" t="s">
        <v>1925</v>
      </c>
      <c r="C925" s="8" t="s">
        <v>4129</v>
      </c>
      <c r="D925" s="8">
        <v>45232</v>
      </c>
      <c r="E925" s="7">
        <v>11</v>
      </c>
      <c r="F925" s="7">
        <v>2</v>
      </c>
      <c r="G925" s="7">
        <v>2023</v>
      </c>
      <c r="H925" s="8">
        <f t="shared" si="42"/>
        <v>45232</v>
      </c>
      <c r="I925" s="11">
        <v>45261</v>
      </c>
      <c r="J925" s="7">
        <f t="shared" si="43"/>
        <v>29</v>
      </c>
      <c r="K925" s="7" t="s">
        <v>14</v>
      </c>
      <c r="L925" s="7">
        <v>11488</v>
      </c>
      <c r="M925" s="7">
        <v>129</v>
      </c>
      <c r="N925" s="12">
        <v>154.81</v>
      </c>
      <c r="O925" s="12">
        <f t="shared" si="44"/>
        <v>154.81</v>
      </c>
      <c r="P925" s="7">
        <v>12</v>
      </c>
      <c r="Q925" s="7" t="b">
        <v>1</v>
      </c>
      <c r="R925" s="7"/>
      <c r="S925" s="15" t="s">
        <v>68</v>
      </c>
    </row>
    <row r="926" spans="1:19">
      <c r="A926" s="3" t="s">
        <v>1926</v>
      </c>
      <c r="B926" s="4" t="s">
        <v>1927</v>
      </c>
      <c r="C926" s="5" t="s">
        <v>4128</v>
      </c>
      <c r="D926" s="5">
        <v>44985</v>
      </c>
      <c r="E926" s="4">
        <v>2</v>
      </c>
      <c r="F926" s="4">
        <v>28</v>
      </c>
      <c r="G926" s="4">
        <v>2023</v>
      </c>
      <c r="H926" s="5">
        <f t="shared" si="42"/>
        <v>44985</v>
      </c>
      <c r="I926" s="9">
        <v>45000</v>
      </c>
      <c r="J926" s="4">
        <f t="shared" si="43"/>
        <v>15</v>
      </c>
      <c r="K926" s="4" t="s">
        <v>19</v>
      </c>
      <c r="L926" s="4">
        <v>23574</v>
      </c>
      <c r="M926" s="4">
        <v>1054</v>
      </c>
      <c r="N926" s="10">
        <v>-648.3</v>
      </c>
      <c r="O926" s="10">
        <f t="shared" si="44"/>
        <v>-344.195</v>
      </c>
      <c r="P926" s="4">
        <v>104</v>
      </c>
      <c r="Q926" s="4" t="b">
        <v>1</v>
      </c>
      <c r="R926" s="4"/>
      <c r="S926" s="14" t="s">
        <v>20</v>
      </c>
    </row>
    <row r="927" spans="1:19">
      <c r="A927" s="6" t="s">
        <v>1928</v>
      </c>
      <c r="B927" s="7" t="s">
        <v>1929</v>
      </c>
      <c r="C927" s="8" t="s">
        <v>4131</v>
      </c>
      <c r="D927" s="8">
        <v>45243</v>
      </c>
      <c r="E927" s="7">
        <v>11</v>
      </c>
      <c r="F927" s="7">
        <v>13</v>
      </c>
      <c r="G927" s="7">
        <v>2023</v>
      </c>
      <c r="H927" s="8">
        <f t="shared" si="42"/>
        <v>45243</v>
      </c>
      <c r="I927" s="11">
        <v>45253</v>
      </c>
      <c r="J927" s="7">
        <f t="shared" si="43"/>
        <v>10</v>
      </c>
      <c r="K927" s="7" t="s">
        <v>14</v>
      </c>
      <c r="L927" s="7">
        <v>6240</v>
      </c>
      <c r="M927" s="7">
        <v>78</v>
      </c>
      <c r="N927" s="12">
        <v>58.43</v>
      </c>
      <c r="O927" s="12">
        <f t="shared" si="44"/>
        <v>58.43</v>
      </c>
      <c r="P927" s="7">
        <v>0</v>
      </c>
      <c r="Q927" s="7" t="b">
        <v>1</v>
      </c>
      <c r="R927" s="7"/>
      <c r="S927" s="15" t="s">
        <v>16</v>
      </c>
    </row>
    <row r="928" spans="1:19">
      <c r="A928" s="3" t="s">
        <v>1930</v>
      </c>
      <c r="B928" s="4" t="s">
        <v>1931</v>
      </c>
      <c r="C928" s="5" t="s">
        <v>4128</v>
      </c>
      <c r="D928" s="5">
        <v>45079</v>
      </c>
      <c r="E928" s="4">
        <v>6</v>
      </c>
      <c r="F928" s="4">
        <v>2</v>
      </c>
      <c r="G928" s="4">
        <v>2023</v>
      </c>
      <c r="H928" s="5">
        <f t="shared" si="42"/>
        <v>45079</v>
      </c>
      <c r="I928" s="9">
        <v>45107</v>
      </c>
      <c r="J928" s="4">
        <f t="shared" si="43"/>
        <v>28</v>
      </c>
      <c r="K928" s="4" t="s">
        <v>23</v>
      </c>
      <c r="L928" s="4">
        <v>44221</v>
      </c>
      <c r="M928" s="4">
        <v>2132</v>
      </c>
      <c r="N928" s="10">
        <v>1261.41</v>
      </c>
      <c r="O928" s="10">
        <f t="shared" si="44"/>
        <v>1261.41</v>
      </c>
      <c r="P928" s="4">
        <v>230</v>
      </c>
      <c r="Q928" s="4" t="b">
        <v>0</v>
      </c>
      <c r="R928" s="4"/>
      <c r="S928" s="14" t="s">
        <v>25</v>
      </c>
    </row>
    <row r="929" spans="1:19">
      <c r="A929" s="6" t="s">
        <v>1932</v>
      </c>
      <c r="B929" s="7" t="s">
        <v>1933</v>
      </c>
      <c r="C929" s="8" t="s">
        <v>4131</v>
      </c>
      <c r="D929" s="8">
        <v>45271</v>
      </c>
      <c r="E929" s="7">
        <v>12</v>
      </c>
      <c r="F929" s="7">
        <v>11</v>
      </c>
      <c r="G929" s="7">
        <v>2023</v>
      </c>
      <c r="H929" s="8">
        <f t="shared" si="42"/>
        <v>45271</v>
      </c>
      <c r="I929" s="11">
        <v>45277</v>
      </c>
      <c r="J929" s="7">
        <f t="shared" si="43"/>
        <v>6</v>
      </c>
      <c r="K929" s="7" t="s">
        <v>41</v>
      </c>
      <c r="L929" s="7">
        <v>11478</v>
      </c>
      <c r="M929" s="7">
        <v>126</v>
      </c>
      <c r="N929" s="12">
        <v>157.37</v>
      </c>
      <c r="O929" s="12">
        <f t="shared" si="44"/>
        <v>157.37</v>
      </c>
      <c r="P929" s="7">
        <v>7</v>
      </c>
      <c r="Q929" s="7" t="b">
        <v>0</v>
      </c>
      <c r="R929" s="7"/>
      <c r="S929" s="15" t="s">
        <v>42</v>
      </c>
    </row>
    <row r="930" spans="1:19">
      <c r="A930" s="3" t="s">
        <v>1934</v>
      </c>
      <c r="B930" s="4" t="s">
        <v>1935</v>
      </c>
      <c r="C930" s="5" t="s">
        <v>4131</v>
      </c>
      <c r="D930" s="5">
        <v>45083</v>
      </c>
      <c r="E930" s="4">
        <v>6</v>
      </c>
      <c r="F930" s="4">
        <v>6</v>
      </c>
      <c r="G930" s="4">
        <v>2023</v>
      </c>
      <c r="H930" s="5">
        <f t="shared" si="42"/>
        <v>45083</v>
      </c>
      <c r="I930" s="9">
        <v>45085</v>
      </c>
      <c r="J930" s="4">
        <f t="shared" si="43"/>
        <v>2</v>
      </c>
      <c r="K930" s="4" t="s">
        <v>14</v>
      </c>
      <c r="L930" s="4">
        <v>56645</v>
      </c>
      <c r="M930" s="4">
        <v>2139</v>
      </c>
      <c r="N930" s="10">
        <v>1410.68</v>
      </c>
      <c r="O930" s="10">
        <f t="shared" si="44"/>
        <v>1410.68</v>
      </c>
      <c r="P930" s="4">
        <v>401</v>
      </c>
      <c r="Q930" s="4" t="b">
        <v>0</v>
      </c>
      <c r="R930" s="4"/>
      <c r="S930" s="14" t="s">
        <v>16</v>
      </c>
    </row>
    <row r="931" spans="1:19">
      <c r="A931" s="6" t="s">
        <v>1936</v>
      </c>
      <c r="B931" s="7" t="s">
        <v>1937</v>
      </c>
      <c r="C931" s="8" t="s">
        <v>4129</v>
      </c>
      <c r="D931" s="8">
        <v>44999</v>
      </c>
      <c r="E931" s="7">
        <v>3</v>
      </c>
      <c r="F931" s="7">
        <v>14</v>
      </c>
      <c r="G931" s="7">
        <v>2023</v>
      </c>
      <c r="H931" s="8">
        <f t="shared" si="42"/>
        <v>44999</v>
      </c>
      <c r="I931" s="11">
        <v>45009</v>
      </c>
      <c r="J931" s="7">
        <f t="shared" si="43"/>
        <v>10</v>
      </c>
      <c r="K931" s="7" t="s">
        <v>33</v>
      </c>
      <c r="L931" s="7">
        <v>20262</v>
      </c>
      <c r="M931" s="7">
        <v>269</v>
      </c>
      <c r="N931" s="12">
        <v>180.56</v>
      </c>
      <c r="O931" s="12">
        <f t="shared" si="44"/>
        <v>180.56</v>
      </c>
      <c r="P931" s="7">
        <v>40</v>
      </c>
      <c r="Q931" s="7" t="b">
        <v>0</v>
      </c>
      <c r="R931" s="7"/>
      <c r="S931" s="15" t="s">
        <v>34</v>
      </c>
    </row>
    <row r="932" spans="1:19">
      <c r="A932" s="3" t="s">
        <v>1938</v>
      </c>
      <c r="B932" s="4" t="s">
        <v>1939</v>
      </c>
      <c r="C932" s="5" t="s">
        <v>4129</v>
      </c>
      <c r="D932" s="5">
        <v>44997</v>
      </c>
      <c r="E932" s="4">
        <v>3</v>
      </c>
      <c r="F932" s="4">
        <v>12</v>
      </c>
      <c r="G932" s="4">
        <v>2023</v>
      </c>
      <c r="H932" s="5">
        <f t="shared" si="42"/>
        <v>44997</v>
      </c>
      <c r="I932" s="9">
        <v>45017</v>
      </c>
      <c r="J932" s="4">
        <f t="shared" si="43"/>
        <v>20</v>
      </c>
      <c r="K932" s="4" t="s">
        <v>23</v>
      </c>
      <c r="L932" s="4">
        <v>53796</v>
      </c>
      <c r="M932" s="4">
        <v>2497</v>
      </c>
      <c r="N932" s="10">
        <v>4773.2</v>
      </c>
      <c r="O932" s="10">
        <f t="shared" si="44"/>
        <v>3632.575</v>
      </c>
      <c r="P932" s="4">
        <v>495</v>
      </c>
      <c r="Q932" s="4" t="b">
        <v>1</v>
      </c>
      <c r="R932" s="4"/>
      <c r="S932" s="14" t="s">
        <v>25</v>
      </c>
    </row>
    <row r="933" spans="1:19">
      <c r="A933" s="6" t="s">
        <v>1940</v>
      </c>
      <c r="B933" s="7" t="s">
        <v>1941</v>
      </c>
      <c r="C933" s="8" t="s">
        <v>4131</v>
      </c>
      <c r="D933" s="8">
        <v>45176</v>
      </c>
      <c r="E933" s="7">
        <v>9</v>
      </c>
      <c r="F933" s="7">
        <v>7</v>
      </c>
      <c r="G933" s="7">
        <v>2023</v>
      </c>
      <c r="H933" s="8">
        <f t="shared" si="42"/>
        <v>45176</v>
      </c>
      <c r="I933" s="11">
        <v>45187</v>
      </c>
      <c r="J933" s="7">
        <f t="shared" si="43"/>
        <v>11</v>
      </c>
      <c r="K933" s="7" t="s">
        <v>33</v>
      </c>
      <c r="L933" s="7">
        <v>5432</v>
      </c>
      <c r="M933" s="7">
        <v>155</v>
      </c>
      <c r="N933" s="12">
        <v>280.39</v>
      </c>
      <c r="O933" s="12">
        <f t="shared" si="44"/>
        <v>280.39</v>
      </c>
      <c r="P933" s="7">
        <v>28</v>
      </c>
      <c r="Q933" s="7" t="b">
        <v>1</v>
      </c>
      <c r="R933" s="7"/>
      <c r="S933" s="15" t="s">
        <v>34</v>
      </c>
    </row>
    <row r="934" spans="1:19">
      <c r="A934" s="3" t="s">
        <v>1942</v>
      </c>
      <c r="B934" s="4" t="s">
        <v>1943</v>
      </c>
      <c r="C934" s="5" t="s">
        <v>4128</v>
      </c>
      <c r="D934" s="5">
        <v>45257</v>
      </c>
      <c r="E934" s="4">
        <v>11</v>
      </c>
      <c r="F934" s="4">
        <v>27</v>
      </c>
      <c r="G934" s="4">
        <v>2023</v>
      </c>
      <c r="H934" s="5">
        <f t="shared" si="42"/>
        <v>45257</v>
      </c>
      <c r="I934" s="9">
        <v>45252</v>
      </c>
      <c r="J934" s="4">
        <f t="shared" si="43"/>
        <v>-5</v>
      </c>
      <c r="K934" s="4" t="s">
        <v>14</v>
      </c>
      <c r="L934" s="4">
        <v>96257</v>
      </c>
      <c r="M934" s="4">
        <v>1492</v>
      </c>
      <c r="N934" s="10">
        <v>1757.77</v>
      </c>
      <c r="O934" s="10">
        <f t="shared" si="44"/>
        <v>1757.77</v>
      </c>
      <c r="P934" s="4">
        <v>0</v>
      </c>
      <c r="Q934" s="4" t="b">
        <v>1</v>
      </c>
      <c r="R934" s="4"/>
      <c r="S934" s="14" t="s">
        <v>16</v>
      </c>
    </row>
    <row r="935" spans="1:19">
      <c r="A935" s="6" t="s">
        <v>1944</v>
      </c>
      <c r="B935" s="7" t="s">
        <v>1945</v>
      </c>
      <c r="C935" s="8" t="s">
        <v>4131</v>
      </c>
      <c r="D935" s="8">
        <v>45012</v>
      </c>
      <c r="E935" s="7">
        <v>3</v>
      </c>
      <c r="F935" s="7">
        <v>27</v>
      </c>
      <c r="G935" s="7">
        <v>2023</v>
      </c>
      <c r="H935" s="8">
        <f t="shared" si="42"/>
        <v>45012</v>
      </c>
      <c r="I935" s="11">
        <v>45016</v>
      </c>
      <c r="J935" s="7">
        <f t="shared" si="43"/>
        <v>4</v>
      </c>
      <c r="K935" s="7" t="s">
        <v>14</v>
      </c>
      <c r="L935" s="7">
        <v>65291</v>
      </c>
      <c r="M935" s="7">
        <v>1542</v>
      </c>
      <c r="N935" s="12">
        <v>3051.17</v>
      </c>
      <c r="O935" s="12">
        <f t="shared" si="44"/>
        <v>3051.17</v>
      </c>
      <c r="P935" s="7">
        <v>197</v>
      </c>
      <c r="Q935" s="7" t="b">
        <v>0</v>
      </c>
      <c r="R935" s="7"/>
      <c r="S935" s="15" t="s">
        <v>16</v>
      </c>
    </row>
    <row r="936" spans="1:19">
      <c r="A936" s="3" t="s">
        <v>1946</v>
      </c>
      <c r="B936" s="4" t="s">
        <v>1947</v>
      </c>
      <c r="C936" s="5" t="s">
        <v>4129</v>
      </c>
      <c r="D936" s="5">
        <v>45088</v>
      </c>
      <c r="E936" s="4">
        <v>6</v>
      </c>
      <c r="F936" s="4">
        <v>11</v>
      </c>
      <c r="G936" s="4">
        <v>2023</v>
      </c>
      <c r="H936" s="5">
        <f t="shared" si="42"/>
        <v>45088</v>
      </c>
      <c r="I936" s="9">
        <v>45110</v>
      </c>
      <c r="J936" s="4">
        <f t="shared" si="43"/>
        <v>22</v>
      </c>
      <c r="K936" s="4" t="s">
        <v>23</v>
      </c>
      <c r="L936" s="4">
        <v>80104</v>
      </c>
      <c r="M936" s="4">
        <v>1329</v>
      </c>
      <c r="N936" s="10">
        <v>664.87</v>
      </c>
      <c r="O936" s="10">
        <f t="shared" si="44"/>
        <v>664.87</v>
      </c>
      <c r="P936" s="4">
        <v>104</v>
      </c>
      <c r="Q936" s="4" t="b">
        <v>1</v>
      </c>
      <c r="R936" s="4"/>
      <c r="S936" s="14" t="s">
        <v>25</v>
      </c>
    </row>
    <row r="937" spans="1:19">
      <c r="A937" s="6" t="s">
        <v>1948</v>
      </c>
      <c r="B937" s="7" t="s">
        <v>1949</v>
      </c>
      <c r="C937" s="8" t="s">
        <v>4127</v>
      </c>
      <c r="D937" s="8">
        <v>45110</v>
      </c>
      <c r="E937" s="7">
        <v>7</v>
      </c>
      <c r="F937" s="7">
        <v>3</v>
      </c>
      <c r="G937" s="7">
        <v>2023</v>
      </c>
      <c r="H937" s="8">
        <f t="shared" si="42"/>
        <v>45110</v>
      </c>
      <c r="I937" s="11">
        <v>45115</v>
      </c>
      <c r="J937" s="7">
        <f t="shared" si="43"/>
        <v>5</v>
      </c>
      <c r="K937" s="7" t="s">
        <v>41</v>
      </c>
      <c r="L937" s="7">
        <v>60399</v>
      </c>
      <c r="M937" s="7">
        <v>1016</v>
      </c>
      <c r="N937" s="12">
        <v>1443.7</v>
      </c>
      <c r="O937" s="12">
        <f t="shared" si="44"/>
        <v>1443.7</v>
      </c>
      <c r="P937" s="7">
        <v>121</v>
      </c>
      <c r="Q937" s="7" t="b">
        <v>1</v>
      </c>
      <c r="R937" s="7"/>
      <c r="S937" s="15" t="s">
        <v>42</v>
      </c>
    </row>
    <row r="938" spans="1:19">
      <c r="A938" s="3" t="s">
        <v>1950</v>
      </c>
      <c r="B938" s="4" t="s">
        <v>1951</v>
      </c>
      <c r="C938" s="5" t="s">
        <v>4128</v>
      </c>
      <c r="D938" s="5">
        <v>45026</v>
      </c>
      <c r="E938" s="4">
        <v>4</v>
      </c>
      <c r="F938" s="4">
        <v>10</v>
      </c>
      <c r="G938" s="4">
        <v>2023</v>
      </c>
      <c r="H938" s="5">
        <f t="shared" si="42"/>
        <v>45026</v>
      </c>
      <c r="I938" s="9">
        <v>45053</v>
      </c>
      <c r="J938" s="4">
        <f t="shared" si="43"/>
        <v>27</v>
      </c>
      <c r="K938" s="4" t="s">
        <v>14</v>
      </c>
      <c r="L938" s="4">
        <v>80714</v>
      </c>
      <c r="M938" s="4">
        <v>3868</v>
      </c>
      <c r="N938" s="10">
        <v>5510.52</v>
      </c>
      <c r="O938" s="10">
        <f t="shared" si="44"/>
        <v>3632.575</v>
      </c>
      <c r="P938" s="4">
        <v>717</v>
      </c>
      <c r="Q938" s="4" t="b">
        <v>0</v>
      </c>
      <c r="R938" s="4"/>
      <c r="S938" s="14" t="s">
        <v>16</v>
      </c>
    </row>
    <row r="939" spans="1:19">
      <c r="A939" s="6" t="s">
        <v>1952</v>
      </c>
      <c r="B939" s="7" t="s">
        <v>1953</v>
      </c>
      <c r="C939" s="8" t="s">
        <v>4129</v>
      </c>
      <c r="D939" s="8">
        <v>45185</v>
      </c>
      <c r="E939" s="7">
        <v>9</v>
      </c>
      <c r="F939" s="7">
        <v>16</v>
      </c>
      <c r="G939" s="7">
        <v>2023</v>
      </c>
      <c r="H939" s="8">
        <f t="shared" si="42"/>
        <v>45185</v>
      </c>
      <c r="I939" s="11">
        <v>45188</v>
      </c>
      <c r="J939" s="7">
        <f t="shared" si="43"/>
        <v>3</v>
      </c>
      <c r="K939" s="7" t="s">
        <v>19</v>
      </c>
      <c r="L939" s="7">
        <v>51428</v>
      </c>
      <c r="M939" s="7">
        <v>1430</v>
      </c>
      <c r="N939" s="12">
        <v>1696.22</v>
      </c>
      <c r="O939" s="12">
        <f t="shared" si="44"/>
        <v>1696.22</v>
      </c>
      <c r="P939" s="7">
        <v>82</v>
      </c>
      <c r="Q939" s="7" t="b">
        <v>0</v>
      </c>
      <c r="R939" s="7"/>
      <c r="S939" s="15" t="s">
        <v>68</v>
      </c>
    </row>
    <row r="940" spans="1:19">
      <c r="A940" s="3" t="s">
        <v>1954</v>
      </c>
      <c r="B940" s="4" t="s">
        <v>1955</v>
      </c>
      <c r="C940" s="5" t="s">
        <v>4127</v>
      </c>
      <c r="D940" s="5">
        <v>45178</v>
      </c>
      <c r="E940" s="4">
        <v>9</v>
      </c>
      <c r="F940" s="4">
        <v>9</v>
      </c>
      <c r="G940" s="4">
        <v>2023</v>
      </c>
      <c r="H940" s="5">
        <f t="shared" si="42"/>
        <v>45178</v>
      </c>
      <c r="I940" s="9">
        <v>45185</v>
      </c>
      <c r="J940" s="4">
        <f t="shared" si="43"/>
        <v>7</v>
      </c>
      <c r="K940" s="4" t="s">
        <v>23</v>
      </c>
      <c r="L940" s="4">
        <v>88731</v>
      </c>
      <c r="M940" s="4">
        <v>3686</v>
      </c>
      <c r="N940" s="10">
        <v>4037.73</v>
      </c>
      <c r="O940" s="10">
        <f t="shared" si="44"/>
        <v>3632.575</v>
      </c>
      <c r="P940" s="4">
        <v>661</v>
      </c>
      <c r="Q940" s="4" t="b">
        <v>0</v>
      </c>
      <c r="R940" s="4"/>
      <c r="S940" s="14" t="s">
        <v>25</v>
      </c>
    </row>
    <row r="941" spans="1:19">
      <c r="A941" s="6" t="s">
        <v>1956</v>
      </c>
      <c r="B941" s="7" t="s">
        <v>1957</v>
      </c>
      <c r="C941" s="8" t="s">
        <v>4131</v>
      </c>
      <c r="D941" s="8">
        <v>45177</v>
      </c>
      <c r="E941" s="7">
        <v>9</v>
      </c>
      <c r="F941" s="7">
        <v>8</v>
      </c>
      <c r="G941" s="7">
        <v>2023</v>
      </c>
      <c r="H941" s="8">
        <f t="shared" si="42"/>
        <v>45177</v>
      </c>
      <c r="I941" s="11">
        <v>45193</v>
      </c>
      <c r="J941" s="7">
        <f t="shared" si="43"/>
        <v>16</v>
      </c>
      <c r="K941" s="7" t="s">
        <v>19</v>
      </c>
      <c r="L941" s="7">
        <v>1302</v>
      </c>
      <c r="M941" s="7">
        <v>46</v>
      </c>
      <c r="N941" s="12">
        <v>54.42</v>
      </c>
      <c r="O941" s="12">
        <f t="shared" si="44"/>
        <v>54.42</v>
      </c>
      <c r="P941" s="7">
        <v>4</v>
      </c>
      <c r="Q941" s="7" t="b">
        <v>1</v>
      </c>
      <c r="R941" s="7"/>
      <c r="S941" s="15" t="s">
        <v>20</v>
      </c>
    </row>
    <row r="942" spans="1:19">
      <c r="A942" s="3" t="s">
        <v>1958</v>
      </c>
      <c r="B942" s="4" t="s">
        <v>1959</v>
      </c>
      <c r="C942" s="5" t="s">
        <v>4129</v>
      </c>
      <c r="D942" s="5">
        <v>45039</v>
      </c>
      <c r="E942" s="4">
        <v>4</v>
      </c>
      <c r="F942" s="4">
        <v>23</v>
      </c>
      <c r="G942" s="4">
        <v>2023</v>
      </c>
      <c r="H942" s="5">
        <f t="shared" si="42"/>
        <v>45039</v>
      </c>
      <c r="I942" s="9">
        <v>45055</v>
      </c>
      <c r="J942" s="4">
        <f t="shared" si="43"/>
        <v>16</v>
      </c>
      <c r="K942" s="4" t="s">
        <v>14</v>
      </c>
      <c r="L942" s="4">
        <v>83558</v>
      </c>
      <c r="M942" s="4">
        <v>3096</v>
      </c>
      <c r="N942" s="10">
        <v>3475.08</v>
      </c>
      <c r="O942" s="10">
        <f t="shared" si="44"/>
        <v>3475.08</v>
      </c>
      <c r="P942" s="4">
        <v>572</v>
      </c>
      <c r="Q942" s="4" t="b">
        <v>0</v>
      </c>
      <c r="R942" s="4"/>
      <c r="S942" s="14" t="s">
        <v>16</v>
      </c>
    </row>
    <row r="943" spans="1:19">
      <c r="A943" s="6" t="s">
        <v>1960</v>
      </c>
      <c r="B943" s="7" t="s">
        <v>1961</v>
      </c>
      <c r="C943" s="8" t="s">
        <v>4128</v>
      </c>
      <c r="D943" s="8">
        <v>45202</v>
      </c>
      <c r="E943" s="7">
        <v>10</v>
      </c>
      <c r="F943" s="7">
        <v>3</v>
      </c>
      <c r="G943" s="7">
        <v>2023</v>
      </c>
      <c r="H943" s="8">
        <f t="shared" si="42"/>
        <v>45202</v>
      </c>
      <c r="I943" s="11">
        <v>45210</v>
      </c>
      <c r="J943" s="7">
        <f t="shared" si="43"/>
        <v>8</v>
      </c>
      <c r="K943" s="7" t="s">
        <v>33</v>
      </c>
      <c r="L943" s="7">
        <v>1055</v>
      </c>
      <c r="M943" s="7">
        <v>16</v>
      </c>
      <c r="N943" s="12">
        <v>25.53</v>
      </c>
      <c r="O943" s="12">
        <f t="shared" si="44"/>
        <v>25.53</v>
      </c>
      <c r="P943" s="7">
        <v>3</v>
      </c>
      <c r="Q943" s="7" t="b">
        <v>1</v>
      </c>
      <c r="R943" s="7"/>
      <c r="S943" s="15" t="s">
        <v>68</v>
      </c>
    </row>
    <row r="944" spans="1:19">
      <c r="A944" s="3" t="s">
        <v>1962</v>
      </c>
      <c r="B944" s="4" t="s">
        <v>1963</v>
      </c>
      <c r="C944" s="5" t="s">
        <v>4127</v>
      </c>
      <c r="D944" s="5">
        <v>45216</v>
      </c>
      <c r="E944" s="4">
        <v>10</v>
      </c>
      <c r="F944" s="4">
        <v>17</v>
      </c>
      <c r="G944" s="4">
        <v>2023</v>
      </c>
      <c r="H944" s="5">
        <f t="shared" si="42"/>
        <v>45216</v>
      </c>
      <c r="I944" s="9">
        <v>45217</v>
      </c>
      <c r="J944" s="4">
        <f t="shared" si="43"/>
        <v>1</v>
      </c>
      <c r="K944" s="4" t="s">
        <v>14</v>
      </c>
      <c r="L944" s="4">
        <v>9717</v>
      </c>
      <c r="M944" s="4">
        <v>188</v>
      </c>
      <c r="N944" s="10">
        <v>132.17</v>
      </c>
      <c r="O944" s="10">
        <f t="shared" si="44"/>
        <v>132.17</v>
      </c>
      <c r="P944" s="4">
        <v>28</v>
      </c>
      <c r="Q944" s="4" t="b">
        <v>0</v>
      </c>
      <c r="R944" s="4"/>
      <c r="S944" s="14" t="s">
        <v>16</v>
      </c>
    </row>
    <row r="945" spans="1:19">
      <c r="A945" s="6" t="s">
        <v>1964</v>
      </c>
      <c r="B945" s="7" t="s">
        <v>1965</v>
      </c>
      <c r="C945" s="8" t="s">
        <v>4128</v>
      </c>
      <c r="D945" s="8">
        <v>45208</v>
      </c>
      <c r="E945" s="7">
        <v>10</v>
      </c>
      <c r="F945" s="7">
        <v>9</v>
      </c>
      <c r="G945" s="7">
        <v>2023</v>
      </c>
      <c r="H945" s="8">
        <f t="shared" si="42"/>
        <v>45208</v>
      </c>
      <c r="I945" s="11">
        <v>45221</v>
      </c>
      <c r="J945" s="7">
        <f t="shared" si="43"/>
        <v>13</v>
      </c>
      <c r="K945" s="7" t="s">
        <v>33</v>
      </c>
      <c r="L945" s="7">
        <v>29699</v>
      </c>
      <c r="M945" s="7">
        <v>1231</v>
      </c>
      <c r="N945" s="12">
        <v>980.44</v>
      </c>
      <c r="O945" s="12">
        <f t="shared" si="44"/>
        <v>980.44</v>
      </c>
      <c r="P945" s="7">
        <v>184</v>
      </c>
      <c r="Q945" s="7" t="b">
        <v>0</v>
      </c>
      <c r="R945" s="7"/>
      <c r="S945" s="15" t="s">
        <v>34</v>
      </c>
    </row>
    <row r="946" spans="1:19">
      <c r="A946" s="3" t="s">
        <v>1966</v>
      </c>
      <c r="B946" s="4" t="s">
        <v>1967</v>
      </c>
      <c r="C946" s="5" t="s">
        <v>4127</v>
      </c>
      <c r="D946" s="5">
        <v>45064</v>
      </c>
      <c r="E946" s="4">
        <v>5</v>
      </c>
      <c r="F946" s="4">
        <v>18</v>
      </c>
      <c r="G946" s="4">
        <v>2023</v>
      </c>
      <c r="H946" s="5">
        <f t="shared" si="42"/>
        <v>45064</v>
      </c>
      <c r="I946" s="9">
        <v>45089</v>
      </c>
      <c r="J946" s="4">
        <f t="shared" si="43"/>
        <v>25</v>
      </c>
      <c r="K946" s="4" t="s">
        <v>138</v>
      </c>
      <c r="L946" s="4">
        <v>74686</v>
      </c>
      <c r="M946" s="4">
        <v>3646</v>
      </c>
      <c r="N946" s="10">
        <v>2810.25</v>
      </c>
      <c r="O946" s="10">
        <f t="shared" si="44"/>
        <v>2810.25</v>
      </c>
      <c r="P946" s="4">
        <v>429</v>
      </c>
      <c r="Q946" s="4" t="b">
        <v>1</v>
      </c>
      <c r="R946" s="4"/>
      <c r="S946" s="14" t="s">
        <v>139</v>
      </c>
    </row>
    <row r="947" spans="1:19">
      <c r="A947" s="6" t="s">
        <v>1968</v>
      </c>
      <c r="B947" s="7" t="s">
        <v>1969</v>
      </c>
      <c r="C947" s="8" t="s">
        <v>4129</v>
      </c>
      <c r="D947" s="8">
        <v>45114</v>
      </c>
      <c r="E947" s="7">
        <v>7</v>
      </c>
      <c r="F947" s="7">
        <v>7</v>
      </c>
      <c r="G947" s="7">
        <v>2023</v>
      </c>
      <c r="H947" s="8">
        <f t="shared" si="42"/>
        <v>45114</v>
      </c>
      <c r="I947" s="11">
        <v>45138</v>
      </c>
      <c r="J947" s="7">
        <f t="shared" si="43"/>
        <v>24</v>
      </c>
      <c r="K947" s="7" t="s">
        <v>23</v>
      </c>
      <c r="L947" s="7">
        <v>68661</v>
      </c>
      <c r="M947" s="7">
        <v>1408</v>
      </c>
      <c r="N947" s="12">
        <v>1258.34</v>
      </c>
      <c r="O947" s="12">
        <f t="shared" si="44"/>
        <v>1258.34</v>
      </c>
      <c r="P947" s="7">
        <v>246</v>
      </c>
      <c r="Q947" s="7" t="b">
        <v>0</v>
      </c>
      <c r="R947" s="7"/>
      <c r="S947" s="15" t="s">
        <v>25</v>
      </c>
    </row>
    <row r="948" spans="1:19">
      <c r="A948" s="3" t="s">
        <v>1970</v>
      </c>
      <c r="B948" s="4" t="s">
        <v>1971</v>
      </c>
      <c r="C948" s="5" t="s">
        <v>4127</v>
      </c>
      <c r="D948" s="5">
        <v>45152</v>
      </c>
      <c r="E948" s="4">
        <v>8</v>
      </c>
      <c r="F948" s="4">
        <v>14</v>
      </c>
      <c r="G948" s="4">
        <v>2023</v>
      </c>
      <c r="H948" s="5">
        <f t="shared" si="42"/>
        <v>45152</v>
      </c>
      <c r="I948" s="9">
        <v>45178</v>
      </c>
      <c r="J948" s="4">
        <f t="shared" si="43"/>
        <v>26</v>
      </c>
      <c r="K948" s="4" t="s">
        <v>14</v>
      </c>
      <c r="L948" s="4">
        <v>45247</v>
      </c>
      <c r="M948" s="4">
        <v>943</v>
      </c>
      <c r="N948" s="10">
        <v>1214.48</v>
      </c>
      <c r="O948" s="10">
        <f t="shared" si="44"/>
        <v>1214.48</v>
      </c>
      <c r="P948" s="4">
        <v>183</v>
      </c>
      <c r="Q948" s="4" t="b">
        <v>1</v>
      </c>
      <c r="R948" s="4"/>
      <c r="S948" s="14" t="s">
        <v>16</v>
      </c>
    </row>
    <row r="949" spans="1:19">
      <c r="A949" s="6" t="s">
        <v>1972</v>
      </c>
      <c r="B949" s="7" t="s">
        <v>1973</v>
      </c>
      <c r="C949" s="8" t="s">
        <v>4131</v>
      </c>
      <c r="D949" s="8">
        <v>44979</v>
      </c>
      <c r="E949" s="7">
        <v>2</v>
      </c>
      <c r="F949" s="7">
        <v>22</v>
      </c>
      <c r="G949" s="7">
        <v>2023</v>
      </c>
      <c r="H949" s="8">
        <f t="shared" si="42"/>
        <v>44979</v>
      </c>
      <c r="I949" s="11">
        <v>45000</v>
      </c>
      <c r="J949" s="7">
        <f t="shared" si="43"/>
        <v>21</v>
      </c>
      <c r="K949" s="7" t="s">
        <v>23</v>
      </c>
      <c r="L949" s="7">
        <v>17748</v>
      </c>
      <c r="M949" s="7">
        <v>513</v>
      </c>
      <c r="N949" s="12">
        <v>342.08</v>
      </c>
      <c r="O949" s="12">
        <f t="shared" si="44"/>
        <v>342.08</v>
      </c>
      <c r="P949" s="7">
        <v>85</v>
      </c>
      <c r="Q949" s="7" t="b">
        <v>1</v>
      </c>
      <c r="R949" s="7"/>
      <c r="S949" s="15" t="s">
        <v>25</v>
      </c>
    </row>
    <row r="950" spans="1:19">
      <c r="A950" s="3" t="s">
        <v>1974</v>
      </c>
      <c r="B950" s="4" t="s">
        <v>1975</v>
      </c>
      <c r="C950" s="5" t="s">
        <v>4128</v>
      </c>
      <c r="D950" s="5">
        <v>45053</v>
      </c>
      <c r="E950" s="4">
        <v>5</v>
      </c>
      <c r="F950" s="4">
        <v>7</v>
      </c>
      <c r="G950" s="4">
        <v>2023</v>
      </c>
      <c r="H950" s="5">
        <f t="shared" si="42"/>
        <v>45053</v>
      </c>
      <c r="I950" s="9">
        <v>45082</v>
      </c>
      <c r="J950" s="4">
        <f t="shared" si="43"/>
        <v>29</v>
      </c>
      <c r="K950" s="4" t="s">
        <v>41</v>
      </c>
      <c r="L950" s="4">
        <v>5621</v>
      </c>
      <c r="M950" s="4">
        <v>277</v>
      </c>
      <c r="N950" s="10">
        <v>499.22</v>
      </c>
      <c r="O950" s="10">
        <f t="shared" si="44"/>
        <v>499.22</v>
      </c>
      <c r="P950" s="4">
        <v>39</v>
      </c>
      <c r="Q950" s="4" t="b">
        <v>1</v>
      </c>
      <c r="R950" s="4"/>
      <c r="S950" s="14" t="s">
        <v>42</v>
      </c>
    </row>
    <row r="951" spans="1:19">
      <c r="A951" s="6" t="s">
        <v>1976</v>
      </c>
      <c r="B951" s="7" t="s">
        <v>1977</v>
      </c>
      <c r="C951" s="8" t="s">
        <v>4131</v>
      </c>
      <c r="D951" s="8">
        <v>45157</v>
      </c>
      <c r="E951" s="7">
        <v>8</v>
      </c>
      <c r="F951" s="7">
        <v>19</v>
      </c>
      <c r="G951" s="7">
        <v>2023</v>
      </c>
      <c r="H951" s="8">
        <f t="shared" si="42"/>
        <v>45157</v>
      </c>
      <c r="I951" s="11">
        <v>45163</v>
      </c>
      <c r="J951" s="7">
        <f t="shared" si="43"/>
        <v>6</v>
      </c>
      <c r="K951" s="7" t="s">
        <v>19</v>
      </c>
      <c r="L951" s="7">
        <v>16034</v>
      </c>
      <c r="M951" s="7">
        <v>332</v>
      </c>
      <c r="N951" s="12">
        <v>314.09</v>
      </c>
      <c r="O951" s="12">
        <f t="shared" si="44"/>
        <v>314.09</v>
      </c>
      <c r="P951" s="7">
        <v>46</v>
      </c>
      <c r="Q951" s="7" t="b">
        <v>0</v>
      </c>
      <c r="R951" s="7"/>
      <c r="S951" s="15" t="s">
        <v>20</v>
      </c>
    </row>
    <row r="952" spans="1:19">
      <c r="A952" s="3" t="s">
        <v>1978</v>
      </c>
      <c r="B952" s="4" t="s">
        <v>1979</v>
      </c>
      <c r="C952" s="5" t="s">
        <v>4131</v>
      </c>
      <c r="D952" s="5">
        <v>44971</v>
      </c>
      <c r="E952" s="4">
        <v>2</v>
      </c>
      <c r="F952" s="4">
        <v>14</v>
      </c>
      <c r="G952" s="4">
        <v>2023</v>
      </c>
      <c r="H952" s="5">
        <f t="shared" si="42"/>
        <v>44971</v>
      </c>
      <c r="I952" s="9">
        <v>44996</v>
      </c>
      <c r="J952" s="4">
        <f t="shared" si="43"/>
        <v>25</v>
      </c>
      <c r="K952" s="4" t="s">
        <v>23</v>
      </c>
      <c r="L952" s="4">
        <v>6126</v>
      </c>
      <c r="M952" s="4">
        <v>160</v>
      </c>
      <c r="N952" s="10">
        <v>119.01</v>
      </c>
      <c r="O952" s="10">
        <f t="shared" si="44"/>
        <v>119.01</v>
      </c>
      <c r="P952" s="4">
        <v>28</v>
      </c>
      <c r="Q952" s="4" t="b">
        <v>0</v>
      </c>
      <c r="R952" s="4"/>
      <c r="S952" s="14" t="s">
        <v>25</v>
      </c>
    </row>
    <row r="953" spans="1:19">
      <c r="A953" s="6" t="s">
        <v>1980</v>
      </c>
      <c r="B953" s="7" t="s">
        <v>1981</v>
      </c>
      <c r="C953" s="8" t="s">
        <v>4127</v>
      </c>
      <c r="D953" s="8">
        <v>45048</v>
      </c>
      <c r="E953" s="7">
        <v>5</v>
      </c>
      <c r="F953" s="7">
        <v>2</v>
      </c>
      <c r="G953" s="7">
        <v>2023</v>
      </c>
      <c r="H953" s="8">
        <f t="shared" si="42"/>
        <v>45048</v>
      </c>
      <c r="I953" s="11">
        <v>45061</v>
      </c>
      <c r="J953" s="7">
        <f t="shared" si="43"/>
        <v>13</v>
      </c>
      <c r="K953" s="7" t="s">
        <v>33</v>
      </c>
      <c r="L953" s="7">
        <v>6122</v>
      </c>
      <c r="M953" s="7">
        <v>279</v>
      </c>
      <c r="N953" s="12">
        <v>422.25</v>
      </c>
      <c r="O953" s="12">
        <f t="shared" si="44"/>
        <v>422.25</v>
      </c>
      <c r="P953" s="7">
        <v>36</v>
      </c>
      <c r="Q953" s="7" t="b">
        <v>0</v>
      </c>
      <c r="R953" s="7"/>
      <c r="S953" s="15" t="s">
        <v>34</v>
      </c>
    </row>
    <row r="954" spans="1:19">
      <c r="A954" s="3" t="s">
        <v>1982</v>
      </c>
      <c r="B954" s="4" t="s">
        <v>1983</v>
      </c>
      <c r="C954" s="5" t="s">
        <v>4127</v>
      </c>
      <c r="D954" s="5">
        <v>45279</v>
      </c>
      <c r="E954" s="4">
        <v>12</v>
      </c>
      <c r="F954" s="4">
        <v>19</v>
      </c>
      <c r="G954" s="4">
        <v>2023</v>
      </c>
      <c r="H954" s="5">
        <f t="shared" si="42"/>
        <v>45279</v>
      </c>
      <c r="I954" s="9">
        <v>45281</v>
      </c>
      <c r="J954" s="4">
        <f t="shared" si="43"/>
        <v>2</v>
      </c>
      <c r="K954" s="4" t="s">
        <v>14</v>
      </c>
      <c r="L954" s="4">
        <v>19030</v>
      </c>
      <c r="M954" s="4">
        <v>192</v>
      </c>
      <c r="N954" s="10">
        <v>106.97</v>
      </c>
      <c r="O954" s="10">
        <f t="shared" si="44"/>
        <v>106.97</v>
      </c>
      <c r="P954" s="4">
        <v>32</v>
      </c>
      <c r="Q954" s="4" t="b">
        <v>1</v>
      </c>
      <c r="R954" s="4"/>
      <c r="S954" s="14" t="s">
        <v>16</v>
      </c>
    </row>
    <row r="955" spans="1:19">
      <c r="A955" s="6" t="s">
        <v>1984</v>
      </c>
      <c r="B955" s="7" t="s">
        <v>1985</v>
      </c>
      <c r="C955" s="8" t="s">
        <v>4131</v>
      </c>
      <c r="D955" s="8">
        <v>45250</v>
      </c>
      <c r="E955" s="7">
        <v>11</v>
      </c>
      <c r="F955" s="7">
        <v>20</v>
      </c>
      <c r="G955" s="7">
        <v>2023</v>
      </c>
      <c r="H955" s="8">
        <f t="shared" si="42"/>
        <v>45250</v>
      </c>
      <c r="I955" s="11">
        <v>45260</v>
      </c>
      <c r="J955" s="7">
        <f t="shared" si="43"/>
        <v>10</v>
      </c>
      <c r="K955" s="7" t="s">
        <v>23</v>
      </c>
      <c r="L955" s="7">
        <v>83838</v>
      </c>
      <c r="M955" s="7">
        <v>971</v>
      </c>
      <c r="N955" s="12">
        <v>1388.48</v>
      </c>
      <c r="O955" s="12">
        <f t="shared" si="44"/>
        <v>1388.48</v>
      </c>
      <c r="P955" s="7">
        <v>122</v>
      </c>
      <c r="Q955" s="7" t="b">
        <v>0</v>
      </c>
      <c r="R955" s="7"/>
      <c r="S955" s="15" t="s">
        <v>25</v>
      </c>
    </row>
    <row r="956" spans="1:19">
      <c r="A956" s="3" t="s">
        <v>1986</v>
      </c>
      <c r="B956" s="4" t="s">
        <v>1987</v>
      </c>
      <c r="C956" s="5" t="s">
        <v>4131</v>
      </c>
      <c r="D956" s="5">
        <v>45032</v>
      </c>
      <c r="E956" s="4">
        <v>4</v>
      </c>
      <c r="F956" s="4">
        <v>16</v>
      </c>
      <c r="G956" s="4">
        <v>2023</v>
      </c>
      <c r="H956" s="5">
        <f t="shared" si="42"/>
        <v>45032</v>
      </c>
      <c r="I956" s="9">
        <v>45038</v>
      </c>
      <c r="J956" s="4">
        <f t="shared" si="43"/>
        <v>6</v>
      </c>
      <c r="K956" s="4" t="s">
        <v>23</v>
      </c>
      <c r="L956" s="4">
        <v>85717</v>
      </c>
      <c r="M956" s="4">
        <v>2928</v>
      </c>
      <c r="N956" s="10">
        <v>4530.49</v>
      </c>
      <c r="O956" s="10">
        <f t="shared" si="44"/>
        <v>3632.575</v>
      </c>
      <c r="P956" s="4">
        <v>173</v>
      </c>
      <c r="Q956" s="4" t="b">
        <v>1</v>
      </c>
      <c r="R956" s="4"/>
      <c r="S956" s="14" t="s">
        <v>25</v>
      </c>
    </row>
    <row r="957" spans="1:19">
      <c r="A957" s="6" t="s">
        <v>1988</v>
      </c>
      <c r="B957" s="7" t="s">
        <v>1989</v>
      </c>
      <c r="C957" s="8" t="s">
        <v>4129</v>
      </c>
      <c r="D957" s="8">
        <v>45218</v>
      </c>
      <c r="E957" s="7">
        <v>10</v>
      </c>
      <c r="F957" s="7">
        <v>19</v>
      </c>
      <c r="G957" s="7">
        <v>2023</v>
      </c>
      <c r="H957" s="8">
        <f t="shared" si="42"/>
        <v>45218</v>
      </c>
      <c r="I957" s="11">
        <v>45226</v>
      </c>
      <c r="J957" s="7">
        <f t="shared" si="43"/>
        <v>8</v>
      </c>
      <c r="K957" s="7" t="s">
        <v>41</v>
      </c>
      <c r="L957" s="7">
        <v>56658</v>
      </c>
      <c r="M957" s="7">
        <v>2622</v>
      </c>
      <c r="N957" s="12">
        <v>2156.27</v>
      </c>
      <c r="O957" s="12">
        <f t="shared" si="44"/>
        <v>2156.27</v>
      </c>
      <c r="P957" s="7">
        <v>282</v>
      </c>
      <c r="Q957" s="7" t="b">
        <v>0</v>
      </c>
      <c r="R957" s="7"/>
      <c r="S957" s="15" t="s">
        <v>42</v>
      </c>
    </row>
    <row r="958" spans="1:19">
      <c r="A958" s="3" t="s">
        <v>1990</v>
      </c>
      <c r="B958" s="4" t="s">
        <v>1991</v>
      </c>
      <c r="C958" s="5" t="s">
        <v>4131</v>
      </c>
      <c r="D958" s="5">
        <v>45202</v>
      </c>
      <c r="E958" s="4">
        <v>10</v>
      </c>
      <c r="F958" s="4">
        <v>3</v>
      </c>
      <c r="G958" s="4">
        <v>2023</v>
      </c>
      <c r="H958" s="5">
        <f t="shared" si="42"/>
        <v>45202</v>
      </c>
      <c r="I958" s="9">
        <v>45213</v>
      </c>
      <c r="J958" s="4">
        <f t="shared" si="43"/>
        <v>11</v>
      </c>
      <c r="K958" s="4" t="s">
        <v>14</v>
      </c>
      <c r="L958" s="4">
        <v>39638</v>
      </c>
      <c r="M958" s="4">
        <v>775</v>
      </c>
      <c r="N958" s="10">
        <v>436.28</v>
      </c>
      <c r="O958" s="10">
        <f t="shared" si="44"/>
        <v>436.28</v>
      </c>
      <c r="P958" s="4">
        <v>90</v>
      </c>
      <c r="Q958" s="4" t="b">
        <v>1</v>
      </c>
      <c r="R958" s="4"/>
      <c r="S958" s="14" t="s">
        <v>16</v>
      </c>
    </row>
    <row r="959" spans="1:19">
      <c r="A959" s="6" t="s">
        <v>1992</v>
      </c>
      <c r="B959" s="7" t="s">
        <v>1993</v>
      </c>
      <c r="C959" s="8" t="s">
        <v>4128</v>
      </c>
      <c r="D959" s="8">
        <v>45076</v>
      </c>
      <c r="E959" s="7">
        <v>5</v>
      </c>
      <c r="F959" s="7">
        <v>30</v>
      </c>
      <c r="G959" s="7">
        <v>2023</v>
      </c>
      <c r="H959" s="8">
        <f t="shared" si="42"/>
        <v>45076</v>
      </c>
      <c r="I959" s="11">
        <v>45104</v>
      </c>
      <c r="J959" s="7">
        <f t="shared" si="43"/>
        <v>28</v>
      </c>
      <c r="K959" s="7" t="s">
        <v>41</v>
      </c>
      <c r="L959" s="7">
        <v>68067</v>
      </c>
      <c r="M959" s="7">
        <v>1959</v>
      </c>
      <c r="N959" s="12">
        <v>2048.07</v>
      </c>
      <c r="O959" s="12">
        <f t="shared" si="44"/>
        <v>2048.07</v>
      </c>
      <c r="P959" s="7">
        <v>139</v>
      </c>
      <c r="Q959" s="7" t="b">
        <v>1</v>
      </c>
      <c r="R959" s="7"/>
      <c r="S959" s="15" t="s">
        <v>42</v>
      </c>
    </row>
    <row r="960" spans="1:19">
      <c r="A960" s="3" t="s">
        <v>1994</v>
      </c>
      <c r="B960" s="4" t="s">
        <v>1995</v>
      </c>
      <c r="C960" s="5" t="s">
        <v>4129</v>
      </c>
      <c r="D960" s="5">
        <v>45190</v>
      </c>
      <c r="E960" s="4">
        <v>9</v>
      </c>
      <c r="F960" s="4">
        <v>21</v>
      </c>
      <c r="G960" s="4">
        <v>2023</v>
      </c>
      <c r="H960" s="5">
        <f t="shared" si="42"/>
        <v>45190</v>
      </c>
      <c r="I960" s="9">
        <v>45212</v>
      </c>
      <c r="J960" s="4">
        <f t="shared" si="43"/>
        <v>22</v>
      </c>
      <c r="K960" s="4" t="s">
        <v>23</v>
      </c>
      <c r="L960" s="4">
        <v>89869</v>
      </c>
      <c r="M960" s="4">
        <v>2518</v>
      </c>
      <c r="N960" s="10">
        <v>1631.39</v>
      </c>
      <c r="O960" s="10">
        <f t="shared" si="44"/>
        <v>1631.39</v>
      </c>
      <c r="P960" s="4">
        <v>164</v>
      </c>
      <c r="Q960" s="4" t="b">
        <v>1</v>
      </c>
      <c r="R960" s="4"/>
      <c r="S960" s="14" t="s">
        <v>25</v>
      </c>
    </row>
    <row r="961" spans="1:19">
      <c r="A961" s="6" t="s">
        <v>1996</v>
      </c>
      <c r="B961" s="7" t="s">
        <v>1997</v>
      </c>
      <c r="C961" s="8" t="s">
        <v>4129</v>
      </c>
      <c r="D961" s="8">
        <v>44975</v>
      </c>
      <c r="E961" s="7">
        <v>2</v>
      </c>
      <c r="F961" s="7">
        <v>18</v>
      </c>
      <c r="G961" s="7">
        <v>2023</v>
      </c>
      <c r="H961" s="8">
        <f t="shared" si="42"/>
        <v>44975</v>
      </c>
      <c r="I961" s="11">
        <v>44994</v>
      </c>
      <c r="J961" s="7">
        <f t="shared" si="43"/>
        <v>19</v>
      </c>
      <c r="K961" s="7" t="s">
        <v>33</v>
      </c>
      <c r="L961" s="7">
        <v>35674</v>
      </c>
      <c r="M961" s="7">
        <v>1031</v>
      </c>
      <c r="N961" s="12">
        <v>695.63</v>
      </c>
      <c r="O961" s="12">
        <f t="shared" si="44"/>
        <v>695.63</v>
      </c>
      <c r="P961" s="7">
        <v>134</v>
      </c>
      <c r="Q961" s="7" t="b">
        <v>0</v>
      </c>
      <c r="R961" s="7"/>
      <c r="S961" s="15" t="s">
        <v>34</v>
      </c>
    </row>
    <row r="962" spans="1:19">
      <c r="A962" s="3" t="s">
        <v>1998</v>
      </c>
      <c r="B962" s="4" t="s">
        <v>1999</v>
      </c>
      <c r="C962" s="5" t="s">
        <v>4127</v>
      </c>
      <c r="D962" s="5">
        <v>45137</v>
      </c>
      <c r="E962" s="4">
        <v>7</v>
      </c>
      <c r="F962" s="4">
        <v>30</v>
      </c>
      <c r="G962" s="4">
        <v>2023</v>
      </c>
      <c r="H962" s="5">
        <f t="shared" ref="H962:H1025" si="45">IF(E962&gt;12,DATE(G962,F962,E962),D962)</f>
        <v>45137</v>
      </c>
      <c r="I962" s="9">
        <v>45132</v>
      </c>
      <c r="J962" s="4">
        <f t="shared" ref="J962:J1025" si="46">DATEDIF(H962,I962,"D")</f>
        <v>-5</v>
      </c>
      <c r="K962" s="4" t="s">
        <v>138</v>
      </c>
      <c r="L962" s="4">
        <v>36854</v>
      </c>
      <c r="M962" s="4">
        <v>1286</v>
      </c>
      <c r="N962" s="10">
        <v>1133.47</v>
      </c>
      <c r="O962" s="10">
        <f t="shared" si="44"/>
        <v>1133.47</v>
      </c>
      <c r="P962" s="4">
        <v>80</v>
      </c>
      <c r="Q962" s="4" t="b">
        <v>0</v>
      </c>
      <c r="R962" s="4"/>
      <c r="S962" s="14" t="s">
        <v>139</v>
      </c>
    </row>
    <row r="963" spans="1:19">
      <c r="A963" s="6" t="s">
        <v>2000</v>
      </c>
      <c r="B963" s="7" t="s">
        <v>2001</v>
      </c>
      <c r="C963" s="8" t="s">
        <v>4129</v>
      </c>
      <c r="D963" s="8">
        <v>45262</v>
      </c>
      <c r="E963" s="7">
        <v>12</v>
      </c>
      <c r="F963" s="7">
        <v>2</v>
      </c>
      <c r="G963" s="7">
        <v>2023</v>
      </c>
      <c r="H963" s="8">
        <f t="shared" si="45"/>
        <v>45262</v>
      </c>
      <c r="I963" s="11">
        <v>45278</v>
      </c>
      <c r="J963" s="7">
        <f t="shared" si="46"/>
        <v>16</v>
      </c>
      <c r="K963" s="7" t="s">
        <v>19</v>
      </c>
      <c r="L963" s="7">
        <v>47271</v>
      </c>
      <c r="M963" s="7">
        <v>1360</v>
      </c>
      <c r="N963" s="12">
        <v>1282.75</v>
      </c>
      <c r="O963" s="12">
        <f t="shared" ref="O963:O1026" si="47">IF(N963&lt;$V$6,$V$6,IF(N963&gt;$V$7,$V$7,N963))</f>
        <v>1282.75</v>
      </c>
      <c r="P963" s="7">
        <v>129</v>
      </c>
      <c r="Q963" s="7" t="b">
        <v>0</v>
      </c>
      <c r="R963" s="7"/>
      <c r="S963" s="15" t="s">
        <v>20</v>
      </c>
    </row>
    <row r="964" spans="1:19">
      <c r="A964" s="3" t="s">
        <v>2002</v>
      </c>
      <c r="B964" s="4" t="s">
        <v>2003</v>
      </c>
      <c r="C964" s="5" t="s">
        <v>4128</v>
      </c>
      <c r="D964" s="5">
        <v>45054</v>
      </c>
      <c r="E964" s="4">
        <v>5</v>
      </c>
      <c r="F964" s="4">
        <v>8</v>
      </c>
      <c r="G964" s="4">
        <v>2023</v>
      </c>
      <c r="H964" s="5">
        <f t="shared" si="45"/>
        <v>45054</v>
      </c>
      <c r="I964" s="9">
        <v>45062</v>
      </c>
      <c r="J964" s="4">
        <f t="shared" si="46"/>
        <v>8</v>
      </c>
      <c r="K964" s="4" t="s">
        <v>41</v>
      </c>
      <c r="L964" s="4">
        <v>74688</v>
      </c>
      <c r="M964" s="4">
        <v>2083</v>
      </c>
      <c r="N964" s="10">
        <v>2697.39</v>
      </c>
      <c r="O964" s="10">
        <f t="shared" si="47"/>
        <v>2697.39</v>
      </c>
      <c r="P964" s="4">
        <v>336</v>
      </c>
      <c r="Q964" s="4" t="b">
        <v>1</v>
      </c>
      <c r="R964" s="4"/>
      <c r="S964" s="14" t="s">
        <v>42</v>
      </c>
    </row>
    <row r="965" spans="1:19">
      <c r="A965" s="6" t="s">
        <v>2004</v>
      </c>
      <c r="B965" s="7" t="s">
        <v>2005</v>
      </c>
      <c r="C965" s="8" t="s">
        <v>4131</v>
      </c>
      <c r="D965" s="8">
        <v>45053</v>
      </c>
      <c r="E965" s="7">
        <v>5</v>
      </c>
      <c r="F965" s="7">
        <v>7</v>
      </c>
      <c r="G965" s="7">
        <v>2023</v>
      </c>
      <c r="H965" s="8">
        <f t="shared" si="45"/>
        <v>45053</v>
      </c>
      <c r="I965" s="11">
        <v>45076</v>
      </c>
      <c r="J965" s="7">
        <f t="shared" si="46"/>
        <v>23</v>
      </c>
      <c r="K965" s="7" t="s">
        <v>415</v>
      </c>
      <c r="L965" s="7">
        <v>39518</v>
      </c>
      <c r="M965" s="7">
        <v>1144</v>
      </c>
      <c r="N965" s="12">
        <v>1736.12</v>
      </c>
      <c r="O965" s="12">
        <f t="shared" si="47"/>
        <v>1736.12</v>
      </c>
      <c r="P965" s="7">
        <v>222</v>
      </c>
      <c r="Q965" s="7" t="b">
        <v>0</v>
      </c>
      <c r="R965" s="7"/>
      <c r="S965" s="15" t="s">
        <v>34</v>
      </c>
    </row>
    <row r="966" spans="1:19">
      <c r="A966" s="3" t="s">
        <v>2006</v>
      </c>
      <c r="B966" s="4" t="s">
        <v>2007</v>
      </c>
      <c r="C966" s="5" t="s">
        <v>4127</v>
      </c>
      <c r="D966" s="5">
        <v>45177</v>
      </c>
      <c r="E966" s="4">
        <v>9</v>
      </c>
      <c r="F966" s="4">
        <v>8</v>
      </c>
      <c r="G966" s="4">
        <v>2023</v>
      </c>
      <c r="H966" s="5">
        <f t="shared" si="45"/>
        <v>45177</v>
      </c>
      <c r="I966" s="9">
        <v>45192</v>
      </c>
      <c r="J966" s="4">
        <f t="shared" si="46"/>
        <v>15</v>
      </c>
      <c r="K966" s="4" t="s">
        <v>23</v>
      </c>
      <c r="L966" s="4">
        <v>11267</v>
      </c>
      <c r="M966" s="4">
        <v>378</v>
      </c>
      <c r="N966" s="10">
        <v>525.1</v>
      </c>
      <c r="O966" s="10">
        <f t="shared" si="47"/>
        <v>525.1</v>
      </c>
      <c r="P966" s="4">
        <v>0</v>
      </c>
      <c r="Q966" s="4" t="b">
        <v>1</v>
      </c>
      <c r="R966" s="4"/>
      <c r="S966" s="14" t="s">
        <v>25</v>
      </c>
    </row>
    <row r="967" spans="1:19">
      <c r="A967" s="6" t="s">
        <v>2008</v>
      </c>
      <c r="B967" s="7" t="s">
        <v>2009</v>
      </c>
      <c r="C967" s="8" t="s">
        <v>4128</v>
      </c>
      <c r="D967" s="8">
        <v>45248</v>
      </c>
      <c r="E967" s="7">
        <v>11</v>
      </c>
      <c r="F967" s="7">
        <v>18</v>
      </c>
      <c r="G967" s="7">
        <v>2023</v>
      </c>
      <c r="H967" s="8">
        <f t="shared" si="45"/>
        <v>45248</v>
      </c>
      <c r="I967" s="11">
        <v>45274</v>
      </c>
      <c r="J967" s="7">
        <f t="shared" si="46"/>
        <v>26</v>
      </c>
      <c r="K967" s="7" t="s">
        <v>33</v>
      </c>
      <c r="L967" s="7">
        <v>91825</v>
      </c>
      <c r="M967" s="7">
        <v>2890</v>
      </c>
      <c r="N967" s="12">
        <v>2088.14</v>
      </c>
      <c r="O967" s="12">
        <f t="shared" si="47"/>
        <v>2088.14</v>
      </c>
      <c r="P967" s="7">
        <v>574</v>
      </c>
      <c r="Q967" s="7" t="b">
        <v>1</v>
      </c>
      <c r="R967" s="7"/>
      <c r="S967" s="15" t="s">
        <v>34</v>
      </c>
    </row>
    <row r="968" spans="1:19">
      <c r="A968" s="3" t="s">
        <v>2010</v>
      </c>
      <c r="B968" s="4" t="s">
        <v>2011</v>
      </c>
      <c r="C968" s="5" t="s">
        <v>4128</v>
      </c>
      <c r="D968" s="5">
        <v>45251</v>
      </c>
      <c r="E968" s="4">
        <v>11</v>
      </c>
      <c r="F968" s="4">
        <v>21</v>
      </c>
      <c r="G968" s="4">
        <v>2023</v>
      </c>
      <c r="H968" s="5">
        <f t="shared" si="45"/>
        <v>45251</v>
      </c>
      <c r="I968" s="9">
        <v>45274</v>
      </c>
      <c r="J968" s="4">
        <f t="shared" si="46"/>
        <v>23</v>
      </c>
      <c r="K968" s="4" t="s">
        <v>41</v>
      </c>
      <c r="L968" s="4">
        <v>2062</v>
      </c>
      <c r="M968" s="4">
        <v>91</v>
      </c>
      <c r="N968" s="10">
        <v>68.99</v>
      </c>
      <c r="O968" s="10">
        <f t="shared" si="47"/>
        <v>68.99</v>
      </c>
      <c r="P968" s="4">
        <v>14</v>
      </c>
      <c r="Q968" s="4" t="b">
        <v>1</v>
      </c>
      <c r="R968" s="4"/>
      <c r="S968" s="14" t="s">
        <v>42</v>
      </c>
    </row>
    <row r="969" spans="1:19">
      <c r="A969" s="6" t="s">
        <v>2012</v>
      </c>
      <c r="B969" s="7" t="s">
        <v>2013</v>
      </c>
      <c r="C969" s="8" t="s">
        <v>4131</v>
      </c>
      <c r="D969" s="8">
        <v>45133</v>
      </c>
      <c r="E969" s="7">
        <v>7</v>
      </c>
      <c r="F969" s="7">
        <v>26</v>
      </c>
      <c r="G969" s="7">
        <v>2023</v>
      </c>
      <c r="H969" s="8">
        <f t="shared" si="45"/>
        <v>45133</v>
      </c>
      <c r="I969" s="11">
        <v>45163</v>
      </c>
      <c r="J969" s="7">
        <f t="shared" si="46"/>
        <v>30</v>
      </c>
      <c r="K969" s="7" t="s">
        <v>23</v>
      </c>
      <c r="L969" s="7">
        <v>51448</v>
      </c>
      <c r="M969" s="7">
        <v>616</v>
      </c>
      <c r="N969" s="12">
        <v>1119.98</v>
      </c>
      <c r="O969" s="12">
        <f t="shared" si="47"/>
        <v>1119.98</v>
      </c>
      <c r="P969" s="7">
        <v>57</v>
      </c>
      <c r="Q969" s="7" t="b">
        <v>0</v>
      </c>
      <c r="R969" s="7"/>
      <c r="S969" s="15" t="s">
        <v>25</v>
      </c>
    </row>
    <row r="970" spans="1:19">
      <c r="A970" s="3" t="s">
        <v>2014</v>
      </c>
      <c r="B970" s="4" t="s">
        <v>2015</v>
      </c>
      <c r="C970" s="5" t="s">
        <v>4129</v>
      </c>
      <c r="D970" s="5">
        <v>45115</v>
      </c>
      <c r="E970" s="4">
        <v>7</v>
      </c>
      <c r="F970" s="4">
        <v>8</v>
      </c>
      <c r="G970" s="4">
        <v>2023</v>
      </c>
      <c r="H970" s="5">
        <f t="shared" si="45"/>
        <v>45115</v>
      </c>
      <c r="I970" s="9">
        <v>45119</v>
      </c>
      <c r="J970" s="4">
        <f t="shared" si="46"/>
        <v>4</v>
      </c>
      <c r="K970" s="4" t="s">
        <v>19</v>
      </c>
      <c r="L970" s="4">
        <v>96462</v>
      </c>
      <c r="M970" s="4">
        <v>4179</v>
      </c>
      <c r="N970" s="10">
        <v>5589.53</v>
      </c>
      <c r="O970" s="10">
        <f t="shared" si="47"/>
        <v>3632.575</v>
      </c>
      <c r="P970" s="4">
        <v>630</v>
      </c>
      <c r="Q970" s="4" t="b">
        <v>1</v>
      </c>
      <c r="R970" s="4"/>
      <c r="S970" s="14" t="s">
        <v>20</v>
      </c>
    </row>
    <row r="971" spans="1:19">
      <c r="A971" s="6" t="s">
        <v>2016</v>
      </c>
      <c r="B971" s="7" t="s">
        <v>2017</v>
      </c>
      <c r="C971" s="8" t="s">
        <v>4128</v>
      </c>
      <c r="D971" s="8" t="s">
        <v>2018</v>
      </c>
      <c r="E971" s="7">
        <v>25</v>
      </c>
      <c r="F971" s="7">
        <v>10</v>
      </c>
      <c r="G971" s="7">
        <v>2023</v>
      </c>
      <c r="H971" s="8">
        <f t="shared" si="45"/>
        <v>45224</v>
      </c>
      <c r="I971" s="11">
        <v>45228</v>
      </c>
      <c r="J971" s="7">
        <f t="shared" si="46"/>
        <v>4</v>
      </c>
      <c r="K971" s="7" t="s">
        <v>41</v>
      </c>
      <c r="L971" s="7">
        <v>7229</v>
      </c>
      <c r="M971" s="7">
        <v>316</v>
      </c>
      <c r="N971" s="12">
        <v>570.35</v>
      </c>
      <c r="O971" s="12">
        <f t="shared" si="47"/>
        <v>570.35</v>
      </c>
      <c r="P971" s="7">
        <v>49</v>
      </c>
      <c r="Q971" s="7" t="b">
        <v>0</v>
      </c>
      <c r="R971" s="7"/>
      <c r="S971" s="15" t="s">
        <v>42</v>
      </c>
    </row>
    <row r="972" spans="1:19">
      <c r="A972" s="3" t="s">
        <v>2019</v>
      </c>
      <c r="B972" s="4" t="s">
        <v>2020</v>
      </c>
      <c r="C972" s="5" t="s">
        <v>4128</v>
      </c>
      <c r="D972" s="5">
        <v>44974</v>
      </c>
      <c r="E972" s="4">
        <v>2</v>
      </c>
      <c r="F972" s="4">
        <v>17</v>
      </c>
      <c r="G972" s="4">
        <v>2023</v>
      </c>
      <c r="H972" s="5">
        <f t="shared" si="45"/>
        <v>44974</v>
      </c>
      <c r="I972" s="9">
        <v>44980</v>
      </c>
      <c r="J972" s="4">
        <f t="shared" si="46"/>
        <v>6</v>
      </c>
      <c r="K972" s="4" t="s">
        <v>41</v>
      </c>
      <c r="L972" s="4">
        <v>57793</v>
      </c>
      <c r="M972" s="4">
        <v>1236</v>
      </c>
      <c r="N972" s="10">
        <v>1306.85</v>
      </c>
      <c r="O972" s="10">
        <f t="shared" si="47"/>
        <v>1306.85</v>
      </c>
      <c r="P972" s="4">
        <v>130</v>
      </c>
      <c r="Q972" s="4" t="b">
        <v>1</v>
      </c>
      <c r="R972" s="4">
        <v>57876</v>
      </c>
      <c r="S972" s="14" t="s">
        <v>42</v>
      </c>
    </row>
    <row r="973" spans="1:19">
      <c r="A973" s="6" t="s">
        <v>2021</v>
      </c>
      <c r="B973" s="7" t="s">
        <v>2022</v>
      </c>
      <c r="C973" s="8" t="s">
        <v>4131</v>
      </c>
      <c r="D973" s="8">
        <v>45267</v>
      </c>
      <c r="E973" s="7">
        <v>12</v>
      </c>
      <c r="F973" s="7">
        <v>7</v>
      </c>
      <c r="G973" s="7">
        <v>2023</v>
      </c>
      <c r="H973" s="8">
        <f t="shared" si="45"/>
        <v>45267</v>
      </c>
      <c r="I973" s="11">
        <v>45272</v>
      </c>
      <c r="J973" s="7">
        <f t="shared" si="46"/>
        <v>5</v>
      </c>
      <c r="K973" s="7" t="s">
        <v>19</v>
      </c>
      <c r="L973" s="7">
        <v>48915</v>
      </c>
      <c r="M973" s="7">
        <v>1394</v>
      </c>
      <c r="N973" s="12">
        <v>1981.71</v>
      </c>
      <c r="O973" s="12">
        <f t="shared" si="47"/>
        <v>1981.71</v>
      </c>
      <c r="P973" s="7">
        <v>73</v>
      </c>
      <c r="Q973" s="7" t="b">
        <v>0</v>
      </c>
      <c r="R973" s="7"/>
      <c r="S973" s="15" t="s">
        <v>20</v>
      </c>
    </row>
    <row r="974" spans="1:19">
      <c r="A974" s="3" t="s">
        <v>2023</v>
      </c>
      <c r="B974" s="4" t="s">
        <v>2024</v>
      </c>
      <c r="C974" s="5" t="s">
        <v>4127</v>
      </c>
      <c r="D974" s="5">
        <v>45200</v>
      </c>
      <c r="E974" s="4">
        <v>10</v>
      </c>
      <c r="F974" s="4">
        <v>1</v>
      </c>
      <c r="G974" s="4">
        <v>2023</v>
      </c>
      <c r="H974" s="5">
        <f t="shared" si="45"/>
        <v>45200</v>
      </c>
      <c r="I974" s="9">
        <v>45205</v>
      </c>
      <c r="J974" s="4">
        <f t="shared" si="46"/>
        <v>5</v>
      </c>
      <c r="K974" s="4" t="s">
        <v>23</v>
      </c>
      <c r="L974" s="4">
        <v>5632</v>
      </c>
      <c r="M974" s="4">
        <v>155</v>
      </c>
      <c r="N974" s="10">
        <v>199.25</v>
      </c>
      <c r="O974" s="10">
        <f t="shared" si="47"/>
        <v>199.25</v>
      </c>
      <c r="P974" s="4">
        <v>0</v>
      </c>
      <c r="Q974" s="4" t="b">
        <v>1</v>
      </c>
      <c r="R974" s="4"/>
      <c r="S974" s="14" t="s">
        <v>25</v>
      </c>
    </row>
    <row r="975" spans="1:19">
      <c r="A975" s="6" t="s">
        <v>2025</v>
      </c>
      <c r="B975" s="7" t="s">
        <v>2026</v>
      </c>
      <c r="C975" s="8" t="s">
        <v>4129</v>
      </c>
      <c r="D975" s="8">
        <v>45035</v>
      </c>
      <c r="E975" s="7">
        <v>4</v>
      </c>
      <c r="F975" s="7">
        <v>19</v>
      </c>
      <c r="G975" s="7">
        <v>2023</v>
      </c>
      <c r="H975" s="8">
        <f t="shared" si="45"/>
        <v>45035</v>
      </c>
      <c r="I975" s="11">
        <v>45059</v>
      </c>
      <c r="J975" s="7">
        <f t="shared" si="46"/>
        <v>24</v>
      </c>
      <c r="K975" s="7" t="s">
        <v>14</v>
      </c>
      <c r="L975" s="7">
        <v>4596</v>
      </c>
      <c r="M975" s="7">
        <v>86</v>
      </c>
      <c r="N975" s="12">
        <v>84.17</v>
      </c>
      <c r="O975" s="12">
        <f t="shared" si="47"/>
        <v>84.17</v>
      </c>
      <c r="P975" s="7">
        <v>4</v>
      </c>
      <c r="Q975" s="7" t="b">
        <v>0</v>
      </c>
      <c r="R975" s="7"/>
      <c r="S975" s="15" t="s">
        <v>16</v>
      </c>
    </row>
    <row r="976" spans="1:19">
      <c r="A976" s="3" t="s">
        <v>2027</v>
      </c>
      <c r="B976" s="4" t="s">
        <v>2028</v>
      </c>
      <c r="C976" s="5" t="s">
        <v>4129</v>
      </c>
      <c r="D976" s="5">
        <v>45072</v>
      </c>
      <c r="E976" s="4">
        <v>5</v>
      </c>
      <c r="F976" s="4">
        <v>26</v>
      </c>
      <c r="G976" s="4">
        <v>2023</v>
      </c>
      <c r="H976" s="5">
        <f t="shared" si="45"/>
        <v>45072</v>
      </c>
      <c r="I976" s="9">
        <v>45092</v>
      </c>
      <c r="J976" s="4">
        <f t="shared" si="46"/>
        <v>20</v>
      </c>
      <c r="K976" s="4" t="s">
        <v>33</v>
      </c>
      <c r="L976" s="4">
        <v>7168</v>
      </c>
      <c r="M976" s="4">
        <v>185</v>
      </c>
      <c r="N976" s="10">
        <v>222.9</v>
      </c>
      <c r="O976" s="10">
        <f t="shared" si="47"/>
        <v>222.9</v>
      </c>
      <c r="P976" s="4">
        <v>26</v>
      </c>
      <c r="Q976" s="4" t="b">
        <v>0</v>
      </c>
      <c r="R976" s="4"/>
      <c r="S976" s="14" t="s">
        <v>34</v>
      </c>
    </row>
    <row r="977" spans="1:19">
      <c r="A977" s="6" t="s">
        <v>2029</v>
      </c>
      <c r="B977" s="7" t="s">
        <v>2030</v>
      </c>
      <c r="C977" s="8" t="s">
        <v>4128</v>
      </c>
      <c r="D977" s="8">
        <v>45216</v>
      </c>
      <c r="E977" s="7">
        <v>10</v>
      </c>
      <c r="F977" s="7">
        <v>17</v>
      </c>
      <c r="G977" s="7">
        <v>2023</v>
      </c>
      <c r="H977" s="8">
        <f t="shared" si="45"/>
        <v>45216</v>
      </c>
      <c r="I977" s="11">
        <v>45211</v>
      </c>
      <c r="J977" s="7">
        <f t="shared" si="46"/>
        <v>-5</v>
      </c>
      <c r="K977" s="7" t="s">
        <v>23</v>
      </c>
      <c r="L977" s="7">
        <v>8561</v>
      </c>
      <c r="M977" s="7">
        <v>100</v>
      </c>
      <c r="N977" s="12">
        <v>125.37</v>
      </c>
      <c r="O977" s="12">
        <f t="shared" si="47"/>
        <v>125.37</v>
      </c>
      <c r="P977" s="7">
        <v>7</v>
      </c>
      <c r="Q977" s="7" t="b">
        <v>1</v>
      </c>
      <c r="R977" s="7"/>
      <c r="S977" s="15" t="s">
        <v>25</v>
      </c>
    </row>
    <row r="978" spans="1:19">
      <c r="A978" s="3" t="s">
        <v>2031</v>
      </c>
      <c r="B978" s="4" t="s">
        <v>2032</v>
      </c>
      <c r="C978" s="5" t="s">
        <v>4131</v>
      </c>
      <c r="D978" s="5">
        <v>45276</v>
      </c>
      <c r="E978" s="4">
        <v>12</v>
      </c>
      <c r="F978" s="4">
        <v>16</v>
      </c>
      <c r="G978" s="4">
        <v>2023</v>
      </c>
      <c r="H978" s="5">
        <f t="shared" si="45"/>
        <v>45276</v>
      </c>
      <c r="I978" s="9">
        <v>45277</v>
      </c>
      <c r="J978" s="4">
        <f t="shared" si="46"/>
        <v>1</v>
      </c>
      <c r="K978" s="4" t="s">
        <v>23</v>
      </c>
      <c r="L978" s="4">
        <v>74794</v>
      </c>
      <c r="M978" s="4">
        <v>1579</v>
      </c>
      <c r="N978" s="10">
        <v>1265.03</v>
      </c>
      <c r="O978" s="10">
        <f t="shared" si="47"/>
        <v>1265.03</v>
      </c>
      <c r="P978" s="4">
        <v>212</v>
      </c>
      <c r="Q978" s="4" t="b">
        <v>0</v>
      </c>
      <c r="R978" s="4"/>
      <c r="S978" s="14" t="s">
        <v>25</v>
      </c>
    </row>
    <row r="979" spans="1:19">
      <c r="A979" s="6" t="s">
        <v>2033</v>
      </c>
      <c r="B979" s="7" t="s">
        <v>2034</v>
      </c>
      <c r="C979" s="8" t="s">
        <v>4128</v>
      </c>
      <c r="D979" s="8">
        <v>45247</v>
      </c>
      <c r="E979" s="7">
        <v>11</v>
      </c>
      <c r="F979" s="7">
        <v>17</v>
      </c>
      <c r="G979" s="7">
        <v>2023</v>
      </c>
      <c r="H979" s="8">
        <f t="shared" si="45"/>
        <v>45247</v>
      </c>
      <c r="I979" s="11">
        <v>45262</v>
      </c>
      <c r="J979" s="7">
        <f t="shared" si="46"/>
        <v>15</v>
      </c>
      <c r="K979" s="7" t="s">
        <v>33</v>
      </c>
      <c r="L979" s="7">
        <v>83152</v>
      </c>
      <c r="M979" s="7">
        <v>3547</v>
      </c>
      <c r="N979" s="12">
        <v>3449.51</v>
      </c>
      <c r="O979" s="12">
        <f t="shared" si="47"/>
        <v>3449.51</v>
      </c>
      <c r="P979" s="7">
        <v>445</v>
      </c>
      <c r="Q979" s="7" t="b">
        <v>1</v>
      </c>
      <c r="R979" s="7"/>
      <c r="S979" s="15" t="s">
        <v>34</v>
      </c>
    </row>
    <row r="980" spans="1:19">
      <c r="A980" s="3" t="s">
        <v>2035</v>
      </c>
      <c r="B980" s="4" t="s">
        <v>2036</v>
      </c>
      <c r="C980" s="5" t="s">
        <v>4129</v>
      </c>
      <c r="D980" s="5">
        <v>44990</v>
      </c>
      <c r="E980" s="4">
        <v>3</v>
      </c>
      <c r="F980" s="4">
        <v>5</v>
      </c>
      <c r="G980" s="4">
        <v>2023</v>
      </c>
      <c r="H980" s="5">
        <f t="shared" si="45"/>
        <v>44990</v>
      </c>
      <c r="I980" s="9">
        <v>45006</v>
      </c>
      <c r="J980" s="4">
        <f t="shared" si="46"/>
        <v>16</v>
      </c>
      <c r="K980" s="4" t="s">
        <v>41</v>
      </c>
      <c r="L980" s="4">
        <v>27734</v>
      </c>
      <c r="M980" s="4">
        <v>593</v>
      </c>
      <c r="N980" s="10">
        <v>1000.46</v>
      </c>
      <c r="O980" s="10">
        <f t="shared" si="47"/>
        <v>1000.46</v>
      </c>
      <c r="P980" s="4">
        <v>30</v>
      </c>
      <c r="Q980" s="4" t="b">
        <v>1</v>
      </c>
      <c r="R980" s="4"/>
      <c r="S980" s="14" t="s">
        <v>42</v>
      </c>
    </row>
    <row r="981" spans="1:19">
      <c r="A981" s="6" t="s">
        <v>2037</v>
      </c>
      <c r="B981" s="7" t="s">
        <v>2038</v>
      </c>
      <c r="C981" s="8" t="s">
        <v>4131</v>
      </c>
      <c r="D981" s="8" t="s">
        <v>677</v>
      </c>
      <c r="E981" s="7">
        <v>22</v>
      </c>
      <c r="F981" s="7">
        <v>8</v>
      </c>
      <c r="G981" s="7">
        <v>2023</v>
      </c>
      <c r="H981" s="8">
        <f t="shared" si="45"/>
        <v>45160</v>
      </c>
      <c r="I981" s="11">
        <v>45172</v>
      </c>
      <c r="J981" s="7">
        <f t="shared" si="46"/>
        <v>12</v>
      </c>
      <c r="K981" s="7" t="s">
        <v>23</v>
      </c>
      <c r="L981" s="7">
        <v>7371</v>
      </c>
      <c r="M981" s="7">
        <v>314</v>
      </c>
      <c r="N981" s="12">
        <v>588.34</v>
      </c>
      <c r="O981" s="12">
        <f t="shared" si="47"/>
        <v>588.34</v>
      </c>
      <c r="P981" s="7">
        <v>32</v>
      </c>
      <c r="Q981" s="7" t="b">
        <v>1</v>
      </c>
      <c r="R981" s="7"/>
      <c r="S981" s="15" t="s">
        <v>25</v>
      </c>
    </row>
    <row r="982" spans="1:19">
      <c r="A982" s="3" t="s">
        <v>2039</v>
      </c>
      <c r="B982" s="4" t="s">
        <v>2040</v>
      </c>
      <c r="C982" s="5" t="s">
        <v>4131</v>
      </c>
      <c r="D982" s="5">
        <v>45146</v>
      </c>
      <c r="E982" s="4">
        <v>8</v>
      </c>
      <c r="F982" s="4">
        <v>8</v>
      </c>
      <c r="G982" s="4">
        <v>2023</v>
      </c>
      <c r="H982" s="5">
        <f t="shared" si="45"/>
        <v>45146</v>
      </c>
      <c r="I982" s="9">
        <v>45172</v>
      </c>
      <c r="J982" s="4">
        <f t="shared" si="46"/>
        <v>26</v>
      </c>
      <c r="K982" s="4" t="s">
        <v>14</v>
      </c>
      <c r="L982" s="4">
        <v>27069</v>
      </c>
      <c r="M982" s="4">
        <v>846</v>
      </c>
      <c r="N982" s="10">
        <v>879.58</v>
      </c>
      <c r="O982" s="10">
        <f t="shared" si="47"/>
        <v>879.58</v>
      </c>
      <c r="P982" s="4">
        <v>118</v>
      </c>
      <c r="Q982" s="4" t="b">
        <v>0</v>
      </c>
      <c r="R982" s="4"/>
      <c r="S982" s="14" t="s">
        <v>16</v>
      </c>
    </row>
    <row r="983" spans="1:19">
      <c r="A983" s="6" t="s">
        <v>2041</v>
      </c>
      <c r="B983" s="7" t="s">
        <v>2042</v>
      </c>
      <c r="C983" s="8" t="s">
        <v>4129</v>
      </c>
      <c r="D983" s="8">
        <v>44994</v>
      </c>
      <c r="E983" s="7">
        <v>3</v>
      </c>
      <c r="F983" s="7">
        <v>9</v>
      </c>
      <c r="G983" s="7">
        <v>2023</v>
      </c>
      <c r="H983" s="8">
        <f t="shared" si="45"/>
        <v>44994</v>
      </c>
      <c r="I983" s="11">
        <v>45017</v>
      </c>
      <c r="J983" s="7">
        <f t="shared" si="46"/>
        <v>23</v>
      </c>
      <c r="K983" s="7" t="s">
        <v>33</v>
      </c>
      <c r="L983" s="7">
        <v>80905</v>
      </c>
      <c r="M983" s="7">
        <v>3656</v>
      </c>
      <c r="N983" s="12">
        <v>3511.44</v>
      </c>
      <c r="O983" s="12">
        <f t="shared" si="47"/>
        <v>3511.44</v>
      </c>
      <c r="P983" s="7">
        <v>0</v>
      </c>
      <c r="Q983" s="7" t="b">
        <v>1</v>
      </c>
      <c r="R983" s="7"/>
      <c r="S983" s="15" t="s">
        <v>34</v>
      </c>
    </row>
    <row r="984" spans="1:19">
      <c r="A984" s="3" t="s">
        <v>2043</v>
      </c>
      <c r="B984" s="4" t="s">
        <v>2044</v>
      </c>
      <c r="C984" s="5" t="s">
        <v>4128</v>
      </c>
      <c r="D984" s="5" t="s">
        <v>1616</v>
      </c>
      <c r="E984" s="4">
        <v>21</v>
      </c>
      <c r="F984" s="4">
        <v>5</v>
      </c>
      <c r="G984" s="4">
        <v>2023</v>
      </c>
      <c r="H984" s="5">
        <f t="shared" si="45"/>
        <v>45067</v>
      </c>
      <c r="I984" s="9">
        <v>45081</v>
      </c>
      <c r="J984" s="4">
        <f t="shared" si="46"/>
        <v>14</v>
      </c>
      <c r="K984" s="4" t="s">
        <v>23</v>
      </c>
      <c r="L984" s="4">
        <v>13910</v>
      </c>
      <c r="M984" s="4">
        <v>458</v>
      </c>
      <c r="N984" s="10">
        <v>363.1</v>
      </c>
      <c r="O984" s="10">
        <f t="shared" si="47"/>
        <v>363.1</v>
      </c>
      <c r="P984" s="4">
        <v>83</v>
      </c>
      <c r="Q984" s="4" t="b">
        <v>1</v>
      </c>
      <c r="R984" s="4"/>
      <c r="S984" s="14" t="s">
        <v>25</v>
      </c>
    </row>
    <row r="985" spans="1:19">
      <c r="A985" s="6" t="s">
        <v>2045</v>
      </c>
      <c r="B985" s="7" t="s">
        <v>2046</v>
      </c>
      <c r="C985" s="8" t="s">
        <v>4129</v>
      </c>
      <c r="D985" s="8">
        <v>45111</v>
      </c>
      <c r="E985" s="7">
        <v>7</v>
      </c>
      <c r="F985" s="7">
        <v>4</v>
      </c>
      <c r="G985" s="7">
        <v>2023</v>
      </c>
      <c r="H985" s="8">
        <f t="shared" si="45"/>
        <v>45111</v>
      </c>
      <c r="I985" s="11">
        <v>45112</v>
      </c>
      <c r="J985" s="7">
        <f t="shared" si="46"/>
        <v>1</v>
      </c>
      <c r="K985" s="7" t="s">
        <v>41</v>
      </c>
      <c r="L985" s="7">
        <v>74479</v>
      </c>
      <c r="M985" s="7">
        <v>833</v>
      </c>
      <c r="N985" s="12">
        <v>1264.27</v>
      </c>
      <c r="O985" s="12">
        <f t="shared" si="47"/>
        <v>1264.27</v>
      </c>
      <c r="P985" s="7">
        <v>102</v>
      </c>
      <c r="Q985" s="7" t="b">
        <v>1</v>
      </c>
      <c r="R985" s="7"/>
      <c r="S985" s="15" t="s">
        <v>42</v>
      </c>
    </row>
    <row r="986" spans="1:19">
      <c r="A986" s="3" t="s">
        <v>2047</v>
      </c>
      <c r="B986" s="4" t="s">
        <v>2048</v>
      </c>
      <c r="C986" s="5" t="s">
        <v>4129</v>
      </c>
      <c r="D986" s="5">
        <v>45259</v>
      </c>
      <c r="E986" s="4">
        <v>11</v>
      </c>
      <c r="F986" s="4">
        <v>29</v>
      </c>
      <c r="G986" s="4">
        <v>2023</v>
      </c>
      <c r="H986" s="5">
        <f t="shared" si="45"/>
        <v>45259</v>
      </c>
      <c r="I986" s="9">
        <v>45282</v>
      </c>
      <c r="J986" s="4">
        <f t="shared" si="46"/>
        <v>23</v>
      </c>
      <c r="K986" s="4" t="s">
        <v>33</v>
      </c>
      <c r="L986" s="4">
        <v>78735</v>
      </c>
      <c r="M986" s="4">
        <v>2914</v>
      </c>
      <c r="N986" s="10">
        <v>2869.27</v>
      </c>
      <c r="O986" s="10">
        <f t="shared" si="47"/>
        <v>2869.27</v>
      </c>
      <c r="P986" s="4">
        <v>464</v>
      </c>
      <c r="Q986" s="4" t="b">
        <v>0</v>
      </c>
      <c r="R986" s="4"/>
      <c r="S986" s="14" t="s">
        <v>34</v>
      </c>
    </row>
    <row r="987" spans="1:19">
      <c r="A987" s="6" t="s">
        <v>2049</v>
      </c>
      <c r="B987" s="7" t="s">
        <v>2050</v>
      </c>
      <c r="C987" s="8" t="s">
        <v>4131</v>
      </c>
      <c r="D987" s="8">
        <v>45083</v>
      </c>
      <c r="E987" s="7">
        <v>6</v>
      </c>
      <c r="F987" s="7">
        <v>6</v>
      </c>
      <c r="G987" s="7">
        <v>2023</v>
      </c>
      <c r="H987" s="8">
        <f t="shared" si="45"/>
        <v>45083</v>
      </c>
      <c r="I987" s="11">
        <v>45078</v>
      </c>
      <c r="J987" s="7">
        <f t="shared" si="46"/>
        <v>-5</v>
      </c>
      <c r="K987" s="7" t="s">
        <v>14</v>
      </c>
      <c r="L987" s="7">
        <v>82264</v>
      </c>
      <c r="M987" s="7">
        <v>970</v>
      </c>
      <c r="N987" s="12">
        <v>1922.18</v>
      </c>
      <c r="O987" s="12">
        <f t="shared" si="47"/>
        <v>1922.18</v>
      </c>
      <c r="P987" s="7">
        <v>94</v>
      </c>
      <c r="Q987" s="7" t="b">
        <v>1</v>
      </c>
      <c r="R987" s="7"/>
      <c r="S987" s="15" t="s">
        <v>16</v>
      </c>
    </row>
    <row r="988" spans="1:19">
      <c r="A988" s="3" t="s">
        <v>2051</v>
      </c>
      <c r="B988" s="4" t="s">
        <v>2052</v>
      </c>
      <c r="C988" s="5" t="s">
        <v>4127</v>
      </c>
      <c r="D988" s="5">
        <v>45146</v>
      </c>
      <c r="E988" s="4">
        <v>8</v>
      </c>
      <c r="F988" s="4">
        <v>8</v>
      </c>
      <c r="G988" s="4">
        <v>2023</v>
      </c>
      <c r="H988" s="5">
        <f t="shared" si="45"/>
        <v>45146</v>
      </c>
      <c r="I988" s="9">
        <v>45175</v>
      </c>
      <c r="J988" s="4">
        <f t="shared" si="46"/>
        <v>29</v>
      </c>
      <c r="K988" s="4" t="s">
        <v>19</v>
      </c>
      <c r="L988" s="4">
        <v>24275</v>
      </c>
      <c r="M988" s="4">
        <v>680</v>
      </c>
      <c r="N988" s="10">
        <v>672.2</v>
      </c>
      <c r="O988" s="10">
        <f t="shared" si="47"/>
        <v>672.2</v>
      </c>
      <c r="P988" s="4">
        <v>68</v>
      </c>
      <c r="Q988" s="4" t="b">
        <v>1</v>
      </c>
      <c r="R988" s="4"/>
      <c r="S988" s="14" t="s">
        <v>20</v>
      </c>
    </row>
    <row r="989" spans="1:19">
      <c r="A989" s="6" t="s">
        <v>2053</v>
      </c>
      <c r="B989" s="7" t="s">
        <v>2054</v>
      </c>
      <c r="C989" s="8" t="s">
        <v>4131</v>
      </c>
      <c r="D989" s="8">
        <v>44927</v>
      </c>
      <c r="E989" s="7">
        <v>1</v>
      </c>
      <c r="F989" s="7">
        <v>1</v>
      </c>
      <c r="G989" s="7">
        <v>2023</v>
      </c>
      <c r="H989" s="8">
        <f t="shared" si="45"/>
        <v>44927</v>
      </c>
      <c r="I989" s="11">
        <v>44950</v>
      </c>
      <c r="J989" s="7">
        <f t="shared" si="46"/>
        <v>23</v>
      </c>
      <c r="K989" s="7" t="s">
        <v>33</v>
      </c>
      <c r="L989" s="7">
        <v>73274</v>
      </c>
      <c r="M989" s="7">
        <v>3456</v>
      </c>
      <c r="N989" s="12">
        <v>3771.2</v>
      </c>
      <c r="O989" s="12">
        <f t="shared" si="47"/>
        <v>3632.575</v>
      </c>
      <c r="P989" s="7">
        <v>273</v>
      </c>
      <c r="Q989" s="7" t="b">
        <v>0</v>
      </c>
      <c r="R989" s="7"/>
      <c r="S989" s="15" t="s">
        <v>34</v>
      </c>
    </row>
    <row r="990" spans="1:19">
      <c r="A990" s="3" t="s">
        <v>2055</v>
      </c>
      <c r="B990" s="4" t="s">
        <v>2056</v>
      </c>
      <c r="C990" s="5" t="s">
        <v>4131</v>
      </c>
      <c r="D990" s="5">
        <v>45230</v>
      </c>
      <c r="E990" s="4">
        <v>10</v>
      </c>
      <c r="F990" s="4">
        <v>31</v>
      </c>
      <c r="G990" s="4">
        <v>2023</v>
      </c>
      <c r="H990" s="5">
        <f t="shared" si="45"/>
        <v>45230</v>
      </c>
      <c r="I990" s="9">
        <v>45242</v>
      </c>
      <c r="J990" s="4">
        <f t="shared" si="46"/>
        <v>12</v>
      </c>
      <c r="K990" s="4" t="s">
        <v>14</v>
      </c>
      <c r="L990" s="4">
        <v>82449</v>
      </c>
      <c r="M990" s="4">
        <v>1369</v>
      </c>
      <c r="N990" s="10">
        <v>1923.45</v>
      </c>
      <c r="O990" s="10">
        <f t="shared" si="47"/>
        <v>1923.45</v>
      </c>
      <c r="P990" s="4">
        <v>183</v>
      </c>
      <c r="Q990" s="4" t="b">
        <v>1</v>
      </c>
      <c r="R990" s="4"/>
      <c r="S990" s="14" t="s">
        <v>16</v>
      </c>
    </row>
    <row r="991" spans="1:19">
      <c r="A991" s="6" t="s">
        <v>2057</v>
      </c>
      <c r="B991" s="7" t="s">
        <v>2058</v>
      </c>
      <c r="C991" s="8" t="s">
        <v>4127</v>
      </c>
      <c r="D991" s="8">
        <v>45047</v>
      </c>
      <c r="E991" s="7">
        <v>5</v>
      </c>
      <c r="F991" s="7">
        <v>1</v>
      </c>
      <c r="G991" s="7">
        <v>2023</v>
      </c>
      <c r="H991" s="8">
        <f t="shared" si="45"/>
        <v>45047</v>
      </c>
      <c r="I991" s="11">
        <v>44952</v>
      </c>
      <c r="J991" s="7">
        <f t="shared" si="46"/>
        <v>-95</v>
      </c>
      <c r="K991" s="7" t="s">
        <v>23</v>
      </c>
      <c r="L991" s="7">
        <v>61004</v>
      </c>
      <c r="M991" s="7">
        <v>1561</v>
      </c>
      <c r="N991" s="12">
        <v>2657.64</v>
      </c>
      <c r="O991" s="12">
        <f t="shared" si="47"/>
        <v>2657.64</v>
      </c>
      <c r="P991" s="7">
        <v>151</v>
      </c>
      <c r="Q991" s="7" t="b">
        <v>0</v>
      </c>
      <c r="R991" s="7"/>
      <c r="S991" s="15" t="s">
        <v>25</v>
      </c>
    </row>
    <row r="992" spans="1:19">
      <c r="A992" s="3" t="s">
        <v>2059</v>
      </c>
      <c r="B992" s="4" t="s">
        <v>2060</v>
      </c>
      <c r="C992" s="5" t="s">
        <v>4127</v>
      </c>
      <c r="D992" s="5">
        <v>45102</v>
      </c>
      <c r="E992" s="4">
        <v>6</v>
      </c>
      <c r="F992" s="4">
        <v>25</v>
      </c>
      <c r="G992" s="4">
        <v>2023</v>
      </c>
      <c r="H992" s="5">
        <f t="shared" si="45"/>
        <v>45102</v>
      </c>
      <c r="I992" s="9">
        <v>45120</v>
      </c>
      <c r="J992" s="4">
        <f t="shared" si="46"/>
        <v>18</v>
      </c>
      <c r="K992" s="4" t="s">
        <v>23</v>
      </c>
      <c r="L992" s="4">
        <v>63981</v>
      </c>
      <c r="M992" s="4">
        <v>2507</v>
      </c>
      <c r="N992" s="10">
        <v>3019.12</v>
      </c>
      <c r="O992" s="10">
        <f t="shared" si="47"/>
        <v>3019.12</v>
      </c>
      <c r="P992" s="4">
        <v>157</v>
      </c>
      <c r="Q992" s="4" t="b">
        <v>1</v>
      </c>
      <c r="R992" s="4"/>
      <c r="S992" s="14" t="s">
        <v>25</v>
      </c>
    </row>
    <row r="993" spans="1:19">
      <c r="A993" s="6" t="s">
        <v>2061</v>
      </c>
      <c r="B993" s="7" t="s">
        <v>2062</v>
      </c>
      <c r="C993" s="8" t="s">
        <v>4128</v>
      </c>
      <c r="D993" s="8">
        <v>45143</v>
      </c>
      <c r="E993" s="7">
        <v>8</v>
      </c>
      <c r="F993" s="7">
        <v>5</v>
      </c>
      <c r="G993" s="7">
        <v>2023</v>
      </c>
      <c r="H993" s="8">
        <f t="shared" si="45"/>
        <v>45143</v>
      </c>
      <c r="I993" s="11">
        <v>45147</v>
      </c>
      <c r="J993" s="7">
        <f t="shared" si="46"/>
        <v>4</v>
      </c>
      <c r="K993" s="7" t="s">
        <v>14</v>
      </c>
      <c r="L993" s="7">
        <v>85659</v>
      </c>
      <c r="M993" s="7">
        <v>3879</v>
      </c>
      <c r="N993" s="12">
        <v>4398.72</v>
      </c>
      <c r="O993" s="12">
        <f t="shared" si="47"/>
        <v>3632.575</v>
      </c>
      <c r="P993" s="7">
        <v>592</v>
      </c>
      <c r="Q993" s="7" t="b">
        <v>1</v>
      </c>
      <c r="R993" s="7"/>
      <c r="S993" s="15" t="s">
        <v>16</v>
      </c>
    </row>
    <row r="994" spans="1:19">
      <c r="A994" s="3" t="s">
        <v>2063</v>
      </c>
      <c r="B994" s="4" t="s">
        <v>2064</v>
      </c>
      <c r="C994" s="5" t="s">
        <v>4127</v>
      </c>
      <c r="D994" s="5">
        <v>45044</v>
      </c>
      <c r="E994" s="4">
        <v>4</v>
      </c>
      <c r="F994" s="4">
        <v>28</v>
      </c>
      <c r="G994" s="4">
        <v>2023</v>
      </c>
      <c r="H994" s="5">
        <f t="shared" si="45"/>
        <v>45044</v>
      </c>
      <c r="I994" s="9">
        <v>45058</v>
      </c>
      <c r="J994" s="4">
        <f t="shared" si="46"/>
        <v>14</v>
      </c>
      <c r="K994" s="4" t="s">
        <v>23</v>
      </c>
      <c r="L994" s="4">
        <v>55553</v>
      </c>
      <c r="M994" s="4">
        <v>2046</v>
      </c>
      <c r="N994" s="10">
        <v>4078.61</v>
      </c>
      <c r="O994" s="10">
        <f t="shared" si="47"/>
        <v>3632.575</v>
      </c>
      <c r="P994" s="4">
        <v>319</v>
      </c>
      <c r="Q994" s="4" t="b">
        <v>0</v>
      </c>
      <c r="R994" s="4"/>
      <c r="S994" s="14" t="s">
        <v>25</v>
      </c>
    </row>
    <row r="995" spans="1:19">
      <c r="A995" s="6" t="s">
        <v>2065</v>
      </c>
      <c r="B995" s="7" t="s">
        <v>2066</v>
      </c>
      <c r="C995" s="8" t="s">
        <v>4131</v>
      </c>
      <c r="D995" s="8">
        <v>44979</v>
      </c>
      <c r="E995" s="7">
        <v>2</v>
      </c>
      <c r="F995" s="7">
        <v>22</v>
      </c>
      <c r="G995" s="7">
        <v>2023</v>
      </c>
      <c r="H995" s="8">
        <f t="shared" si="45"/>
        <v>44979</v>
      </c>
      <c r="I995" s="11">
        <v>44995</v>
      </c>
      <c r="J995" s="7">
        <f t="shared" si="46"/>
        <v>16</v>
      </c>
      <c r="K995" s="7" t="s">
        <v>14</v>
      </c>
      <c r="L995" s="7">
        <v>49447</v>
      </c>
      <c r="M995" s="7">
        <v>1005</v>
      </c>
      <c r="N995" s="12">
        <v>518.32</v>
      </c>
      <c r="O995" s="12">
        <f t="shared" si="47"/>
        <v>518.32</v>
      </c>
      <c r="P995" s="7">
        <v>104</v>
      </c>
      <c r="Q995" s="7" t="b">
        <v>1</v>
      </c>
      <c r="R995" s="7"/>
      <c r="S995" s="15" t="s">
        <v>16</v>
      </c>
    </row>
    <row r="996" spans="1:19">
      <c r="A996" s="3" t="s">
        <v>2067</v>
      </c>
      <c r="B996" s="4" t="s">
        <v>2068</v>
      </c>
      <c r="C996" s="5" t="s">
        <v>4127</v>
      </c>
      <c r="D996" s="5">
        <v>45080</v>
      </c>
      <c r="E996" s="4">
        <v>6</v>
      </c>
      <c r="F996" s="4">
        <v>3</v>
      </c>
      <c r="G996" s="4">
        <v>2023</v>
      </c>
      <c r="H996" s="5">
        <f t="shared" si="45"/>
        <v>45080</v>
      </c>
      <c r="I996" s="9">
        <v>45082</v>
      </c>
      <c r="J996" s="4">
        <f t="shared" si="46"/>
        <v>2</v>
      </c>
      <c r="K996" s="4" t="s">
        <v>14</v>
      </c>
      <c r="L996" s="4">
        <v>35529</v>
      </c>
      <c r="M996" s="4">
        <v>1314</v>
      </c>
      <c r="N996" s="10">
        <v>2421.17</v>
      </c>
      <c r="O996" s="10">
        <f t="shared" si="47"/>
        <v>2421.17</v>
      </c>
      <c r="P996" s="4">
        <v>80</v>
      </c>
      <c r="Q996" s="4" t="b">
        <v>1</v>
      </c>
      <c r="R996" s="4"/>
      <c r="S996" s="14" t="s">
        <v>16</v>
      </c>
    </row>
    <row r="997" spans="1:19">
      <c r="A997" s="6" t="s">
        <v>2069</v>
      </c>
      <c r="B997" s="7" t="s">
        <v>2070</v>
      </c>
      <c r="C997" s="8" t="s">
        <v>4128</v>
      </c>
      <c r="D997" s="8">
        <v>44995</v>
      </c>
      <c r="E997" s="7">
        <v>3</v>
      </c>
      <c r="F997" s="7">
        <v>10</v>
      </c>
      <c r="G997" s="7">
        <v>2023</v>
      </c>
      <c r="H997" s="8">
        <f t="shared" si="45"/>
        <v>44995</v>
      </c>
      <c r="I997" s="11">
        <v>45004</v>
      </c>
      <c r="J997" s="7">
        <f t="shared" si="46"/>
        <v>9</v>
      </c>
      <c r="K997" s="7" t="s">
        <v>14</v>
      </c>
      <c r="L997" s="7">
        <v>76703</v>
      </c>
      <c r="M997" s="7">
        <v>1677</v>
      </c>
      <c r="N997" s="12">
        <v>1213.66</v>
      </c>
      <c r="O997" s="12">
        <f t="shared" si="47"/>
        <v>1213.66</v>
      </c>
      <c r="P997" s="7">
        <v>191</v>
      </c>
      <c r="Q997" s="7" t="b">
        <v>1</v>
      </c>
      <c r="R997" s="7"/>
      <c r="S997" s="15" t="s">
        <v>16</v>
      </c>
    </row>
    <row r="998" spans="1:19">
      <c r="A998" s="3" t="s">
        <v>2071</v>
      </c>
      <c r="B998" s="4" t="s">
        <v>2072</v>
      </c>
      <c r="C998" s="5" t="s">
        <v>4129</v>
      </c>
      <c r="D998" s="5">
        <v>44962</v>
      </c>
      <c r="E998" s="4">
        <v>2</v>
      </c>
      <c r="F998" s="4">
        <v>5</v>
      </c>
      <c r="G998" s="4">
        <v>2023</v>
      </c>
      <c r="H998" s="5">
        <f t="shared" si="45"/>
        <v>44962</v>
      </c>
      <c r="I998" s="9">
        <v>45062</v>
      </c>
      <c r="J998" s="4">
        <f t="shared" si="46"/>
        <v>100</v>
      </c>
      <c r="K998" s="4" t="s">
        <v>33</v>
      </c>
      <c r="L998" s="4">
        <v>77090</v>
      </c>
      <c r="M998" s="4">
        <v>2986</v>
      </c>
      <c r="N998" s="10">
        <v>5013.16</v>
      </c>
      <c r="O998" s="10">
        <f t="shared" si="47"/>
        <v>3632.575</v>
      </c>
      <c r="P998" s="4">
        <v>347</v>
      </c>
      <c r="Q998" s="4" t="b">
        <v>0</v>
      </c>
      <c r="R998" s="4"/>
      <c r="S998" s="14" t="s">
        <v>34</v>
      </c>
    </row>
    <row r="999" spans="1:19">
      <c r="A999" s="6" t="s">
        <v>2073</v>
      </c>
      <c r="B999" s="7" t="s">
        <v>2074</v>
      </c>
      <c r="C999" s="8" t="s">
        <v>4127</v>
      </c>
      <c r="D999" s="8">
        <v>45259</v>
      </c>
      <c r="E999" s="7">
        <v>11</v>
      </c>
      <c r="F999" s="7">
        <v>29</v>
      </c>
      <c r="G999" s="7">
        <v>2023</v>
      </c>
      <c r="H999" s="8">
        <f t="shared" si="45"/>
        <v>45259</v>
      </c>
      <c r="I999" s="11">
        <v>45277</v>
      </c>
      <c r="J999" s="7">
        <f t="shared" si="46"/>
        <v>18</v>
      </c>
      <c r="K999" s="7" t="s">
        <v>14</v>
      </c>
      <c r="L999" s="7">
        <v>18260</v>
      </c>
      <c r="M999" s="7">
        <v>879</v>
      </c>
      <c r="N999" s="12">
        <v>1254.24</v>
      </c>
      <c r="O999" s="12">
        <f t="shared" si="47"/>
        <v>1254.24</v>
      </c>
      <c r="P999" s="7">
        <v>132</v>
      </c>
      <c r="Q999" s="7" t="b">
        <v>1</v>
      </c>
      <c r="R999" s="7"/>
      <c r="S999" s="15" t="s">
        <v>16</v>
      </c>
    </row>
    <row r="1000" spans="1:19">
      <c r="A1000" s="3" t="s">
        <v>2075</v>
      </c>
      <c r="B1000" s="4" t="s">
        <v>2076</v>
      </c>
      <c r="C1000" s="5" t="s">
        <v>4131</v>
      </c>
      <c r="D1000" s="5">
        <v>45036</v>
      </c>
      <c r="E1000" s="4">
        <v>4</v>
      </c>
      <c r="F1000" s="4">
        <v>20</v>
      </c>
      <c r="G1000" s="4">
        <v>2023</v>
      </c>
      <c r="H1000" s="5">
        <f t="shared" si="45"/>
        <v>45036</v>
      </c>
      <c r="I1000" s="9">
        <v>45059</v>
      </c>
      <c r="J1000" s="4">
        <f t="shared" si="46"/>
        <v>23</v>
      </c>
      <c r="K1000" s="4" t="s">
        <v>33</v>
      </c>
      <c r="L1000" s="4">
        <v>4812</v>
      </c>
      <c r="M1000" s="4">
        <v>186</v>
      </c>
      <c r="N1000" s="10">
        <v>188.38</v>
      </c>
      <c r="O1000" s="10">
        <f t="shared" si="47"/>
        <v>188.38</v>
      </c>
      <c r="P1000" s="4">
        <v>18</v>
      </c>
      <c r="Q1000" s="4" t="b">
        <v>1</v>
      </c>
      <c r="R1000" s="4"/>
      <c r="S1000" s="14" t="s">
        <v>34</v>
      </c>
    </row>
    <row r="1001" spans="1:19">
      <c r="A1001" s="6" t="s">
        <v>2077</v>
      </c>
      <c r="B1001" s="7" t="s">
        <v>2078</v>
      </c>
      <c r="C1001" s="8" t="s">
        <v>4129</v>
      </c>
      <c r="D1001" s="8">
        <v>45137</v>
      </c>
      <c r="E1001" s="7">
        <v>7</v>
      </c>
      <c r="F1001" s="7">
        <v>30</v>
      </c>
      <c r="G1001" s="7">
        <v>2023</v>
      </c>
      <c r="H1001" s="8">
        <f t="shared" si="45"/>
        <v>45137</v>
      </c>
      <c r="I1001" s="11">
        <v>45151</v>
      </c>
      <c r="J1001" s="7">
        <f t="shared" si="46"/>
        <v>14</v>
      </c>
      <c r="K1001" s="7" t="s">
        <v>23</v>
      </c>
      <c r="L1001" s="7">
        <v>29024</v>
      </c>
      <c r="M1001" s="7">
        <v>1292</v>
      </c>
      <c r="N1001" s="12">
        <v>2339.57</v>
      </c>
      <c r="O1001" s="12">
        <f t="shared" si="47"/>
        <v>2339.57</v>
      </c>
      <c r="P1001" s="7">
        <v>196</v>
      </c>
      <c r="Q1001" s="7" t="b">
        <v>1</v>
      </c>
      <c r="R1001" s="7"/>
      <c r="S1001" s="15" t="s">
        <v>25</v>
      </c>
    </row>
    <row r="1002" spans="1:19">
      <c r="A1002" s="3" t="s">
        <v>2079</v>
      </c>
      <c r="B1002" s="4" t="s">
        <v>2080</v>
      </c>
      <c r="C1002" s="5" t="s">
        <v>4129</v>
      </c>
      <c r="D1002" s="5" t="s">
        <v>2081</v>
      </c>
      <c r="E1002" s="4">
        <v>22</v>
      </c>
      <c r="F1002" s="4">
        <v>4</v>
      </c>
      <c r="G1002" s="4">
        <v>2023</v>
      </c>
      <c r="H1002" s="5">
        <f t="shared" si="45"/>
        <v>45038</v>
      </c>
      <c r="I1002" s="9">
        <v>45041</v>
      </c>
      <c r="J1002" s="4">
        <f t="shared" si="46"/>
        <v>3</v>
      </c>
      <c r="K1002" s="4" t="s">
        <v>19</v>
      </c>
      <c r="L1002" s="4">
        <v>59656</v>
      </c>
      <c r="M1002" s="4">
        <v>601</v>
      </c>
      <c r="N1002" s="10">
        <v>312.14</v>
      </c>
      <c r="O1002" s="10">
        <f t="shared" si="47"/>
        <v>312.14</v>
      </c>
      <c r="P1002" s="4">
        <v>108</v>
      </c>
      <c r="Q1002" s="4" t="b">
        <v>0</v>
      </c>
      <c r="R1002" s="4"/>
      <c r="S1002" s="14" t="s">
        <v>20</v>
      </c>
    </row>
    <row r="1003" spans="1:19">
      <c r="A1003" s="6" t="s">
        <v>2082</v>
      </c>
      <c r="B1003" s="7" t="s">
        <v>2083</v>
      </c>
      <c r="C1003" s="8" t="s">
        <v>4128</v>
      </c>
      <c r="D1003" s="8">
        <v>44978</v>
      </c>
      <c r="E1003" s="7">
        <v>2</v>
      </c>
      <c r="F1003" s="7">
        <v>21</v>
      </c>
      <c r="G1003" s="7">
        <v>2023</v>
      </c>
      <c r="H1003" s="8">
        <f t="shared" si="45"/>
        <v>44978</v>
      </c>
      <c r="I1003" s="11">
        <v>44981</v>
      </c>
      <c r="J1003" s="7">
        <f t="shared" si="46"/>
        <v>3</v>
      </c>
      <c r="K1003" s="7" t="s">
        <v>14</v>
      </c>
      <c r="L1003" s="7">
        <v>28285</v>
      </c>
      <c r="M1003" s="7">
        <v>1094</v>
      </c>
      <c r="N1003" s="12">
        <v>919</v>
      </c>
      <c r="O1003" s="12">
        <f t="shared" si="47"/>
        <v>919</v>
      </c>
      <c r="P1003" s="7">
        <v>93</v>
      </c>
      <c r="Q1003" s="7" t="b">
        <v>0</v>
      </c>
      <c r="R1003" s="7">
        <v>28352</v>
      </c>
      <c r="S1003" s="15" t="s">
        <v>16</v>
      </c>
    </row>
    <row r="1004" spans="1:19">
      <c r="A1004" s="3" t="s">
        <v>2084</v>
      </c>
      <c r="B1004" s="4" t="s">
        <v>2085</v>
      </c>
      <c r="C1004" s="5" t="s">
        <v>4127</v>
      </c>
      <c r="D1004" s="5">
        <v>45123</v>
      </c>
      <c r="E1004" s="4">
        <v>7</v>
      </c>
      <c r="F1004" s="4">
        <v>16</v>
      </c>
      <c r="G1004" s="4">
        <v>2023</v>
      </c>
      <c r="H1004" s="5">
        <f t="shared" si="45"/>
        <v>45123</v>
      </c>
      <c r="I1004" s="9">
        <v>45126</v>
      </c>
      <c r="J1004" s="4">
        <f t="shared" si="46"/>
        <v>3</v>
      </c>
      <c r="K1004" s="4" t="s">
        <v>33</v>
      </c>
      <c r="L1004" s="4">
        <v>93436</v>
      </c>
      <c r="M1004" s="4">
        <v>4034</v>
      </c>
      <c r="N1004" s="10">
        <v>5447.27</v>
      </c>
      <c r="O1004" s="10">
        <f t="shared" si="47"/>
        <v>3632.575</v>
      </c>
      <c r="P1004" s="4">
        <v>794</v>
      </c>
      <c r="Q1004" s="4" t="b">
        <v>1</v>
      </c>
      <c r="R1004" s="4"/>
      <c r="S1004" s="14" t="s">
        <v>34</v>
      </c>
    </row>
    <row r="1005" spans="1:19">
      <c r="A1005" s="6" t="s">
        <v>2086</v>
      </c>
      <c r="B1005" s="7" t="s">
        <v>2087</v>
      </c>
      <c r="C1005" s="8" t="s">
        <v>4127</v>
      </c>
      <c r="D1005" s="8">
        <v>44998</v>
      </c>
      <c r="E1005" s="7">
        <v>3</v>
      </c>
      <c r="F1005" s="7">
        <v>13</v>
      </c>
      <c r="G1005" s="7">
        <v>2023</v>
      </c>
      <c r="H1005" s="8">
        <f t="shared" si="45"/>
        <v>44998</v>
      </c>
      <c r="I1005" s="11">
        <v>45007</v>
      </c>
      <c r="J1005" s="7">
        <f t="shared" si="46"/>
        <v>9</v>
      </c>
      <c r="K1005" s="7" t="s">
        <v>41</v>
      </c>
      <c r="L1005" s="7">
        <v>2605</v>
      </c>
      <c r="M1005" s="7">
        <v>30</v>
      </c>
      <c r="N1005" s="12">
        <v>30.82</v>
      </c>
      <c r="O1005" s="12">
        <f t="shared" si="47"/>
        <v>30.82</v>
      </c>
      <c r="P1005" s="7">
        <v>3</v>
      </c>
      <c r="Q1005" s="7" t="b">
        <v>0</v>
      </c>
      <c r="R1005" s="7"/>
      <c r="S1005" s="15" t="s">
        <v>42</v>
      </c>
    </row>
    <row r="1006" spans="1:19">
      <c r="A1006" s="3" t="s">
        <v>2088</v>
      </c>
      <c r="B1006" s="4" t="s">
        <v>2089</v>
      </c>
      <c r="C1006" s="5" t="s">
        <v>4127</v>
      </c>
      <c r="D1006" s="5">
        <v>45054</v>
      </c>
      <c r="E1006" s="4">
        <v>5</v>
      </c>
      <c r="F1006" s="4">
        <v>8</v>
      </c>
      <c r="G1006" s="4">
        <v>2023</v>
      </c>
      <c r="H1006" s="5">
        <f t="shared" si="45"/>
        <v>45054</v>
      </c>
      <c r="I1006" s="9">
        <v>45083</v>
      </c>
      <c r="J1006" s="4">
        <f t="shared" si="46"/>
        <v>29</v>
      </c>
      <c r="K1006" s="4" t="s">
        <v>19</v>
      </c>
      <c r="L1006" s="4">
        <v>72158</v>
      </c>
      <c r="M1006" s="4">
        <v>3237</v>
      </c>
      <c r="N1006" s="10">
        <v>4582.19</v>
      </c>
      <c r="O1006" s="10">
        <f t="shared" si="47"/>
        <v>3632.575</v>
      </c>
      <c r="P1006" s="4">
        <v>291</v>
      </c>
      <c r="Q1006" s="4" t="b">
        <v>1</v>
      </c>
      <c r="R1006" s="4"/>
      <c r="S1006" s="14" t="s">
        <v>20</v>
      </c>
    </row>
    <row r="1007" spans="1:19">
      <c r="A1007" s="6" t="s">
        <v>2090</v>
      </c>
      <c r="B1007" s="7" t="s">
        <v>2091</v>
      </c>
      <c r="C1007" s="8" t="s">
        <v>4129</v>
      </c>
      <c r="D1007" s="8">
        <v>45238</v>
      </c>
      <c r="E1007" s="7">
        <v>11</v>
      </c>
      <c r="F1007" s="7">
        <v>8</v>
      </c>
      <c r="G1007" s="7">
        <v>2023</v>
      </c>
      <c r="H1007" s="8">
        <f t="shared" si="45"/>
        <v>45238</v>
      </c>
      <c r="I1007" s="11">
        <v>45260</v>
      </c>
      <c r="J1007" s="7">
        <f t="shared" si="46"/>
        <v>22</v>
      </c>
      <c r="K1007" s="7" t="s">
        <v>14</v>
      </c>
      <c r="L1007" s="7">
        <v>73303</v>
      </c>
      <c r="M1007" s="7">
        <v>1485</v>
      </c>
      <c r="N1007" s="12">
        <v>796.21</v>
      </c>
      <c r="O1007" s="12">
        <f t="shared" si="47"/>
        <v>796.21</v>
      </c>
      <c r="P1007" s="7">
        <v>168</v>
      </c>
      <c r="Q1007" s="7" t="b">
        <v>1</v>
      </c>
      <c r="R1007" s="7"/>
      <c r="S1007" s="15" t="s">
        <v>16</v>
      </c>
    </row>
    <row r="1008" spans="1:19">
      <c r="A1008" s="3" t="s">
        <v>2092</v>
      </c>
      <c r="B1008" s="4" t="s">
        <v>2093</v>
      </c>
      <c r="C1008" s="5" t="s">
        <v>4131</v>
      </c>
      <c r="D1008" s="5">
        <v>44940</v>
      </c>
      <c r="E1008" s="4">
        <v>1</v>
      </c>
      <c r="F1008" s="4">
        <v>14</v>
      </c>
      <c r="G1008" s="4">
        <v>2023</v>
      </c>
      <c r="H1008" s="5">
        <f t="shared" si="45"/>
        <v>44940</v>
      </c>
      <c r="I1008" s="9">
        <v>44952</v>
      </c>
      <c r="J1008" s="4">
        <f t="shared" si="46"/>
        <v>12</v>
      </c>
      <c r="K1008" s="4" t="s">
        <v>41</v>
      </c>
      <c r="L1008" s="4">
        <v>28139</v>
      </c>
      <c r="M1008" s="4">
        <v>1030</v>
      </c>
      <c r="N1008" s="10">
        <v>694.93</v>
      </c>
      <c r="O1008" s="10">
        <f t="shared" si="47"/>
        <v>694.93</v>
      </c>
      <c r="P1008" s="4">
        <v>66</v>
      </c>
      <c r="Q1008" s="4" t="b">
        <v>1</v>
      </c>
      <c r="R1008" s="4">
        <v>28220</v>
      </c>
      <c r="S1008" s="14" t="s">
        <v>42</v>
      </c>
    </row>
    <row r="1009" spans="1:19">
      <c r="A1009" s="6" t="s">
        <v>2094</v>
      </c>
      <c r="B1009" s="7" t="s">
        <v>2095</v>
      </c>
      <c r="C1009" s="8" t="s">
        <v>4129</v>
      </c>
      <c r="D1009" s="8">
        <v>45081</v>
      </c>
      <c r="E1009" s="7">
        <v>6</v>
      </c>
      <c r="F1009" s="7">
        <v>4</v>
      </c>
      <c r="G1009" s="7">
        <v>2023</v>
      </c>
      <c r="H1009" s="8">
        <f t="shared" si="45"/>
        <v>45081</v>
      </c>
      <c r="I1009" s="11">
        <v>45097</v>
      </c>
      <c r="J1009" s="7">
        <f t="shared" si="46"/>
        <v>16</v>
      </c>
      <c r="K1009" s="7" t="s">
        <v>19</v>
      </c>
      <c r="L1009" s="7">
        <v>78149</v>
      </c>
      <c r="M1009" s="7">
        <v>3283</v>
      </c>
      <c r="N1009" s="12">
        <v>2267.39</v>
      </c>
      <c r="O1009" s="12">
        <f t="shared" si="47"/>
        <v>2267.39</v>
      </c>
      <c r="P1009" s="7">
        <v>226</v>
      </c>
      <c r="Q1009" s="7" t="b">
        <v>1</v>
      </c>
      <c r="R1009" s="7"/>
      <c r="S1009" s="15" t="s">
        <v>20</v>
      </c>
    </row>
    <row r="1010" spans="1:19">
      <c r="A1010" s="3" t="s">
        <v>2096</v>
      </c>
      <c r="B1010" s="4" t="s">
        <v>2097</v>
      </c>
      <c r="C1010" s="5" t="s">
        <v>4127</v>
      </c>
      <c r="D1010" s="5">
        <v>45023</v>
      </c>
      <c r="E1010" s="4">
        <v>4</v>
      </c>
      <c r="F1010" s="4">
        <v>7</v>
      </c>
      <c r="G1010" s="4">
        <v>2023</v>
      </c>
      <c r="H1010" s="5">
        <f t="shared" si="45"/>
        <v>45023</v>
      </c>
      <c r="I1010" s="9">
        <v>45036</v>
      </c>
      <c r="J1010" s="4">
        <f t="shared" si="46"/>
        <v>13</v>
      </c>
      <c r="K1010" s="4" t="s">
        <v>19</v>
      </c>
      <c r="L1010" s="4">
        <v>57138</v>
      </c>
      <c r="M1010" s="4">
        <v>2085</v>
      </c>
      <c r="N1010" s="10">
        <v>1634.48</v>
      </c>
      <c r="O1010" s="10">
        <f t="shared" si="47"/>
        <v>1634.48</v>
      </c>
      <c r="P1010" s="4">
        <v>0</v>
      </c>
      <c r="Q1010" s="4" t="b">
        <v>1</v>
      </c>
      <c r="R1010" s="4"/>
      <c r="S1010" s="14" t="s">
        <v>20</v>
      </c>
    </row>
    <row r="1011" spans="1:19">
      <c r="A1011" s="6" t="s">
        <v>2098</v>
      </c>
      <c r="B1011" s="7" t="s">
        <v>2099</v>
      </c>
      <c r="C1011" s="8" t="s">
        <v>4128</v>
      </c>
      <c r="D1011" s="8">
        <v>44954</v>
      </c>
      <c r="E1011" s="7">
        <v>1</v>
      </c>
      <c r="F1011" s="7">
        <v>28</v>
      </c>
      <c r="G1011" s="7">
        <v>2023</v>
      </c>
      <c r="H1011" s="8">
        <f t="shared" si="45"/>
        <v>44954</v>
      </c>
      <c r="I1011" s="11">
        <v>44971</v>
      </c>
      <c r="J1011" s="7">
        <f t="shared" si="46"/>
        <v>17</v>
      </c>
      <c r="K1011" s="7" t="s">
        <v>41</v>
      </c>
      <c r="L1011" s="7">
        <v>77125</v>
      </c>
      <c r="M1011" s="7">
        <v>1055</v>
      </c>
      <c r="N1011" s="12">
        <v>1254.39</v>
      </c>
      <c r="O1011" s="12">
        <f t="shared" si="47"/>
        <v>1254.39</v>
      </c>
      <c r="P1011" s="7">
        <v>173</v>
      </c>
      <c r="Q1011" s="7" t="b">
        <v>0</v>
      </c>
      <c r="R1011" s="7"/>
      <c r="S1011" s="15" t="s">
        <v>42</v>
      </c>
    </row>
    <row r="1012" spans="1:19">
      <c r="A1012" s="3" t="s">
        <v>2100</v>
      </c>
      <c r="B1012" s="4" t="s">
        <v>2101</v>
      </c>
      <c r="C1012" s="5" t="s">
        <v>4127</v>
      </c>
      <c r="D1012" s="5">
        <v>45049</v>
      </c>
      <c r="E1012" s="4">
        <v>5</v>
      </c>
      <c r="F1012" s="4">
        <v>3</v>
      </c>
      <c r="G1012" s="4">
        <v>2023</v>
      </c>
      <c r="H1012" s="5">
        <f t="shared" si="45"/>
        <v>45049</v>
      </c>
      <c r="I1012" s="9">
        <v>45079</v>
      </c>
      <c r="J1012" s="4">
        <f t="shared" si="46"/>
        <v>30</v>
      </c>
      <c r="K1012" s="4" t="s">
        <v>234</v>
      </c>
      <c r="L1012" s="4">
        <v>14918</v>
      </c>
      <c r="M1012" s="4">
        <v>505</v>
      </c>
      <c r="N1012" s="10">
        <v>822.24</v>
      </c>
      <c r="O1012" s="10">
        <f t="shared" si="47"/>
        <v>822.24</v>
      </c>
      <c r="P1012" s="4">
        <v>93</v>
      </c>
      <c r="Q1012" s="4" t="b">
        <v>0</v>
      </c>
      <c r="R1012" s="4"/>
      <c r="S1012" s="14" t="s">
        <v>16</v>
      </c>
    </row>
    <row r="1013" spans="1:19">
      <c r="A1013" s="6" t="s">
        <v>2102</v>
      </c>
      <c r="B1013" s="7" t="s">
        <v>2103</v>
      </c>
      <c r="C1013" s="8" t="s">
        <v>4129</v>
      </c>
      <c r="D1013" s="8">
        <v>45182</v>
      </c>
      <c r="E1013" s="7">
        <v>9</v>
      </c>
      <c r="F1013" s="7">
        <v>13</v>
      </c>
      <c r="G1013" s="7">
        <v>2023</v>
      </c>
      <c r="H1013" s="8">
        <f t="shared" si="45"/>
        <v>45182</v>
      </c>
      <c r="I1013" s="11">
        <v>45190</v>
      </c>
      <c r="J1013" s="7">
        <f t="shared" si="46"/>
        <v>8</v>
      </c>
      <c r="K1013" s="7" t="s">
        <v>33</v>
      </c>
      <c r="L1013" s="7">
        <v>86655</v>
      </c>
      <c r="M1013" s="7">
        <v>2771</v>
      </c>
      <c r="N1013" s="12">
        <v>5149.37</v>
      </c>
      <c r="O1013" s="12">
        <f t="shared" si="47"/>
        <v>3632.575</v>
      </c>
      <c r="P1013" s="7">
        <v>414</v>
      </c>
      <c r="Q1013" s="7" t="b">
        <v>1</v>
      </c>
      <c r="R1013" s="7"/>
      <c r="S1013" s="15" t="s">
        <v>34</v>
      </c>
    </row>
    <row r="1014" spans="1:19">
      <c r="A1014" s="3" t="s">
        <v>2104</v>
      </c>
      <c r="B1014" s="4" t="s">
        <v>2105</v>
      </c>
      <c r="C1014" s="5" t="s">
        <v>4127</v>
      </c>
      <c r="D1014" s="5">
        <v>44933</v>
      </c>
      <c r="E1014" s="4">
        <v>1</v>
      </c>
      <c r="F1014" s="4">
        <v>7</v>
      </c>
      <c r="G1014" s="4">
        <v>2023</v>
      </c>
      <c r="H1014" s="5">
        <f t="shared" si="45"/>
        <v>44933</v>
      </c>
      <c r="I1014" s="9">
        <v>44963</v>
      </c>
      <c r="J1014" s="4">
        <f t="shared" si="46"/>
        <v>30</v>
      </c>
      <c r="K1014" s="4" t="s">
        <v>23</v>
      </c>
      <c r="L1014" s="4">
        <v>28446</v>
      </c>
      <c r="M1014" s="4">
        <v>1308</v>
      </c>
      <c r="N1014" s="10">
        <v>2293</v>
      </c>
      <c r="O1014" s="10">
        <f t="shared" si="47"/>
        <v>2293</v>
      </c>
      <c r="P1014" s="4">
        <v>86</v>
      </c>
      <c r="Q1014" s="4" t="b">
        <v>0</v>
      </c>
      <c r="R1014" s="4"/>
      <c r="S1014" s="14" t="s">
        <v>25</v>
      </c>
    </row>
    <row r="1015" spans="1:19">
      <c r="A1015" s="6" t="s">
        <v>2106</v>
      </c>
      <c r="B1015" s="7" t="s">
        <v>2107</v>
      </c>
      <c r="C1015" s="8" t="s">
        <v>4128</v>
      </c>
      <c r="D1015" s="8">
        <v>44994</v>
      </c>
      <c r="E1015" s="7">
        <v>3</v>
      </c>
      <c r="F1015" s="7">
        <v>9</v>
      </c>
      <c r="G1015" s="7">
        <v>2023</v>
      </c>
      <c r="H1015" s="8">
        <f t="shared" si="45"/>
        <v>44994</v>
      </c>
      <c r="I1015" s="11">
        <v>45024</v>
      </c>
      <c r="J1015" s="7">
        <f t="shared" si="46"/>
        <v>30</v>
      </c>
      <c r="K1015" s="7" t="s">
        <v>41</v>
      </c>
      <c r="L1015" s="7">
        <v>14046</v>
      </c>
      <c r="M1015" s="7">
        <v>367</v>
      </c>
      <c r="N1015" s="12">
        <v>291.89</v>
      </c>
      <c r="O1015" s="12">
        <f t="shared" si="47"/>
        <v>291.89</v>
      </c>
      <c r="P1015" s="7">
        <v>55</v>
      </c>
      <c r="Q1015" s="7" t="b">
        <v>1</v>
      </c>
      <c r="R1015" s="7"/>
      <c r="S1015" s="15" t="s">
        <v>42</v>
      </c>
    </row>
    <row r="1016" spans="1:19">
      <c r="A1016" s="3" t="s">
        <v>2108</v>
      </c>
      <c r="B1016" s="4" t="s">
        <v>2109</v>
      </c>
      <c r="C1016" s="5" t="s">
        <v>4131</v>
      </c>
      <c r="D1016" s="5">
        <v>45142</v>
      </c>
      <c r="E1016" s="4">
        <v>8</v>
      </c>
      <c r="F1016" s="4">
        <v>4</v>
      </c>
      <c r="G1016" s="4">
        <v>2023</v>
      </c>
      <c r="H1016" s="5">
        <f t="shared" si="45"/>
        <v>45142</v>
      </c>
      <c r="I1016" s="9">
        <v>45137</v>
      </c>
      <c r="J1016" s="4">
        <f t="shared" si="46"/>
        <v>-5</v>
      </c>
      <c r="K1016" s="4" t="s">
        <v>33</v>
      </c>
      <c r="L1016" s="4">
        <v>25818</v>
      </c>
      <c r="M1016" s="4">
        <v>589</v>
      </c>
      <c r="N1016" s="10">
        <v>684.26</v>
      </c>
      <c r="O1016" s="10">
        <f t="shared" si="47"/>
        <v>684.26</v>
      </c>
      <c r="P1016" s="4">
        <v>85</v>
      </c>
      <c r="Q1016" s="4" t="b">
        <v>0</v>
      </c>
      <c r="R1016" s="4"/>
      <c r="S1016" s="14" t="s">
        <v>34</v>
      </c>
    </row>
    <row r="1017" spans="1:19">
      <c r="A1017" s="6" t="s">
        <v>2110</v>
      </c>
      <c r="B1017" s="7" t="s">
        <v>2111</v>
      </c>
      <c r="C1017" s="8" t="s">
        <v>4128</v>
      </c>
      <c r="D1017" s="8">
        <v>45168</v>
      </c>
      <c r="E1017" s="7">
        <v>8</v>
      </c>
      <c r="F1017" s="7">
        <v>30</v>
      </c>
      <c r="G1017" s="7">
        <v>2023</v>
      </c>
      <c r="H1017" s="8">
        <f t="shared" si="45"/>
        <v>45168</v>
      </c>
      <c r="I1017" s="11">
        <v>45173</v>
      </c>
      <c r="J1017" s="7">
        <f t="shared" si="46"/>
        <v>5</v>
      </c>
      <c r="K1017" s="7" t="s">
        <v>234</v>
      </c>
      <c r="L1017" s="7">
        <v>5324</v>
      </c>
      <c r="M1017" s="7">
        <v>212</v>
      </c>
      <c r="N1017" s="12">
        <v>169.41</v>
      </c>
      <c r="O1017" s="12">
        <f t="shared" si="47"/>
        <v>169.41</v>
      </c>
      <c r="P1017" s="7">
        <v>36</v>
      </c>
      <c r="Q1017" s="7" t="b">
        <v>1</v>
      </c>
      <c r="R1017" s="7"/>
      <c r="S1017" s="15" t="s">
        <v>16</v>
      </c>
    </row>
    <row r="1018" spans="1:19">
      <c r="A1018" s="3" t="s">
        <v>2112</v>
      </c>
      <c r="B1018" s="4" t="s">
        <v>2113</v>
      </c>
      <c r="C1018" s="5" t="s">
        <v>4127</v>
      </c>
      <c r="D1018" s="5">
        <v>44935</v>
      </c>
      <c r="E1018" s="4">
        <v>1</v>
      </c>
      <c r="F1018" s="4">
        <v>9</v>
      </c>
      <c r="G1018" s="4">
        <v>2023</v>
      </c>
      <c r="H1018" s="5">
        <f t="shared" si="45"/>
        <v>44935</v>
      </c>
      <c r="I1018" s="9">
        <v>45174</v>
      </c>
      <c r="J1018" s="4">
        <f t="shared" si="46"/>
        <v>239</v>
      </c>
      <c r="K1018" s="4" t="s">
        <v>23</v>
      </c>
      <c r="L1018" s="4">
        <v>77323</v>
      </c>
      <c r="M1018" s="4">
        <v>2049</v>
      </c>
      <c r="N1018" s="10">
        <v>1837.35</v>
      </c>
      <c r="O1018" s="10">
        <f t="shared" si="47"/>
        <v>1837.35</v>
      </c>
      <c r="P1018" s="4">
        <v>0</v>
      </c>
      <c r="Q1018" s="4" t="b">
        <v>1</v>
      </c>
      <c r="R1018" s="4"/>
      <c r="S1018" s="14" t="s">
        <v>25</v>
      </c>
    </row>
    <row r="1019" spans="1:19">
      <c r="A1019" s="6" t="s">
        <v>2114</v>
      </c>
      <c r="B1019" s="7" t="s">
        <v>2115</v>
      </c>
      <c r="C1019" s="8" t="s">
        <v>4131</v>
      </c>
      <c r="D1019" s="8" t="s">
        <v>2116</v>
      </c>
      <c r="E1019" s="7">
        <v>21</v>
      </c>
      <c r="F1019" s="7">
        <v>4</v>
      </c>
      <c r="G1019" s="7">
        <v>2023</v>
      </c>
      <c r="H1019" s="8">
        <f t="shared" si="45"/>
        <v>45037</v>
      </c>
      <c r="I1019" s="11">
        <v>45038</v>
      </c>
      <c r="J1019" s="7">
        <f t="shared" si="46"/>
        <v>1</v>
      </c>
      <c r="K1019" s="7" t="s">
        <v>19</v>
      </c>
      <c r="L1019" s="7">
        <v>10111</v>
      </c>
      <c r="M1019" s="7">
        <v>362</v>
      </c>
      <c r="N1019" s="12">
        <v>454.43</v>
      </c>
      <c r="O1019" s="12">
        <f t="shared" si="47"/>
        <v>454.43</v>
      </c>
      <c r="P1019" s="7">
        <v>65</v>
      </c>
      <c r="Q1019" s="7" t="b">
        <v>0</v>
      </c>
      <c r="R1019" s="7"/>
      <c r="S1019" s="15" t="s">
        <v>20</v>
      </c>
    </row>
    <row r="1020" spans="1:19">
      <c r="A1020" s="3" t="s">
        <v>2117</v>
      </c>
      <c r="B1020" s="4" t="s">
        <v>2118</v>
      </c>
      <c r="C1020" s="5" t="s">
        <v>4127</v>
      </c>
      <c r="D1020" s="5">
        <v>44957</v>
      </c>
      <c r="E1020" s="4">
        <v>1</v>
      </c>
      <c r="F1020" s="4">
        <v>31</v>
      </c>
      <c r="G1020" s="4">
        <v>2023</v>
      </c>
      <c r="H1020" s="5">
        <f t="shared" si="45"/>
        <v>44957</v>
      </c>
      <c r="I1020" s="9">
        <v>44963</v>
      </c>
      <c r="J1020" s="4">
        <f t="shared" si="46"/>
        <v>6</v>
      </c>
      <c r="K1020" s="4" t="s">
        <v>138</v>
      </c>
      <c r="L1020" s="4">
        <v>39110</v>
      </c>
      <c r="M1020" s="4">
        <v>1402</v>
      </c>
      <c r="N1020" s="10">
        <v>844.23</v>
      </c>
      <c r="O1020" s="10">
        <f t="shared" si="47"/>
        <v>844.23</v>
      </c>
      <c r="P1020" s="4">
        <v>157</v>
      </c>
      <c r="Q1020" s="4" t="b">
        <v>1</v>
      </c>
      <c r="R1020" s="4"/>
      <c r="S1020" s="14" t="s">
        <v>139</v>
      </c>
    </row>
    <row r="1021" spans="1:19">
      <c r="A1021" s="6" t="s">
        <v>2119</v>
      </c>
      <c r="B1021" s="7" t="s">
        <v>2120</v>
      </c>
      <c r="C1021" s="8" t="s">
        <v>4128</v>
      </c>
      <c r="D1021" s="8">
        <v>45073</v>
      </c>
      <c r="E1021" s="7">
        <v>5</v>
      </c>
      <c r="F1021" s="7">
        <v>27</v>
      </c>
      <c r="G1021" s="7">
        <v>2023</v>
      </c>
      <c r="H1021" s="8">
        <f t="shared" si="45"/>
        <v>45073</v>
      </c>
      <c r="I1021" s="11">
        <v>45076</v>
      </c>
      <c r="J1021" s="7">
        <f t="shared" si="46"/>
        <v>3</v>
      </c>
      <c r="K1021" s="7" t="s">
        <v>14</v>
      </c>
      <c r="L1021" s="7">
        <v>17389</v>
      </c>
      <c r="M1021" s="7">
        <v>791</v>
      </c>
      <c r="N1021" s="12">
        <v>654.36</v>
      </c>
      <c r="O1021" s="12">
        <f t="shared" si="47"/>
        <v>654.36</v>
      </c>
      <c r="P1021" s="7">
        <v>122</v>
      </c>
      <c r="Q1021" s="7" t="b">
        <v>0</v>
      </c>
      <c r="R1021" s="7"/>
      <c r="S1021" s="15" t="s">
        <v>16</v>
      </c>
    </row>
    <row r="1022" spans="1:19">
      <c r="A1022" s="3" t="s">
        <v>2121</v>
      </c>
      <c r="B1022" s="4" t="s">
        <v>2122</v>
      </c>
      <c r="C1022" s="5" t="s">
        <v>4128</v>
      </c>
      <c r="D1022" s="5">
        <v>45139</v>
      </c>
      <c r="E1022" s="4">
        <v>8</v>
      </c>
      <c r="F1022" s="4">
        <v>1</v>
      </c>
      <c r="G1022" s="4">
        <v>2023</v>
      </c>
      <c r="H1022" s="5">
        <f t="shared" si="45"/>
        <v>45139</v>
      </c>
      <c r="I1022" s="9">
        <v>45158</v>
      </c>
      <c r="J1022" s="4">
        <f t="shared" si="46"/>
        <v>19</v>
      </c>
      <c r="K1022" s="4" t="s">
        <v>14</v>
      </c>
      <c r="L1022" s="4">
        <v>42427</v>
      </c>
      <c r="M1022" s="4">
        <v>1440</v>
      </c>
      <c r="N1022" s="10">
        <v>2740.42</v>
      </c>
      <c r="O1022" s="10">
        <f t="shared" si="47"/>
        <v>2740.42</v>
      </c>
      <c r="P1022" s="4">
        <v>0</v>
      </c>
      <c r="Q1022" s="4" t="b">
        <v>1</v>
      </c>
      <c r="R1022" s="4"/>
      <c r="S1022" s="14" t="s">
        <v>16</v>
      </c>
    </row>
    <row r="1023" spans="1:19">
      <c r="A1023" s="6" t="s">
        <v>2123</v>
      </c>
      <c r="B1023" s="7" t="s">
        <v>2124</v>
      </c>
      <c r="C1023" s="8" t="s">
        <v>4127</v>
      </c>
      <c r="D1023" s="8">
        <v>45254</v>
      </c>
      <c r="E1023" s="7">
        <v>11</v>
      </c>
      <c r="F1023" s="7">
        <v>24</v>
      </c>
      <c r="G1023" s="7">
        <v>2023</v>
      </c>
      <c r="H1023" s="8">
        <f t="shared" si="45"/>
        <v>45254</v>
      </c>
      <c r="I1023" s="11">
        <v>45249</v>
      </c>
      <c r="J1023" s="7">
        <f t="shared" si="46"/>
        <v>-5</v>
      </c>
      <c r="K1023" s="7" t="s">
        <v>23</v>
      </c>
      <c r="L1023" s="7">
        <v>80579</v>
      </c>
      <c r="M1023" s="7">
        <v>2424</v>
      </c>
      <c r="N1023" s="12">
        <v>2906.8</v>
      </c>
      <c r="O1023" s="12">
        <f t="shared" si="47"/>
        <v>2906.8</v>
      </c>
      <c r="P1023" s="7">
        <v>484</v>
      </c>
      <c r="Q1023" s="7" t="b">
        <v>1</v>
      </c>
      <c r="R1023" s="7"/>
      <c r="S1023" s="15" t="s">
        <v>25</v>
      </c>
    </row>
    <row r="1024" spans="1:19">
      <c r="A1024" s="3" t="s">
        <v>2125</v>
      </c>
      <c r="B1024" s="4" t="s">
        <v>2126</v>
      </c>
      <c r="C1024" s="5" t="s">
        <v>4129</v>
      </c>
      <c r="D1024" s="5" t="s">
        <v>2127</v>
      </c>
      <c r="E1024" s="4">
        <v>23</v>
      </c>
      <c r="F1024" s="4">
        <v>5</v>
      </c>
      <c r="G1024" s="4">
        <v>2023</v>
      </c>
      <c r="H1024" s="5">
        <f t="shared" si="45"/>
        <v>45069</v>
      </c>
      <c r="I1024" s="9">
        <v>45091</v>
      </c>
      <c r="J1024" s="4">
        <f t="shared" si="46"/>
        <v>22</v>
      </c>
      <c r="K1024" s="4" t="s">
        <v>33</v>
      </c>
      <c r="L1024" s="4">
        <v>29746</v>
      </c>
      <c r="M1024" s="4">
        <v>462</v>
      </c>
      <c r="N1024" s="10">
        <v>539.65</v>
      </c>
      <c r="O1024" s="10">
        <f t="shared" si="47"/>
        <v>539.65</v>
      </c>
      <c r="P1024" s="4">
        <v>35</v>
      </c>
      <c r="Q1024" s="4" t="b">
        <v>1</v>
      </c>
      <c r="R1024" s="4"/>
      <c r="S1024" s="14" t="s">
        <v>34</v>
      </c>
    </row>
    <row r="1025" spans="1:19">
      <c r="A1025" s="6" t="s">
        <v>2128</v>
      </c>
      <c r="B1025" s="7" t="s">
        <v>2129</v>
      </c>
      <c r="C1025" s="8" t="s">
        <v>4129</v>
      </c>
      <c r="D1025" s="8">
        <v>44967</v>
      </c>
      <c r="E1025" s="7">
        <v>2</v>
      </c>
      <c r="F1025" s="7">
        <v>10</v>
      </c>
      <c r="G1025" s="7">
        <v>2023</v>
      </c>
      <c r="H1025" s="8">
        <f t="shared" si="45"/>
        <v>44967</v>
      </c>
      <c r="I1025" s="11">
        <v>44974</v>
      </c>
      <c r="J1025" s="7">
        <f t="shared" si="46"/>
        <v>7</v>
      </c>
      <c r="K1025" s="7" t="s">
        <v>14</v>
      </c>
      <c r="L1025" s="7">
        <v>88886</v>
      </c>
      <c r="M1025" s="7">
        <v>1300</v>
      </c>
      <c r="N1025" s="12">
        <v>678.41</v>
      </c>
      <c r="O1025" s="12">
        <f t="shared" si="47"/>
        <v>678.41</v>
      </c>
      <c r="P1025" s="7">
        <v>66</v>
      </c>
      <c r="Q1025" s="7" t="b">
        <v>1</v>
      </c>
      <c r="R1025" s="7"/>
      <c r="S1025" s="15" t="s">
        <v>16</v>
      </c>
    </row>
    <row r="1026" spans="1:19">
      <c r="A1026" s="3" t="s">
        <v>2130</v>
      </c>
      <c r="B1026" s="4" t="s">
        <v>2131</v>
      </c>
      <c r="C1026" s="5" t="s">
        <v>4127</v>
      </c>
      <c r="D1026" s="5">
        <v>45006</v>
      </c>
      <c r="E1026" s="4">
        <v>3</v>
      </c>
      <c r="F1026" s="4">
        <v>21</v>
      </c>
      <c r="G1026" s="4">
        <v>2023</v>
      </c>
      <c r="H1026" s="5">
        <f t="shared" ref="H1026:H1089" si="48">IF(E1026&gt;12,DATE(G1026,F1026,E1026),D1026)</f>
        <v>45006</v>
      </c>
      <c r="I1026" s="9">
        <v>45021</v>
      </c>
      <c r="J1026" s="4">
        <f t="shared" ref="J1026:J1089" si="49">DATEDIF(H1026,I1026,"D")</f>
        <v>15</v>
      </c>
      <c r="K1026" s="4" t="s">
        <v>14</v>
      </c>
      <c r="L1026" s="4">
        <v>1117</v>
      </c>
      <c r="M1026" s="4">
        <v>18</v>
      </c>
      <c r="N1026" s="10">
        <v>15.68</v>
      </c>
      <c r="O1026" s="10">
        <f t="shared" si="47"/>
        <v>15.68</v>
      </c>
      <c r="P1026" s="4">
        <v>1</v>
      </c>
      <c r="Q1026" s="4" t="b">
        <v>0</v>
      </c>
      <c r="R1026" s="4"/>
      <c r="S1026" s="14" t="s">
        <v>16</v>
      </c>
    </row>
    <row r="1027" spans="1:19">
      <c r="A1027" s="6" t="s">
        <v>2132</v>
      </c>
      <c r="B1027" s="7" t="s">
        <v>2133</v>
      </c>
      <c r="C1027" s="8" t="s">
        <v>4127</v>
      </c>
      <c r="D1027" s="8">
        <v>45251</v>
      </c>
      <c r="E1027" s="7">
        <v>11</v>
      </c>
      <c r="F1027" s="7">
        <v>21</v>
      </c>
      <c r="G1027" s="7">
        <v>2023</v>
      </c>
      <c r="H1027" s="8">
        <f t="shared" si="48"/>
        <v>45251</v>
      </c>
      <c r="I1027" s="11">
        <v>45273</v>
      </c>
      <c r="J1027" s="7">
        <f t="shared" si="49"/>
        <v>22</v>
      </c>
      <c r="K1027" s="7" t="s">
        <v>41</v>
      </c>
      <c r="L1027" s="7">
        <v>85471</v>
      </c>
      <c r="M1027" s="7">
        <v>1442</v>
      </c>
      <c r="N1027" s="12">
        <v>2594.79</v>
      </c>
      <c r="O1027" s="12">
        <f t="shared" ref="O1027:O1090" si="50">IF(N1027&lt;$V$6,$V$6,IF(N1027&gt;$V$7,$V$7,N1027))</f>
        <v>2594.79</v>
      </c>
      <c r="P1027" s="7">
        <v>239</v>
      </c>
      <c r="Q1027" s="7" t="b">
        <v>0</v>
      </c>
      <c r="R1027" s="7"/>
      <c r="S1027" s="15" t="s">
        <v>42</v>
      </c>
    </row>
    <row r="1028" spans="1:19">
      <c r="A1028" s="3" t="s">
        <v>2134</v>
      </c>
      <c r="B1028" s="4" t="s">
        <v>2135</v>
      </c>
      <c r="C1028" s="5" t="s">
        <v>4131</v>
      </c>
      <c r="D1028" s="5" t="s">
        <v>2136</v>
      </c>
      <c r="E1028" s="4">
        <v>26</v>
      </c>
      <c r="F1028" s="4">
        <v>11</v>
      </c>
      <c r="G1028" s="4">
        <v>2023</v>
      </c>
      <c r="H1028" s="5">
        <f t="shared" si="48"/>
        <v>45256</v>
      </c>
      <c r="I1028" s="9">
        <v>45274</v>
      </c>
      <c r="J1028" s="4">
        <f t="shared" si="49"/>
        <v>18</v>
      </c>
      <c r="K1028" s="4" t="s">
        <v>23</v>
      </c>
      <c r="L1028" s="4">
        <v>14234</v>
      </c>
      <c r="M1028" s="4">
        <v>505</v>
      </c>
      <c r="N1028" s="10">
        <v>377.21</v>
      </c>
      <c r="O1028" s="10">
        <f t="shared" si="50"/>
        <v>377.21</v>
      </c>
      <c r="P1028" s="4">
        <v>59</v>
      </c>
      <c r="Q1028" s="4" t="b">
        <v>1</v>
      </c>
      <c r="R1028" s="4"/>
      <c r="S1028" s="14" t="s">
        <v>25</v>
      </c>
    </row>
    <row r="1029" spans="1:19">
      <c r="A1029" s="6" t="s">
        <v>2137</v>
      </c>
      <c r="B1029" s="7" t="s">
        <v>2138</v>
      </c>
      <c r="C1029" s="8" t="s">
        <v>4127</v>
      </c>
      <c r="D1029" s="8">
        <v>45284</v>
      </c>
      <c r="E1029" s="7">
        <v>12</v>
      </c>
      <c r="F1029" s="7">
        <v>24</v>
      </c>
      <c r="G1029" s="7">
        <v>2023</v>
      </c>
      <c r="H1029" s="8">
        <f t="shared" si="48"/>
        <v>45284</v>
      </c>
      <c r="I1029" s="11">
        <v>45296</v>
      </c>
      <c r="J1029" s="7">
        <f t="shared" si="49"/>
        <v>12</v>
      </c>
      <c r="K1029" s="7" t="s">
        <v>14</v>
      </c>
      <c r="L1029" s="7">
        <v>54441</v>
      </c>
      <c r="M1029" s="7">
        <v>2158</v>
      </c>
      <c r="N1029" s="12">
        <v>2422.76</v>
      </c>
      <c r="O1029" s="12">
        <f t="shared" si="50"/>
        <v>2422.76</v>
      </c>
      <c r="P1029" s="7">
        <v>252</v>
      </c>
      <c r="Q1029" s="7" t="b">
        <v>1</v>
      </c>
      <c r="R1029" s="7"/>
      <c r="S1029" s="15" t="s">
        <v>16</v>
      </c>
    </row>
    <row r="1030" spans="1:19">
      <c r="A1030" s="3" t="s">
        <v>2139</v>
      </c>
      <c r="B1030" s="4" t="s">
        <v>2140</v>
      </c>
      <c r="C1030" s="5" t="s">
        <v>4131</v>
      </c>
      <c r="D1030" s="5">
        <v>44990</v>
      </c>
      <c r="E1030" s="4">
        <v>3</v>
      </c>
      <c r="F1030" s="4">
        <v>5</v>
      </c>
      <c r="G1030" s="4">
        <v>2023</v>
      </c>
      <c r="H1030" s="5">
        <f t="shared" si="48"/>
        <v>44990</v>
      </c>
      <c r="I1030" s="9">
        <v>44985</v>
      </c>
      <c r="J1030" s="4">
        <f t="shared" si="49"/>
        <v>-5</v>
      </c>
      <c r="K1030" s="4" t="s">
        <v>14</v>
      </c>
      <c r="L1030" s="4">
        <v>1846</v>
      </c>
      <c r="M1030" s="4">
        <v>57</v>
      </c>
      <c r="N1030" s="10">
        <v>29.73</v>
      </c>
      <c r="O1030" s="10">
        <f t="shared" si="50"/>
        <v>29.73</v>
      </c>
      <c r="P1030" s="4">
        <v>0</v>
      </c>
      <c r="Q1030" s="4" t="b">
        <v>1</v>
      </c>
      <c r="R1030" s="4"/>
      <c r="S1030" s="14" t="s">
        <v>16</v>
      </c>
    </row>
    <row r="1031" spans="1:19">
      <c r="A1031" s="6" t="s">
        <v>2141</v>
      </c>
      <c r="B1031" s="7" t="s">
        <v>2142</v>
      </c>
      <c r="C1031" s="8" t="s">
        <v>4129</v>
      </c>
      <c r="D1031" s="8">
        <v>44971</v>
      </c>
      <c r="E1031" s="7">
        <v>2</v>
      </c>
      <c r="F1031" s="7">
        <v>14</v>
      </c>
      <c r="G1031" s="7">
        <v>2023</v>
      </c>
      <c r="H1031" s="8">
        <f t="shared" si="48"/>
        <v>44971</v>
      </c>
      <c r="I1031" s="11">
        <v>44980</v>
      </c>
      <c r="J1031" s="7">
        <f t="shared" si="49"/>
        <v>9</v>
      </c>
      <c r="K1031" s="7" t="s">
        <v>19</v>
      </c>
      <c r="L1031" s="7">
        <v>11954</v>
      </c>
      <c r="M1031" s="7">
        <v>515</v>
      </c>
      <c r="N1031" s="12">
        <v>627.01</v>
      </c>
      <c r="O1031" s="12">
        <f t="shared" si="50"/>
        <v>627.01</v>
      </c>
      <c r="P1031" s="7">
        <v>96</v>
      </c>
      <c r="Q1031" s="7" t="b">
        <v>1</v>
      </c>
      <c r="R1031" s="7"/>
      <c r="S1031" s="15" t="s">
        <v>20</v>
      </c>
    </row>
    <row r="1032" spans="1:19">
      <c r="A1032" s="3" t="s">
        <v>2143</v>
      </c>
      <c r="B1032" s="4" t="s">
        <v>2144</v>
      </c>
      <c r="C1032" s="5" t="s">
        <v>4127</v>
      </c>
      <c r="D1032" s="5">
        <v>45240</v>
      </c>
      <c r="E1032" s="4">
        <v>11</v>
      </c>
      <c r="F1032" s="4">
        <v>10</v>
      </c>
      <c r="G1032" s="4">
        <v>2023</v>
      </c>
      <c r="H1032" s="5">
        <f t="shared" si="48"/>
        <v>45240</v>
      </c>
      <c r="I1032" s="9">
        <v>45256</v>
      </c>
      <c r="J1032" s="4">
        <f t="shared" si="49"/>
        <v>16</v>
      </c>
      <c r="K1032" s="4" t="s">
        <v>14</v>
      </c>
      <c r="L1032" s="4">
        <v>80239</v>
      </c>
      <c r="M1032" s="4">
        <v>3983</v>
      </c>
      <c r="N1032" s="10">
        <v>2117.09</v>
      </c>
      <c r="O1032" s="10">
        <f t="shared" si="50"/>
        <v>2117.09</v>
      </c>
      <c r="P1032" s="4">
        <v>385</v>
      </c>
      <c r="Q1032" s="4" t="b">
        <v>0</v>
      </c>
      <c r="R1032" s="4"/>
      <c r="S1032" s="14" t="s">
        <v>16</v>
      </c>
    </row>
    <row r="1033" spans="1:19">
      <c r="A1033" s="6" t="s">
        <v>2145</v>
      </c>
      <c r="B1033" s="7" t="s">
        <v>2146</v>
      </c>
      <c r="C1033" s="8" t="s">
        <v>4131</v>
      </c>
      <c r="D1033" s="8">
        <v>45263</v>
      </c>
      <c r="E1033" s="7">
        <v>12</v>
      </c>
      <c r="F1033" s="7">
        <v>3</v>
      </c>
      <c r="G1033" s="7">
        <v>2023</v>
      </c>
      <c r="H1033" s="8">
        <f t="shared" si="48"/>
        <v>45263</v>
      </c>
      <c r="I1033" s="11">
        <v>45266</v>
      </c>
      <c r="J1033" s="7">
        <f t="shared" si="49"/>
        <v>3</v>
      </c>
      <c r="K1033" s="7" t="s">
        <v>19</v>
      </c>
      <c r="L1033" s="7">
        <v>47514</v>
      </c>
      <c r="M1033" s="7">
        <v>2033</v>
      </c>
      <c r="N1033" s="12">
        <v>3515.9</v>
      </c>
      <c r="O1033" s="12">
        <f t="shared" si="50"/>
        <v>3515.9</v>
      </c>
      <c r="P1033" s="7">
        <v>165</v>
      </c>
      <c r="Q1033" s="7" t="b">
        <v>1</v>
      </c>
      <c r="R1033" s="7"/>
      <c r="S1033" s="15" t="s">
        <v>20</v>
      </c>
    </row>
    <row r="1034" spans="1:19">
      <c r="A1034" s="3" t="s">
        <v>2147</v>
      </c>
      <c r="B1034" s="4" t="s">
        <v>2148</v>
      </c>
      <c r="C1034" s="5" t="s">
        <v>4131</v>
      </c>
      <c r="D1034" s="5">
        <v>45289</v>
      </c>
      <c r="E1034" s="4">
        <v>12</v>
      </c>
      <c r="F1034" s="4">
        <v>29</v>
      </c>
      <c r="G1034" s="4">
        <v>2023</v>
      </c>
      <c r="H1034" s="5">
        <f t="shared" si="48"/>
        <v>45289</v>
      </c>
      <c r="I1034" s="9">
        <v>45315</v>
      </c>
      <c r="J1034" s="4">
        <f t="shared" si="49"/>
        <v>26</v>
      </c>
      <c r="K1034" s="4" t="s">
        <v>19</v>
      </c>
      <c r="L1034" s="4">
        <v>89236</v>
      </c>
      <c r="M1034" s="4">
        <v>3372</v>
      </c>
      <c r="N1034" s="10">
        <v>5858.11</v>
      </c>
      <c r="O1034" s="10">
        <f t="shared" si="50"/>
        <v>3632.575</v>
      </c>
      <c r="P1034" s="4">
        <v>597</v>
      </c>
      <c r="Q1034" s="4" t="b">
        <v>0</v>
      </c>
      <c r="R1034" s="4"/>
      <c r="S1034" s="14" t="s">
        <v>20</v>
      </c>
    </row>
    <row r="1035" spans="1:19">
      <c r="A1035" s="6" t="s">
        <v>2149</v>
      </c>
      <c r="B1035" s="7" t="s">
        <v>2150</v>
      </c>
      <c r="C1035" s="8" t="s">
        <v>4131</v>
      </c>
      <c r="D1035" s="8">
        <v>45181</v>
      </c>
      <c r="E1035" s="7">
        <v>9</v>
      </c>
      <c r="F1035" s="7">
        <v>12</v>
      </c>
      <c r="G1035" s="7">
        <v>2023</v>
      </c>
      <c r="H1035" s="8">
        <f t="shared" si="48"/>
        <v>45181</v>
      </c>
      <c r="I1035" s="11">
        <v>45203</v>
      </c>
      <c r="J1035" s="7">
        <f t="shared" si="49"/>
        <v>22</v>
      </c>
      <c r="K1035" s="7" t="s">
        <v>41</v>
      </c>
      <c r="L1035" s="7">
        <v>98579</v>
      </c>
      <c r="M1035" s="7">
        <v>3085</v>
      </c>
      <c r="N1035" s="12">
        <v>5187.78</v>
      </c>
      <c r="O1035" s="12">
        <f t="shared" si="50"/>
        <v>3632.575</v>
      </c>
      <c r="P1035" s="7">
        <v>573</v>
      </c>
      <c r="Q1035" s="7" t="b">
        <v>1</v>
      </c>
      <c r="R1035" s="7"/>
      <c r="S1035" s="15" t="s">
        <v>42</v>
      </c>
    </row>
    <row r="1036" spans="1:19">
      <c r="A1036" s="3" t="s">
        <v>2151</v>
      </c>
      <c r="B1036" s="4" t="s">
        <v>2152</v>
      </c>
      <c r="C1036" s="5" t="s">
        <v>4129</v>
      </c>
      <c r="D1036" s="5">
        <v>45059</v>
      </c>
      <c r="E1036" s="4">
        <v>5</v>
      </c>
      <c r="F1036" s="4">
        <v>13</v>
      </c>
      <c r="G1036" s="4">
        <v>2023</v>
      </c>
      <c r="H1036" s="5">
        <f t="shared" si="48"/>
        <v>45059</v>
      </c>
      <c r="I1036" s="9">
        <v>45065</v>
      </c>
      <c r="J1036" s="4">
        <f t="shared" si="49"/>
        <v>6</v>
      </c>
      <c r="K1036" s="4" t="s">
        <v>19</v>
      </c>
      <c r="L1036" s="4">
        <v>7469</v>
      </c>
      <c r="M1036" s="4">
        <v>208</v>
      </c>
      <c r="N1036" s="10">
        <v>192.41</v>
      </c>
      <c r="O1036" s="10">
        <f t="shared" si="50"/>
        <v>192.41</v>
      </c>
      <c r="P1036" s="4">
        <v>27</v>
      </c>
      <c r="Q1036" s="4" t="b">
        <v>0</v>
      </c>
      <c r="R1036" s="4">
        <v>7539</v>
      </c>
      <c r="S1036" s="14" t="s">
        <v>20</v>
      </c>
    </row>
    <row r="1037" spans="1:19">
      <c r="A1037" s="6" t="s">
        <v>2153</v>
      </c>
      <c r="B1037" s="7" t="s">
        <v>2154</v>
      </c>
      <c r="C1037" s="8" t="s">
        <v>4131</v>
      </c>
      <c r="D1037" s="8">
        <v>45064</v>
      </c>
      <c r="E1037" s="7">
        <v>5</v>
      </c>
      <c r="F1037" s="7">
        <v>18</v>
      </c>
      <c r="G1037" s="7">
        <v>2023</v>
      </c>
      <c r="H1037" s="8">
        <f t="shared" si="48"/>
        <v>45064</v>
      </c>
      <c r="I1037" s="11">
        <v>45083</v>
      </c>
      <c r="J1037" s="7">
        <f t="shared" si="49"/>
        <v>19</v>
      </c>
      <c r="K1037" s="7" t="s">
        <v>19</v>
      </c>
      <c r="L1037" s="7">
        <v>31105</v>
      </c>
      <c r="M1037" s="7">
        <v>416</v>
      </c>
      <c r="N1037" s="12">
        <v>730.44</v>
      </c>
      <c r="O1037" s="12">
        <f t="shared" si="50"/>
        <v>730.44</v>
      </c>
      <c r="P1037" s="7">
        <v>60</v>
      </c>
      <c r="Q1037" s="7" t="b">
        <v>0</v>
      </c>
      <c r="R1037" s="7"/>
      <c r="S1037" s="15" t="s">
        <v>20</v>
      </c>
    </row>
    <row r="1038" spans="1:19">
      <c r="A1038" s="3" t="s">
        <v>2155</v>
      </c>
      <c r="B1038" s="4" t="s">
        <v>2156</v>
      </c>
      <c r="C1038" s="5" t="s">
        <v>4129</v>
      </c>
      <c r="D1038" s="5">
        <v>44942</v>
      </c>
      <c r="E1038" s="4">
        <v>1</v>
      </c>
      <c r="F1038" s="4">
        <v>16</v>
      </c>
      <c r="G1038" s="4">
        <v>2023</v>
      </c>
      <c r="H1038" s="5">
        <f t="shared" si="48"/>
        <v>44942</v>
      </c>
      <c r="I1038" s="9">
        <v>44956</v>
      </c>
      <c r="J1038" s="4">
        <f t="shared" si="49"/>
        <v>14</v>
      </c>
      <c r="K1038" s="4" t="s">
        <v>23</v>
      </c>
      <c r="L1038" s="4">
        <v>43101</v>
      </c>
      <c r="M1038" s="4">
        <v>1119</v>
      </c>
      <c r="N1038" s="10">
        <v>1470.92</v>
      </c>
      <c r="O1038" s="10">
        <f t="shared" si="50"/>
        <v>1470.92</v>
      </c>
      <c r="P1038" s="4">
        <v>99</v>
      </c>
      <c r="Q1038" s="4" t="b">
        <v>1</v>
      </c>
      <c r="R1038" s="4"/>
      <c r="S1038" s="14" t="s">
        <v>25</v>
      </c>
    </row>
    <row r="1039" spans="1:19">
      <c r="A1039" s="6" t="s">
        <v>2157</v>
      </c>
      <c r="B1039" s="7" t="s">
        <v>2158</v>
      </c>
      <c r="C1039" s="8" t="s">
        <v>4131</v>
      </c>
      <c r="D1039" s="8" t="s">
        <v>2159</v>
      </c>
      <c r="E1039" s="7">
        <v>26</v>
      </c>
      <c r="F1039" s="7">
        <v>9</v>
      </c>
      <c r="G1039" s="7">
        <v>2023</v>
      </c>
      <c r="H1039" s="8">
        <f t="shared" si="48"/>
        <v>45195</v>
      </c>
      <c r="I1039" s="11">
        <v>45199</v>
      </c>
      <c r="J1039" s="7">
        <f t="shared" si="49"/>
        <v>4</v>
      </c>
      <c r="K1039" s="7" t="s">
        <v>19</v>
      </c>
      <c r="L1039" s="7">
        <v>65323</v>
      </c>
      <c r="M1039" s="7">
        <v>3031</v>
      </c>
      <c r="N1039" s="12">
        <v>3215.02</v>
      </c>
      <c r="O1039" s="12">
        <f t="shared" si="50"/>
        <v>3215.02</v>
      </c>
      <c r="P1039" s="7">
        <v>515</v>
      </c>
      <c r="Q1039" s="7" t="b">
        <v>0</v>
      </c>
      <c r="R1039" s="7"/>
      <c r="S1039" s="15" t="s">
        <v>20</v>
      </c>
    </row>
    <row r="1040" spans="1:19">
      <c r="A1040" s="3" t="s">
        <v>2160</v>
      </c>
      <c r="B1040" s="4" t="s">
        <v>2161</v>
      </c>
      <c r="C1040" s="5" t="s">
        <v>4131</v>
      </c>
      <c r="D1040" s="5">
        <v>45291</v>
      </c>
      <c r="E1040" s="4">
        <v>12</v>
      </c>
      <c r="F1040" s="4">
        <v>31</v>
      </c>
      <c r="G1040" s="4">
        <v>2023</v>
      </c>
      <c r="H1040" s="5">
        <f t="shared" si="48"/>
        <v>45291</v>
      </c>
      <c r="I1040" s="9">
        <v>45309</v>
      </c>
      <c r="J1040" s="4">
        <f t="shared" si="49"/>
        <v>18</v>
      </c>
      <c r="K1040" s="4" t="s">
        <v>23</v>
      </c>
      <c r="L1040" s="4">
        <v>92922</v>
      </c>
      <c r="M1040" s="4">
        <v>3932</v>
      </c>
      <c r="N1040" s="10">
        <v>5654.2</v>
      </c>
      <c r="O1040" s="10">
        <f t="shared" si="50"/>
        <v>3632.575</v>
      </c>
      <c r="P1040" s="4">
        <v>569</v>
      </c>
      <c r="Q1040" s="4" t="b">
        <v>1</v>
      </c>
      <c r="R1040" s="4"/>
      <c r="S1040" s="14" t="s">
        <v>25</v>
      </c>
    </row>
    <row r="1041" spans="1:19">
      <c r="A1041" s="6" t="s">
        <v>2162</v>
      </c>
      <c r="B1041" s="7" t="s">
        <v>2163</v>
      </c>
      <c r="C1041" s="8" t="s">
        <v>4128</v>
      </c>
      <c r="D1041" s="8">
        <v>45181</v>
      </c>
      <c r="E1041" s="7">
        <v>9</v>
      </c>
      <c r="F1041" s="7">
        <v>12</v>
      </c>
      <c r="G1041" s="7">
        <v>2023</v>
      </c>
      <c r="H1041" s="8">
        <f t="shared" si="48"/>
        <v>45181</v>
      </c>
      <c r="I1041" s="11">
        <v>45183</v>
      </c>
      <c r="J1041" s="7">
        <f t="shared" si="49"/>
        <v>2</v>
      </c>
      <c r="K1041" s="7" t="s">
        <v>14</v>
      </c>
      <c r="L1041" s="7">
        <v>59067</v>
      </c>
      <c r="M1041" s="7">
        <v>1101</v>
      </c>
      <c r="N1041" s="12">
        <v>570.88</v>
      </c>
      <c r="O1041" s="12">
        <f t="shared" si="50"/>
        <v>570.88</v>
      </c>
      <c r="P1041" s="7">
        <v>138</v>
      </c>
      <c r="Q1041" s="7" t="b">
        <v>1</v>
      </c>
      <c r="R1041" s="7"/>
      <c r="S1041" s="15" t="s">
        <v>16</v>
      </c>
    </row>
    <row r="1042" spans="1:19">
      <c r="A1042" s="3" t="s">
        <v>2164</v>
      </c>
      <c r="B1042" s="4" t="s">
        <v>2165</v>
      </c>
      <c r="C1042" s="5" t="s">
        <v>4131</v>
      </c>
      <c r="D1042" s="5">
        <v>45182</v>
      </c>
      <c r="E1042" s="4">
        <v>9</v>
      </c>
      <c r="F1042" s="4">
        <v>13</v>
      </c>
      <c r="G1042" s="4">
        <v>2023</v>
      </c>
      <c r="H1042" s="5">
        <f t="shared" si="48"/>
        <v>45182</v>
      </c>
      <c r="I1042" s="9">
        <v>45190</v>
      </c>
      <c r="J1042" s="4">
        <f t="shared" si="49"/>
        <v>8</v>
      </c>
      <c r="K1042" s="4" t="s">
        <v>19</v>
      </c>
      <c r="L1042" s="4">
        <v>50376</v>
      </c>
      <c r="M1042" s="4">
        <v>1443</v>
      </c>
      <c r="N1042" s="10">
        <v>1030.94</v>
      </c>
      <c r="O1042" s="10">
        <f t="shared" si="50"/>
        <v>1030.94</v>
      </c>
      <c r="P1042" s="4">
        <v>85</v>
      </c>
      <c r="Q1042" s="4" t="b">
        <v>1</v>
      </c>
      <c r="R1042" s="4"/>
      <c r="S1042" s="14" t="s">
        <v>20</v>
      </c>
    </row>
    <row r="1043" spans="1:19">
      <c r="A1043" s="6" t="s">
        <v>2166</v>
      </c>
      <c r="B1043" s="7" t="s">
        <v>2167</v>
      </c>
      <c r="C1043" s="8" t="s">
        <v>4128</v>
      </c>
      <c r="D1043" s="8">
        <v>45007</v>
      </c>
      <c r="E1043" s="7">
        <v>3</v>
      </c>
      <c r="F1043" s="7">
        <v>22</v>
      </c>
      <c r="G1043" s="7">
        <v>2023</v>
      </c>
      <c r="H1043" s="8">
        <f t="shared" si="48"/>
        <v>45007</v>
      </c>
      <c r="I1043" s="11">
        <v>45014</v>
      </c>
      <c r="J1043" s="7">
        <f t="shared" si="49"/>
        <v>7</v>
      </c>
      <c r="K1043" s="7" t="s">
        <v>23</v>
      </c>
      <c r="L1043" s="7">
        <v>46587</v>
      </c>
      <c r="M1043" s="7">
        <v>1987</v>
      </c>
      <c r="N1043" s="12">
        <v>3205.91</v>
      </c>
      <c r="O1043" s="12">
        <f t="shared" si="50"/>
        <v>3205.91</v>
      </c>
      <c r="P1043" s="7">
        <v>372</v>
      </c>
      <c r="Q1043" s="7" t="b">
        <v>1</v>
      </c>
      <c r="R1043" s="7"/>
      <c r="S1043" s="15" t="s">
        <v>25</v>
      </c>
    </row>
    <row r="1044" spans="1:19">
      <c r="A1044" s="3" t="s">
        <v>2168</v>
      </c>
      <c r="B1044" s="4" t="s">
        <v>2169</v>
      </c>
      <c r="C1044" s="5" t="s">
        <v>4127</v>
      </c>
      <c r="D1044" s="5">
        <v>45220</v>
      </c>
      <c r="E1044" s="4">
        <v>10</v>
      </c>
      <c r="F1044" s="4">
        <v>21</v>
      </c>
      <c r="G1044" s="4">
        <v>2023</v>
      </c>
      <c r="H1044" s="5">
        <f t="shared" si="48"/>
        <v>45220</v>
      </c>
      <c r="I1044" s="9">
        <v>45225</v>
      </c>
      <c r="J1044" s="4">
        <f t="shared" si="49"/>
        <v>5</v>
      </c>
      <c r="K1044" s="4" t="s">
        <v>138</v>
      </c>
      <c r="L1044" s="4">
        <v>37976</v>
      </c>
      <c r="M1044" s="4">
        <v>482</v>
      </c>
      <c r="N1044" s="10">
        <v>417.53</v>
      </c>
      <c r="O1044" s="10">
        <f t="shared" si="50"/>
        <v>417.53</v>
      </c>
      <c r="P1044" s="4">
        <v>68</v>
      </c>
      <c r="Q1044" s="4" t="b">
        <v>1</v>
      </c>
      <c r="R1044" s="4"/>
      <c r="S1044" s="14" t="s">
        <v>139</v>
      </c>
    </row>
    <row r="1045" spans="1:19">
      <c r="A1045" s="6" t="s">
        <v>2170</v>
      </c>
      <c r="B1045" s="7" t="s">
        <v>2171</v>
      </c>
      <c r="C1045" s="8" t="s">
        <v>4129</v>
      </c>
      <c r="D1045" s="8" t="s">
        <v>2172</v>
      </c>
      <c r="E1045" s="7">
        <v>18</v>
      </c>
      <c r="F1045" s="7">
        <v>9</v>
      </c>
      <c r="G1045" s="7">
        <v>2023</v>
      </c>
      <c r="H1045" s="8">
        <f t="shared" si="48"/>
        <v>45187</v>
      </c>
      <c r="I1045" s="11">
        <v>45197</v>
      </c>
      <c r="J1045" s="7">
        <f t="shared" si="49"/>
        <v>10</v>
      </c>
      <c r="K1045" s="7" t="s">
        <v>33</v>
      </c>
      <c r="L1045" s="7">
        <v>68584</v>
      </c>
      <c r="M1045" s="7">
        <v>1748</v>
      </c>
      <c r="N1045" s="12">
        <v>2441.98</v>
      </c>
      <c r="O1045" s="12">
        <f t="shared" si="50"/>
        <v>2441.98</v>
      </c>
      <c r="P1045" s="7">
        <v>137</v>
      </c>
      <c r="Q1045" s="7" t="b">
        <v>0</v>
      </c>
      <c r="R1045" s="7"/>
      <c r="S1045" s="15" t="s">
        <v>34</v>
      </c>
    </row>
    <row r="1046" spans="1:19">
      <c r="A1046" s="3" t="s">
        <v>2173</v>
      </c>
      <c r="B1046" s="4" t="s">
        <v>2174</v>
      </c>
      <c r="C1046" s="5" t="s">
        <v>4128</v>
      </c>
      <c r="D1046" s="5">
        <v>44933</v>
      </c>
      <c r="E1046" s="4">
        <v>1</v>
      </c>
      <c r="F1046" s="4">
        <v>7</v>
      </c>
      <c r="G1046" s="4">
        <v>2023</v>
      </c>
      <c r="H1046" s="5">
        <f t="shared" si="48"/>
        <v>44933</v>
      </c>
      <c r="I1046" s="9">
        <v>44938</v>
      </c>
      <c r="J1046" s="4">
        <f t="shared" si="49"/>
        <v>5</v>
      </c>
      <c r="K1046" s="4" t="s">
        <v>23</v>
      </c>
      <c r="L1046" s="4">
        <v>79477</v>
      </c>
      <c r="M1046" s="4">
        <v>3502</v>
      </c>
      <c r="N1046" s="10">
        <v>3773.94</v>
      </c>
      <c r="O1046" s="10">
        <f t="shared" si="50"/>
        <v>3632.575</v>
      </c>
      <c r="P1046" s="4">
        <v>493</v>
      </c>
      <c r="Q1046" s="4" t="b">
        <v>1</v>
      </c>
      <c r="R1046" s="4"/>
      <c r="S1046" s="14" t="s">
        <v>25</v>
      </c>
    </row>
    <row r="1047" spans="1:19">
      <c r="A1047" s="6" t="s">
        <v>2175</v>
      </c>
      <c r="B1047" s="7" t="s">
        <v>2176</v>
      </c>
      <c r="C1047" s="8" t="s">
        <v>4131</v>
      </c>
      <c r="D1047" s="8">
        <v>45123</v>
      </c>
      <c r="E1047" s="7">
        <v>7</v>
      </c>
      <c r="F1047" s="7">
        <v>16</v>
      </c>
      <c r="G1047" s="7">
        <v>2023</v>
      </c>
      <c r="H1047" s="8">
        <f t="shared" si="48"/>
        <v>45123</v>
      </c>
      <c r="I1047" s="11">
        <v>45147</v>
      </c>
      <c r="J1047" s="7">
        <f t="shared" si="49"/>
        <v>24</v>
      </c>
      <c r="K1047" s="7" t="s">
        <v>23</v>
      </c>
      <c r="L1047" s="7">
        <v>43533</v>
      </c>
      <c r="M1047" s="7">
        <v>1138</v>
      </c>
      <c r="N1047" s="12">
        <v>2028.15</v>
      </c>
      <c r="O1047" s="12">
        <f t="shared" si="50"/>
        <v>2028.15</v>
      </c>
      <c r="P1047" s="7">
        <v>172</v>
      </c>
      <c r="Q1047" s="7" t="b">
        <v>1</v>
      </c>
      <c r="R1047" s="7">
        <v>43575</v>
      </c>
      <c r="S1047" s="15" t="s">
        <v>25</v>
      </c>
    </row>
    <row r="1048" spans="1:19">
      <c r="A1048" s="3" t="s">
        <v>2177</v>
      </c>
      <c r="B1048" s="4" t="s">
        <v>2178</v>
      </c>
      <c r="C1048" s="5" t="s">
        <v>4131</v>
      </c>
      <c r="D1048" s="5">
        <v>44945</v>
      </c>
      <c r="E1048" s="4">
        <v>1</v>
      </c>
      <c r="F1048" s="4">
        <v>19</v>
      </c>
      <c r="G1048" s="4">
        <v>2023</v>
      </c>
      <c r="H1048" s="5">
        <f t="shared" si="48"/>
        <v>44945</v>
      </c>
      <c r="I1048" s="9">
        <v>44968</v>
      </c>
      <c r="J1048" s="4">
        <f t="shared" si="49"/>
        <v>23</v>
      </c>
      <c r="K1048" s="4" t="s">
        <v>14</v>
      </c>
      <c r="L1048" s="4">
        <v>2828</v>
      </c>
      <c r="M1048" s="4">
        <v>37</v>
      </c>
      <c r="N1048" s="10">
        <v>71.36</v>
      </c>
      <c r="O1048" s="10">
        <f t="shared" si="50"/>
        <v>71.36</v>
      </c>
      <c r="P1048" s="4">
        <v>4</v>
      </c>
      <c r="Q1048" s="4" t="b">
        <v>0</v>
      </c>
      <c r="R1048" s="4"/>
      <c r="S1048" s="14" t="s">
        <v>16</v>
      </c>
    </row>
    <row r="1049" spans="1:19">
      <c r="A1049" s="6" t="s">
        <v>2179</v>
      </c>
      <c r="B1049" s="7" t="s">
        <v>2180</v>
      </c>
      <c r="C1049" s="8" t="s">
        <v>4127</v>
      </c>
      <c r="D1049" s="8">
        <v>45262</v>
      </c>
      <c r="E1049" s="7">
        <v>12</v>
      </c>
      <c r="F1049" s="7">
        <v>2</v>
      </c>
      <c r="G1049" s="7">
        <v>2023</v>
      </c>
      <c r="H1049" s="8">
        <f t="shared" si="48"/>
        <v>45262</v>
      </c>
      <c r="I1049" s="11">
        <v>45275</v>
      </c>
      <c r="J1049" s="7">
        <f t="shared" si="49"/>
        <v>13</v>
      </c>
      <c r="K1049" s="7" t="s">
        <v>14</v>
      </c>
      <c r="L1049" s="7">
        <v>2917</v>
      </c>
      <c r="M1049" s="7">
        <v>92</v>
      </c>
      <c r="N1049" s="12">
        <v>167.93</v>
      </c>
      <c r="O1049" s="12">
        <f t="shared" si="50"/>
        <v>167.93</v>
      </c>
      <c r="P1049" s="7">
        <v>14</v>
      </c>
      <c r="Q1049" s="7" t="b">
        <v>1</v>
      </c>
      <c r="R1049" s="7"/>
      <c r="S1049" s="15" t="s">
        <v>16</v>
      </c>
    </row>
    <row r="1050" spans="1:19">
      <c r="A1050" s="3" t="s">
        <v>2181</v>
      </c>
      <c r="B1050" s="4" t="s">
        <v>2182</v>
      </c>
      <c r="C1050" s="5" t="s">
        <v>4131</v>
      </c>
      <c r="D1050" s="5">
        <v>45140</v>
      </c>
      <c r="E1050" s="4">
        <v>8</v>
      </c>
      <c r="F1050" s="4">
        <v>2</v>
      </c>
      <c r="G1050" s="4">
        <v>2023</v>
      </c>
      <c r="H1050" s="5">
        <f t="shared" si="48"/>
        <v>45140</v>
      </c>
      <c r="I1050" s="9">
        <v>45141</v>
      </c>
      <c r="J1050" s="4">
        <f t="shared" si="49"/>
        <v>1</v>
      </c>
      <c r="K1050" s="4" t="s">
        <v>19</v>
      </c>
      <c r="L1050" s="4">
        <v>21618</v>
      </c>
      <c r="M1050" s="4">
        <v>961</v>
      </c>
      <c r="N1050" s="10">
        <v>870.6</v>
      </c>
      <c r="O1050" s="10">
        <f t="shared" si="50"/>
        <v>870.6</v>
      </c>
      <c r="P1050" s="4">
        <v>131</v>
      </c>
      <c r="Q1050" s="4" t="b">
        <v>1</v>
      </c>
      <c r="R1050" s="4"/>
      <c r="S1050" s="14" t="s">
        <v>20</v>
      </c>
    </row>
    <row r="1051" spans="1:19">
      <c r="A1051" s="6" t="s">
        <v>2183</v>
      </c>
      <c r="B1051" s="7" t="s">
        <v>2184</v>
      </c>
      <c r="C1051" s="8" t="s">
        <v>4128</v>
      </c>
      <c r="D1051" s="8">
        <v>44966</v>
      </c>
      <c r="E1051" s="7">
        <v>2</v>
      </c>
      <c r="F1051" s="7">
        <v>9</v>
      </c>
      <c r="G1051" s="7">
        <v>2023</v>
      </c>
      <c r="H1051" s="8">
        <f t="shared" si="48"/>
        <v>44966</v>
      </c>
      <c r="I1051" s="11">
        <v>44978</v>
      </c>
      <c r="J1051" s="7">
        <f t="shared" si="49"/>
        <v>12</v>
      </c>
      <c r="K1051" s="7" t="s">
        <v>33</v>
      </c>
      <c r="L1051" s="7">
        <v>33254</v>
      </c>
      <c r="M1051" s="7">
        <v>1117</v>
      </c>
      <c r="N1051" s="12">
        <v>883.82</v>
      </c>
      <c r="O1051" s="12">
        <f t="shared" si="50"/>
        <v>883.82</v>
      </c>
      <c r="P1051" s="7">
        <v>214</v>
      </c>
      <c r="Q1051" s="7" t="b">
        <v>0</v>
      </c>
      <c r="R1051" s="7"/>
      <c r="S1051" s="15" t="s">
        <v>34</v>
      </c>
    </row>
    <row r="1052" spans="1:19">
      <c r="A1052" s="3" t="s">
        <v>2185</v>
      </c>
      <c r="B1052" s="4" t="s">
        <v>2186</v>
      </c>
      <c r="C1052" s="5" t="s">
        <v>4127</v>
      </c>
      <c r="D1052" s="5">
        <v>45271</v>
      </c>
      <c r="E1052" s="4">
        <v>12</v>
      </c>
      <c r="F1052" s="4">
        <v>11</v>
      </c>
      <c r="G1052" s="4">
        <v>2023</v>
      </c>
      <c r="H1052" s="5">
        <f t="shared" si="48"/>
        <v>45271</v>
      </c>
      <c r="I1052" s="9">
        <v>45273</v>
      </c>
      <c r="J1052" s="4">
        <f t="shared" si="49"/>
        <v>2</v>
      </c>
      <c r="K1052" s="4" t="s">
        <v>23</v>
      </c>
      <c r="L1052" s="4">
        <v>48362</v>
      </c>
      <c r="M1052" s="4">
        <v>921</v>
      </c>
      <c r="N1052" s="10">
        <v>1115.93</v>
      </c>
      <c r="O1052" s="10">
        <f t="shared" si="50"/>
        <v>1115.93</v>
      </c>
      <c r="P1052" s="4">
        <v>53</v>
      </c>
      <c r="Q1052" s="4" t="b">
        <v>1</v>
      </c>
      <c r="R1052" s="4"/>
      <c r="S1052" s="14" t="s">
        <v>25</v>
      </c>
    </row>
    <row r="1053" spans="1:19">
      <c r="A1053" s="6" t="s">
        <v>2187</v>
      </c>
      <c r="B1053" s="7" t="s">
        <v>2188</v>
      </c>
      <c r="C1053" s="8" t="s">
        <v>4129</v>
      </c>
      <c r="D1053" s="8">
        <v>45191</v>
      </c>
      <c r="E1053" s="7">
        <v>9</v>
      </c>
      <c r="F1053" s="7">
        <v>22</v>
      </c>
      <c r="G1053" s="7">
        <v>2023</v>
      </c>
      <c r="H1053" s="8">
        <f t="shared" si="48"/>
        <v>45191</v>
      </c>
      <c r="I1053" s="11">
        <v>45208</v>
      </c>
      <c r="J1053" s="7">
        <f t="shared" si="49"/>
        <v>17</v>
      </c>
      <c r="K1053" s="7" t="s">
        <v>41</v>
      </c>
      <c r="L1053" s="7">
        <v>21128</v>
      </c>
      <c r="M1053" s="7">
        <v>536</v>
      </c>
      <c r="N1053" s="12">
        <v>273.9</v>
      </c>
      <c r="O1053" s="12">
        <f t="shared" si="50"/>
        <v>273.9</v>
      </c>
      <c r="P1053" s="7">
        <v>35</v>
      </c>
      <c r="Q1053" s="7" t="b">
        <v>1</v>
      </c>
      <c r="R1053" s="7"/>
      <c r="S1053" s="15" t="s">
        <v>42</v>
      </c>
    </row>
    <row r="1054" spans="1:19">
      <c r="A1054" s="3" t="s">
        <v>2189</v>
      </c>
      <c r="B1054" s="4" t="s">
        <v>2190</v>
      </c>
      <c r="C1054" s="5" t="s">
        <v>4129</v>
      </c>
      <c r="D1054" s="5">
        <v>44962</v>
      </c>
      <c r="E1054" s="4">
        <v>2</v>
      </c>
      <c r="F1054" s="4">
        <v>5</v>
      </c>
      <c r="G1054" s="4">
        <v>2023</v>
      </c>
      <c r="H1054" s="5">
        <f t="shared" si="48"/>
        <v>44962</v>
      </c>
      <c r="I1054" s="9">
        <v>44988</v>
      </c>
      <c r="J1054" s="4">
        <f t="shared" si="49"/>
        <v>26</v>
      </c>
      <c r="K1054" s="4" t="s">
        <v>19</v>
      </c>
      <c r="L1054" s="4">
        <v>60383</v>
      </c>
      <c r="M1054" s="4">
        <v>1691</v>
      </c>
      <c r="N1054" s="10">
        <v>910.97</v>
      </c>
      <c r="O1054" s="10">
        <f t="shared" si="50"/>
        <v>910.97</v>
      </c>
      <c r="P1054" s="4">
        <v>128</v>
      </c>
      <c r="Q1054" s="4" t="b">
        <v>0</v>
      </c>
      <c r="R1054" s="4"/>
      <c r="S1054" s="14" t="s">
        <v>20</v>
      </c>
    </row>
    <row r="1055" spans="1:19">
      <c r="A1055" s="6" t="s">
        <v>2191</v>
      </c>
      <c r="B1055" s="7" t="s">
        <v>2192</v>
      </c>
      <c r="C1055" s="8" t="s">
        <v>4131</v>
      </c>
      <c r="D1055" s="8">
        <v>45086</v>
      </c>
      <c r="E1055" s="7">
        <v>6</v>
      </c>
      <c r="F1055" s="7">
        <v>9</v>
      </c>
      <c r="G1055" s="7">
        <v>2023</v>
      </c>
      <c r="H1055" s="8">
        <f t="shared" si="48"/>
        <v>45086</v>
      </c>
      <c r="I1055" s="11">
        <v>45087</v>
      </c>
      <c r="J1055" s="7">
        <f t="shared" si="49"/>
        <v>1</v>
      </c>
      <c r="K1055" s="7" t="s">
        <v>41</v>
      </c>
      <c r="L1055" s="7">
        <v>66545</v>
      </c>
      <c r="M1055" s="7">
        <v>2207</v>
      </c>
      <c r="N1055" s="12">
        <v>2935.17</v>
      </c>
      <c r="O1055" s="12">
        <f t="shared" si="50"/>
        <v>2935.17</v>
      </c>
      <c r="P1055" s="7">
        <v>338</v>
      </c>
      <c r="Q1055" s="7" t="b">
        <v>1</v>
      </c>
      <c r="R1055" s="7"/>
      <c r="S1055" s="15" t="s">
        <v>42</v>
      </c>
    </row>
    <row r="1056" spans="1:19">
      <c r="A1056" s="3" t="s">
        <v>2193</v>
      </c>
      <c r="B1056" s="4" t="s">
        <v>2194</v>
      </c>
      <c r="C1056" s="5" t="s">
        <v>4128</v>
      </c>
      <c r="D1056" s="5">
        <v>44931</v>
      </c>
      <c r="E1056" s="4">
        <v>1</v>
      </c>
      <c r="F1056" s="4">
        <v>5</v>
      </c>
      <c r="G1056" s="4">
        <v>2023</v>
      </c>
      <c r="H1056" s="5">
        <f t="shared" si="48"/>
        <v>44931</v>
      </c>
      <c r="I1056" s="9">
        <v>44935</v>
      </c>
      <c r="J1056" s="4">
        <f t="shared" si="49"/>
        <v>4</v>
      </c>
      <c r="K1056" s="4" t="s">
        <v>41</v>
      </c>
      <c r="L1056" s="4">
        <v>83180</v>
      </c>
      <c r="M1056" s="4">
        <v>3358</v>
      </c>
      <c r="N1056" s="10">
        <v>4300.5</v>
      </c>
      <c r="O1056" s="10">
        <f t="shared" si="50"/>
        <v>3632.575</v>
      </c>
      <c r="P1056" s="4">
        <v>493</v>
      </c>
      <c r="Q1056" s="4" t="b">
        <v>1</v>
      </c>
      <c r="R1056" s="4"/>
      <c r="S1056" s="14" t="s">
        <v>42</v>
      </c>
    </row>
    <row r="1057" spans="1:19">
      <c r="A1057" s="6" t="s">
        <v>2195</v>
      </c>
      <c r="B1057" s="7" t="s">
        <v>2196</v>
      </c>
      <c r="C1057" s="8" t="s">
        <v>4131</v>
      </c>
      <c r="D1057" s="8">
        <v>45082</v>
      </c>
      <c r="E1057" s="7">
        <v>6</v>
      </c>
      <c r="F1057" s="7">
        <v>5</v>
      </c>
      <c r="G1057" s="7">
        <v>2023</v>
      </c>
      <c r="H1057" s="8">
        <f t="shared" si="48"/>
        <v>45082</v>
      </c>
      <c r="I1057" s="11">
        <v>45099</v>
      </c>
      <c r="J1057" s="7">
        <f t="shared" si="49"/>
        <v>17</v>
      </c>
      <c r="K1057" s="7" t="s">
        <v>33</v>
      </c>
      <c r="L1057" s="7">
        <v>88958</v>
      </c>
      <c r="M1057" s="7">
        <v>1241</v>
      </c>
      <c r="N1057" s="12">
        <v>2471.91</v>
      </c>
      <c r="O1057" s="12">
        <f t="shared" si="50"/>
        <v>2471.91</v>
      </c>
      <c r="P1057" s="7">
        <v>228</v>
      </c>
      <c r="Q1057" s="7" t="b">
        <v>0</v>
      </c>
      <c r="R1057" s="7"/>
      <c r="S1057" s="15" t="s">
        <v>34</v>
      </c>
    </row>
    <row r="1058" spans="1:19">
      <c r="A1058" s="3" t="s">
        <v>2197</v>
      </c>
      <c r="B1058" s="4" t="s">
        <v>2198</v>
      </c>
      <c r="C1058" s="5" t="s">
        <v>4131</v>
      </c>
      <c r="D1058" s="5">
        <v>45115</v>
      </c>
      <c r="E1058" s="4">
        <v>7</v>
      </c>
      <c r="F1058" s="4">
        <v>8</v>
      </c>
      <c r="G1058" s="4">
        <v>2023</v>
      </c>
      <c r="H1058" s="5">
        <f t="shared" si="48"/>
        <v>45115</v>
      </c>
      <c r="I1058" s="9">
        <v>45137</v>
      </c>
      <c r="J1058" s="4">
        <f t="shared" si="49"/>
        <v>22</v>
      </c>
      <c r="K1058" s="4" t="s">
        <v>14</v>
      </c>
      <c r="L1058" s="4">
        <v>10865</v>
      </c>
      <c r="M1058" s="4">
        <v>495</v>
      </c>
      <c r="N1058" s="10">
        <v>397.37</v>
      </c>
      <c r="O1058" s="10">
        <f t="shared" si="50"/>
        <v>397.37</v>
      </c>
      <c r="P1058" s="4">
        <v>79</v>
      </c>
      <c r="Q1058" s="4" t="b">
        <v>0</v>
      </c>
      <c r="R1058" s="4"/>
      <c r="S1058" s="14" t="s">
        <v>16</v>
      </c>
    </row>
    <row r="1059" spans="1:19">
      <c r="A1059" s="6" t="s">
        <v>2199</v>
      </c>
      <c r="B1059" s="7" t="s">
        <v>2200</v>
      </c>
      <c r="C1059" s="8" t="s">
        <v>4129</v>
      </c>
      <c r="D1059" s="8">
        <v>45027</v>
      </c>
      <c r="E1059" s="7">
        <v>4</v>
      </c>
      <c r="F1059" s="7">
        <v>11</v>
      </c>
      <c r="G1059" s="7">
        <v>2023</v>
      </c>
      <c r="H1059" s="8">
        <f t="shared" si="48"/>
        <v>45027</v>
      </c>
      <c r="I1059" s="11">
        <v>45036</v>
      </c>
      <c r="J1059" s="7">
        <f t="shared" si="49"/>
        <v>9</v>
      </c>
      <c r="K1059" s="7" t="s">
        <v>19</v>
      </c>
      <c r="L1059" s="7">
        <v>3219</v>
      </c>
      <c r="M1059" s="7">
        <v>33</v>
      </c>
      <c r="N1059" s="12">
        <v>29.28</v>
      </c>
      <c r="O1059" s="12">
        <f t="shared" si="50"/>
        <v>29.28</v>
      </c>
      <c r="P1059" s="7">
        <v>4</v>
      </c>
      <c r="Q1059" s="7" t="b">
        <v>1</v>
      </c>
      <c r="R1059" s="7"/>
      <c r="S1059" s="15" t="s">
        <v>20</v>
      </c>
    </row>
    <row r="1060" spans="1:19">
      <c r="A1060" s="3" t="s">
        <v>2201</v>
      </c>
      <c r="B1060" s="4" t="s">
        <v>2202</v>
      </c>
      <c r="C1060" s="5" t="s">
        <v>4128</v>
      </c>
      <c r="D1060" s="5">
        <v>45052</v>
      </c>
      <c r="E1060" s="4">
        <v>5</v>
      </c>
      <c r="F1060" s="4">
        <v>6</v>
      </c>
      <c r="G1060" s="4">
        <v>2023</v>
      </c>
      <c r="H1060" s="5">
        <f t="shared" si="48"/>
        <v>45052</v>
      </c>
      <c r="I1060" s="9">
        <v>45071</v>
      </c>
      <c r="J1060" s="4">
        <f t="shared" si="49"/>
        <v>19</v>
      </c>
      <c r="K1060" s="4" t="s">
        <v>41</v>
      </c>
      <c r="L1060" s="4">
        <v>40809</v>
      </c>
      <c r="M1060" s="4">
        <v>1012</v>
      </c>
      <c r="N1060" s="10">
        <v>678.35</v>
      </c>
      <c r="O1060" s="10">
        <f t="shared" si="50"/>
        <v>678.35</v>
      </c>
      <c r="P1060" s="4">
        <v>201</v>
      </c>
      <c r="Q1060" s="4" t="b">
        <v>0</v>
      </c>
      <c r="R1060" s="4"/>
      <c r="S1060" s="14" t="s">
        <v>42</v>
      </c>
    </row>
    <row r="1061" spans="1:19">
      <c r="A1061" s="6" t="s">
        <v>2203</v>
      </c>
      <c r="B1061" s="7" t="s">
        <v>2204</v>
      </c>
      <c r="C1061" s="8" t="s">
        <v>4131</v>
      </c>
      <c r="D1061" s="8">
        <v>44939</v>
      </c>
      <c r="E1061" s="7">
        <v>1</v>
      </c>
      <c r="F1061" s="7">
        <v>13</v>
      </c>
      <c r="G1061" s="7">
        <v>2023</v>
      </c>
      <c r="H1061" s="8">
        <f t="shared" si="48"/>
        <v>44939</v>
      </c>
      <c r="I1061" s="11">
        <v>44956</v>
      </c>
      <c r="J1061" s="7">
        <f t="shared" si="49"/>
        <v>17</v>
      </c>
      <c r="K1061" s="7" t="s">
        <v>19</v>
      </c>
      <c r="L1061" s="7">
        <v>6287</v>
      </c>
      <c r="M1061" s="7">
        <v>69</v>
      </c>
      <c r="N1061" s="12">
        <v>129.47</v>
      </c>
      <c r="O1061" s="12">
        <f t="shared" si="50"/>
        <v>129.47</v>
      </c>
      <c r="P1061" s="7">
        <v>6</v>
      </c>
      <c r="Q1061" s="7" t="b">
        <v>1</v>
      </c>
      <c r="R1061" s="7"/>
      <c r="S1061" s="15" t="s">
        <v>20</v>
      </c>
    </row>
    <row r="1062" spans="1:19">
      <c r="A1062" s="3" t="s">
        <v>2205</v>
      </c>
      <c r="B1062" s="4" t="s">
        <v>2206</v>
      </c>
      <c r="C1062" s="5" t="s">
        <v>4129</v>
      </c>
      <c r="D1062" s="5">
        <v>45282</v>
      </c>
      <c r="E1062" s="4">
        <v>12</v>
      </c>
      <c r="F1062" s="4">
        <v>22</v>
      </c>
      <c r="G1062" s="4">
        <v>2023</v>
      </c>
      <c r="H1062" s="5">
        <f t="shared" si="48"/>
        <v>45282</v>
      </c>
      <c r="I1062" s="9">
        <v>45283</v>
      </c>
      <c r="J1062" s="4">
        <f t="shared" si="49"/>
        <v>1</v>
      </c>
      <c r="K1062" s="4" t="s">
        <v>19</v>
      </c>
      <c r="L1062" s="4">
        <v>35387</v>
      </c>
      <c r="M1062" s="4">
        <v>910</v>
      </c>
      <c r="N1062" s="10">
        <v>1516.71</v>
      </c>
      <c r="O1062" s="10">
        <f t="shared" si="50"/>
        <v>1516.71</v>
      </c>
      <c r="P1062" s="4">
        <v>159</v>
      </c>
      <c r="Q1062" s="4" t="b">
        <v>0</v>
      </c>
      <c r="R1062" s="4"/>
      <c r="S1062" s="14" t="s">
        <v>20</v>
      </c>
    </row>
    <row r="1063" spans="1:19">
      <c r="A1063" s="6" t="s">
        <v>2207</v>
      </c>
      <c r="B1063" s="7" t="s">
        <v>2208</v>
      </c>
      <c r="C1063" s="8" t="s">
        <v>4131</v>
      </c>
      <c r="D1063" s="8">
        <v>44927</v>
      </c>
      <c r="E1063" s="7">
        <v>1</v>
      </c>
      <c r="F1063" s="7">
        <v>1</v>
      </c>
      <c r="G1063" s="7">
        <v>2023</v>
      </c>
      <c r="H1063" s="8">
        <f t="shared" si="48"/>
        <v>44927</v>
      </c>
      <c r="I1063" s="11">
        <v>44937</v>
      </c>
      <c r="J1063" s="7">
        <f t="shared" si="49"/>
        <v>10</v>
      </c>
      <c r="K1063" s="7" t="s">
        <v>14</v>
      </c>
      <c r="L1063" s="7">
        <v>9512</v>
      </c>
      <c r="M1063" s="7">
        <v>295</v>
      </c>
      <c r="N1063" s="12">
        <v>511.39</v>
      </c>
      <c r="O1063" s="12">
        <f t="shared" si="50"/>
        <v>511.39</v>
      </c>
      <c r="P1063" s="7">
        <v>33</v>
      </c>
      <c r="Q1063" s="7" t="b">
        <v>1</v>
      </c>
      <c r="R1063" s="7"/>
      <c r="S1063" s="15" t="s">
        <v>16</v>
      </c>
    </row>
    <row r="1064" spans="1:19">
      <c r="A1064" s="3" t="s">
        <v>2209</v>
      </c>
      <c r="B1064" s="4" t="s">
        <v>2210</v>
      </c>
      <c r="C1064" s="5" t="s">
        <v>4128</v>
      </c>
      <c r="D1064" s="5">
        <v>45084</v>
      </c>
      <c r="E1064" s="4">
        <v>6</v>
      </c>
      <c r="F1064" s="4">
        <v>7</v>
      </c>
      <c r="G1064" s="4">
        <v>2023</v>
      </c>
      <c r="H1064" s="5">
        <f t="shared" si="48"/>
        <v>45084</v>
      </c>
      <c r="I1064" s="9">
        <v>45113</v>
      </c>
      <c r="J1064" s="4">
        <f t="shared" si="49"/>
        <v>29</v>
      </c>
      <c r="K1064" s="4" t="s">
        <v>41</v>
      </c>
      <c r="L1064" s="4">
        <v>2342</v>
      </c>
      <c r="M1064" s="4">
        <v>71</v>
      </c>
      <c r="N1064" s="10">
        <v>131.64</v>
      </c>
      <c r="O1064" s="10">
        <f t="shared" si="50"/>
        <v>131.64</v>
      </c>
      <c r="P1064" s="4">
        <v>10</v>
      </c>
      <c r="Q1064" s="4" t="b">
        <v>1</v>
      </c>
      <c r="R1064" s="4"/>
      <c r="S1064" s="14" t="s">
        <v>42</v>
      </c>
    </row>
    <row r="1065" spans="1:19">
      <c r="A1065" s="6" t="s">
        <v>2211</v>
      </c>
      <c r="B1065" s="7" t="s">
        <v>2212</v>
      </c>
      <c r="C1065" s="8" t="s">
        <v>4127</v>
      </c>
      <c r="D1065" s="8">
        <v>45048</v>
      </c>
      <c r="E1065" s="7">
        <v>5</v>
      </c>
      <c r="F1065" s="7">
        <v>2</v>
      </c>
      <c r="G1065" s="7">
        <v>2023</v>
      </c>
      <c r="H1065" s="8">
        <f t="shared" si="48"/>
        <v>45048</v>
      </c>
      <c r="I1065" s="11">
        <v>45074</v>
      </c>
      <c r="J1065" s="7">
        <f t="shared" si="49"/>
        <v>26</v>
      </c>
      <c r="K1065" s="7" t="s">
        <v>19</v>
      </c>
      <c r="L1065" s="7">
        <v>64076</v>
      </c>
      <c r="M1065" s="7">
        <v>1065</v>
      </c>
      <c r="N1065" s="12">
        <v>1371.03</v>
      </c>
      <c r="O1065" s="12">
        <f t="shared" si="50"/>
        <v>1371.03</v>
      </c>
      <c r="P1065" s="7">
        <v>169</v>
      </c>
      <c r="Q1065" s="7" t="b">
        <v>1</v>
      </c>
      <c r="R1065" s="7"/>
      <c r="S1065" s="15" t="s">
        <v>20</v>
      </c>
    </row>
    <row r="1066" spans="1:19">
      <c r="A1066" s="3" t="s">
        <v>2213</v>
      </c>
      <c r="B1066" s="4" t="s">
        <v>2214</v>
      </c>
      <c r="C1066" s="5" t="s">
        <v>4128</v>
      </c>
      <c r="D1066" s="5">
        <v>44999</v>
      </c>
      <c r="E1066" s="4">
        <v>3</v>
      </c>
      <c r="F1066" s="4">
        <v>14</v>
      </c>
      <c r="G1066" s="4">
        <v>2023</v>
      </c>
      <c r="H1066" s="5">
        <f t="shared" si="48"/>
        <v>44999</v>
      </c>
      <c r="I1066" s="9">
        <v>45004</v>
      </c>
      <c r="J1066" s="4">
        <f t="shared" si="49"/>
        <v>5</v>
      </c>
      <c r="K1066" s="4" t="s">
        <v>33</v>
      </c>
      <c r="L1066" s="4">
        <v>20216</v>
      </c>
      <c r="M1066" s="4">
        <v>724</v>
      </c>
      <c r="N1066" s="10">
        <v>852</v>
      </c>
      <c r="O1066" s="10">
        <f t="shared" si="50"/>
        <v>852</v>
      </c>
      <c r="P1066" s="4">
        <v>105</v>
      </c>
      <c r="Q1066" s="4" t="b">
        <v>0</v>
      </c>
      <c r="R1066" s="4"/>
      <c r="S1066" s="14" t="s">
        <v>34</v>
      </c>
    </row>
    <row r="1067" spans="1:19">
      <c r="A1067" s="6" t="s">
        <v>2215</v>
      </c>
      <c r="B1067" s="7" t="s">
        <v>2216</v>
      </c>
      <c r="C1067" s="8" t="s">
        <v>4128</v>
      </c>
      <c r="D1067" s="8">
        <v>45045</v>
      </c>
      <c r="E1067" s="7">
        <v>4</v>
      </c>
      <c r="F1067" s="7">
        <v>29</v>
      </c>
      <c r="G1067" s="7">
        <v>2023</v>
      </c>
      <c r="H1067" s="8">
        <f t="shared" si="48"/>
        <v>45045</v>
      </c>
      <c r="I1067" s="11">
        <v>45056</v>
      </c>
      <c r="J1067" s="7">
        <f t="shared" si="49"/>
        <v>11</v>
      </c>
      <c r="K1067" s="7" t="s">
        <v>23</v>
      </c>
      <c r="L1067" s="7">
        <v>94070</v>
      </c>
      <c r="M1067" s="7">
        <v>1109</v>
      </c>
      <c r="N1067" s="12">
        <v>1104.11</v>
      </c>
      <c r="O1067" s="12">
        <f t="shared" si="50"/>
        <v>1104.11</v>
      </c>
      <c r="P1067" s="7">
        <v>78</v>
      </c>
      <c r="Q1067" s="7" t="b">
        <v>0</v>
      </c>
      <c r="R1067" s="7"/>
      <c r="S1067" s="15" t="s">
        <v>25</v>
      </c>
    </row>
    <row r="1068" spans="1:19">
      <c r="A1068" s="3" t="s">
        <v>2217</v>
      </c>
      <c r="B1068" s="4" t="s">
        <v>2218</v>
      </c>
      <c r="C1068" s="5" t="s">
        <v>4129</v>
      </c>
      <c r="D1068" s="5">
        <v>45285</v>
      </c>
      <c r="E1068" s="4">
        <v>12</v>
      </c>
      <c r="F1068" s="4">
        <v>25</v>
      </c>
      <c r="G1068" s="4">
        <v>2023</v>
      </c>
      <c r="H1068" s="5">
        <f t="shared" si="48"/>
        <v>45285</v>
      </c>
      <c r="I1068" s="9">
        <v>45315</v>
      </c>
      <c r="J1068" s="4">
        <f t="shared" si="49"/>
        <v>30</v>
      </c>
      <c r="K1068" s="4" t="s">
        <v>23</v>
      </c>
      <c r="L1068" s="4">
        <v>80767</v>
      </c>
      <c r="M1068" s="4">
        <v>3269</v>
      </c>
      <c r="N1068" s="10">
        <v>4523.71</v>
      </c>
      <c r="O1068" s="10">
        <f t="shared" si="50"/>
        <v>3632.575</v>
      </c>
      <c r="P1068" s="4">
        <v>380</v>
      </c>
      <c r="Q1068" s="4" t="b">
        <v>0</v>
      </c>
      <c r="R1068" s="4"/>
      <c r="S1068" s="14" t="s">
        <v>25</v>
      </c>
    </row>
    <row r="1069" spans="1:19">
      <c r="A1069" s="6" t="s">
        <v>2219</v>
      </c>
      <c r="B1069" s="7" t="s">
        <v>2220</v>
      </c>
      <c r="C1069" s="8" t="s">
        <v>4131</v>
      </c>
      <c r="D1069" s="8">
        <v>44970</v>
      </c>
      <c r="E1069" s="7">
        <v>2</v>
      </c>
      <c r="F1069" s="7">
        <v>13</v>
      </c>
      <c r="G1069" s="7">
        <v>2023</v>
      </c>
      <c r="H1069" s="8">
        <f t="shared" si="48"/>
        <v>44970</v>
      </c>
      <c r="I1069" s="11">
        <v>44978</v>
      </c>
      <c r="J1069" s="7">
        <f t="shared" si="49"/>
        <v>8</v>
      </c>
      <c r="K1069" s="7" t="s">
        <v>14</v>
      </c>
      <c r="L1069" s="7">
        <v>98829</v>
      </c>
      <c r="M1069" s="7">
        <v>4730</v>
      </c>
      <c r="N1069" s="12">
        <v>5588.11</v>
      </c>
      <c r="O1069" s="12">
        <f t="shared" si="50"/>
        <v>3632.575</v>
      </c>
      <c r="P1069" s="7">
        <v>634</v>
      </c>
      <c r="Q1069" s="7" t="b">
        <v>0</v>
      </c>
      <c r="R1069" s="7"/>
      <c r="S1069" s="15" t="s">
        <v>16</v>
      </c>
    </row>
    <row r="1070" spans="1:19">
      <c r="A1070" s="3" t="s">
        <v>2221</v>
      </c>
      <c r="B1070" s="4" t="s">
        <v>2222</v>
      </c>
      <c r="C1070" s="5" t="s">
        <v>4128</v>
      </c>
      <c r="D1070" s="5">
        <v>45253</v>
      </c>
      <c r="E1070" s="4">
        <v>11</v>
      </c>
      <c r="F1070" s="4">
        <v>23</v>
      </c>
      <c r="G1070" s="4">
        <v>2023</v>
      </c>
      <c r="H1070" s="5">
        <f t="shared" si="48"/>
        <v>45253</v>
      </c>
      <c r="I1070" s="9">
        <v>45281</v>
      </c>
      <c r="J1070" s="4">
        <f t="shared" si="49"/>
        <v>28</v>
      </c>
      <c r="K1070" s="4" t="s">
        <v>41</v>
      </c>
      <c r="L1070" s="4">
        <v>27614</v>
      </c>
      <c r="M1070" s="4">
        <v>651</v>
      </c>
      <c r="N1070" s="10">
        <v>766.45</v>
      </c>
      <c r="O1070" s="10">
        <f t="shared" si="50"/>
        <v>766.45</v>
      </c>
      <c r="P1070" s="4">
        <v>115</v>
      </c>
      <c r="Q1070" s="4" t="b">
        <v>0</v>
      </c>
      <c r="R1070" s="4"/>
      <c r="S1070" s="14" t="s">
        <v>42</v>
      </c>
    </row>
    <row r="1071" spans="1:19">
      <c r="A1071" s="6" t="s">
        <v>2223</v>
      </c>
      <c r="B1071" s="7" t="s">
        <v>2224</v>
      </c>
      <c r="C1071" s="8" t="s">
        <v>4131</v>
      </c>
      <c r="D1071" s="8" t="s">
        <v>2225</v>
      </c>
      <c r="E1071" s="7">
        <v>18</v>
      </c>
      <c r="F1071" s="7">
        <v>10</v>
      </c>
      <c r="G1071" s="7">
        <v>2023</v>
      </c>
      <c r="H1071" s="8">
        <f t="shared" si="48"/>
        <v>45217</v>
      </c>
      <c r="I1071" s="11">
        <v>45233</v>
      </c>
      <c r="J1071" s="7">
        <f t="shared" si="49"/>
        <v>16</v>
      </c>
      <c r="K1071" s="7" t="s">
        <v>14</v>
      </c>
      <c r="L1071" s="7">
        <v>37258</v>
      </c>
      <c r="M1071" s="7">
        <v>1143</v>
      </c>
      <c r="N1071" s="12">
        <v>2177.86</v>
      </c>
      <c r="O1071" s="12">
        <f t="shared" si="50"/>
        <v>2177.86</v>
      </c>
      <c r="P1071" s="7">
        <v>133</v>
      </c>
      <c r="Q1071" s="7" t="b">
        <v>1</v>
      </c>
      <c r="R1071" s="7"/>
      <c r="S1071" s="15" t="s">
        <v>16</v>
      </c>
    </row>
    <row r="1072" spans="1:19">
      <c r="A1072" s="3" t="s">
        <v>2226</v>
      </c>
      <c r="B1072" s="4" t="s">
        <v>2227</v>
      </c>
      <c r="C1072" s="5" t="s">
        <v>4129</v>
      </c>
      <c r="D1072" s="5">
        <v>45266</v>
      </c>
      <c r="E1072" s="4">
        <v>12</v>
      </c>
      <c r="F1072" s="4">
        <v>6</v>
      </c>
      <c r="G1072" s="4">
        <v>2023</v>
      </c>
      <c r="H1072" s="5">
        <f t="shared" si="48"/>
        <v>45266</v>
      </c>
      <c r="I1072" s="9">
        <v>45292</v>
      </c>
      <c r="J1072" s="4">
        <f t="shared" si="49"/>
        <v>26</v>
      </c>
      <c r="K1072" s="4" t="s">
        <v>19</v>
      </c>
      <c r="L1072" s="4">
        <v>94789</v>
      </c>
      <c r="M1072" s="4">
        <v>2384</v>
      </c>
      <c r="N1072" s="10">
        <v>4710.9</v>
      </c>
      <c r="O1072" s="10">
        <f t="shared" si="50"/>
        <v>3632.575</v>
      </c>
      <c r="P1072" s="4">
        <v>447</v>
      </c>
      <c r="Q1072" s="4" t="b">
        <v>1</v>
      </c>
      <c r="R1072" s="4"/>
      <c r="S1072" s="14" t="s">
        <v>20</v>
      </c>
    </row>
    <row r="1073" spans="1:19">
      <c r="A1073" s="6" t="s">
        <v>2228</v>
      </c>
      <c r="B1073" s="7" t="s">
        <v>2229</v>
      </c>
      <c r="C1073" s="8" t="s">
        <v>4128</v>
      </c>
      <c r="D1073" s="8">
        <v>45060</v>
      </c>
      <c r="E1073" s="7">
        <v>5</v>
      </c>
      <c r="F1073" s="7">
        <v>14</v>
      </c>
      <c r="G1073" s="7">
        <v>2023</v>
      </c>
      <c r="H1073" s="8">
        <f t="shared" si="48"/>
        <v>45060</v>
      </c>
      <c r="I1073" s="11">
        <v>45067</v>
      </c>
      <c r="J1073" s="7">
        <f t="shared" si="49"/>
        <v>7</v>
      </c>
      <c r="K1073" s="7" t="s">
        <v>14</v>
      </c>
      <c r="L1073" s="7">
        <v>43078</v>
      </c>
      <c r="M1073" s="7">
        <v>442</v>
      </c>
      <c r="N1073" s="12">
        <v>749.07</v>
      </c>
      <c r="O1073" s="12">
        <f t="shared" si="50"/>
        <v>749.07</v>
      </c>
      <c r="P1073" s="7">
        <v>51</v>
      </c>
      <c r="Q1073" s="7" t="b">
        <v>1</v>
      </c>
      <c r="R1073" s="7"/>
      <c r="S1073" s="15" t="s">
        <v>16</v>
      </c>
    </row>
    <row r="1074" spans="1:19">
      <c r="A1074" s="3" t="s">
        <v>2230</v>
      </c>
      <c r="B1074" s="4" t="s">
        <v>2231</v>
      </c>
      <c r="C1074" s="5" t="s">
        <v>4131</v>
      </c>
      <c r="D1074" s="5">
        <v>45128</v>
      </c>
      <c r="E1074" s="4">
        <v>7</v>
      </c>
      <c r="F1074" s="4">
        <v>21</v>
      </c>
      <c r="G1074" s="4">
        <v>2023</v>
      </c>
      <c r="H1074" s="5">
        <f t="shared" si="48"/>
        <v>45128</v>
      </c>
      <c r="I1074" s="9">
        <v>45135</v>
      </c>
      <c r="J1074" s="4">
        <f t="shared" si="49"/>
        <v>7</v>
      </c>
      <c r="K1074" s="4" t="s">
        <v>19</v>
      </c>
      <c r="L1074" s="4">
        <v>84524</v>
      </c>
      <c r="M1074" s="4">
        <v>2149</v>
      </c>
      <c r="N1074" s="10">
        <v>3513.91</v>
      </c>
      <c r="O1074" s="10">
        <f t="shared" si="50"/>
        <v>3513.91</v>
      </c>
      <c r="P1074" s="4">
        <v>284</v>
      </c>
      <c r="Q1074" s="4" t="b">
        <v>1</v>
      </c>
      <c r="R1074" s="4"/>
      <c r="S1074" s="14" t="s">
        <v>20</v>
      </c>
    </row>
    <row r="1075" spans="1:19">
      <c r="A1075" s="6" t="s">
        <v>2232</v>
      </c>
      <c r="B1075" s="7" t="s">
        <v>2233</v>
      </c>
      <c r="C1075" s="8" t="s">
        <v>4127</v>
      </c>
      <c r="D1075" s="8">
        <v>45089</v>
      </c>
      <c r="E1075" s="7">
        <v>6</v>
      </c>
      <c r="F1075" s="7">
        <v>12</v>
      </c>
      <c r="G1075" s="7">
        <v>2023</v>
      </c>
      <c r="H1075" s="8">
        <f t="shared" si="48"/>
        <v>45089</v>
      </c>
      <c r="I1075" s="11">
        <v>45111</v>
      </c>
      <c r="J1075" s="7">
        <f t="shared" si="49"/>
        <v>22</v>
      </c>
      <c r="K1075" s="7" t="s">
        <v>138</v>
      </c>
      <c r="L1075" s="7">
        <v>97573</v>
      </c>
      <c r="M1075" s="7">
        <v>4065</v>
      </c>
      <c r="N1075" s="12">
        <v>6182.2</v>
      </c>
      <c r="O1075" s="12">
        <f t="shared" si="50"/>
        <v>3632.575</v>
      </c>
      <c r="P1075" s="7">
        <v>688</v>
      </c>
      <c r="Q1075" s="7" t="b">
        <v>1</v>
      </c>
      <c r="R1075" s="7"/>
      <c r="S1075" s="15" t="s">
        <v>68</v>
      </c>
    </row>
    <row r="1076" spans="1:19">
      <c r="A1076" s="3" t="s">
        <v>2234</v>
      </c>
      <c r="B1076" s="4" t="s">
        <v>2235</v>
      </c>
      <c r="C1076" s="5" t="s">
        <v>4129</v>
      </c>
      <c r="D1076" s="5">
        <v>45030</v>
      </c>
      <c r="E1076" s="4">
        <v>4</v>
      </c>
      <c r="F1076" s="4">
        <v>14</v>
      </c>
      <c r="G1076" s="4">
        <v>2023</v>
      </c>
      <c r="H1076" s="5">
        <f t="shared" si="48"/>
        <v>45030</v>
      </c>
      <c r="I1076" s="9">
        <v>45046</v>
      </c>
      <c r="J1076" s="4">
        <f t="shared" si="49"/>
        <v>16</v>
      </c>
      <c r="K1076" s="4" t="s">
        <v>33</v>
      </c>
      <c r="L1076" s="4">
        <v>13219</v>
      </c>
      <c r="M1076" s="4">
        <v>447</v>
      </c>
      <c r="N1076" s="10">
        <v>334.85</v>
      </c>
      <c r="O1076" s="10">
        <f t="shared" si="50"/>
        <v>334.85</v>
      </c>
      <c r="P1076" s="4">
        <v>61</v>
      </c>
      <c r="Q1076" s="4" t="b">
        <v>1</v>
      </c>
      <c r="R1076" s="4"/>
      <c r="S1076" s="14" t="s">
        <v>34</v>
      </c>
    </row>
    <row r="1077" spans="1:19">
      <c r="A1077" s="6" t="s">
        <v>2236</v>
      </c>
      <c r="B1077" s="7" t="s">
        <v>2237</v>
      </c>
      <c r="C1077" s="8" t="s">
        <v>4129</v>
      </c>
      <c r="D1077" s="8">
        <v>44982</v>
      </c>
      <c r="E1077" s="7">
        <v>2</v>
      </c>
      <c r="F1077" s="7">
        <v>25</v>
      </c>
      <c r="G1077" s="7">
        <v>2023</v>
      </c>
      <c r="H1077" s="8">
        <f t="shared" si="48"/>
        <v>44982</v>
      </c>
      <c r="I1077" s="11">
        <v>44998</v>
      </c>
      <c r="J1077" s="7">
        <f t="shared" si="49"/>
        <v>16</v>
      </c>
      <c r="K1077" s="7" t="s">
        <v>33</v>
      </c>
      <c r="L1077" s="7">
        <v>1235</v>
      </c>
      <c r="M1077" s="7">
        <v>17</v>
      </c>
      <c r="N1077" s="12">
        <v>10.01</v>
      </c>
      <c r="O1077" s="12">
        <f t="shared" si="50"/>
        <v>10.01</v>
      </c>
      <c r="P1077" s="7">
        <v>3</v>
      </c>
      <c r="Q1077" s="7" t="b">
        <v>1</v>
      </c>
      <c r="R1077" s="7"/>
      <c r="S1077" s="15" t="s">
        <v>34</v>
      </c>
    </row>
    <row r="1078" spans="1:19">
      <c r="A1078" s="3" t="s">
        <v>2238</v>
      </c>
      <c r="B1078" s="4" t="s">
        <v>2239</v>
      </c>
      <c r="C1078" s="5" t="s">
        <v>4129</v>
      </c>
      <c r="D1078" s="5">
        <v>45165</v>
      </c>
      <c r="E1078" s="4">
        <v>8</v>
      </c>
      <c r="F1078" s="4">
        <v>27</v>
      </c>
      <c r="G1078" s="4">
        <v>2023</v>
      </c>
      <c r="H1078" s="5">
        <f t="shared" si="48"/>
        <v>45165</v>
      </c>
      <c r="I1078" s="9">
        <v>45181</v>
      </c>
      <c r="J1078" s="4">
        <f t="shared" si="49"/>
        <v>16</v>
      </c>
      <c r="K1078" s="4" t="s">
        <v>14</v>
      </c>
      <c r="L1078" s="4">
        <v>43929</v>
      </c>
      <c r="M1078" s="4">
        <v>1927</v>
      </c>
      <c r="N1078" s="10">
        <v>2960.04</v>
      </c>
      <c r="O1078" s="10">
        <f t="shared" si="50"/>
        <v>2960.04</v>
      </c>
      <c r="P1078" s="4">
        <v>287</v>
      </c>
      <c r="Q1078" s="4" t="b">
        <v>0</v>
      </c>
      <c r="R1078" s="4"/>
      <c r="S1078" s="14" t="s">
        <v>16</v>
      </c>
    </row>
    <row r="1079" spans="1:19">
      <c r="A1079" s="6" t="s">
        <v>2240</v>
      </c>
      <c r="B1079" s="7" t="s">
        <v>2241</v>
      </c>
      <c r="C1079" s="8" t="s">
        <v>4127</v>
      </c>
      <c r="D1079" s="8">
        <v>45110</v>
      </c>
      <c r="E1079" s="7">
        <v>7</v>
      </c>
      <c r="F1079" s="7">
        <v>3</v>
      </c>
      <c r="G1079" s="7">
        <v>2023</v>
      </c>
      <c r="H1079" s="8">
        <f t="shared" si="48"/>
        <v>45110</v>
      </c>
      <c r="I1079" s="11">
        <v>45117</v>
      </c>
      <c r="J1079" s="7">
        <f t="shared" si="49"/>
        <v>7</v>
      </c>
      <c r="K1079" s="7" t="s">
        <v>23</v>
      </c>
      <c r="L1079" s="7">
        <v>68444</v>
      </c>
      <c r="M1079" s="7">
        <v>2138</v>
      </c>
      <c r="N1079" s="12">
        <v>3406.22</v>
      </c>
      <c r="O1079" s="12">
        <f t="shared" si="50"/>
        <v>3406.22</v>
      </c>
      <c r="P1079" s="7">
        <v>274</v>
      </c>
      <c r="Q1079" s="7" t="b">
        <v>1</v>
      </c>
      <c r="R1079" s="7"/>
      <c r="S1079" s="15" t="s">
        <v>25</v>
      </c>
    </row>
    <row r="1080" spans="1:19">
      <c r="A1080" s="3" t="s">
        <v>2242</v>
      </c>
      <c r="B1080" s="4" t="s">
        <v>2243</v>
      </c>
      <c r="C1080" s="5" t="s">
        <v>4131</v>
      </c>
      <c r="D1080" s="5">
        <v>45084</v>
      </c>
      <c r="E1080" s="4">
        <v>6</v>
      </c>
      <c r="F1080" s="4">
        <v>7</v>
      </c>
      <c r="G1080" s="4">
        <v>2023</v>
      </c>
      <c r="H1080" s="5">
        <f t="shared" si="48"/>
        <v>45084</v>
      </c>
      <c r="I1080" s="9">
        <v>45088</v>
      </c>
      <c r="J1080" s="4">
        <f t="shared" si="49"/>
        <v>4</v>
      </c>
      <c r="K1080" s="4" t="s">
        <v>33</v>
      </c>
      <c r="L1080" s="4">
        <v>9567</v>
      </c>
      <c r="M1080" s="4">
        <v>417</v>
      </c>
      <c r="N1080" s="10">
        <v>237.88</v>
      </c>
      <c r="O1080" s="10">
        <f t="shared" si="50"/>
        <v>237.88</v>
      </c>
      <c r="P1080" s="4">
        <v>22</v>
      </c>
      <c r="Q1080" s="4" t="b">
        <v>0</v>
      </c>
      <c r="R1080" s="4"/>
      <c r="S1080" s="14" t="s">
        <v>34</v>
      </c>
    </row>
    <row r="1081" spans="1:19">
      <c r="A1081" s="6" t="s">
        <v>2244</v>
      </c>
      <c r="B1081" s="7" t="s">
        <v>2245</v>
      </c>
      <c r="C1081" s="8" t="s">
        <v>4131</v>
      </c>
      <c r="D1081" s="8">
        <v>44973</v>
      </c>
      <c r="E1081" s="7">
        <v>2</v>
      </c>
      <c r="F1081" s="7">
        <v>16</v>
      </c>
      <c r="G1081" s="7">
        <v>2023</v>
      </c>
      <c r="H1081" s="8">
        <f t="shared" si="48"/>
        <v>44973</v>
      </c>
      <c r="I1081" s="11">
        <v>44979</v>
      </c>
      <c r="J1081" s="7">
        <f t="shared" si="49"/>
        <v>6</v>
      </c>
      <c r="K1081" s="7" t="s">
        <v>33</v>
      </c>
      <c r="L1081" s="7">
        <v>71792</v>
      </c>
      <c r="M1081" s="7">
        <v>2384</v>
      </c>
      <c r="N1081" s="12">
        <v>4510.71</v>
      </c>
      <c r="O1081" s="12">
        <f t="shared" si="50"/>
        <v>3632.575</v>
      </c>
      <c r="P1081" s="7">
        <v>267</v>
      </c>
      <c r="Q1081" s="7" t="b">
        <v>0</v>
      </c>
      <c r="R1081" s="7"/>
      <c r="S1081" s="15" t="s">
        <v>34</v>
      </c>
    </row>
    <row r="1082" spans="1:19">
      <c r="A1082" s="3" t="s">
        <v>2246</v>
      </c>
      <c r="B1082" s="4" t="s">
        <v>2247</v>
      </c>
      <c r="C1082" s="5" t="s">
        <v>4128</v>
      </c>
      <c r="D1082" s="5">
        <v>45287</v>
      </c>
      <c r="E1082" s="4">
        <v>12</v>
      </c>
      <c r="F1082" s="4">
        <v>27</v>
      </c>
      <c r="G1082" s="4">
        <v>2023</v>
      </c>
      <c r="H1082" s="5">
        <f t="shared" si="48"/>
        <v>45287</v>
      </c>
      <c r="I1082" s="9">
        <v>45300</v>
      </c>
      <c r="J1082" s="4">
        <f t="shared" si="49"/>
        <v>13</v>
      </c>
      <c r="K1082" s="4" t="s">
        <v>23</v>
      </c>
      <c r="L1082" s="4">
        <v>66441</v>
      </c>
      <c r="M1082" s="4">
        <v>2151</v>
      </c>
      <c r="N1082" s="10">
        <v>1369.57</v>
      </c>
      <c r="O1082" s="10">
        <f t="shared" si="50"/>
        <v>1369.57</v>
      </c>
      <c r="P1082" s="4">
        <v>204</v>
      </c>
      <c r="Q1082" s="4" t="b">
        <v>0</v>
      </c>
      <c r="R1082" s="4"/>
      <c r="S1082" s="14" t="s">
        <v>25</v>
      </c>
    </row>
    <row r="1083" spans="1:19">
      <c r="A1083" s="6" t="s">
        <v>2248</v>
      </c>
      <c r="B1083" s="7" t="s">
        <v>2249</v>
      </c>
      <c r="C1083" s="8" t="s">
        <v>4128</v>
      </c>
      <c r="D1083" s="8">
        <v>45094</v>
      </c>
      <c r="E1083" s="7">
        <v>6</v>
      </c>
      <c r="F1083" s="7">
        <v>17</v>
      </c>
      <c r="G1083" s="7">
        <v>2023</v>
      </c>
      <c r="H1083" s="8">
        <f t="shared" si="48"/>
        <v>45094</v>
      </c>
      <c r="I1083" s="11">
        <v>45112</v>
      </c>
      <c r="J1083" s="7">
        <f t="shared" si="49"/>
        <v>18</v>
      </c>
      <c r="K1083" s="7" t="s">
        <v>23</v>
      </c>
      <c r="L1083" s="7">
        <v>85555</v>
      </c>
      <c r="M1083" s="7">
        <v>1215</v>
      </c>
      <c r="N1083" s="12">
        <v>1128.55</v>
      </c>
      <c r="O1083" s="12">
        <f t="shared" si="50"/>
        <v>1128.55</v>
      </c>
      <c r="P1083" s="7">
        <v>0</v>
      </c>
      <c r="Q1083" s="7" t="b">
        <v>1</v>
      </c>
      <c r="R1083" s="7"/>
      <c r="S1083" s="15" t="s">
        <v>25</v>
      </c>
    </row>
    <row r="1084" spans="1:19">
      <c r="A1084" s="3" t="s">
        <v>2250</v>
      </c>
      <c r="B1084" s="4" t="s">
        <v>2251</v>
      </c>
      <c r="C1084" s="5" t="s">
        <v>4129</v>
      </c>
      <c r="D1084" s="5">
        <v>45109</v>
      </c>
      <c r="E1084" s="4">
        <v>7</v>
      </c>
      <c r="F1084" s="4">
        <v>2</v>
      </c>
      <c r="G1084" s="4">
        <v>2023</v>
      </c>
      <c r="H1084" s="5">
        <f t="shared" si="48"/>
        <v>45109</v>
      </c>
      <c r="I1084" s="9">
        <v>44985</v>
      </c>
      <c r="J1084" s="4">
        <f t="shared" si="49"/>
        <v>-124</v>
      </c>
      <c r="K1084" s="4" t="s">
        <v>19</v>
      </c>
      <c r="L1084" s="4">
        <v>74698</v>
      </c>
      <c r="M1084" s="4">
        <v>1247</v>
      </c>
      <c r="N1084" s="10">
        <v>1881.21</v>
      </c>
      <c r="O1084" s="10">
        <f t="shared" si="50"/>
        <v>1881.21</v>
      </c>
      <c r="P1084" s="4">
        <v>101</v>
      </c>
      <c r="Q1084" s="4" t="b">
        <v>1</v>
      </c>
      <c r="R1084" s="4"/>
      <c r="S1084" s="14" t="s">
        <v>20</v>
      </c>
    </row>
    <row r="1085" spans="1:19">
      <c r="A1085" s="6" t="s">
        <v>2252</v>
      </c>
      <c r="B1085" s="7" t="s">
        <v>2253</v>
      </c>
      <c r="C1085" s="8" t="s">
        <v>4129</v>
      </c>
      <c r="D1085" s="8">
        <v>45080</v>
      </c>
      <c r="E1085" s="7">
        <v>6</v>
      </c>
      <c r="F1085" s="7">
        <v>3</v>
      </c>
      <c r="G1085" s="7">
        <v>2023</v>
      </c>
      <c r="H1085" s="8">
        <f t="shared" si="48"/>
        <v>45080</v>
      </c>
      <c r="I1085" s="11">
        <v>45101</v>
      </c>
      <c r="J1085" s="7">
        <f t="shared" si="49"/>
        <v>21</v>
      </c>
      <c r="K1085" s="7" t="s">
        <v>23</v>
      </c>
      <c r="L1085" s="7">
        <v>6415</v>
      </c>
      <c r="M1085" s="7">
        <v>313</v>
      </c>
      <c r="N1085" s="12">
        <v>236.26</v>
      </c>
      <c r="O1085" s="12">
        <f t="shared" si="50"/>
        <v>236.26</v>
      </c>
      <c r="P1085" s="7">
        <v>25</v>
      </c>
      <c r="Q1085" s="7" t="b">
        <v>0</v>
      </c>
      <c r="R1085" s="7"/>
      <c r="S1085" s="15" t="s">
        <v>25</v>
      </c>
    </row>
    <row r="1086" spans="1:19">
      <c r="A1086" s="3" t="s">
        <v>2254</v>
      </c>
      <c r="B1086" s="4" t="s">
        <v>2255</v>
      </c>
      <c r="C1086" s="5" t="s">
        <v>4131</v>
      </c>
      <c r="D1086" s="5">
        <v>44942</v>
      </c>
      <c r="E1086" s="4">
        <v>1</v>
      </c>
      <c r="F1086" s="4">
        <v>16</v>
      </c>
      <c r="G1086" s="4">
        <v>2023</v>
      </c>
      <c r="H1086" s="5">
        <f t="shared" si="48"/>
        <v>44942</v>
      </c>
      <c r="I1086" s="9">
        <v>44937</v>
      </c>
      <c r="J1086" s="4">
        <f t="shared" si="49"/>
        <v>-5</v>
      </c>
      <c r="K1086" s="4" t="s">
        <v>415</v>
      </c>
      <c r="L1086" s="4">
        <v>37159</v>
      </c>
      <c r="M1086" s="4">
        <v>711</v>
      </c>
      <c r="N1086" s="10">
        <v>414.6</v>
      </c>
      <c r="O1086" s="10">
        <f t="shared" si="50"/>
        <v>414.6</v>
      </c>
      <c r="P1086" s="4">
        <v>55</v>
      </c>
      <c r="Q1086" s="4" t="b">
        <v>1</v>
      </c>
      <c r="R1086" s="4"/>
      <c r="S1086" s="14" t="s">
        <v>34</v>
      </c>
    </row>
    <row r="1087" spans="1:19">
      <c r="A1087" s="6" t="s">
        <v>2256</v>
      </c>
      <c r="B1087" s="7" t="s">
        <v>2257</v>
      </c>
      <c r="C1087" s="8" t="s">
        <v>4129</v>
      </c>
      <c r="D1087" s="8">
        <v>45211</v>
      </c>
      <c r="E1087" s="7">
        <v>10</v>
      </c>
      <c r="F1087" s="7">
        <v>12</v>
      </c>
      <c r="G1087" s="7">
        <v>2023</v>
      </c>
      <c r="H1087" s="8">
        <f t="shared" si="48"/>
        <v>45211</v>
      </c>
      <c r="I1087" s="11">
        <v>45239</v>
      </c>
      <c r="J1087" s="7">
        <f t="shared" si="49"/>
        <v>28</v>
      </c>
      <c r="K1087" s="7" t="s">
        <v>14</v>
      </c>
      <c r="L1087" s="7">
        <v>44925</v>
      </c>
      <c r="M1087" s="7">
        <v>2205</v>
      </c>
      <c r="N1087" s="12">
        <v>2197.77</v>
      </c>
      <c r="O1087" s="12">
        <f t="shared" si="50"/>
        <v>2197.77</v>
      </c>
      <c r="P1087" s="7">
        <v>151</v>
      </c>
      <c r="Q1087" s="7" t="b">
        <v>1</v>
      </c>
      <c r="R1087" s="7"/>
      <c r="S1087" s="15" t="s">
        <v>16</v>
      </c>
    </row>
    <row r="1088" spans="1:19">
      <c r="A1088" s="3" t="s">
        <v>2258</v>
      </c>
      <c r="B1088" s="4" t="s">
        <v>2259</v>
      </c>
      <c r="C1088" s="5" t="s">
        <v>4129</v>
      </c>
      <c r="D1088" s="5">
        <v>45163</v>
      </c>
      <c r="E1088" s="4">
        <v>8</v>
      </c>
      <c r="F1088" s="4">
        <v>25</v>
      </c>
      <c r="G1088" s="4">
        <v>2023</v>
      </c>
      <c r="H1088" s="5">
        <f t="shared" si="48"/>
        <v>45163</v>
      </c>
      <c r="I1088" s="9">
        <v>45189</v>
      </c>
      <c r="J1088" s="4">
        <f t="shared" si="49"/>
        <v>26</v>
      </c>
      <c r="K1088" s="4" t="s">
        <v>41</v>
      </c>
      <c r="L1088" s="4">
        <v>6951</v>
      </c>
      <c r="M1088" s="4">
        <v>217</v>
      </c>
      <c r="N1088" s="10">
        <v>357.82</v>
      </c>
      <c r="O1088" s="10">
        <f t="shared" si="50"/>
        <v>357.82</v>
      </c>
      <c r="P1088" s="4">
        <v>20</v>
      </c>
      <c r="Q1088" s="4" t="b">
        <v>0</v>
      </c>
      <c r="R1088" s="4"/>
      <c r="S1088" s="14" t="s">
        <v>42</v>
      </c>
    </row>
    <row r="1089" spans="1:19">
      <c r="A1089" s="6" t="s">
        <v>2260</v>
      </c>
      <c r="B1089" s="7" t="s">
        <v>2261</v>
      </c>
      <c r="C1089" s="8" t="s">
        <v>4127</v>
      </c>
      <c r="D1089" s="8">
        <v>45019</v>
      </c>
      <c r="E1089" s="7">
        <v>4</v>
      </c>
      <c r="F1089" s="7">
        <v>3</v>
      </c>
      <c r="G1089" s="7">
        <v>2023</v>
      </c>
      <c r="H1089" s="8">
        <f t="shared" si="48"/>
        <v>45019</v>
      </c>
      <c r="I1089" s="11">
        <v>44992</v>
      </c>
      <c r="J1089" s="7">
        <f t="shared" si="49"/>
        <v>-27</v>
      </c>
      <c r="K1089" s="7" t="s">
        <v>14</v>
      </c>
      <c r="L1089" s="7">
        <v>88388</v>
      </c>
      <c r="M1089" s="7">
        <v>1363</v>
      </c>
      <c r="N1089" s="12">
        <v>1527.27</v>
      </c>
      <c r="O1089" s="12">
        <f t="shared" si="50"/>
        <v>1527.27</v>
      </c>
      <c r="P1089" s="7">
        <v>249</v>
      </c>
      <c r="Q1089" s="7" t="b">
        <v>0</v>
      </c>
      <c r="R1089" s="7"/>
      <c r="S1089" s="15" t="s">
        <v>16</v>
      </c>
    </row>
    <row r="1090" spans="1:19">
      <c r="A1090" s="3" t="s">
        <v>2262</v>
      </c>
      <c r="B1090" s="4" t="s">
        <v>2263</v>
      </c>
      <c r="C1090" s="5" t="s">
        <v>4129</v>
      </c>
      <c r="D1090" s="5">
        <v>45040</v>
      </c>
      <c r="E1090" s="4">
        <v>4</v>
      </c>
      <c r="F1090" s="4">
        <v>24</v>
      </c>
      <c r="G1090" s="4">
        <v>2023</v>
      </c>
      <c r="H1090" s="5">
        <f t="shared" ref="H1090:H1153" si="51">IF(E1090&gt;12,DATE(G1090,F1090,E1090),D1090)</f>
        <v>45040</v>
      </c>
      <c r="I1090" s="9">
        <v>45045</v>
      </c>
      <c r="J1090" s="4">
        <f t="shared" ref="J1090:J1153" si="52">DATEDIF(H1090,I1090,"D")</f>
        <v>5</v>
      </c>
      <c r="K1090" s="4" t="s">
        <v>33</v>
      </c>
      <c r="L1090" s="4">
        <v>9007</v>
      </c>
      <c r="M1090" s="4">
        <v>125</v>
      </c>
      <c r="N1090" s="10">
        <v>184.93</v>
      </c>
      <c r="O1090" s="10">
        <f t="shared" si="50"/>
        <v>184.93</v>
      </c>
      <c r="P1090" s="4">
        <v>20</v>
      </c>
      <c r="Q1090" s="4" t="b">
        <v>0</v>
      </c>
      <c r="R1090" s="4"/>
      <c r="S1090" s="14" t="s">
        <v>34</v>
      </c>
    </row>
    <row r="1091" spans="1:19">
      <c r="A1091" s="6" t="s">
        <v>2264</v>
      </c>
      <c r="B1091" s="7" t="s">
        <v>2265</v>
      </c>
      <c r="C1091" s="8" t="s">
        <v>4127</v>
      </c>
      <c r="D1091" s="8">
        <v>45117</v>
      </c>
      <c r="E1091" s="7">
        <v>7</v>
      </c>
      <c r="F1091" s="7">
        <v>10</v>
      </c>
      <c r="G1091" s="7">
        <v>2023</v>
      </c>
      <c r="H1091" s="8">
        <f t="shared" si="51"/>
        <v>45117</v>
      </c>
      <c r="I1091" s="11">
        <v>45139</v>
      </c>
      <c r="J1091" s="7">
        <f t="shared" si="52"/>
        <v>22</v>
      </c>
      <c r="K1091" s="7" t="s">
        <v>23</v>
      </c>
      <c r="L1091" s="7">
        <v>42832</v>
      </c>
      <c r="M1091" s="7">
        <v>786</v>
      </c>
      <c r="N1091" s="12">
        <v>1076.37</v>
      </c>
      <c r="O1091" s="12">
        <f t="shared" ref="O1091:O1154" si="53">IF(N1091&lt;$V$6,$V$6,IF(N1091&gt;$V$7,$V$7,N1091))</f>
        <v>1076.37</v>
      </c>
      <c r="P1091" s="7">
        <v>125</v>
      </c>
      <c r="Q1091" s="7" t="b">
        <v>0</v>
      </c>
      <c r="R1091" s="7"/>
      <c r="S1091" s="15" t="s">
        <v>25</v>
      </c>
    </row>
    <row r="1092" spans="1:19">
      <c r="A1092" s="3" t="s">
        <v>2266</v>
      </c>
      <c r="B1092" s="4" t="s">
        <v>2267</v>
      </c>
      <c r="C1092" s="5" t="s">
        <v>4129</v>
      </c>
      <c r="D1092" s="5">
        <v>44970</v>
      </c>
      <c r="E1092" s="4">
        <v>2</v>
      </c>
      <c r="F1092" s="4">
        <v>13</v>
      </c>
      <c r="G1092" s="4">
        <v>2023</v>
      </c>
      <c r="H1092" s="5">
        <f t="shared" si="51"/>
        <v>44970</v>
      </c>
      <c r="I1092" s="9">
        <v>44975</v>
      </c>
      <c r="J1092" s="4">
        <f t="shared" si="52"/>
        <v>5</v>
      </c>
      <c r="K1092" s="4" t="s">
        <v>33</v>
      </c>
      <c r="L1092" s="4">
        <v>59596</v>
      </c>
      <c r="M1092" s="4">
        <v>2802</v>
      </c>
      <c r="N1092" s="10">
        <v>1494.38</v>
      </c>
      <c r="O1092" s="10">
        <f t="shared" si="53"/>
        <v>1494.38</v>
      </c>
      <c r="P1092" s="4">
        <v>475</v>
      </c>
      <c r="Q1092" s="4" t="b">
        <v>0</v>
      </c>
      <c r="R1092" s="4"/>
      <c r="S1092" s="14" t="s">
        <v>34</v>
      </c>
    </row>
    <row r="1093" spans="1:19">
      <c r="A1093" s="6" t="s">
        <v>2268</v>
      </c>
      <c r="B1093" s="7" t="s">
        <v>2269</v>
      </c>
      <c r="C1093" s="8" t="s">
        <v>4127</v>
      </c>
      <c r="D1093" s="8">
        <v>45140</v>
      </c>
      <c r="E1093" s="7">
        <v>8</v>
      </c>
      <c r="F1093" s="7">
        <v>2</v>
      </c>
      <c r="G1093" s="7">
        <v>2023</v>
      </c>
      <c r="H1093" s="8">
        <f t="shared" si="51"/>
        <v>45140</v>
      </c>
      <c r="I1093" s="11">
        <v>44993</v>
      </c>
      <c r="J1093" s="7">
        <f t="shared" si="52"/>
        <v>-147</v>
      </c>
      <c r="K1093" s="7" t="s">
        <v>23</v>
      </c>
      <c r="L1093" s="7">
        <v>31523</v>
      </c>
      <c r="M1093" s="7">
        <v>837</v>
      </c>
      <c r="N1093" s="12">
        <v>1659.61</v>
      </c>
      <c r="O1093" s="12">
        <f t="shared" si="53"/>
        <v>1659.61</v>
      </c>
      <c r="P1093" s="7">
        <v>75</v>
      </c>
      <c r="Q1093" s="7" t="b">
        <v>1</v>
      </c>
      <c r="R1093" s="7"/>
      <c r="S1093" s="15" t="s">
        <v>25</v>
      </c>
    </row>
    <row r="1094" spans="1:19">
      <c r="A1094" s="3" t="s">
        <v>2270</v>
      </c>
      <c r="B1094" s="4" t="s">
        <v>2271</v>
      </c>
      <c r="C1094" s="5" t="s">
        <v>4128</v>
      </c>
      <c r="D1094" s="5">
        <v>44960</v>
      </c>
      <c r="E1094" s="4">
        <v>2</v>
      </c>
      <c r="F1094" s="4">
        <v>3</v>
      </c>
      <c r="G1094" s="4">
        <v>2023</v>
      </c>
      <c r="H1094" s="5">
        <f t="shared" si="51"/>
        <v>44960</v>
      </c>
      <c r="I1094" s="9">
        <v>44977</v>
      </c>
      <c r="J1094" s="4">
        <f t="shared" si="52"/>
        <v>17</v>
      </c>
      <c r="K1094" s="4" t="s">
        <v>19</v>
      </c>
      <c r="L1094" s="4">
        <v>89861</v>
      </c>
      <c r="M1094" s="4">
        <v>2319</v>
      </c>
      <c r="N1094" s="10">
        <v>1303.61</v>
      </c>
      <c r="O1094" s="10">
        <f t="shared" si="53"/>
        <v>1303.61</v>
      </c>
      <c r="P1094" s="4">
        <v>424</v>
      </c>
      <c r="Q1094" s="4" t="b">
        <v>0</v>
      </c>
      <c r="R1094" s="4"/>
      <c r="S1094" s="14" t="s">
        <v>20</v>
      </c>
    </row>
    <row r="1095" spans="1:19">
      <c r="A1095" s="6" t="s">
        <v>2272</v>
      </c>
      <c r="B1095" s="7" t="s">
        <v>2273</v>
      </c>
      <c r="C1095" s="8" t="s">
        <v>4128</v>
      </c>
      <c r="D1095" s="8">
        <v>45110</v>
      </c>
      <c r="E1095" s="7">
        <v>7</v>
      </c>
      <c r="F1095" s="7">
        <v>3</v>
      </c>
      <c r="G1095" s="7">
        <v>2023</v>
      </c>
      <c r="H1095" s="8">
        <f t="shared" si="51"/>
        <v>45110</v>
      </c>
      <c r="I1095" s="11">
        <v>44997</v>
      </c>
      <c r="J1095" s="7">
        <f t="shared" si="52"/>
        <v>-113</v>
      </c>
      <c r="K1095" s="7" t="s">
        <v>19</v>
      </c>
      <c r="L1095" s="7">
        <v>87740</v>
      </c>
      <c r="M1095" s="7">
        <v>1976</v>
      </c>
      <c r="N1095" s="12">
        <v>3856.57</v>
      </c>
      <c r="O1095" s="12">
        <f t="shared" si="53"/>
        <v>3632.575</v>
      </c>
      <c r="P1095" s="7">
        <v>139</v>
      </c>
      <c r="Q1095" s="7" t="b">
        <v>0</v>
      </c>
      <c r="R1095" s="7"/>
      <c r="S1095" s="15" t="s">
        <v>20</v>
      </c>
    </row>
    <row r="1096" spans="1:19">
      <c r="A1096" s="3" t="s">
        <v>2274</v>
      </c>
      <c r="B1096" s="4" t="s">
        <v>2275</v>
      </c>
      <c r="C1096" s="5" t="s">
        <v>4128</v>
      </c>
      <c r="D1096" s="5">
        <v>45096</v>
      </c>
      <c r="E1096" s="4">
        <v>6</v>
      </c>
      <c r="F1096" s="4">
        <v>19</v>
      </c>
      <c r="G1096" s="4">
        <v>2023</v>
      </c>
      <c r="H1096" s="5">
        <f t="shared" si="51"/>
        <v>45096</v>
      </c>
      <c r="I1096" s="9">
        <v>45124</v>
      </c>
      <c r="J1096" s="4">
        <f t="shared" si="52"/>
        <v>28</v>
      </c>
      <c r="K1096" s="4" t="s">
        <v>23</v>
      </c>
      <c r="L1096" s="4">
        <v>16524</v>
      </c>
      <c r="M1096" s="4">
        <v>262</v>
      </c>
      <c r="N1096" s="10">
        <v>347.1</v>
      </c>
      <c r="O1096" s="10">
        <f t="shared" si="53"/>
        <v>347.1</v>
      </c>
      <c r="P1096" s="4">
        <v>26</v>
      </c>
      <c r="Q1096" s="4" t="b">
        <v>0</v>
      </c>
      <c r="R1096" s="4"/>
      <c r="S1096" s="14" t="s">
        <v>25</v>
      </c>
    </row>
    <row r="1097" spans="1:19">
      <c r="A1097" s="6" t="s">
        <v>2276</v>
      </c>
      <c r="B1097" s="7" t="s">
        <v>2277</v>
      </c>
      <c r="C1097" s="8" t="s">
        <v>4127</v>
      </c>
      <c r="D1097" s="8">
        <v>44952</v>
      </c>
      <c r="E1097" s="7">
        <v>1</v>
      </c>
      <c r="F1097" s="7">
        <v>26</v>
      </c>
      <c r="G1097" s="7">
        <v>2023</v>
      </c>
      <c r="H1097" s="8">
        <f t="shared" si="51"/>
        <v>44952</v>
      </c>
      <c r="I1097" s="11">
        <v>44977</v>
      </c>
      <c r="J1097" s="7">
        <f t="shared" si="52"/>
        <v>25</v>
      </c>
      <c r="K1097" s="7" t="s">
        <v>14</v>
      </c>
      <c r="L1097" s="7">
        <v>20282</v>
      </c>
      <c r="M1097" s="7">
        <v>598</v>
      </c>
      <c r="N1097" s="12">
        <v>1162.95</v>
      </c>
      <c r="O1097" s="12">
        <f t="shared" si="53"/>
        <v>1162.95</v>
      </c>
      <c r="P1097" s="7">
        <v>0</v>
      </c>
      <c r="Q1097" s="7" t="b">
        <v>0</v>
      </c>
      <c r="R1097" s="7"/>
      <c r="S1097" s="15" t="s">
        <v>68</v>
      </c>
    </row>
    <row r="1098" spans="1:19">
      <c r="A1098" s="3" t="s">
        <v>2278</v>
      </c>
      <c r="B1098" s="4" t="s">
        <v>2279</v>
      </c>
      <c r="C1098" s="5" t="s">
        <v>4129</v>
      </c>
      <c r="D1098" s="5">
        <v>45129</v>
      </c>
      <c r="E1098" s="4">
        <v>7</v>
      </c>
      <c r="F1098" s="4">
        <v>22</v>
      </c>
      <c r="G1098" s="4">
        <v>2023</v>
      </c>
      <c r="H1098" s="5">
        <f t="shared" si="51"/>
        <v>45129</v>
      </c>
      <c r="I1098" s="9">
        <v>45132</v>
      </c>
      <c r="J1098" s="4">
        <f t="shared" si="52"/>
        <v>3</v>
      </c>
      <c r="K1098" s="4" t="s">
        <v>23</v>
      </c>
      <c r="L1098" s="4">
        <v>24930</v>
      </c>
      <c r="M1098" s="4">
        <v>378</v>
      </c>
      <c r="N1098" s="10">
        <v>254.07</v>
      </c>
      <c r="O1098" s="10">
        <f t="shared" si="53"/>
        <v>254.07</v>
      </c>
      <c r="P1098" s="4">
        <v>24</v>
      </c>
      <c r="Q1098" s="4" t="b">
        <v>1</v>
      </c>
      <c r="R1098" s="4"/>
      <c r="S1098" s="14" t="s">
        <v>25</v>
      </c>
    </row>
    <row r="1099" spans="1:19">
      <c r="A1099" s="6" t="s">
        <v>2280</v>
      </c>
      <c r="B1099" s="7" t="s">
        <v>2281</v>
      </c>
      <c r="C1099" s="8" t="s">
        <v>4129</v>
      </c>
      <c r="D1099" s="8">
        <v>45145</v>
      </c>
      <c r="E1099" s="7">
        <v>8</v>
      </c>
      <c r="F1099" s="7">
        <v>7</v>
      </c>
      <c r="G1099" s="7">
        <v>2023</v>
      </c>
      <c r="H1099" s="8">
        <f t="shared" si="51"/>
        <v>45145</v>
      </c>
      <c r="I1099" s="11">
        <v>45161</v>
      </c>
      <c r="J1099" s="7">
        <f t="shared" si="52"/>
        <v>16</v>
      </c>
      <c r="K1099" s="7" t="s">
        <v>41</v>
      </c>
      <c r="L1099" s="7">
        <v>1077</v>
      </c>
      <c r="M1099" s="7">
        <v>46</v>
      </c>
      <c r="N1099" s="12">
        <v>56.84</v>
      </c>
      <c r="O1099" s="12">
        <f t="shared" si="53"/>
        <v>56.84</v>
      </c>
      <c r="P1099" s="7">
        <v>0</v>
      </c>
      <c r="Q1099" s="7" t="b">
        <v>0</v>
      </c>
      <c r="R1099" s="7"/>
      <c r="S1099" s="15" t="s">
        <v>42</v>
      </c>
    </row>
    <row r="1100" spans="1:19">
      <c r="A1100" s="3" t="s">
        <v>2282</v>
      </c>
      <c r="B1100" s="4" t="s">
        <v>2283</v>
      </c>
      <c r="C1100" s="5" t="s">
        <v>4131</v>
      </c>
      <c r="D1100" s="5">
        <v>45022</v>
      </c>
      <c r="E1100" s="4">
        <v>4</v>
      </c>
      <c r="F1100" s="4">
        <v>6</v>
      </c>
      <c r="G1100" s="4">
        <v>2023</v>
      </c>
      <c r="H1100" s="5">
        <f t="shared" si="51"/>
        <v>45022</v>
      </c>
      <c r="I1100" s="9">
        <v>45039</v>
      </c>
      <c r="J1100" s="4">
        <f t="shared" si="52"/>
        <v>17</v>
      </c>
      <c r="K1100" s="4" t="s">
        <v>41</v>
      </c>
      <c r="L1100" s="4">
        <v>21611</v>
      </c>
      <c r="M1100" s="4">
        <v>536</v>
      </c>
      <c r="N1100" s="10">
        <v>404.28</v>
      </c>
      <c r="O1100" s="10">
        <f t="shared" si="53"/>
        <v>404.28</v>
      </c>
      <c r="P1100" s="4">
        <v>0</v>
      </c>
      <c r="Q1100" s="4" t="b">
        <v>0</v>
      </c>
      <c r="R1100" s="4"/>
      <c r="S1100" s="14" t="s">
        <v>42</v>
      </c>
    </row>
    <row r="1101" spans="1:19">
      <c r="A1101" s="6" t="s">
        <v>2284</v>
      </c>
      <c r="B1101" s="7" t="s">
        <v>2285</v>
      </c>
      <c r="C1101" s="8" t="s">
        <v>4128</v>
      </c>
      <c r="D1101" s="8" t="s">
        <v>2286</v>
      </c>
      <c r="E1101" s="7">
        <v>18</v>
      </c>
      <c r="F1101" s="7">
        <v>3</v>
      </c>
      <c r="G1101" s="7">
        <v>2023</v>
      </c>
      <c r="H1101" s="8">
        <f t="shared" si="51"/>
        <v>45003</v>
      </c>
      <c r="I1101" s="11">
        <v>45006</v>
      </c>
      <c r="J1101" s="7">
        <f t="shared" si="52"/>
        <v>3</v>
      </c>
      <c r="K1101" s="7" t="s">
        <v>14</v>
      </c>
      <c r="L1101" s="7">
        <v>17984</v>
      </c>
      <c r="M1101" s="7">
        <v>449</v>
      </c>
      <c r="N1101" s="12">
        <v>258.83</v>
      </c>
      <c r="O1101" s="12">
        <f t="shared" si="53"/>
        <v>258.83</v>
      </c>
      <c r="P1101" s="7">
        <v>75</v>
      </c>
      <c r="Q1101" s="7" t="b">
        <v>1</v>
      </c>
      <c r="R1101" s="7">
        <v>18015</v>
      </c>
      <c r="S1101" s="15" t="s">
        <v>16</v>
      </c>
    </row>
    <row r="1102" spans="1:19">
      <c r="A1102" s="3" t="s">
        <v>2287</v>
      </c>
      <c r="B1102" s="4" t="s">
        <v>2288</v>
      </c>
      <c r="C1102" s="5" t="s">
        <v>4127</v>
      </c>
      <c r="D1102" s="5">
        <v>45244</v>
      </c>
      <c r="E1102" s="4">
        <v>11</v>
      </c>
      <c r="F1102" s="4">
        <v>14</v>
      </c>
      <c r="G1102" s="4">
        <v>2023</v>
      </c>
      <c r="H1102" s="5">
        <f t="shared" si="51"/>
        <v>45244</v>
      </c>
      <c r="I1102" s="9">
        <v>45263</v>
      </c>
      <c r="J1102" s="4">
        <f t="shared" si="52"/>
        <v>19</v>
      </c>
      <c r="K1102" s="4" t="s">
        <v>41</v>
      </c>
      <c r="L1102" s="4">
        <v>15060</v>
      </c>
      <c r="M1102" s="4">
        <v>436</v>
      </c>
      <c r="N1102" s="10">
        <v>621.86</v>
      </c>
      <c r="O1102" s="10">
        <f t="shared" si="53"/>
        <v>621.86</v>
      </c>
      <c r="P1102" s="4">
        <v>54</v>
      </c>
      <c r="Q1102" s="4" t="b">
        <v>0</v>
      </c>
      <c r="R1102" s="4"/>
      <c r="S1102" s="14" t="s">
        <v>42</v>
      </c>
    </row>
    <row r="1103" spans="1:19">
      <c r="A1103" s="6" t="s">
        <v>2289</v>
      </c>
      <c r="B1103" s="7" t="s">
        <v>2290</v>
      </c>
      <c r="C1103" s="8" t="s">
        <v>4128</v>
      </c>
      <c r="D1103" s="8">
        <v>45182</v>
      </c>
      <c r="E1103" s="7">
        <v>9</v>
      </c>
      <c r="F1103" s="7">
        <v>13</v>
      </c>
      <c r="G1103" s="7">
        <v>2023</v>
      </c>
      <c r="H1103" s="8">
        <f t="shared" si="51"/>
        <v>45182</v>
      </c>
      <c r="I1103" s="11">
        <v>45188</v>
      </c>
      <c r="J1103" s="7">
        <f t="shared" si="52"/>
        <v>6</v>
      </c>
      <c r="K1103" s="7" t="s">
        <v>14</v>
      </c>
      <c r="L1103" s="7">
        <v>83985</v>
      </c>
      <c r="M1103" s="7">
        <v>2331</v>
      </c>
      <c r="N1103" s="12">
        <v>1892.01</v>
      </c>
      <c r="O1103" s="12">
        <f t="shared" si="53"/>
        <v>1892.01</v>
      </c>
      <c r="P1103" s="7">
        <v>0</v>
      </c>
      <c r="Q1103" s="7" t="b">
        <v>0</v>
      </c>
      <c r="R1103" s="7"/>
      <c r="S1103" s="15" t="s">
        <v>16</v>
      </c>
    </row>
    <row r="1104" spans="1:19">
      <c r="A1104" s="3" t="s">
        <v>2291</v>
      </c>
      <c r="B1104" s="4" t="s">
        <v>2292</v>
      </c>
      <c r="C1104" s="5" t="s">
        <v>4129</v>
      </c>
      <c r="D1104" s="5">
        <v>44928</v>
      </c>
      <c r="E1104" s="4">
        <v>1</v>
      </c>
      <c r="F1104" s="4">
        <v>2</v>
      </c>
      <c r="G1104" s="4">
        <v>2023</v>
      </c>
      <c r="H1104" s="5">
        <f t="shared" si="51"/>
        <v>44928</v>
      </c>
      <c r="I1104" s="9">
        <v>44966</v>
      </c>
      <c r="J1104" s="4">
        <f t="shared" si="52"/>
        <v>38</v>
      </c>
      <c r="K1104" s="4" t="s">
        <v>191</v>
      </c>
      <c r="L1104" s="4">
        <v>85056</v>
      </c>
      <c r="M1104" s="4">
        <v>4235</v>
      </c>
      <c r="N1104" s="10">
        <v>5850.85</v>
      </c>
      <c r="O1104" s="10">
        <f t="shared" si="53"/>
        <v>3632.575</v>
      </c>
      <c r="P1104" s="4">
        <v>678</v>
      </c>
      <c r="Q1104" s="4" t="b">
        <v>0</v>
      </c>
      <c r="R1104" s="4"/>
      <c r="S1104" s="14" t="s">
        <v>42</v>
      </c>
    </row>
    <row r="1105" spans="1:19">
      <c r="A1105" s="6" t="s">
        <v>2293</v>
      </c>
      <c r="B1105" s="7" t="s">
        <v>2294</v>
      </c>
      <c r="C1105" s="8" t="s">
        <v>4129</v>
      </c>
      <c r="D1105" s="8">
        <v>45123</v>
      </c>
      <c r="E1105" s="7">
        <v>7</v>
      </c>
      <c r="F1105" s="7">
        <v>16</v>
      </c>
      <c r="G1105" s="7">
        <v>2023</v>
      </c>
      <c r="H1105" s="8">
        <f t="shared" si="51"/>
        <v>45123</v>
      </c>
      <c r="I1105" s="11">
        <v>45144</v>
      </c>
      <c r="J1105" s="7">
        <f t="shared" si="52"/>
        <v>21</v>
      </c>
      <c r="K1105" s="7" t="s">
        <v>33</v>
      </c>
      <c r="L1105" s="7">
        <v>44303</v>
      </c>
      <c r="M1105" s="7">
        <v>1409</v>
      </c>
      <c r="N1105" s="12">
        <v>941.98</v>
      </c>
      <c r="O1105" s="12">
        <f t="shared" si="53"/>
        <v>941.98</v>
      </c>
      <c r="P1105" s="7">
        <v>0</v>
      </c>
      <c r="Q1105" s="7" t="b">
        <v>1</v>
      </c>
      <c r="R1105" s="7"/>
      <c r="S1105" s="15" t="s">
        <v>34</v>
      </c>
    </row>
    <row r="1106" spans="1:19">
      <c r="A1106" s="3" t="s">
        <v>2295</v>
      </c>
      <c r="B1106" s="4" t="s">
        <v>2296</v>
      </c>
      <c r="C1106" s="5" t="s">
        <v>4131</v>
      </c>
      <c r="D1106" s="5">
        <v>45196</v>
      </c>
      <c r="E1106" s="4">
        <v>9</v>
      </c>
      <c r="F1106" s="4">
        <v>27</v>
      </c>
      <c r="G1106" s="4">
        <v>2023</v>
      </c>
      <c r="H1106" s="5">
        <f t="shared" si="51"/>
        <v>45196</v>
      </c>
      <c r="I1106" s="9">
        <v>45221</v>
      </c>
      <c r="J1106" s="4">
        <f t="shared" si="52"/>
        <v>25</v>
      </c>
      <c r="K1106" s="4" t="s">
        <v>19</v>
      </c>
      <c r="L1106" s="4">
        <v>60207</v>
      </c>
      <c r="M1106" s="4">
        <v>814</v>
      </c>
      <c r="N1106" s="10">
        <v>812.36</v>
      </c>
      <c r="O1106" s="10">
        <f t="shared" si="53"/>
        <v>812.36</v>
      </c>
      <c r="P1106" s="4">
        <v>100</v>
      </c>
      <c r="Q1106" s="4" t="b">
        <v>1</v>
      </c>
      <c r="R1106" s="4"/>
      <c r="S1106" s="14" t="s">
        <v>20</v>
      </c>
    </row>
    <row r="1107" spans="1:19">
      <c r="A1107" s="6" t="s">
        <v>2297</v>
      </c>
      <c r="B1107" s="7" t="s">
        <v>2298</v>
      </c>
      <c r="C1107" s="8" t="s">
        <v>4127</v>
      </c>
      <c r="D1107" s="8">
        <v>45205</v>
      </c>
      <c r="E1107" s="7">
        <v>10</v>
      </c>
      <c r="F1107" s="7">
        <v>6</v>
      </c>
      <c r="G1107" s="7">
        <v>2023</v>
      </c>
      <c r="H1107" s="8">
        <f t="shared" si="51"/>
        <v>45205</v>
      </c>
      <c r="I1107" s="11">
        <v>45219</v>
      </c>
      <c r="J1107" s="7">
        <f t="shared" si="52"/>
        <v>14</v>
      </c>
      <c r="K1107" s="7" t="s">
        <v>19</v>
      </c>
      <c r="L1107" s="7">
        <v>76046</v>
      </c>
      <c r="M1107" s="7">
        <v>2606</v>
      </c>
      <c r="N1107" s="12">
        <v>4358.4</v>
      </c>
      <c r="O1107" s="12">
        <f t="shared" si="53"/>
        <v>3632.575</v>
      </c>
      <c r="P1107" s="7">
        <v>159</v>
      </c>
      <c r="Q1107" s="7" t="b">
        <v>1</v>
      </c>
      <c r="R1107" s="7"/>
      <c r="S1107" s="15" t="s">
        <v>20</v>
      </c>
    </row>
    <row r="1108" spans="1:19">
      <c r="A1108" s="3" t="s">
        <v>2299</v>
      </c>
      <c r="B1108" s="4" t="s">
        <v>2300</v>
      </c>
      <c r="C1108" s="5" t="s">
        <v>4127</v>
      </c>
      <c r="D1108" s="5">
        <v>45292</v>
      </c>
      <c r="E1108" s="4">
        <v>1</v>
      </c>
      <c r="F1108" s="4">
        <v>1</v>
      </c>
      <c r="G1108" s="4">
        <v>2024</v>
      </c>
      <c r="H1108" s="5">
        <f t="shared" si="51"/>
        <v>45292</v>
      </c>
      <c r="I1108" s="9">
        <v>45319</v>
      </c>
      <c r="J1108" s="4">
        <f t="shared" si="52"/>
        <v>27</v>
      </c>
      <c r="K1108" s="4" t="s">
        <v>33</v>
      </c>
      <c r="L1108" s="4">
        <v>30287</v>
      </c>
      <c r="M1108" s="4">
        <v>486</v>
      </c>
      <c r="N1108" s="10">
        <v>561.61</v>
      </c>
      <c r="O1108" s="10">
        <f t="shared" si="53"/>
        <v>561.61</v>
      </c>
      <c r="P1108" s="4">
        <v>69</v>
      </c>
      <c r="Q1108" s="4" t="b">
        <v>0</v>
      </c>
      <c r="R1108" s="4"/>
      <c r="S1108" s="14" t="s">
        <v>34</v>
      </c>
    </row>
    <row r="1109" spans="1:19">
      <c r="A1109" s="6" t="s">
        <v>2301</v>
      </c>
      <c r="B1109" s="7" t="s">
        <v>2302</v>
      </c>
      <c r="C1109" s="8" t="s">
        <v>4129</v>
      </c>
      <c r="D1109" s="8">
        <v>45175</v>
      </c>
      <c r="E1109" s="7">
        <v>9</v>
      </c>
      <c r="F1109" s="7">
        <v>6</v>
      </c>
      <c r="G1109" s="7">
        <v>2023</v>
      </c>
      <c r="H1109" s="8">
        <f t="shared" si="51"/>
        <v>45175</v>
      </c>
      <c r="I1109" s="11">
        <v>45196</v>
      </c>
      <c r="J1109" s="7">
        <f t="shared" si="52"/>
        <v>21</v>
      </c>
      <c r="K1109" s="7" t="s">
        <v>14</v>
      </c>
      <c r="L1109" s="7">
        <v>94709</v>
      </c>
      <c r="M1109" s="7">
        <v>1064</v>
      </c>
      <c r="N1109" s="12">
        <v>1533.88</v>
      </c>
      <c r="O1109" s="12">
        <f t="shared" si="53"/>
        <v>1533.88</v>
      </c>
      <c r="P1109" s="7">
        <v>159</v>
      </c>
      <c r="Q1109" s="7" t="b">
        <v>1</v>
      </c>
      <c r="R1109" s="7"/>
      <c r="S1109" s="15" t="s">
        <v>16</v>
      </c>
    </row>
    <row r="1110" spans="1:19">
      <c r="A1110" s="3" t="s">
        <v>2303</v>
      </c>
      <c r="B1110" s="4" t="s">
        <v>2304</v>
      </c>
      <c r="C1110" s="5" t="s">
        <v>4129</v>
      </c>
      <c r="D1110" s="5">
        <v>45091</v>
      </c>
      <c r="E1110" s="4">
        <v>6</v>
      </c>
      <c r="F1110" s="4">
        <v>14</v>
      </c>
      <c r="G1110" s="4">
        <v>2023</v>
      </c>
      <c r="H1110" s="5">
        <f t="shared" si="51"/>
        <v>45091</v>
      </c>
      <c r="I1110" s="9">
        <v>45103</v>
      </c>
      <c r="J1110" s="4">
        <f t="shared" si="52"/>
        <v>12</v>
      </c>
      <c r="K1110" s="4" t="s">
        <v>23</v>
      </c>
      <c r="L1110" s="4">
        <v>40711</v>
      </c>
      <c r="M1110" s="4">
        <v>1987</v>
      </c>
      <c r="N1110" s="10">
        <v>2923.25</v>
      </c>
      <c r="O1110" s="10">
        <f t="shared" si="53"/>
        <v>2923.25</v>
      </c>
      <c r="P1110" s="4">
        <v>212</v>
      </c>
      <c r="Q1110" s="4" t="b">
        <v>1</v>
      </c>
      <c r="R1110" s="4"/>
      <c r="S1110" s="14" t="s">
        <v>25</v>
      </c>
    </row>
    <row r="1111" spans="1:19">
      <c r="A1111" s="6" t="s">
        <v>2305</v>
      </c>
      <c r="B1111" s="7" t="s">
        <v>2306</v>
      </c>
      <c r="C1111" s="8" t="s">
        <v>4129</v>
      </c>
      <c r="D1111" s="8">
        <v>45090</v>
      </c>
      <c r="E1111" s="7">
        <v>6</v>
      </c>
      <c r="F1111" s="7">
        <v>13</v>
      </c>
      <c r="G1111" s="7">
        <v>2023</v>
      </c>
      <c r="H1111" s="8">
        <f t="shared" si="51"/>
        <v>45090</v>
      </c>
      <c r="I1111" s="11">
        <v>45085</v>
      </c>
      <c r="J1111" s="7">
        <f t="shared" si="52"/>
        <v>-5</v>
      </c>
      <c r="K1111" s="7" t="s">
        <v>19</v>
      </c>
      <c r="L1111" s="7">
        <v>12954</v>
      </c>
      <c r="M1111" s="7">
        <v>530</v>
      </c>
      <c r="N1111" s="12">
        <v>935.79</v>
      </c>
      <c r="O1111" s="12">
        <f t="shared" si="53"/>
        <v>935.79</v>
      </c>
      <c r="P1111" s="7">
        <v>102</v>
      </c>
      <c r="Q1111" s="7" t="b">
        <v>1</v>
      </c>
      <c r="R1111" s="7"/>
      <c r="S1111" s="15" t="s">
        <v>20</v>
      </c>
    </row>
    <row r="1112" spans="1:19">
      <c r="A1112" s="3" t="s">
        <v>2307</v>
      </c>
      <c r="B1112" s="4" t="s">
        <v>2308</v>
      </c>
      <c r="C1112" s="5" t="s">
        <v>4128</v>
      </c>
      <c r="D1112" s="5" t="s">
        <v>806</v>
      </c>
      <c r="E1112" s="4">
        <v>24</v>
      </c>
      <c r="F1112" s="4">
        <v>5</v>
      </c>
      <c r="G1112" s="4">
        <v>2023</v>
      </c>
      <c r="H1112" s="5">
        <f t="shared" si="51"/>
        <v>45070</v>
      </c>
      <c r="I1112" s="9">
        <v>45097</v>
      </c>
      <c r="J1112" s="4">
        <f t="shared" si="52"/>
        <v>27</v>
      </c>
      <c r="K1112" s="4" t="s">
        <v>14</v>
      </c>
      <c r="L1112" s="4">
        <v>74340</v>
      </c>
      <c r="M1112" s="4">
        <v>3657</v>
      </c>
      <c r="N1112" s="10">
        <v>3610.86</v>
      </c>
      <c r="O1112" s="10">
        <f t="shared" si="53"/>
        <v>3610.86</v>
      </c>
      <c r="P1112" s="4">
        <v>662</v>
      </c>
      <c r="Q1112" s="4" t="b">
        <v>1</v>
      </c>
      <c r="R1112" s="4"/>
      <c r="S1112" s="14" t="s">
        <v>16</v>
      </c>
    </row>
    <row r="1113" spans="1:19">
      <c r="A1113" s="6" t="s">
        <v>2309</v>
      </c>
      <c r="B1113" s="7" t="s">
        <v>2310</v>
      </c>
      <c r="C1113" s="8" t="s">
        <v>4131</v>
      </c>
      <c r="D1113" s="8">
        <v>45168</v>
      </c>
      <c r="E1113" s="7">
        <v>8</v>
      </c>
      <c r="F1113" s="7">
        <v>30</v>
      </c>
      <c r="G1113" s="7">
        <v>2023</v>
      </c>
      <c r="H1113" s="8">
        <f t="shared" si="51"/>
        <v>45168</v>
      </c>
      <c r="I1113" s="11">
        <v>45177</v>
      </c>
      <c r="J1113" s="7">
        <f t="shared" si="52"/>
        <v>9</v>
      </c>
      <c r="K1113" s="7" t="s">
        <v>41</v>
      </c>
      <c r="L1113" s="7">
        <v>73101</v>
      </c>
      <c r="M1113" s="7">
        <v>2128</v>
      </c>
      <c r="N1113" s="12">
        <v>3257.85</v>
      </c>
      <c r="O1113" s="12">
        <f t="shared" si="53"/>
        <v>3257.85</v>
      </c>
      <c r="P1113" s="7">
        <v>332</v>
      </c>
      <c r="Q1113" s="7" t="b">
        <v>0</v>
      </c>
      <c r="R1113" s="7">
        <v>73116</v>
      </c>
      <c r="S1113" s="15" t="s">
        <v>42</v>
      </c>
    </row>
    <row r="1114" spans="1:19">
      <c r="A1114" s="3" t="s">
        <v>2311</v>
      </c>
      <c r="B1114" s="4" t="s">
        <v>2312</v>
      </c>
      <c r="C1114" s="5" t="s">
        <v>4129</v>
      </c>
      <c r="D1114" s="5">
        <v>45046</v>
      </c>
      <c r="E1114" s="4">
        <v>4</v>
      </c>
      <c r="F1114" s="4">
        <v>30</v>
      </c>
      <c r="G1114" s="4">
        <v>2023</v>
      </c>
      <c r="H1114" s="5">
        <f t="shared" si="51"/>
        <v>45046</v>
      </c>
      <c r="I1114" s="9">
        <v>45060</v>
      </c>
      <c r="J1114" s="4">
        <f t="shared" si="52"/>
        <v>14</v>
      </c>
      <c r="K1114" s="4" t="s">
        <v>14</v>
      </c>
      <c r="L1114" s="4">
        <v>72520</v>
      </c>
      <c r="M1114" s="4">
        <v>2269</v>
      </c>
      <c r="N1114" s="10">
        <v>4407.36</v>
      </c>
      <c r="O1114" s="10">
        <f t="shared" si="53"/>
        <v>3632.575</v>
      </c>
      <c r="P1114" s="4">
        <v>356</v>
      </c>
      <c r="Q1114" s="4" t="b">
        <v>1</v>
      </c>
      <c r="R1114" s="4"/>
      <c r="S1114" s="14" t="s">
        <v>16</v>
      </c>
    </row>
    <row r="1115" spans="1:19">
      <c r="A1115" s="6" t="s">
        <v>2313</v>
      </c>
      <c r="B1115" s="7" t="s">
        <v>2314</v>
      </c>
      <c r="C1115" s="8" t="s">
        <v>4129</v>
      </c>
      <c r="D1115" s="8">
        <v>45263</v>
      </c>
      <c r="E1115" s="7">
        <v>12</v>
      </c>
      <c r="F1115" s="7">
        <v>3</v>
      </c>
      <c r="G1115" s="7">
        <v>2023</v>
      </c>
      <c r="H1115" s="8">
        <f t="shared" si="51"/>
        <v>45263</v>
      </c>
      <c r="I1115" s="11">
        <v>45265</v>
      </c>
      <c r="J1115" s="7">
        <f t="shared" si="52"/>
        <v>2</v>
      </c>
      <c r="K1115" s="7" t="s">
        <v>41</v>
      </c>
      <c r="L1115" s="7">
        <v>88062</v>
      </c>
      <c r="M1115" s="7">
        <v>1473</v>
      </c>
      <c r="N1115" s="12">
        <v>2349.97</v>
      </c>
      <c r="O1115" s="12">
        <f t="shared" si="53"/>
        <v>2349.97</v>
      </c>
      <c r="P1115" s="7">
        <v>129</v>
      </c>
      <c r="Q1115" s="7" t="b">
        <v>0</v>
      </c>
      <c r="R1115" s="7"/>
      <c r="S1115" s="15" t="s">
        <v>42</v>
      </c>
    </row>
    <row r="1116" spans="1:19">
      <c r="A1116" s="3" t="s">
        <v>2315</v>
      </c>
      <c r="B1116" s="4" t="s">
        <v>2316</v>
      </c>
      <c r="C1116" s="5" t="s">
        <v>4131</v>
      </c>
      <c r="D1116" s="5">
        <v>44955</v>
      </c>
      <c r="E1116" s="4">
        <v>1</v>
      </c>
      <c r="F1116" s="4">
        <v>29</v>
      </c>
      <c r="G1116" s="4">
        <v>2023</v>
      </c>
      <c r="H1116" s="5">
        <f t="shared" si="51"/>
        <v>44955</v>
      </c>
      <c r="I1116" s="9">
        <v>44980</v>
      </c>
      <c r="J1116" s="4">
        <f t="shared" si="52"/>
        <v>25</v>
      </c>
      <c r="K1116" s="4" t="s">
        <v>19</v>
      </c>
      <c r="L1116" s="4">
        <v>19574</v>
      </c>
      <c r="M1116" s="4">
        <v>389</v>
      </c>
      <c r="N1116" s="10">
        <v>480.34</v>
      </c>
      <c r="O1116" s="10">
        <f t="shared" si="53"/>
        <v>480.34</v>
      </c>
      <c r="P1116" s="4">
        <v>57</v>
      </c>
      <c r="Q1116" s="4" t="b">
        <v>0</v>
      </c>
      <c r="R1116" s="4"/>
      <c r="S1116" s="14" t="s">
        <v>20</v>
      </c>
    </row>
    <row r="1117" spans="1:19">
      <c r="A1117" s="6" t="s">
        <v>2317</v>
      </c>
      <c r="B1117" s="7" t="s">
        <v>2318</v>
      </c>
      <c r="C1117" s="8" t="s">
        <v>4128</v>
      </c>
      <c r="D1117" s="8">
        <v>45221</v>
      </c>
      <c r="E1117" s="7">
        <v>10</v>
      </c>
      <c r="F1117" s="7">
        <v>22</v>
      </c>
      <c r="G1117" s="7">
        <v>2023</v>
      </c>
      <c r="H1117" s="8">
        <f t="shared" si="51"/>
        <v>45221</v>
      </c>
      <c r="I1117" s="11">
        <v>45235</v>
      </c>
      <c r="J1117" s="7">
        <f t="shared" si="52"/>
        <v>14</v>
      </c>
      <c r="K1117" s="7" t="s">
        <v>41</v>
      </c>
      <c r="L1117" s="7">
        <v>10184</v>
      </c>
      <c r="M1117" s="7">
        <v>443</v>
      </c>
      <c r="N1117" s="12">
        <v>640.61</v>
      </c>
      <c r="O1117" s="12">
        <f t="shared" si="53"/>
        <v>640.61</v>
      </c>
      <c r="P1117" s="7">
        <v>0</v>
      </c>
      <c r="Q1117" s="7" t="b">
        <v>1</v>
      </c>
      <c r="R1117" s="7"/>
      <c r="S1117" s="15" t="s">
        <v>42</v>
      </c>
    </row>
    <row r="1118" spans="1:19">
      <c r="A1118" s="3" t="s">
        <v>2319</v>
      </c>
      <c r="B1118" s="4" t="s">
        <v>2320</v>
      </c>
      <c r="C1118" s="5" t="s">
        <v>4131</v>
      </c>
      <c r="D1118" s="5">
        <v>45108</v>
      </c>
      <c r="E1118" s="4">
        <v>7</v>
      </c>
      <c r="F1118" s="4">
        <v>1</v>
      </c>
      <c r="G1118" s="4">
        <v>2023</v>
      </c>
      <c r="H1118" s="5">
        <f t="shared" si="51"/>
        <v>45108</v>
      </c>
      <c r="I1118" s="9">
        <v>45110</v>
      </c>
      <c r="J1118" s="4">
        <f t="shared" si="52"/>
        <v>2</v>
      </c>
      <c r="K1118" s="4" t="s">
        <v>234</v>
      </c>
      <c r="L1118" s="4">
        <v>20096</v>
      </c>
      <c r="M1118" s="4">
        <v>487</v>
      </c>
      <c r="N1118" s="10">
        <v>783.84</v>
      </c>
      <c r="O1118" s="10">
        <f t="shared" si="53"/>
        <v>783.84</v>
      </c>
      <c r="P1118" s="4">
        <v>34</v>
      </c>
      <c r="Q1118" s="4" t="b">
        <v>0</v>
      </c>
      <c r="R1118" s="4"/>
      <c r="S1118" s="14" t="s">
        <v>16</v>
      </c>
    </row>
    <row r="1119" spans="1:19">
      <c r="A1119" s="6" t="s">
        <v>2321</v>
      </c>
      <c r="B1119" s="7" t="s">
        <v>2322</v>
      </c>
      <c r="C1119" s="8" t="s">
        <v>4129</v>
      </c>
      <c r="D1119" s="8">
        <v>45015</v>
      </c>
      <c r="E1119" s="7">
        <v>3</v>
      </c>
      <c r="F1119" s="7">
        <v>30</v>
      </c>
      <c r="G1119" s="7">
        <v>2023</v>
      </c>
      <c r="H1119" s="8">
        <f t="shared" si="51"/>
        <v>45015</v>
      </c>
      <c r="I1119" s="11">
        <v>45043</v>
      </c>
      <c r="J1119" s="7">
        <f t="shared" si="52"/>
        <v>28</v>
      </c>
      <c r="K1119" s="7" t="s">
        <v>19</v>
      </c>
      <c r="L1119" s="7">
        <v>68728</v>
      </c>
      <c r="M1119" s="7">
        <v>2960</v>
      </c>
      <c r="N1119" s="12">
        <v>4198.5</v>
      </c>
      <c r="O1119" s="12">
        <f t="shared" si="53"/>
        <v>3632.575</v>
      </c>
      <c r="P1119" s="7">
        <v>591</v>
      </c>
      <c r="Q1119" s="7" t="b">
        <v>1</v>
      </c>
      <c r="R1119" s="7"/>
      <c r="S1119" s="15" t="s">
        <v>20</v>
      </c>
    </row>
    <row r="1120" spans="1:19">
      <c r="A1120" s="3" t="s">
        <v>2323</v>
      </c>
      <c r="B1120" s="4" t="s">
        <v>2324</v>
      </c>
      <c r="C1120" s="5" t="s">
        <v>4128</v>
      </c>
      <c r="D1120" s="5">
        <v>45284</v>
      </c>
      <c r="E1120" s="4">
        <v>12</v>
      </c>
      <c r="F1120" s="4">
        <v>24</v>
      </c>
      <c r="G1120" s="4">
        <v>2023</v>
      </c>
      <c r="H1120" s="5">
        <f t="shared" si="51"/>
        <v>45284</v>
      </c>
      <c r="I1120" s="9">
        <v>45295</v>
      </c>
      <c r="J1120" s="4">
        <f t="shared" si="52"/>
        <v>11</v>
      </c>
      <c r="K1120" s="4" t="s">
        <v>41</v>
      </c>
      <c r="L1120" s="4">
        <v>35016</v>
      </c>
      <c r="M1120" s="4">
        <v>1343</v>
      </c>
      <c r="N1120" s="10">
        <v>705.09</v>
      </c>
      <c r="O1120" s="10">
        <f t="shared" si="53"/>
        <v>705.09</v>
      </c>
      <c r="P1120" s="4">
        <v>192</v>
      </c>
      <c r="Q1120" s="4" t="b">
        <v>0</v>
      </c>
      <c r="R1120" s="4"/>
      <c r="S1120" s="14" t="s">
        <v>42</v>
      </c>
    </row>
    <row r="1121" spans="1:19">
      <c r="A1121" s="6" t="s">
        <v>2325</v>
      </c>
      <c r="B1121" s="7" t="s">
        <v>2326</v>
      </c>
      <c r="C1121" s="8" t="s">
        <v>4128</v>
      </c>
      <c r="D1121" s="8">
        <v>45287</v>
      </c>
      <c r="E1121" s="7">
        <v>12</v>
      </c>
      <c r="F1121" s="7">
        <v>27</v>
      </c>
      <c r="G1121" s="7">
        <v>2023</v>
      </c>
      <c r="H1121" s="8">
        <f t="shared" si="51"/>
        <v>45287</v>
      </c>
      <c r="I1121" s="11">
        <v>45312</v>
      </c>
      <c r="J1121" s="7">
        <f t="shared" si="52"/>
        <v>25</v>
      </c>
      <c r="K1121" s="7" t="s">
        <v>23</v>
      </c>
      <c r="L1121" s="7">
        <v>12246</v>
      </c>
      <c r="M1121" s="7">
        <v>209</v>
      </c>
      <c r="N1121" s="12">
        <v>165.56</v>
      </c>
      <c r="O1121" s="12">
        <f t="shared" si="53"/>
        <v>165.56</v>
      </c>
      <c r="P1121" s="7">
        <v>23</v>
      </c>
      <c r="Q1121" s="7" t="b">
        <v>1</v>
      </c>
      <c r="R1121" s="7"/>
      <c r="S1121" s="15" t="s">
        <v>25</v>
      </c>
    </row>
    <row r="1122" spans="1:19">
      <c r="A1122" s="3" t="s">
        <v>2327</v>
      </c>
      <c r="B1122" s="4" t="s">
        <v>2328</v>
      </c>
      <c r="C1122" s="5" t="s">
        <v>4131</v>
      </c>
      <c r="D1122" s="5">
        <v>45215</v>
      </c>
      <c r="E1122" s="4">
        <v>10</v>
      </c>
      <c r="F1122" s="4">
        <v>16</v>
      </c>
      <c r="G1122" s="4">
        <v>2023</v>
      </c>
      <c r="H1122" s="5">
        <f t="shared" si="51"/>
        <v>45215</v>
      </c>
      <c r="I1122" s="9">
        <v>45228</v>
      </c>
      <c r="J1122" s="4">
        <f t="shared" si="52"/>
        <v>13</v>
      </c>
      <c r="K1122" s="4" t="s">
        <v>33</v>
      </c>
      <c r="L1122" s="4">
        <v>46558</v>
      </c>
      <c r="M1122" s="4">
        <v>1410</v>
      </c>
      <c r="N1122" s="10">
        <v>2419.14</v>
      </c>
      <c r="O1122" s="10">
        <f t="shared" si="53"/>
        <v>2419.14</v>
      </c>
      <c r="P1122" s="4">
        <v>131</v>
      </c>
      <c r="Q1122" s="4" t="b">
        <v>1</v>
      </c>
      <c r="R1122" s="4"/>
      <c r="S1122" s="14" t="s">
        <v>34</v>
      </c>
    </row>
    <row r="1123" spans="1:19">
      <c r="A1123" s="6" t="s">
        <v>2329</v>
      </c>
      <c r="B1123" s="7" t="s">
        <v>2330</v>
      </c>
      <c r="C1123" s="8" t="s">
        <v>4128</v>
      </c>
      <c r="D1123" s="8">
        <v>45179</v>
      </c>
      <c r="E1123" s="7">
        <v>9</v>
      </c>
      <c r="F1123" s="7">
        <v>10</v>
      </c>
      <c r="G1123" s="7">
        <v>2023</v>
      </c>
      <c r="H1123" s="8">
        <f t="shared" si="51"/>
        <v>45179</v>
      </c>
      <c r="I1123" s="11">
        <v>45180</v>
      </c>
      <c r="J1123" s="7">
        <f t="shared" si="52"/>
        <v>1</v>
      </c>
      <c r="K1123" s="7" t="s">
        <v>14</v>
      </c>
      <c r="L1123" s="7">
        <v>19381</v>
      </c>
      <c r="M1123" s="7">
        <v>718</v>
      </c>
      <c r="N1123" s="12">
        <v>652.64</v>
      </c>
      <c r="O1123" s="12">
        <f t="shared" si="53"/>
        <v>652.64</v>
      </c>
      <c r="P1123" s="7">
        <v>100</v>
      </c>
      <c r="Q1123" s="7" t="b">
        <v>0</v>
      </c>
      <c r="R1123" s="7"/>
      <c r="S1123" s="15" t="s">
        <v>16</v>
      </c>
    </row>
    <row r="1124" spans="1:19">
      <c r="A1124" s="3" t="s">
        <v>2331</v>
      </c>
      <c r="B1124" s="4" t="s">
        <v>2332</v>
      </c>
      <c r="C1124" s="5" t="s">
        <v>4129</v>
      </c>
      <c r="D1124" s="5" t="s">
        <v>2333</v>
      </c>
      <c r="E1124" s="4">
        <v>20</v>
      </c>
      <c r="F1124" s="4">
        <v>1</v>
      </c>
      <c r="G1124" s="4">
        <v>2023</v>
      </c>
      <c r="H1124" s="5">
        <f t="shared" si="51"/>
        <v>44946</v>
      </c>
      <c r="I1124" s="9">
        <v>44953</v>
      </c>
      <c r="J1124" s="4">
        <f t="shared" si="52"/>
        <v>7</v>
      </c>
      <c r="K1124" s="4" t="s">
        <v>19</v>
      </c>
      <c r="L1124" s="4">
        <v>37455</v>
      </c>
      <c r="M1124" s="4">
        <v>726</v>
      </c>
      <c r="N1124" s="10">
        <v>1159.67</v>
      </c>
      <c r="O1124" s="10">
        <f t="shared" si="53"/>
        <v>1159.67</v>
      </c>
      <c r="P1124" s="4">
        <v>41</v>
      </c>
      <c r="Q1124" s="4" t="b">
        <v>1</v>
      </c>
      <c r="R1124" s="4"/>
      <c r="S1124" s="14" t="s">
        <v>20</v>
      </c>
    </row>
    <row r="1125" spans="1:19">
      <c r="A1125" s="6" t="s">
        <v>2334</v>
      </c>
      <c r="B1125" s="7" t="s">
        <v>2335</v>
      </c>
      <c r="C1125" s="8" t="s">
        <v>4129</v>
      </c>
      <c r="D1125" s="8">
        <v>45046</v>
      </c>
      <c r="E1125" s="7">
        <v>4</v>
      </c>
      <c r="F1125" s="7">
        <v>30</v>
      </c>
      <c r="G1125" s="7">
        <v>2023</v>
      </c>
      <c r="H1125" s="8">
        <f t="shared" si="51"/>
        <v>45046</v>
      </c>
      <c r="I1125" s="11">
        <v>45068</v>
      </c>
      <c r="J1125" s="7">
        <f t="shared" si="52"/>
        <v>22</v>
      </c>
      <c r="K1125" s="7" t="s">
        <v>23</v>
      </c>
      <c r="L1125" s="7">
        <v>93263</v>
      </c>
      <c r="M1125" s="7">
        <v>4031</v>
      </c>
      <c r="N1125" s="12">
        <v>4265.52</v>
      </c>
      <c r="O1125" s="12">
        <f t="shared" si="53"/>
        <v>3632.575</v>
      </c>
      <c r="P1125" s="7">
        <v>258</v>
      </c>
      <c r="Q1125" s="7" t="b">
        <v>1</v>
      </c>
      <c r="R1125" s="7"/>
      <c r="S1125" s="15" t="s">
        <v>25</v>
      </c>
    </row>
    <row r="1126" spans="1:19">
      <c r="A1126" s="3" t="s">
        <v>2336</v>
      </c>
      <c r="B1126" s="4" t="s">
        <v>2337</v>
      </c>
      <c r="C1126" s="5" t="s">
        <v>4128</v>
      </c>
      <c r="D1126" s="5">
        <v>44966</v>
      </c>
      <c r="E1126" s="4">
        <v>2</v>
      </c>
      <c r="F1126" s="4">
        <v>9</v>
      </c>
      <c r="G1126" s="4">
        <v>2023</v>
      </c>
      <c r="H1126" s="5">
        <f t="shared" si="51"/>
        <v>44966</v>
      </c>
      <c r="I1126" s="9">
        <v>45195</v>
      </c>
      <c r="J1126" s="4">
        <f t="shared" si="52"/>
        <v>229</v>
      </c>
      <c r="K1126" s="4" t="s">
        <v>33</v>
      </c>
      <c r="L1126" s="4">
        <v>5018</v>
      </c>
      <c r="M1126" s="4">
        <v>159</v>
      </c>
      <c r="N1126" s="10">
        <v>203.97</v>
      </c>
      <c r="O1126" s="10">
        <f t="shared" si="53"/>
        <v>203.97</v>
      </c>
      <c r="P1126" s="4">
        <v>8</v>
      </c>
      <c r="Q1126" s="4" t="b">
        <v>0</v>
      </c>
      <c r="R1126" s="4"/>
      <c r="S1126" s="14" t="s">
        <v>34</v>
      </c>
    </row>
    <row r="1127" spans="1:19">
      <c r="A1127" s="6" t="s">
        <v>2338</v>
      </c>
      <c r="B1127" s="7" t="s">
        <v>2339</v>
      </c>
      <c r="C1127" s="8" t="s">
        <v>4128</v>
      </c>
      <c r="D1127" s="8">
        <v>45241</v>
      </c>
      <c r="E1127" s="7">
        <v>11</v>
      </c>
      <c r="F1127" s="7">
        <v>11</v>
      </c>
      <c r="G1127" s="7">
        <v>2023</v>
      </c>
      <c r="H1127" s="8">
        <f t="shared" si="51"/>
        <v>45241</v>
      </c>
      <c r="I1127" s="11">
        <v>45271</v>
      </c>
      <c r="J1127" s="7">
        <f t="shared" si="52"/>
        <v>30</v>
      </c>
      <c r="K1127" s="7" t="s">
        <v>14</v>
      </c>
      <c r="L1127" s="7">
        <v>12302</v>
      </c>
      <c r="M1127" s="7">
        <v>204</v>
      </c>
      <c r="N1127" s="12">
        <v>-122.8</v>
      </c>
      <c r="O1127" s="12">
        <f t="shared" si="53"/>
        <v>-122.8</v>
      </c>
      <c r="P1127" s="7">
        <v>25</v>
      </c>
      <c r="Q1127" s="7" t="b">
        <v>1</v>
      </c>
      <c r="R1127" s="7"/>
      <c r="S1127" s="15" t="s">
        <v>16</v>
      </c>
    </row>
    <row r="1128" spans="1:19">
      <c r="A1128" s="3" t="s">
        <v>2340</v>
      </c>
      <c r="B1128" s="4" t="s">
        <v>2341</v>
      </c>
      <c r="C1128" s="5" t="s">
        <v>4128</v>
      </c>
      <c r="D1128" s="5">
        <v>45017</v>
      </c>
      <c r="E1128" s="4">
        <v>4</v>
      </c>
      <c r="F1128" s="4">
        <v>1</v>
      </c>
      <c r="G1128" s="4">
        <v>2023</v>
      </c>
      <c r="H1128" s="5">
        <f t="shared" si="51"/>
        <v>45017</v>
      </c>
      <c r="I1128" s="9">
        <v>45029</v>
      </c>
      <c r="J1128" s="4">
        <f t="shared" si="52"/>
        <v>12</v>
      </c>
      <c r="K1128" s="4" t="s">
        <v>41</v>
      </c>
      <c r="L1128" s="4">
        <v>68506</v>
      </c>
      <c r="M1128" s="4">
        <v>2282</v>
      </c>
      <c r="N1128" s="10">
        <v>1761.34</v>
      </c>
      <c r="O1128" s="10">
        <f t="shared" si="53"/>
        <v>1761.34</v>
      </c>
      <c r="P1128" s="4">
        <v>319</v>
      </c>
      <c r="Q1128" s="4" t="b">
        <v>1</v>
      </c>
      <c r="R1128" s="4"/>
      <c r="S1128" s="14" t="s">
        <v>42</v>
      </c>
    </row>
    <row r="1129" spans="1:19">
      <c r="A1129" s="6" t="s">
        <v>2342</v>
      </c>
      <c r="B1129" s="7" t="s">
        <v>2343</v>
      </c>
      <c r="C1129" s="8" t="s">
        <v>4131</v>
      </c>
      <c r="D1129" s="8" t="s">
        <v>2344</v>
      </c>
      <c r="E1129" s="7">
        <v>15</v>
      </c>
      <c r="F1129" s="7">
        <v>6</v>
      </c>
      <c r="G1129" s="7">
        <v>2023</v>
      </c>
      <c r="H1129" s="8">
        <f t="shared" si="51"/>
        <v>45092</v>
      </c>
      <c r="I1129" s="11">
        <v>45105</v>
      </c>
      <c r="J1129" s="7">
        <f t="shared" si="52"/>
        <v>13</v>
      </c>
      <c r="K1129" s="7" t="s">
        <v>14</v>
      </c>
      <c r="L1129" s="7">
        <v>42157</v>
      </c>
      <c r="M1129" s="7">
        <v>2107</v>
      </c>
      <c r="N1129" s="12">
        <v>4078.72</v>
      </c>
      <c r="O1129" s="12">
        <f t="shared" si="53"/>
        <v>3632.575</v>
      </c>
      <c r="P1129" s="7">
        <v>125</v>
      </c>
      <c r="Q1129" s="7" t="b">
        <v>0</v>
      </c>
      <c r="R1129" s="7"/>
      <c r="S1129" s="15" t="s">
        <v>16</v>
      </c>
    </row>
    <row r="1130" spans="1:19">
      <c r="A1130" s="3" t="s">
        <v>2345</v>
      </c>
      <c r="B1130" s="4" t="s">
        <v>2346</v>
      </c>
      <c r="C1130" s="5" t="s">
        <v>4131</v>
      </c>
      <c r="D1130" s="5">
        <v>45002</v>
      </c>
      <c r="E1130" s="4">
        <v>3</v>
      </c>
      <c r="F1130" s="4">
        <v>17</v>
      </c>
      <c r="G1130" s="4">
        <v>2023</v>
      </c>
      <c r="H1130" s="5">
        <f t="shared" si="51"/>
        <v>45002</v>
      </c>
      <c r="I1130" s="9">
        <v>45017</v>
      </c>
      <c r="J1130" s="4">
        <f t="shared" si="52"/>
        <v>15</v>
      </c>
      <c r="K1130" s="4" t="s">
        <v>33</v>
      </c>
      <c r="L1130" s="4">
        <v>55917</v>
      </c>
      <c r="M1130" s="4">
        <v>895</v>
      </c>
      <c r="N1130" s="10">
        <v>1642.51</v>
      </c>
      <c r="O1130" s="10">
        <f t="shared" si="53"/>
        <v>1642.51</v>
      </c>
      <c r="P1130" s="4">
        <v>141</v>
      </c>
      <c r="Q1130" s="4" t="b">
        <v>1</v>
      </c>
      <c r="R1130" s="4"/>
      <c r="S1130" s="14" t="s">
        <v>34</v>
      </c>
    </row>
    <row r="1131" spans="1:19">
      <c r="A1131" s="6" t="s">
        <v>2347</v>
      </c>
      <c r="B1131" s="7" t="s">
        <v>2348</v>
      </c>
      <c r="C1131" s="8" t="s">
        <v>4128</v>
      </c>
      <c r="D1131" s="8">
        <v>44983</v>
      </c>
      <c r="E1131" s="7">
        <v>2</v>
      </c>
      <c r="F1131" s="7">
        <v>26</v>
      </c>
      <c r="G1131" s="7">
        <v>2023</v>
      </c>
      <c r="H1131" s="8">
        <f t="shared" si="51"/>
        <v>44983</v>
      </c>
      <c r="I1131" s="11">
        <v>45003</v>
      </c>
      <c r="J1131" s="7">
        <f t="shared" si="52"/>
        <v>20</v>
      </c>
      <c r="K1131" s="7" t="s">
        <v>23</v>
      </c>
      <c r="L1131" s="7">
        <v>93738</v>
      </c>
      <c r="M1131" s="7">
        <v>3999</v>
      </c>
      <c r="N1131" s="12">
        <v>5912.17</v>
      </c>
      <c r="O1131" s="12">
        <f t="shared" si="53"/>
        <v>3632.575</v>
      </c>
      <c r="P1131" s="7">
        <v>338</v>
      </c>
      <c r="Q1131" s="7" t="b">
        <v>0</v>
      </c>
      <c r="R1131" s="7"/>
      <c r="S1131" s="15" t="s">
        <v>25</v>
      </c>
    </row>
    <row r="1132" spans="1:19">
      <c r="A1132" s="3" t="s">
        <v>2349</v>
      </c>
      <c r="B1132" s="4" t="s">
        <v>2350</v>
      </c>
      <c r="C1132" s="5" t="s">
        <v>4128</v>
      </c>
      <c r="D1132" s="5">
        <v>44964</v>
      </c>
      <c r="E1132" s="4">
        <v>2</v>
      </c>
      <c r="F1132" s="4">
        <v>7</v>
      </c>
      <c r="G1132" s="4">
        <v>2023</v>
      </c>
      <c r="H1132" s="5">
        <f t="shared" si="51"/>
        <v>44964</v>
      </c>
      <c r="I1132" s="9">
        <v>44991</v>
      </c>
      <c r="J1132" s="4">
        <f t="shared" si="52"/>
        <v>27</v>
      </c>
      <c r="K1132" s="4" t="s">
        <v>23</v>
      </c>
      <c r="L1132" s="4">
        <v>97646</v>
      </c>
      <c r="M1132" s="4">
        <v>1786</v>
      </c>
      <c r="N1132" s="10">
        <v>2124.39</v>
      </c>
      <c r="O1132" s="10">
        <f t="shared" si="53"/>
        <v>2124.39</v>
      </c>
      <c r="P1132" s="4">
        <v>272</v>
      </c>
      <c r="Q1132" s="4" t="b">
        <v>1</v>
      </c>
      <c r="R1132" s="4"/>
      <c r="S1132" s="14" t="s">
        <v>25</v>
      </c>
    </row>
    <row r="1133" spans="1:19">
      <c r="A1133" s="6" t="s">
        <v>2351</v>
      </c>
      <c r="B1133" s="7" t="s">
        <v>2352</v>
      </c>
      <c r="C1133" s="8" t="s">
        <v>4131</v>
      </c>
      <c r="D1133" s="8">
        <v>45129</v>
      </c>
      <c r="E1133" s="7">
        <v>7</v>
      </c>
      <c r="F1133" s="7">
        <v>22</v>
      </c>
      <c r="G1133" s="7">
        <v>2023</v>
      </c>
      <c r="H1133" s="8">
        <f t="shared" si="51"/>
        <v>45129</v>
      </c>
      <c r="I1133" s="11">
        <v>45157</v>
      </c>
      <c r="J1133" s="7">
        <f t="shared" si="52"/>
        <v>28</v>
      </c>
      <c r="K1133" s="7" t="s">
        <v>19</v>
      </c>
      <c r="L1133" s="7">
        <v>84122</v>
      </c>
      <c r="M1133" s="7">
        <v>3473</v>
      </c>
      <c r="N1133" s="12">
        <v>5256.88</v>
      </c>
      <c r="O1133" s="12">
        <f t="shared" si="53"/>
        <v>3632.575</v>
      </c>
      <c r="P1133" s="7">
        <v>685</v>
      </c>
      <c r="Q1133" s="7" t="b">
        <v>1</v>
      </c>
      <c r="R1133" s="7"/>
      <c r="S1133" s="15" t="s">
        <v>20</v>
      </c>
    </row>
    <row r="1134" spans="1:19">
      <c r="A1134" s="3" t="s">
        <v>2353</v>
      </c>
      <c r="B1134" s="4" t="s">
        <v>2354</v>
      </c>
      <c r="C1134" s="5" t="s">
        <v>4129</v>
      </c>
      <c r="D1134" s="5">
        <v>45092</v>
      </c>
      <c r="E1134" s="4">
        <v>6</v>
      </c>
      <c r="F1134" s="4">
        <v>15</v>
      </c>
      <c r="G1134" s="4">
        <v>2023</v>
      </c>
      <c r="H1134" s="5">
        <f t="shared" si="51"/>
        <v>45092</v>
      </c>
      <c r="I1134" s="9">
        <v>45100</v>
      </c>
      <c r="J1134" s="4">
        <f t="shared" si="52"/>
        <v>8</v>
      </c>
      <c r="K1134" s="4" t="s">
        <v>19</v>
      </c>
      <c r="L1134" s="4">
        <v>25519</v>
      </c>
      <c r="M1134" s="4">
        <v>1005</v>
      </c>
      <c r="N1134" s="10">
        <v>1435.06</v>
      </c>
      <c r="O1134" s="10">
        <f t="shared" si="53"/>
        <v>1435.06</v>
      </c>
      <c r="P1134" s="4">
        <v>154</v>
      </c>
      <c r="Q1134" s="4" t="b">
        <v>1</v>
      </c>
      <c r="R1134" s="4"/>
      <c r="S1134" s="14" t="s">
        <v>20</v>
      </c>
    </row>
    <row r="1135" spans="1:19">
      <c r="A1135" s="6" t="s">
        <v>2355</v>
      </c>
      <c r="B1135" s="7" t="s">
        <v>2356</v>
      </c>
      <c r="C1135" s="8" t="s">
        <v>4128</v>
      </c>
      <c r="D1135" s="8">
        <v>45150</v>
      </c>
      <c r="E1135" s="7">
        <v>8</v>
      </c>
      <c r="F1135" s="7">
        <v>12</v>
      </c>
      <c r="G1135" s="7">
        <v>2023</v>
      </c>
      <c r="H1135" s="8">
        <f t="shared" si="51"/>
        <v>45150</v>
      </c>
      <c r="I1135" s="11">
        <v>45174</v>
      </c>
      <c r="J1135" s="7">
        <f t="shared" si="52"/>
        <v>24</v>
      </c>
      <c r="K1135" s="7" t="s">
        <v>23</v>
      </c>
      <c r="L1135" s="7">
        <v>97809</v>
      </c>
      <c r="M1135" s="7">
        <v>2153</v>
      </c>
      <c r="N1135" s="12">
        <v>2912.64</v>
      </c>
      <c r="O1135" s="12">
        <f t="shared" si="53"/>
        <v>2912.64</v>
      </c>
      <c r="P1135" s="7">
        <v>392</v>
      </c>
      <c r="Q1135" s="7" t="b">
        <v>1</v>
      </c>
      <c r="R1135" s="7"/>
      <c r="S1135" s="15" t="s">
        <v>25</v>
      </c>
    </row>
    <row r="1136" spans="1:19">
      <c r="A1136" s="3" t="s">
        <v>2357</v>
      </c>
      <c r="B1136" s="4" t="s">
        <v>2358</v>
      </c>
      <c r="C1136" s="5" t="s">
        <v>4129</v>
      </c>
      <c r="D1136" s="5">
        <v>45259</v>
      </c>
      <c r="E1136" s="4">
        <v>11</v>
      </c>
      <c r="F1136" s="4">
        <v>29</v>
      </c>
      <c r="G1136" s="4">
        <v>2023</v>
      </c>
      <c r="H1136" s="5">
        <f t="shared" si="51"/>
        <v>45259</v>
      </c>
      <c r="I1136" s="9">
        <v>45289</v>
      </c>
      <c r="J1136" s="4">
        <f t="shared" si="52"/>
        <v>30</v>
      </c>
      <c r="K1136" s="4" t="s">
        <v>23</v>
      </c>
      <c r="L1136" s="4">
        <v>88487</v>
      </c>
      <c r="M1136" s="4">
        <v>2038</v>
      </c>
      <c r="N1136" s="10">
        <v>1199.9</v>
      </c>
      <c r="O1136" s="10">
        <f t="shared" si="53"/>
        <v>1199.9</v>
      </c>
      <c r="P1136" s="4">
        <v>391</v>
      </c>
      <c r="Q1136" s="4" t="b">
        <v>1</v>
      </c>
      <c r="R1136" s="4"/>
      <c r="S1136" s="14" t="s">
        <v>25</v>
      </c>
    </row>
    <row r="1137" spans="1:19">
      <c r="A1137" s="6" t="s">
        <v>2359</v>
      </c>
      <c r="B1137" s="7" t="s">
        <v>2360</v>
      </c>
      <c r="C1137" s="8" t="s">
        <v>4131</v>
      </c>
      <c r="D1137" s="8">
        <v>45214</v>
      </c>
      <c r="E1137" s="7">
        <v>10</v>
      </c>
      <c r="F1137" s="7">
        <v>15</v>
      </c>
      <c r="G1137" s="7">
        <v>2023</v>
      </c>
      <c r="H1137" s="8">
        <f t="shared" si="51"/>
        <v>45214</v>
      </c>
      <c r="I1137" s="11">
        <v>45219</v>
      </c>
      <c r="J1137" s="7">
        <f t="shared" si="52"/>
        <v>5</v>
      </c>
      <c r="K1137" s="7" t="s">
        <v>41</v>
      </c>
      <c r="L1137" s="7">
        <v>57819</v>
      </c>
      <c r="M1137" s="7">
        <v>2411</v>
      </c>
      <c r="N1137" s="12">
        <v>3494.03</v>
      </c>
      <c r="O1137" s="12">
        <f t="shared" si="53"/>
        <v>3494.03</v>
      </c>
      <c r="P1137" s="7">
        <v>296</v>
      </c>
      <c r="Q1137" s="7" t="b">
        <v>1</v>
      </c>
      <c r="R1137" s="7"/>
      <c r="S1137" s="15" t="s">
        <v>42</v>
      </c>
    </row>
    <row r="1138" spans="1:19">
      <c r="A1138" s="3" t="s">
        <v>2361</v>
      </c>
      <c r="B1138" s="4" t="s">
        <v>2362</v>
      </c>
      <c r="C1138" s="5" t="s">
        <v>4129</v>
      </c>
      <c r="D1138" s="5">
        <v>45109</v>
      </c>
      <c r="E1138" s="4">
        <v>7</v>
      </c>
      <c r="F1138" s="4">
        <v>2</v>
      </c>
      <c r="G1138" s="4">
        <v>2023</v>
      </c>
      <c r="H1138" s="5">
        <f t="shared" si="51"/>
        <v>45109</v>
      </c>
      <c r="I1138" s="9">
        <v>45125</v>
      </c>
      <c r="J1138" s="4">
        <f t="shared" si="52"/>
        <v>16</v>
      </c>
      <c r="K1138" s="4" t="s">
        <v>19</v>
      </c>
      <c r="L1138" s="4">
        <v>81910</v>
      </c>
      <c r="M1138" s="4">
        <v>2330</v>
      </c>
      <c r="N1138" s="10">
        <v>3852.38</v>
      </c>
      <c r="O1138" s="10">
        <f t="shared" si="53"/>
        <v>3632.575</v>
      </c>
      <c r="P1138" s="4">
        <v>361</v>
      </c>
      <c r="Q1138" s="4" t="b">
        <v>0</v>
      </c>
      <c r="R1138" s="4"/>
      <c r="S1138" s="14" t="s">
        <v>20</v>
      </c>
    </row>
    <row r="1139" spans="1:19">
      <c r="A1139" s="6" t="s">
        <v>2363</v>
      </c>
      <c r="B1139" s="7" t="s">
        <v>2364</v>
      </c>
      <c r="C1139" s="8" t="s">
        <v>4128</v>
      </c>
      <c r="D1139" s="8">
        <v>45016</v>
      </c>
      <c r="E1139" s="7">
        <v>3</v>
      </c>
      <c r="F1139" s="7">
        <v>31</v>
      </c>
      <c r="G1139" s="7">
        <v>2023</v>
      </c>
      <c r="H1139" s="8">
        <f t="shared" si="51"/>
        <v>45016</v>
      </c>
      <c r="I1139" s="11">
        <v>45036</v>
      </c>
      <c r="J1139" s="7">
        <f t="shared" si="52"/>
        <v>20</v>
      </c>
      <c r="K1139" s="7" t="s">
        <v>23</v>
      </c>
      <c r="L1139" s="7">
        <v>72324</v>
      </c>
      <c r="M1139" s="7">
        <v>2837</v>
      </c>
      <c r="N1139" s="12">
        <v>5648.81</v>
      </c>
      <c r="O1139" s="12">
        <f t="shared" si="53"/>
        <v>3632.575</v>
      </c>
      <c r="P1139" s="7">
        <v>504</v>
      </c>
      <c r="Q1139" s="7" t="b">
        <v>1</v>
      </c>
      <c r="R1139" s="7"/>
      <c r="S1139" s="15" t="s">
        <v>25</v>
      </c>
    </row>
    <row r="1140" spans="1:19">
      <c r="A1140" s="3" t="s">
        <v>2365</v>
      </c>
      <c r="B1140" s="4" t="s">
        <v>2366</v>
      </c>
      <c r="C1140" s="5" t="s">
        <v>4128</v>
      </c>
      <c r="D1140" s="5">
        <v>45077</v>
      </c>
      <c r="E1140" s="4">
        <v>5</v>
      </c>
      <c r="F1140" s="4">
        <v>31</v>
      </c>
      <c r="G1140" s="4">
        <v>2023</v>
      </c>
      <c r="H1140" s="5">
        <f t="shared" si="51"/>
        <v>45077</v>
      </c>
      <c r="I1140" s="9">
        <v>45103</v>
      </c>
      <c r="J1140" s="4">
        <f t="shared" si="52"/>
        <v>26</v>
      </c>
      <c r="K1140" s="4" t="s">
        <v>23</v>
      </c>
      <c r="L1140" s="4">
        <v>6408</v>
      </c>
      <c r="M1140" s="4">
        <v>102</v>
      </c>
      <c r="N1140" s="10">
        <v>52.7</v>
      </c>
      <c r="O1140" s="10">
        <f t="shared" si="53"/>
        <v>52.7</v>
      </c>
      <c r="P1140" s="4">
        <v>0</v>
      </c>
      <c r="Q1140" s="4" t="b">
        <v>0</v>
      </c>
      <c r="R1140" s="4"/>
      <c r="S1140" s="14" t="s">
        <v>25</v>
      </c>
    </row>
    <row r="1141" spans="1:19">
      <c r="A1141" s="6" t="s">
        <v>2367</v>
      </c>
      <c r="B1141" s="7" t="s">
        <v>2368</v>
      </c>
      <c r="C1141" s="8" t="s">
        <v>4127</v>
      </c>
      <c r="D1141" s="8">
        <v>45286</v>
      </c>
      <c r="E1141" s="7">
        <v>12</v>
      </c>
      <c r="F1141" s="7">
        <v>26</v>
      </c>
      <c r="G1141" s="7">
        <v>2023</v>
      </c>
      <c r="H1141" s="8">
        <f t="shared" si="51"/>
        <v>45286</v>
      </c>
      <c r="I1141" s="11">
        <v>45303</v>
      </c>
      <c r="J1141" s="7">
        <f t="shared" si="52"/>
        <v>17</v>
      </c>
      <c r="K1141" s="7" t="s">
        <v>19</v>
      </c>
      <c r="L1141" s="7">
        <v>60379</v>
      </c>
      <c r="M1141" s="7">
        <v>2662</v>
      </c>
      <c r="N1141" s="12">
        <v>4246.58</v>
      </c>
      <c r="O1141" s="12">
        <f t="shared" si="53"/>
        <v>3632.575</v>
      </c>
      <c r="P1141" s="7">
        <v>237</v>
      </c>
      <c r="Q1141" s="7" t="b">
        <v>0</v>
      </c>
      <c r="R1141" s="7"/>
      <c r="S1141" s="15" t="s">
        <v>20</v>
      </c>
    </row>
    <row r="1142" spans="1:19">
      <c r="A1142" s="3" t="s">
        <v>2369</v>
      </c>
      <c r="B1142" s="4" t="s">
        <v>2370</v>
      </c>
      <c r="C1142" s="5" t="s">
        <v>4128</v>
      </c>
      <c r="D1142" s="5" t="s">
        <v>2225</v>
      </c>
      <c r="E1142" s="4">
        <v>18</v>
      </c>
      <c r="F1142" s="4">
        <v>10</v>
      </c>
      <c r="G1142" s="4">
        <v>2023</v>
      </c>
      <c r="H1142" s="5">
        <f t="shared" si="51"/>
        <v>45217</v>
      </c>
      <c r="I1142" s="9">
        <v>45246</v>
      </c>
      <c r="J1142" s="4">
        <f t="shared" si="52"/>
        <v>29</v>
      </c>
      <c r="K1142" s="4" t="s">
        <v>19</v>
      </c>
      <c r="L1142" s="4">
        <v>26053</v>
      </c>
      <c r="M1142" s="4">
        <v>1001</v>
      </c>
      <c r="N1142" s="10">
        <v>1359.04</v>
      </c>
      <c r="O1142" s="10">
        <f t="shared" si="53"/>
        <v>1359.04</v>
      </c>
      <c r="P1142" s="4">
        <v>192</v>
      </c>
      <c r="Q1142" s="4" t="b">
        <v>0</v>
      </c>
      <c r="R1142" s="4"/>
      <c r="S1142" s="14" t="s">
        <v>20</v>
      </c>
    </row>
    <row r="1143" spans="1:19">
      <c r="A1143" s="6" t="s">
        <v>2371</v>
      </c>
      <c r="B1143" s="7" t="s">
        <v>2372</v>
      </c>
      <c r="C1143" s="8" t="s">
        <v>4131</v>
      </c>
      <c r="D1143" s="8">
        <v>45235</v>
      </c>
      <c r="E1143" s="7">
        <v>11</v>
      </c>
      <c r="F1143" s="7">
        <v>5</v>
      </c>
      <c r="G1143" s="7">
        <v>2023</v>
      </c>
      <c r="H1143" s="8">
        <f t="shared" si="51"/>
        <v>45235</v>
      </c>
      <c r="I1143" s="11">
        <v>45249</v>
      </c>
      <c r="J1143" s="7">
        <f t="shared" si="52"/>
        <v>14</v>
      </c>
      <c r="K1143" s="7" t="s">
        <v>41</v>
      </c>
      <c r="L1143" s="7">
        <v>10446</v>
      </c>
      <c r="M1143" s="7">
        <v>483</v>
      </c>
      <c r="N1143" s="12">
        <v>555.97</v>
      </c>
      <c r="O1143" s="12">
        <f t="shared" si="53"/>
        <v>555.97</v>
      </c>
      <c r="P1143" s="7">
        <v>0</v>
      </c>
      <c r="Q1143" s="7" t="b">
        <v>1</v>
      </c>
      <c r="R1143" s="7"/>
      <c r="S1143" s="15" t="s">
        <v>42</v>
      </c>
    </row>
    <row r="1144" spans="1:19">
      <c r="A1144" s="3" t="s">
        <v>2373</v>
      </c>
      <c r="B1144" s="4" t="s">
        <v>2374</v>
      </c>
      <c r="C1144" s="5" t="s">
        <v>4131</v>
      </c>
      <c r="D1144" s="5">
        <v>45240</v>
      </c>
      <c r="E1144" s="4">
        <v>11</v>
      </c>
      <c r="F1144" s="4">
        <v>10</v>
      </c>
      <c r="G1144" s="4">
        <v>2023</v>
      </c>
      <c r="H1144" s="5">
        <f t="shared" si="51"/>
        <v>45240</v>
      </c>
      <c r="I1144" s="9">
        <v>45261</v>
      </c>
      <c r="J1144" s="4">
        <f t="shared" si="52"/>
        <v>21</v>
      </c>
      <c r="K1144" s="4" t="s">
        <v>138</v>
      </c>
      <c r="L1144" s="4">
        <v>1922</v>
      </c>
      <c r="M1144" s="4">
        <v>29</v>
      </c>
      <c r="N1144" s="10">
        <v>-20.05</v>
      </c>
      <c r="O1144" s="10">
        <f t="shared" si="53"/>
        <v>-20.05</v>
      </c>
      <c r="P1144" s="4">
        <v>2</v>
      </c>
      <c r="Q1144" s="4" t="b">
        <v>1</v>
      </c>
      <c r="R1144" s="4"/>
      <c r="S1144" s="14" t="s">
        <v>139</v>
      </c>
    </row>
    <row r="1145" spans="1:19">
      <c r="A1145" s="6" t="s">
        <v>2375</v>
      </c>
      <c r="B1145" s="7" t="s">
        <v>2376</v>
      </c>
      <c r="C1145" s="8" t="s">
        <v>4128</v>
      </c>
      <c r="D1145" s="8">
        <v>45181</v>
      </c>
      <c r="E1145" s="7">
        <v>9</v>
      </c>
      <c r="F1145" s="7">
        <v>12</v>
      </c>
      <c r="G1145" s="7">
        <v>2023</v>
      </c>
      <c r="H1145" s="8">
        <f t="shared" si="51"/>
        <v>45181</v>
      </c>
      <c r="I1145" s="11">
        <v>45209</v>
      </c>
      <c r="J1145" s="7">
        <f t="shared" si="52"/>
        <v>28</v>
      </c>
      <c r="K1145" s="7" t="s">
        <v>23</v>
      </c>
      <c r="L1145" s="7">
        <v>99723</v>
      </c>
      <c r="M1145" s="7">
        <v>3362</v>
      </c>
      <c r="N1145" s="12">
        <v>3744.02</v>
      </c>
      <c r="O1145" s="12">
        <f t="shared" si="53"/>
        <v>3632.575</v>
      </c>
      <c r="P1145" s="7">
        <v>394</v>
      </c>
      <c r="Q1145" s="7" t="b">
        <v>1</v>
      </c>
      <c r="R1145" s="7"/>
      <c r="S1145" s="15" t="s">
        <v>25</v>
      </c>
    </row>
    <row r="1146" spans="1:19">
      <c r="A1146" s="3" t="s">
        <v>2377</v>
      </c>
      <c r="B1146" s="4" t="s">
        <v>2378</v>
      </c>
      <c r="C1146" s="5" t="s">
        <v>4131</v>
      </c>
      <c r="D1146" s="5">
        <v>45048</v>
      </c>
      <c r="E1146" s="4">
        <v>5</v>
      </c>
      <c r="F1146" s="4">
        <v>2</v>
      </c>
      <c r="G1146" s="4">
        <v>2023</v>
      </c>
      <c r="H1146" s="5">
        <f t="shared" si="51"/>
        <v>45048</v>
      </c>
      <c r="I1146" s="9">
        <v>45073</v>
      </c>
      <c r="J1146" s="4">
        <f t="shared" si="52"/>
        <v>25</v>
      </c>
      <c r="K1146" s="4" t="s">
        <v>41</v>
      </c>
      <c r="L1146" s="4">
        <v>52356</v>
      </c>
      <c r="M1146" s="4">
        <v>1778</v>
      </c>
      <c r="N1146" s="10">
        <v>1834.12</v>
      </c>
      <c r="O1146" s="10">
        <f t="shared" si="53"/>
        <v>1834.12</v>
      </c>
      <c r="P1146" s="4">
        <v>301</v>
      </c>
      <c r="Q1146" s="4" t="b">
        <v>1</v>
      </c>
      <c r="R1146" s="4"/>
      <c r="S1146" s="14" t="s">
        <v>42</v>
      </c>
    </row>
    <row r="1147" spans="1:19">
      <c r="A1147" s="6" t="s">
        <v>2379</v>
      </c>
      <c r="B1147" s="7" t="s">
        <v>2380</v>
      </c>
      <c r="C1147" s="8" t="s">
        <v>4131</v>
      </c>
      <c r="D1147" s="8">
        <v>45252</v>
      </c>
      <c r="E1147" s="7">
        <v>11</v>
      </c>
      <c r="F1147" s="7">
        <v>22</v>
      </c>
      <c r="G1147" s="7">
        <v>2023</v>
      </c>
      <c r="H1147" s="8">
        <f t="shared" si="51"/>
        <v>45252</v>
      </c>
      <c r="I1147" s="11">
        <v>45273</v>
      </c>
      <c r="J1147" s="7">
        <f t="shared" si="52"/>
        <v>21</v>
      </c>
      <c r="K1147" s="7" t="s">
        <v>19</v>
      </c>
      <c r="L1147" s="7">
        <v>11789</v>
      </c>
      <c r="M1147" s="7">
        <v>284</v>
      </c>
      <c r="N1147" s="12">
        <v>271.01</v>
      </c>
      <c r="O1147" s="12">
        <f t="shared" si="53"/>
        <v>271.01</v>
      </c>
      <c r="P1147" s="7">
        <v>37</v>
      </c>
      <c r="Q1147" s="7" t="b">
        <v>1</v>
      </c>
      <c r="R1147" s="7"/>
      <c r="S1147" s="15" t="s">
        <v>20</v>
      </c>
    </row>
    <row r="1148" spans="1:19">
      <c r="A1148" s="3" t="s">
        <v>2381</v>
      </c>
      <c r="B1148" s="4" t="s">
        <v>2382</v>
      </c>
      <c r="C1148" s="5" t="s">
        <v>4131</v>
      </c>
      <c r="D1148" s="5">
        <v>45289</v>
      </c>
      <c r="E1148" s="4">
        <v>12</v>
      </c>
      <c r="F1148" s="4">
        <v>29</v>
      </c>
      <c r="G1148" s="4">
        <v>2023</v>
      </c>
      <c r="H1148" s="5">
        <f t="shared" si="51"/>
        <v>45289</v>
      </c>
      <c r="I1148" s="9">
        <v>45295</v>
      </c>
      <c r="J1148" s="4">
        <f t="shared" si="52"/>
        <v>6</v>
      </c>
      <c r="K1148" s="4" t="s">
        <v>415</v>
      </c>
      <c r="L1148" s="4">
        <v>98720</v>
      </c>
      <c r="M1148" s="4">
        <v>2797</v>
      </c>
      <c r="N1148" s="10">
        <v>4464.91</v>
      </c>
      <c r="O1148" s="10">
        <f t="shared" si="53"/>
        <v>3632.575</v>
      </c>
      <c r="P1148" s="4">
        <v>412</v>
      </c>
      <c r="Q1148" s="4" t="b">
        <v>1</v>
      </c>
      <c r="R1148" s="4"/>
      <c r="S1148" s="14" t="s">
        <v>34</v>
      </c>
    </row>
    <row r="1149" spans="1:19">
      <c r="A1149" s="6" t="s">
        <v>2383</v>
      </c>
      <c r="B1149" s="7" t="s">
        <v>2384</v>
      </c>
      <c r="C1149" s="8" t="s">
        <v>4128</v>
      </c>
      <c r="D1149" s="8">
        <v>45098</v>
      </c>
      <c r="E1149" s="7">
        <v>6</v>
      </c>
      <c r="F1149" s="7">
        <v>21</v>
      </c>
      <c r="G1149" s="7">
        <v>2023</v>
      </c>
      <c r="H1149" s="8">
        <f t="shared" si="51"/>
        <v>45098</v>
      </c>
      <c r="I1149" s="11">
        <v>45106</v>
      </c>
      <c r="J1149" s="7">
        <f t="shared" si="52"/>
        <v>8</v>
      </c>
      <c r="K1149" s="7" t="s">
        <v>14</v>
      </c>
      <c r="L1149" s="7">
        <v>67656</v>
      </c>
      <c r="M1149" s="7">
        <v>779</v>
      </c>
      <c r="N1149" s="12">
        <v>1208.3</v>
      </c>
      <c r="O1149" s="12">
        <f t="shared" si="53"/>
        <v>1208.3</v>
      </c>
      <c r="P1149" s="7">
        <v>127</v>
      </c>
      <c r="Q1149" s="7" t="b">
        <v>0</v>
      </c>
      <c r="R1149" s="7"/>
      <c r="S1149" s="15" t="s">
        <v>16</v>
      </c>
    </row>
    <row r="1150" spans="1:19">
      <c r="A1150" s="3" t="s">
        <v>2385</v>
      </c>
      <c r="B1150" s="4" t="s">
        <v>2386</v>
      </c>
      <c r="C1150" s="5" t="s">
        <v>4128</v>
      </c>
      <c r="D1150" s="5">
        <v>45054</v>
      </c>
      <c r="E1150" s="4">
        <v>5</v>
      </c>
      <c r="F1150" s="4">
        <v>8</v>
      </c>
      <c r="G1150" s="4">
        <v>2023</v>
      </c>
      <c r="H1150" s="5">
        <f t="shared" si="51"/>
        <v>45054</v>
      </c>
      <c r="I1150" s="9">
        <v>45074</v>
      </c>
      <c r="J1150" s="4">
        <f t="shared" si="52"/>
        <v>20</v>
      </c>
      <c r="K1150" s="4" t="s">
        <v>191</v>
      </c>
      <c r="L1150" s="4">
        <v>45028</v>
      </c>
      <c r="M1150" s="4">
        <v>1793</v>
      </c>
      <c r="N1150" s="10">
        <v>2480.67</v>
      </c>
      <c r="O1150" s="10">
        <f t="shared" si="53"/>
        <v>2480.67</v>
      </c>
      <c r="P1150" s="4">
        <v>256</v>
      </c>
      <c r="Q1150" s="4" t="b">
        <v>1</v>
      </c>
      <c r="R1150" s="4"/>
      <c r="S1150" s="14" t="s">
        <v>42</v>
      </c>
    </row>
    <row r="1151" spans="1:19">
      <c r="A1151" s="6" t="s">
        <v>2387</v>
      </c>
      <c r="B1151" s="7" t="s">
        <v>2388</v>
      </c>
      <c r="C1151" s="8" t="s">
        <v>4131</v>
      </c>
      <c r="D1151" s="8">
        <v>44982</v>
      </c>
      <c r="E1151" s="7">
        <v>2</v>
      </c>
      <c r="F1151" s="7">
        <v>25</v>
      </c>
      <c r="G1151" s="7">
        <v>2023</v>
      </c>
      <c r="H1151" s="8">
        <f t="shared" si="51"/>
        <v>44982</v>
      </c>
      <c r="I1151" s="11">
        <v>44999</v>
      </c>
      <c r="J1151" s="7">
        <f t="shared" si="52"/>
        <v>17</v>
      </c>
      <c r="K1151" s="7" t="s">
        <v>33</v>
      </c>
      <c r="L1151" s="7">
        <v>65484</v>
      </c>
      <c r="M1151" s="7">
        <v>2093</v>
      </c>
      <c r="N1151" s="12">
        <v>3993.44</v>
      </c>
      <c r="O1151" s="12">
        <f t="shared" si="53"/>
        <v>3632.575</v>
      </c>
      <c r="P1151" s="7">
        <v>274</v>
      </c>
      <c r="Q1151" s="7" t="b">
        <v>0</v>
      </c>
      <c r="R1151" s="7"/>
      <c r="S1151" s="15" t="s">
        <v>34</v>
      </c>
    </row>
    <row r="1152" spans="1:19">
      <c r="A1152" s="3" t="s">
        <v>2389</v>
      </c>
      <c r="B1152" s="4" t="s">
        <v>2390</v>
      </c>
      <c r="C1152" s="5" t="s">
        <v>4127</v>
      </c>
      <c r="D1152" s="5">
        <v>45151</v>
      </c>
      <c r="E1152" s="4">
        <v>8</v>
      </c>
      <c r="F1152" s="4">
        <v>13</v>
      </c>
      <c r="G1152" s="4">
        <v>2023</v>
      </c>
      <c r="H1152" s="5">
        <f t="shared" si="51"/>
        <v>45151</v>
      </c>
      <c r="I1152" s="9">
        <v>45161</v>
      </c>
      <c r="J1152" s="4">
        <f t="shared" si="52"/>
        <v>10</v>
      </c>
      <c r="K1152" s="4" t="s">
        <v>23</v>
      </c>
      <c r="L1152" s="4">
        <v>33154</v>
      </c>
      <c r="M1152" s="4">
        <v>408</v>
      </c>
      <c r="N1152" s="10">
        <v>418.11</v>
      </c>
      <c r="O1152" s="10">
        <f t="shared" si="53"/>
        <v>418.11</v>
      </c>
      <c r="P1152" s="4">
        <v>0</v>
      </c>
      <c r="Q1152" s="4" t="b">
        <v>1</v>
      </c>
      <c r="R1152" s="4"/>
      <c r="S1152" s="14" t="s">
        <v>25</v>
      </c>
    </row>
    <row r="1153" spans="1:19">
      <c r="A1153" s="6" t="s">
        <v>2391</v>
      </c>
      <c r="B1153" s="7" t="s">
        <v>2392</v>
      </c>
      <c r="C1153" s="8" t="s">
        <v>4127</v>
      </c>
      <c r="D1153" s="8">
        <v>45138</v>
      </c>
      <c r="E1153" s="7">
        <v>7</v>
      </c>
      <c r="F1153" s="7">
        <v>31</v>
      </c>
      <c r="G1153" s="7">
        <v>2023</v>
      </c>
      <c r="H1153" s="8">
        <f t="shared" si="51"/>
        <v>45138</v>
      </c>
      <c r="I1153" s="11">
        <v>45154</v>
      </c>
      <c r="J1153" s="7">
        <f t="shared" si="52"/>
        <v>16</v>
      </c>
      <c r="K1153" s="7" t="s">
        <v>33</v>
      </c>
      <c r="L1153" s="7">
        <v>83870</v>
      </c>
      <c r="M1153" s="7">
        <v>3122</v>
      </c>
      <c r="N1153" s="12">
        <v>2702.72</v>
      </c>
      <c r="O1153" s="12">
        <f t="shared" si="53"/>
        <v>2702.72</v>
      </c>
      <c r="P1153" s="7">
        <v>0</v>
      </c>
      <c r="Q1153" s="7" t="b">
        <v>1</v>
      </c>
      <c r="R1153" s="7"/>
      <c r="S1153" s="15" t="s">
        <v>34</v>
      </c>
    </row>
    <row r="1154" spans="1:19">
      <c r="A1154" s="3" t="s">
        <v>2393</v>
      </c>
      <c r="B1154" s="4" t="s">
        <v>2394</v>
      </c>
      <c r="C1154" s="5" t="s">
        <v>4129</v>
      </c>
      <c r="D1154" s="5">
        <v>45206</v>
      </c>
      <c r="E1154" s="4">
        <v>10</v>
      </c>
      <c r="F1154" s="4">
        <v>7</v>
      </c>
      <c r="G1154" s="4">
        <v>2023</v>
      </c>
      <c r="H1154" s="5">
        <f t="shared" ref="H1154:H1217" si="54">IF(E1154&gt;12,DATE(G1154,F1154,E1154),D1154)</f>
        <v>45206</v>
      </c>
      <c r="I1154" s="9">
        <v>45231</v>
      </c>
      <c r="J1154" s="4">
        <f t="shared" ref="J1154:J1217" si="55">DATEDIF(H1154,I1154,"D")</f>
        <v>25</v>
      </c>
      <c r="K1154" s="4" t="s">
        <v>14</v>
      </c>
      <c r="L1154" s="4">
        <v>3336</v>
      </c>
      <c r="M1154" s="4">
        <v>95</v>
      </c>
      <c r="N1154" s="10">
        <v>140.97</v>
      </c>
      <c r="O1154" s="10">
        <f t="shared" si="53"/>
        <v>140.97</v>
      </c>
      <c r="P1154" s="4">
        <v>13</v>
      </c>
      <c r="Q1154" s="4" t="b">
        <v>1</v>
      </c>
      <c r="R1154" s="4"/>
      <c r="S1154" s="14" t="s">
        <v>16</v>
      </c>
    </row>
    <row r="1155" spans="1:19">
      <c r="A1155" s="6" t="s">
        <v>2395</v>
      </c>
      <c r="B1155" s="7" t="s">
        <v>2396</v>
      </c>
      <c r="C1155" s="8" t="s">
        <v>4127</v>
      </c>
      <c r="D1155" s="8">
        <v>45222</v>
      </c>
      <c r="E1155" s="7">
        <v>10</v>
      </c>
      <c r="F1155" s="7">
        <v>23</v>
      </c>
      <c r="G1155" s="7">
        <v>2023</v>
      </c>
      <c r="H1155" s="8">
        <f t="shared" si="54"/>
        <v>45222</v>
      </c>
      <c r="I1155" s="11">
        <v>45225</v>
      </c>
      <c r="J1155" s="7">
        <f t="shared" si="55"/>
        <v>3</v>
      </c>
      <c r="K1155" s="7" t="s">
        <v>33</v>
      </c>
      <c r="L1155" s="7">
        <v>68779</v>
      </c>
      <c r="M1155" s="7">
        <v>782</v>
      </c>
      <c r="N1155" s="12">
        <v>624.21</v>
      </c>
      <c r="O1155" s="12">
        <f t="shared" ref="O1155:O1218" si="56">IF(N1155&lt;$V$6,$V$6,IF(N1155&gt;$V$7,$V$7,N1155))</f>
        <v>624.21</v>
      </c>
      <c r="P1155" s="7">
        <v>81</v>
      </c>
      <c r="Q1155" s="7" t="b">
        <v>0</v>
      </c>
      <c r="R1155" s="7">
        <v>68831</v>
      </c>
      <c r="S1155" s="15" t="s">
        <v>34</v>
      </c>
    </row>
    <row r="1156" spans="1:19">
      <c r="A1156" s="3" t="s">
        <v>2397</v>
      </c>
      <c r="B1156" s="4" t="s">
        <v>2398</v>
      </c>
      <c r="C1156" s="5" t="s">
        <v>4129</v>
      </c>
      <c r="D1156" s="5">
        <v>45010</v>
      </c>
      <c r="E1156" s="4">
        <v>3</v>
      </c>
      <c r="F1156" s="4">
        <v>25</v>
      </c>
      <c r="G1156" s="4">
        <v>2023</v>
      </c>
      <c r="H1156" s="5">
        <f t="shared" si="54"/>
        <v>45010</v>
      </c>
      <c r="I1156" s="9">
        <v>45024</v>
      </c>
      <c r="J1156" s="4">
        <f t="shared" si="55"/>
        <v>14</v>
      </c>
      <c r="K1156" s="4" t="s">
        <v>41</v>
      </c>
      <c r="L1156" s="4">
        <v>20029</v>
      </c>
      <c r="M1156" s="4">
        <v>977</v>
      </c>
      <c r="N1156" s="10">
        <v>950.15</v>
      </c>
      <c r="O1156" s="10">
        <f t="shared" si="56"/>
        <v>950.15</v>
      </c>
      <c r="P1156" s="4">
        <v>108</v>
      </c>
      <c r="Q1156" s="4" t="b">
        <v>1</v>
      </c>
      <c r="R1156" s="4"/>
      <c r="S1156" s="14" t="s">
        <v>42</v>
      </c>
    </row>
    <row r="1157" spans="1:19">
      <c r="A1157" s="6" t="s">
        <v>2399</v>
      </c>
      <c r="B1157" s="7" t="s">
        <v>2400</v>
      </c>
      <c r="C1157" s="8" t="s">
        <v>4128</v>
      </c>
      <c r="D1157" s="8">
        <v>44944</v>
      </c>
      <c r="E1157" s="7">
        <v>1</v>
      </c>
      <c r="F1157" s="7">
        <v>18</v>
      </c>
      <c r="G1157" s="7">
        <v>2023</v>
      </c>
      <c r="H1157" s="8">
        <f t="shared" si="54"/>
        <v>44944</v>
      </c>
      <c r="I1157" s="11">
        <v>44964</v>
      </c>
      <c r="J1157" s="7">
        <f t="shared" si="55"/>
        <v>20</v>
      </c>
      <c r="K1157" s="7" t="s">
        <v>266</v>
      </c>
      <c r="L1157" s="7">
        <v>60201</v>
      </c>
      <c r="M1157" s="7">
        <v>2887</v>
      </c>
      <c r="N1157" s="12">
        <v>2416.14</v>
      </c>
      <c r="O1157" s="12">
        <f t="shared" si="56"/>
        <v>2416.14</v>
      </c>
      <c r="P1157" s="7">
        <v>564</v>
      </c>
      <c r="Q1157" s="7" t="b">
        <v>0</v>
      </c>
      <c r="R1157" s="7"/>
      <c r="S1157" s="15" t="s">
        <v>20</v>
      </c>
    </row>
    <row r="1158" spans="1:19">
      <c r="A1158" s="3" t="s">
        <v>2401</v>
      </c>
      <c r="B1158" s="4" t="s">
        <v>2402</v>
      </c>
      <c r="C1158" s="5" t="s">
        <v>4131</v>
      </c>
      <c r="D1158" s="5" t="s">
        <v>2403</v>
      </c>
      <c r="E1158" s="4">
        <v>23</v>
      </c>
      <c r="F1158" s="4">
        <v>2</v>
      </c>
      <c r="G1158" s="4">
        <v>2023</v>
      </c>
      <c r="H1158" s="5">
        <f t="shared" si="54"/>
        <v>44980</v>
      </c>
      <c r="I1158" s="9">
        <v>44981</v>
      </c>
      <c r="J1158" s="4">
        <f t="shared" si="55"/>
        <v>1</v>
      </c>
      <c r="K1158" s="4" t="s">
        <v>14</v>
      </c>
      <c r="L1158" s="4">
        <v>33265</v>
      </c>
      <c r="M1158" s="4">
        <v>1015</v>
      </c>
      <c r="N1158" s="10">
        <v>612.79</v>
      </c>
      <c r="O1158" s="10">
        <f t="shared" si="56"/>
        <v>612.79</v>
      </c>
      <c r="P1158" s="4">
        <v>67</v>
      </c>
      <c r="Q1158" s="4" t="b">
        <v>1</v>
      </c>
      <c r="R1158" s="4"/>
      <c r="S1158" s="14" t="s">
        <v>16</v>
      </c>
    </row>
    <row r="1159" spans="1:19">
      <c r="A1159" s="6" t="s">
        <v>2404</v>
      </c>
      <c r="B1159" s="7" t="s">
        <v>2405</v>
      </c>
      <c r="C1159" s="8" t="s">
        <v>4128</v>
      </c>
      <c r="D1159" s="8">
        <v>45014</v>
      </c>
      <c r="E1159" s="7">
        <v>3</v>
      </c>
      <c r="F1159" s="7">
        <v>29</v>
      </c>
      <c r="G1159" s="7">
        <v>2023</v>
      </c>
      <c r="H1159" s="8">
        <f t="shared" si="54"/>
        <v>45014</v>
      </c>
      <c r="I1159" s="11">
        <v>45028</v>
      </c>
      <c r="J1159" s="7">
        <f t="shared" si="55"/>
        <v>14</v>
      </c>
      <c r="K1159" s="7" t="s">
        <v>23</v>
      </c>
      <c r="L1159" s="7">
        <v>44872</v>
      </c>
      <c r="M1159" s="7">
        <v>616</v>
      </c>
      <c r="N1159" s="12">
        <v>1072.61</v>
      </c>
      <c r="O1159" s="12">
        <f t="shared" si="56"/>
        <v>1072.61</v>
      </c>
      <c r="P1159" s="7">
        <v>0</v>
      </c>
      <c r="Q1159" s="7" t="b">
        <v>0</v>
      </c>
      <c r="R1159" s="7"/>
      <c r="S1159" s="15" t="s">
        <v>68</v>
      </c>
    </row>
    <row r="1160" spans="1:19">
      <c r="A1160" s="3" t="s">
        <v>2406</v>
      </c>
      <c r="B1160" s="4" t="s">
        <v>2407</v>
      </c>
      <c r="C1160" s="5" t="s">
        <v>4128</v>
      </c>
      <c r="D1160" s="5">
        <v>44965</v>
      </c>
      <c r="E1160" s="4">
        <v>2</v>
      </c>
      <c r="F1160" s="4">
        <v>8</v>
      </c>
      <c r="G1160" s="4">
        <v>2023</v>
      </c>
      <c r="H1160" s="5">
        <f t="shared" si="54"/>
        <v>44965</v>
      </c>
      <c r="I1160" s="9">
        <v>44968</v>
      </c>
      <c r="J1160" s="4">
        <f t="shared" si="55"/>
        <v>3</v>
      </c>
      <c r="K1160" s="4" t="s">
        <v>41</v>
      </c>
      <c r="L1160" s="4">
        <v>47197</v>
      </c>
      <c r="M1160" s="4">
        <v>1896</v>
      </c>
      <c r="N1160" s="10">
        <v>1671.91</v>
      </c>
      <c r="O1160" s="10">
        <f t="shared" si="56"/>
        <v>1671.91</v>
      </c>
      <c r="P1160" s="4">
        <v>234</v>
      </c>
      <c r="Q1160" s="4" t="b">
        <v>0</v>
      </c>
      <c r="R1160" s="4"/>
      <c r="S1160" s="14" t="s">
        <v>42</v>
      </c>
    </row>
    <row r="1161" spans="1:19">
      <c r="A1161" s="6" t="s">
        <v>2408</v>
      </c>
      <c r="B1161" s="7" t="s">
        <v>2409</v>
      </c>
      <c r="C1161" s="8" t="s">
        <v>4127</v>
      </c>
      <c r="D1161" s="8">
        <v>44974</v>
      </c>
      <c r="E1161" s="7">
        <v>2</v>
      </c>
      <c r="F1161" s="7">
        <v>17</v>
      </c>
      <c r="G1161" s="7">
        <v>2023</v>
      </c>
      <c r="H1161" s="8">
        <f t="shared" si="54"/>
        <v>44974</v>
      </c>
      <c r="I1161" s="11">
        <v>44992</v>
      </c>
      <c r="J1161" s="7">
        <f t="shared" si="55"/>
        <v>18</v>
      </c>
      <c r="K1161" s="7" t="s">
        <v>33</v>
      </c>
      <c r="L1161" s="7">
        <v>56180</v>
      </c>
      <c r="M1161" s="7">
        <v>1667</v>
      </c>
      <c r="N1161" s="12">
        <v>2016.31</v>
      </c>
      <c r="O1161" s="12">
        <f t="shared" si="56"/>
        <v>2016.31</v>
      </c>
      <c r="P1161" s="7">
        <v>292</v>
      </c>
      <c r="Q1161" s="7" t="b">
        <v>1</v>
      </c>
      <c r="R1161" s="7"/>
      <c r="S1161" s="15" t="s">
        <v>34</v>
      </c>
    </row>
    <row r="1162" spans="1:19">
      <c r="A1162" s="3" t="s">
        <v>2410</v>
      </c>
      <c r="B1162" s="4" t="s">
        <v>2411</v>
      </c>
      <c r="C1162" s="5" t="s">
        <v>4131</v>
      </c>
      <c r="D1162" s="5">
        <v>45174</v>
      </c>
      <c r="E1162" s="4">
        <v>9</v>
      </c>
      <c r="F1162" s="4">
        <v>5</v>
      </c>
      <c r="G1162" s="4">
        <v>2023</v>
      </c>
      <c r="H1162" s="5">
        <f t="shared" si="54"/>
        <v>45174</v>
      </c>
      <c r="I1162" s="9">
        <v>45177</v>
      </c>
      <c r="J1162" s="4">
        <f t="shared" si="55"/>
        <v>3</v>
      </c>
      <c r="K1162" s="4" t="s">
        <v>33</v>
      </c>
      <c r="L1162" s="4">
        <v>24710</v>
      </c>
      <c r="M1162" s="4">
        <v>546</v>
      </c>
      <c r="N1162" s="10">
        <v>308.48</v>
      </c>
      <c r="O1162" s="10">
        <f t="shared" si="56"/>
        <v>308.48</v>
      </c>
      <c r="P1162" s="4">
        <v>40</v>
      </c>
      <c r="Q1162" s="4" t="b">
        <v>1</v>
      </c>
      <c r="R1162" s="4"/>
      <c r="S1162" s="14" t="s">
        <v>34</v>
      </c>
    </row>
    <row r="1163" spans="1:19">
      <c r="A1163" s="6" t="s">
        <v>2412</v>
      </c>
      <c r="B1163" s="7" t="s">
        <v>2413</v>
      </c>
      <c r="C1163" s="8" t="s">
        <v>4129</v>
      </c>
      <c r="D1163" s="8">
        <v>45261</v>
      </c>
      <c r="E1163" s="7">
        <v>12</v>
      </c>
      <c r="F1163" s="7">
        <v>1</v>
      </c>
      <c r="G1163" s="7">
        <v>2023</v>
      </c>
      <c r="H1163" s="8">
        <f t="shared" si="54"/>
        <v>45261</v>
      </c>
      <c r="I1163" s="11">
        <v>45284</v>
      </c>
      <c r="J1163" s="7">
        <f t="shared" si="55"/>
        <v>23</v>
      </c>
      <c r="K1163" s="7" t="s">
        <v>19</v>
      </c>
      <c r="L1163" s="7">
        <v>30486</v>
      </c>
      <c r="M1163" s="7">
        <v>904</v>
      </c>
      <c r="N1163" s="12">
        <v>1400.3</v>
      </c>
      <c r="O1163" s="12">
        <f t="shared" si="56"/>
        <v>1400.3</v>
      </c>
      <c r="P1163" s="7">
        <v>82</v>
      </c>
      <c r="Q1163" s="7" t="b">
        <v>1</v>
      </c>
      <c r="R1163" s="7"/>
      <c r="S1163" s="15" t="s">
        <v>20</v>
      </c>
    </row>
    <row r="1164" spans="1:19">
      <c r="A1164" s="3" t="s">
        <v>2414</v>
      </c>
      <c r="B1164" s="4" t="s">
        <v>2415</v>
      </c>
      <c r="C1164" s="5" t="s">
        <v>4128</v>
      </c>
      <c r="D1164" s="5" t="s">
        <v>722</v>
      </c>
      <c r="E1164" s="4">
        <v>22</v>
      </c>
      <c r="F1164" s="4">
        <v>3</v>
      </c>
      <c r="G1164" s="4">
        <v>2023</v>
      </c>
      <c r="H1164" s="5">
        <f t="shared" si="54"/>
        <v>45007</v>
      </c>
      <c r="I1164" s="9">
        <v>45036</v>
      </c>
      <c r="J1164" s="4">
        <f t="shared" si="55"/>
        <v>29</v>
      </c>
      <c r="K1164" s="4" t="s">
        <v>23</v>
      </c>
      <c r="L1164" s="4">
        <v>72907</v>
      </c>
      <c r="M1164" s="4">
        <v>2252</v>
      </c>
      <c r="N1164" s="10">
        <v>2242.64</v>
      </c>
      <c r="O1164" s="10">
        <f t="shared" si="56"/>
        <v>2242.64</v>
      </c>
      <c r="P1164" s="4">
        <v>0</v>
      </c>
      <c r="Q1164" s="4" t="b">
        <v>0</v>
      </c>
      <c r="R1164" s="4"/>
      <c r="S1164" s="14" t="s">
        <v>25</v>
      </c>
    </row>
    <row r="1165" spans="1:19">
      <c r="A1165" s="6" t="s">
        <v>2416</v>
      </c>
      <c r="B1165" s="7" t="s">
        <v>2417</v>
      </c>
      <c r="C1165" s="8" t="s">
        <v>4131</v>
      </c>
      <c r="D1165" s="8">
        <v>45096</v>
      </c>
      <c r="E1165" s="7">
        <v>6</v>
      </c>
      <c r="F1165" s="7">
        <v>19</v>
      </c>
      <c r="G1165" s="7">
        <v>2023</v>
      </c>
      <c r="H1165" s="8">
        <f t="shared" si="54"/>
        <v>45096</v>
      </c>
      <c r="I1165" s="11">
        <v>45121</v>
      </c>
      <c r="J1165" s="7">
        <f t="shared" si="55"/>
        <v>25</v>
      </c>
      <c r="K1165" s="7" t="s">
        <v>19</v>
      </c>
      <c r="L1165" s="7">
        <v>72895</v>
      </c>
      <c r="M1165" s="7">
        <v>2369</v>
      </c>
      <c r="N1165" s="12">
        <v>3830.92</v>
      </c>
      <c r="O1165" s="12">
        <f t="shared" si="56"/>
        <v>3632.575</v>
      </c>
      <c r="P1165" s="7">
        <v>369</v>
      </c>
      <c r="Q1165" s="7" t="b">
        <v>0</v>
      </c>
      <c r="R1165" s="7"/>
      <c r="S1165" s="15" t="s">
        <v>20</v>
      </c>
    </row>
    <row r="1166" spans="1:19">
      <c r="A1166" s="3" t="s">
        <v>2418</v>
      </c>
      <c r="B1166" s="4" t="s">
        <v>2419</v>
      </c>
      <c r="C1166" s="5" t="s">
        <v>4128</v>
      </c>
      <c r="D1166" s="5">
        <v>45283</v>
      </c>
      <c r="E1166" s="4">
        <v>12</v>
      </c>
      <c r="F1166" s="4">
        <v>23</v>
      </c>
      <c r="G1166" s="4">
        <v>2023</v>
      </c>
      <c r="H1166" s="5">
        <f t="shared" si="54"/>
        <v>45283</v>
      </c>
      <c r="I1166" s="9">
        <v>45288</v>
      </c>
      <c r="J1166" s="4">
        <f t="shared" si="55"/>
        <v>5</v>
      </c>
      <c r="K1166" s="4" t="s">
        <v>23</v>
      </c>
      <c r="L1166" s="4">
        <v>65435</v>
      </c>
      <c r="M1166" s="4">
        <v>1809</v>
      </c>
      <c r="N1166" s="10">
        <v>2023.56</v>
      </c>
      <c r="O1166" s="10">
        <f t="shared" si="56"/>
        <v>2023.56</v>
      </c>
      <c r="P1166" s="4">
        <v>155</v>
      </c>
      <c r="Q1166" s="4" t="b">
        <v>1</v>
      </c>
      <c r="R1166" s="4"/>
      <c r="S1166" s="14" t="s">
        <v>25</v>
      </c>
    </row>
    <row r="1167" spans="1:19">
      <c r="A1167" s="6" t="s">
        <v>2420</v>
      </c>
      <c r="B1167" s="7" t="s">
        <v>2421</v>
      </c>
      <c r="C1167" s="8" t="s">
        <v>4127</v>
      </c>
      <c r="D1167" s="8">
        <v>45203</v>
      </c>
      <c r="E1167" s="7">
        <v>10</v>
      </c>
      <c r="F1167" s="7">
        <v>4</v>
      </c>
      <c r="G1167" s="7">
        <v>2023</v>
      </c>
      <c r="H1167" s="8">
        <f t="shared" si="54"/>
        <v>45203</v>
      </c>
      <c r="I1167" s="11">
        <v>45228</v>
      </c>
      <c r="J1167" s="7">
        <f t="shared" si="55"/>
        <v>25</v>
      </c>
      <c r="K1167" s="7" t="s">
        <v>19</v>
      </c>
      <c r="L1167" s="7">
        <v>41631</v>
      </c>
      <c r="M1167" s="7">
        <v>1425</v>
      </c>
      <c r="N1167" s="12">
        <v>1130.93</v>
      </c>
      <c r="O1167" s="12">
        <f t="shared" si="56"/>
        <v>1130.93</v>
      </c>
      <c r="P1167" s="7">
        <v>154</v>
      </c>
      <c r="Q1167" s="7" t="b">
        <v>0</v>
      </c>
      <c r="R1167" s="7"/>
      <c r="S1167" s="15" t="s">
        <v>20</v>
      </c>
    </row>
    <row r="1168" spans="1:19">
      <c r="A1168" s="3" t="s">
        <v>2422</v>
      </c>
      <c r="B1168" s="4" t="s">
        <v>2423</v>
      </c>
      <c r="C1168" s="5" t="s">
        <v>4131</v>
      </c>
      <c r="D1168" s="5">
        <v>44962</v>
      </c>
      <c r="E1168" s="4">
        <v>2</v>
      </c>
      <c r="F1168" s="4">
        <v>5</v>
      </c>
      <c r="G1168" s="4">
        <v>2023</v>
      </c>
      <c r="H1168" s="5">
        <f t="shared" si="54"/>
        <v>44962</v>
      </c>
      <c r="I1168" s="9">
        <v>45069</v>
      </c>
      <c r="J1168" s="4">
        <f t="shared" si="55"/>
        <v>107</v>
      </c>
      <c r="K1168" s="4" t="s">
        <v>23</v>
      </c>
      <c r="L1168" s="4">
        <v>21103</v>
      </c>
      <c r="M1168" s="4">
        <v>986</v>
      </c>
      <c r="N1168" s="10">
        <v>1251.99</v>
      </c>
      <c r="O1168" s="10">
        <f t="shared" si="56"/>
        <v>1251.99</v>
      </c>
      <c r="P1168" s="4">
        <v>114</v>
      </c>
      <c r="Q1168" s="4" t="b">
        <v>0</v>
      </c>
      <c r="R1168" s="4"/>
      <c r="S1168" s="14" t="s">
        <v>25</v>
      </c>
    </row>
    <row r="1169" spans="1:19">
      <c r="A1169" s="6" t="s">
        <v>2424</v>
      </c>
      <c r="B1169" s="7" t="s">
        <v>2425</v>
      </c>
      <c r="C1169" s="8" t="s">
        <v>4128</v>
      </c>
      <c r="D1169" s="8">
        <v>45128</v>
      </c>
      <c r="E1169" s="7">
        <v>7</v>
      </c>
      <c r="F1169" s="7">
        <v>21</v>
      </c>
      <c r="G1169" s="7">
        <v>2023</v>
      </c>
      <c r="H1169" s="8">
        <f t="shared" si="54"/>
        <v>45128</v>
      </c>
      <c r="I1169" s="11">
        <v>45130</v>
      </c>
      <c r="J1169" s="7">
        <f t="shared" si="55"/>
        <v>2</v>
      </c>
      <c r="K1169" s="7" t="s">
        <v>19</v>
      </c>
      <c r="L1169" s="7">
        <v>65772</v>
      </c>
      <c r="M1169" s="7">
        <v>1610</v>
      </c>
      <c r="N1169" s="12">
        <v>1120.17</v>
      </c>
      <c r="O1169" s="12">
        <f t="shared" si="56"/>
        <v>1120.17</v>
      </c>
      <c r="P1169" s="7">
        <v>295</v>
      </c>
      <c r="Q1169" s="7" t="b">
        <v>1</v>
      </c>
      <c r="R1169" s="7"/>
      <c r="S1169" s="15" t="s">
        <v>20</v>
      </c>
    </row>
    <row r="1170" spans="1:19">
      <c r="A1170" s="3" t="s">
        <v>2426</v>
      </c>
      <c r="B1170" s="4" t="s">
        <v>2427</v>
      </c>
      <c r="C1170" s="5" t="s">
        <v>4129</v>
      </c>
      <c r="D1170" s="5" t="s">
        <v>2428</v>
      </c>
      <c r="E1170" s="4">
        <v>20</v>
      </c>
      <c r="F1170" s="4">
        <v>3</v>
      </c>
      <c r="G1170" s="4">
        <v>2023</v>
      </c>
      <c r="H1170" s="5">
        <f t="shared" si="54"/>
        <v>45005</v>
      </c>
      <c r="I1170" s="9">
        <v>45017</v>
      </c>
      <c r="J1170" s="4">
        <f t="shared" si="55"/>
        <v>12</v>
      </c>
      <c r="K1170" s="4" t="s">
        <v>14</v>
      </c>
      <c r="L1170" s="4">
        <v>15382</v>
      </c>
      <c r="M1170" s="4">
        <v>600</v>
      </c>
      <c r="N1170" s="10">
        <v>696.49</v>
      </c>
      <c r="O1170" s="10">
        <f t="shared" si="56"/>
        <v>696.49</v>
      </c>
      <c r="P1170" s="4">
        <v>67</v>
      </c>
      <c r="Q1170" s="4" t="b">
        <v>1</v>
      </c>
      <c r="R1170" s="4"/>
      <c r="S1170" s="14" t="s">
        <v>16</v>
      </c>
    </row>
    <row r="1171" spans="1:19">
      <c r="A1171" s="6" t="s">
        <v>2429</v>
      </c>
      <c r="B1171" s="7" t="s">
        <v>2430</v>
      </c>
      <c r="C1171" s="8" t="s">
        <v>4131</v>
      </c>
      <c r="D1171" s="8">
        <v>44928</v>
      </c>
      <c r="E1171" s="7">
        <v>1</v>
      </c>
      <c r="F1171" s="7">
        <v>2</v>
      </c>
      <c r="G1171" s="7">
        <v>2023</v>
      </c>
      <c r="H1171" s="8">
        <f t="shared" si="54"/>
        <v>44928</v>
      </c>
      <c r="I1171" s="11">
        <v>44937</v>
      </c>
      <c r="J1171" s="7">
        <f t="shared" si="55"/>
        <v>9</v>
      </c>
      <c r="K1171" s="7" t="s">
        <v>19</v>
      </c>
      <c r="L1171" s="7">
        <v>85291</v>
      </c>
      <c r="M1171" s="7">
        <v>3904</v>
      </c>
      <c r="N1171" s="12">
        <v>3810.14</v>
      </c>
      <c r="O1171" s="12">
        <f t="shared" si="56"/>
        <v>3632.575</v>
      </c>
      <c r="P1171" s="7">
        <v>280</v>
      </c>
      <c r="Q1171" s="7" t="b">
        <v>1</v>
      </c>
      <c r="R1171" s="7"/>
      <c r="S1171" s="15" t="s">
        <v>20</v>
      </c>
    </row>
    <row r="1172" spans="1:19">
      <c r="A1172" s="3" t="s">
        <v>2431</v>
      </c>
      <c r="B1172" s="4" t="s">
        <v>2432</v>
      </c>
      <c r="C1172" s="5" t="s">
        <v>4127</v>
      </c>
      <c r="D1172" s="5">
        <v>45265</v>
      </c>
      <c r="E1172" s="4">
        <v>12</v>
      </c>
      <c r="F1172" s="4">
        <v>5</v>
      </c>
      <c r="G1172" s="4">
        <v>2023</v>
      </c>
      <c r="H1172" s="5">
        <f t="shared" si="54"/>
        <v>45265</v>
      </c>
      <c r="I1172" s="9">
        <v>45278</v>
      </c>
      <c r="J1172" s="4">
        <f t="shared" si="55"/>
        <v>13</v>
      </c>
      <c r="K1172" s="4" t="s">
        <v>19</v>
      </c>
      <c r="L1172" s="4">
        <v>4756</v>
      </c>
      <c r="M1172" s="4">
        <v>134</v>
      </c>
      <c r="N1172" s="10">
        <v>250.3</v>
      </c>
      <c r="O1172" s="10">
        <f t="shared" si="56"/>
        <v>250.3</v>
      </c>
      <c r="P1172" s="4">
        <v>17</v>
      </c>
      <c r="Q1172" s="4" t="b">
        <v>0</v>
      </c>
      <c r="R1172" s="4"/>
      <c r="S1172" s="14" t="s">
        <v>20</v>
      </c>
    </row>
    <row r="1173" spans="1:19">
      <c r="A1173" s="6" t="s">
        <v>2433</v>
      </c>
      <c r="B1173" s="7" t="s">
        <v>2434</v>
      </c>
      <c r="C1173" s="8" t="s">
        <v>4128</v>
      </c>
      <c r="D1173" s="8" t="s">
        <v>1335</v>
      </c>
      <c r="E1173" s="7">
        <v>19</v>
      </c>
      <c r="F1173" s="7">
        <v>2</v>
      </c>
      <c r="G1173" s="7">
        <v>2023</v>
      </c>
      <c r="H1173" s="8">
        <f t="shared" si="54"/>
        <v>44976</v>
      </c>
      <c r="I1173" s="11">
        <v>44985</v>
      </c>
      <c r="J1173" s="7">
        <f t="shared" si="55"/>
        <v>9</v>
      </c>
      <c r="K1173" s="7" t="s">
        <v>14</v>
      </c>
      <c r="L1173" s="7">
        <v>21609</v>
      </c>
      <c r="M1173" s="7">
        <v>599</v>
      </c>
      <c r="N1173" s="12">
        <v>354.24</v>
      </c>
      <c r="O1173" s="12">
        <f t="shared" si="56"/>
        <v>354.24</v>
      </c>
      <c r="P1173" s="7">
        <v>116</v>
      </c>
      <c r="Q1173" s="7" t="b">
        <v>1</v>
      </c>
      <c r="R1173" s="7"/>
      <c r="S1173" s="15" t="s">
        <v>16</v>
      </c>
    </row>
    <row r="1174" spans="1:19">
      <c r="A1174" s="3" t="s">
        <v>2435</v>
      </c>
      <c r="B1174" s="4" t="s">
        <v>2436</v>
      </c>
      <c r="C1174" s="5" t="s">
        <v>4128</v>
      </c>
      <c r="D1174" s="5">
        <v>45014</v>
      </c>
      <c r="E1174" s="4">
        <v>3</v>
      </c>
      <c r="F1174" s="4">
        <v>29</v>
      </c>
      <c r="G1174" s="4">
        <v>2023</v>
      </c>
      <c r="H1174" s="5">
        <f t="shared" si="54"/>
        <v>45014</v>
      </c>
      <c r="I1174" s="9">
        <v>45029</v>
      </c>
      <c r="J1174" s="4">
        <f t="shared" si="55"/>
        <v>15</v>
      </c>
      <c r="K1174" s="4" t="s">
        <v>23</v>
      </c>
      <c r="L1174" s="4">
        <v>17478</v>
      </c>
      <c r="M1174" s="4">
        <v>595</v>
      </c>
      <c r="N1174" s="10">
        <v>916.91</v>
      </c>
      <c r="O1174" s="10">
        <f t="shared" si="56"/>
        <v>916.91</v>
      </c>
      <c r="P1174" s="4">
        <v>83</v>
      </c>
      <c r="Q1174" s="4" t="b">
        <v>0</v>
      </c>
      <c r="R1174" s="4"/>
      <c r="S1174" s="14" t="s">
        <v>25</v>
      </c>
    </row>
    <row r="1175" spans="1:19">
      <c r="A1175" s="6" t="s">
        <v>2437</v>
      </c>
      <c r="B1175" s="7" t="s">
        <v>2438</v>
      </c>
      <c r="C1175" s="8" t="s">
        <v>4129</v>
      </c>
      <c r="D1175" s="8">
        <v>45169</v>
      </c>
      <c r="E1175" s="7">
        <v>8</v>
      </c>
      <c r="F1175" s="7">
        <v>31</v>
      </c>
      <c r="G1175" s="7">
        <v>2023</v>
      </c>
      <c r="H1175" s="8">
        <f t="shared" si="54"/>
        <v>45169</v>
      </c>
      <c r="I1175" s="11">
        <v>45190</v>
      </c>
      <c r="J1175" s="7">
        <f t="shared" si="55"/>
        <v>21</v>
      </c>
      <c r="K1175" s="7" t="s">
        <v>19</v>
      </c>
      <c r="L1175" s="7">
        <v>40666</v>
      </c>
      <c r="M1175" s="7">
        <v>1368</v>
      </c>
      <c r="N1175" s="12">
        <v>1059.01</v>
      </c>
      <c r="O1175" s="12">
        <f t="shared" si="56"/>
        <v>1059.01</v>
      </c>
      <c r="P1175" s="7">
        <v>270</v>
      </c>
      <c r="Q1175" s="7" t="b">
        <v>1</v>
      </c>
      <c r="R1175" s="7"/>
      <c r="S1175" s="15" t="s">
        <v>20</v>
      </c>
    </row>
    <row r="1176" spans="1:19">
      <c r="A1176" s="3" t="s">
        <v>2439</v>
      </c>
      <c r="B1176" s="4" t="s">
        <v>2440</v>
      </c>
      <c r="C1176" s="5" t="s">
        <v>4127</v>
      </c>
      <c r="D1176" s="5">
        <v>45130</v>
      </c>
      <c r="E1176" s="4">
        <v>7</v>
      </c>
      <c r="F1176" s="4">
        <v>23</v>
      </c>
      <c r="G1176" s="4">
        <v>2023</v>
      </c>
      <c r="H1176" s="5">
        <f t="shared" si="54"/>
        <v>45130</v>
      </c>
      <c r="I1176" s="9">
        <v>45156</v>
      </c>
      <c r="J1176" s="4">
        <f t="shared" si="55"/>
        <v>26</v>
      </c>
      <c r="K1176" s="4" t="s">
        <v>19</v>
      </c>
      <c r="L1176" s="4">
        <v>76683</v>
      </c>
      <c r="M1176" s="4">
        <v>3240</v>
      </c>
      <c r="N1176" s="10">
        <v>3170.56</v>
      </c>
      <c r="O1176" s="10">
        <f t="shared" si="56"/>
        <v>3170.56</v>
      </c>
      <c r="P1176" s="4">
        <v>570</v>
      </c>
      <c r="Q1176" s="4" t="b">
        <v>1</v>
      </c>
      <c r="R1176" s="4"/>
      <c r="S1176" s="14" t="s">
        <v>20</v>
      </c>
    </row>
    <row r="1177" spans="1:19">
      <c r="A1177" s="6" t="s">
        <v>2441</v>
      </c>
      <c r="B1177" s="7" t="s">
        <v>2442</v>
      </c>
      <c r="C1177" s="8" t="s">
        <v>4129</v>
      </c>
      <c r="D1177" s="8" t="s">
        <v>843</v>
      </c>
      <c r="E1177" s="7">
        <v>16</v>
      </c>
      <c r="F1177" s="7">
        <v>5</v>
      </c>
      <c r="G1177" s="7">
        <v>2023</v>
      </c>
      <c r="H1177" s="8">
        <f t="shared" si="54"/>
        <v>45062</v>
      </c>
      <c r="I1177" s="11">
        <v>45092</v>
      </c>
      <c r="J1177" s="7">
        <f t="shared" si="55"/>
        <v>30</v>
      </c>
      <c r="K1177" s="7" t="s">
        <v>41</v>
      </c>
      <c r="L1177" s="7">
        <v>72315</v>
      </c>
      <c r="M1177" s="7">
        <v>2101</v>
      </c>
      <c r="N1177" s="12">
        <v>2359.99</v>
      </c>
      <c r="O1177" s="12">
        <f t="shared" si="56"/>
        <v>2359.99</v>
      </c>
      <c r="P1177" s="7">
        <v>116</v>
      </c>
      <c r="Q1177" s="7" t="b">
        <v>0</v>
      </c>
      <c r="R1177" s="7"/>
      <c r="S1177" s="15" t="s">
        <v>42</v>
      </c>
    </row>
    <row r="1178" spans="1:19">
      <c r="A1178" s="3" t="s">
        <v>2443</v>
      </c>
      <c r="B1178" s="4" t="s">
        <v>2444</v>
      </c>
      <c r="C1178" s="5" t="s">
        <v>4131</v>
      </c>
      <c r="D1178" s="5">
        <v>45205</v>
      </c>
      <c r="E1178" s="4">
        <v>10</v>
      </c>
      <c r="F1178" s="4">
        <v>6</v>
      </c>
      <c r="G1178" s="4">
        <v>2023</v>
      </c>
      <c r="H1178" s="5">
        <f t="shared" si="54"/>
        <v>45205</v>
      </c>
      <c r="I1178" s="9">
        <v>45216</v>
      </c>
      <c r="J1178" s="4">
        <f t="shared" si="55"/>
        <v>11</v>
      </c>
      <c r="K1178" s="4" t="s">
        <v>14</v>
      </c>
      <c r="L1178" s="4">
        <v>78834</v>
      </c>
      <c r="M1178" s="4">
        <v>3929</v>
      </c>
      <c r="N1178" s="10">
        <v>7315.89</v>
      </c>
      <c r="O1178" s="10">
        <f t="shared" si="56"/>
        <v>3632.575</v>
      </c>
      <c r="P1178" s="4">
        <v>584</v>
      </c>
      <c r="Q1178" s="4" t="b">
        <v>0</v>
      </c>
      <c r="R1178" s="4"/>
      <c r="S1178" s="14" t="s">
        <v>16</v>
      </c>
    </row>
    <row r="1179" spans="1:19">
      <c r="A1179" s="6" t="s">
        <v>2445</v>
      </c>
      <c r="B1179" s="7" t="s">
        <v>2446</v>
      </c>
      <c r="C1179" s="8" t="s">
        <v>4128</v>
      </c>
      <c r="D1179" s="8">
        <v>45122</v>
      </c>
      <c r="E1179" s="7">
        <v>7</v>
      </c>
      <c r="F1179" s="7">
        <v>15</v>
      </c>
      <c r="G1179" s="7">
        <v>2023</v>
      </c>
      <c r="H1179" s="8">
        <f t="shared" si="54"/>
        <v>45122</v>
      </c>
      <c r="I1179" s="11">
        <v>45132</v>
      </c>
      <c r="J1179" s="7">
        <f t="shared" si="55"/>
        <v>10</v>
      </c>
      <c r="K1179" s="7" t="s">
        <v>14</v>
      </c>
      <c r="L1179" s="7">
        <v>15153</v>
      </c>
      <c r="M1179" s="7">
        <v>187</v>
      </c>
      <c r="N1179" s="12">
        <v>161.54</v>
      </c>
      <c r="O1179" s="12">
        <f t="shared" si="56"/>
        <v>161.54</v>
      </c>
      <c r="P1179" s="7">
        <v>17</v>
      </c>
      <c r="Q1179" s="7" t="b">
        <v>0</v>
      </c>
      <c r="R1179" s="7"/>
      <c r="S1179" s="15" t="s">
        <v>16</v>
      </c>
    </row>
    <row r="1180" spans="1:19">
      <c r="A1180" s="3" t="s">
        <v>2447</v>
      </c>
      <c r="B1180" s="4" t="s">
        <v>2448</v>
      </c>
      <c r="C1180" s="5" t="s">
        <v>4127</v>
      </c>
      <c r="D1180" s="5">
        <v>45061</v>
      </c>
      <c r="E1180" s="4">
        <v>5</v>
      </c>
      <c r="F1180" s="4">
        <v>15</v>
      </c>
      <c r="G1180" s="4">
        <v>2023</v>
      </c>
      <c r="H1180" s="5">
        <f t="shared" si="54"/>
        <v>45061</v>
      </c>
      <c r="I1180" s="9">
        <v>45088</v>
      </c>
      <c r="J1180" s="4">
        <f t="shared" si="55"/>
        <v>27</v>
      </c>
      <c r="K1180" s="4" t="s">
        <v>23</v>
      </c>
      <c r="L1180" s="4">
        <v>77325</v>
      </c>
      <c r="M1180" s="4">
        <v>783</v>
      </c>
      <c r="N1180" s="10">
        <v>498.74</v>
      </c>
      <c r="O1180" s="10">
        <f t="shared" si="56"/>
        <v>498.74</v>
      </c>
      <c r="P1180" s="4">
        <v>104</v>
      </c>
      <c r="Q1180" s="4" t="b">
        <v>1</v>
      </c>
      <c r="R1180" s="4"/>
      <c r="S1180" s="14" t="s">
        <v>25</v>
      </c>
    </row>
    <row r="1181" spans="1:19">
      <c r="A1181" s="6" t="s">
        <v>2449</v>
      </c>
      <c r="B1181" s="7" t="s">
        <v>2450</v>
      </c>
      <c r="C1181" s="8" t="s">
        <v>4129</v>
      </c>
      <c r="D1181" s="8">
        <v>45064</v>
      </c>
      <c r="E1181" s="7">
        <v>5</v>
      </c>
      <c r="F1181" s="7">
        <v>18</v>
      </c>
      <c r="G1181" s="7">
        <v>2023</v>
      </c>
      <c r="H1181" s="8">
        <f t="shared" si="54"/>
        <v>45064</v>
      </c>
      <c r="I1181" s="11">
        <v>45082</v>
      </c>
      <c r="J1181" s="7">
        <f t="shared" si="55"/>
        <v>18</v>
      </c>
      <c r="K1181" s="7" t="s">
        <v>23</v>
      </c>
      <c r="L1181" s="7">
        <v>13999</v>
      </c>
      <c r="M1181" s="7">
        <v>498</v>
      </c>
      <c r="N1181" s="12">
        <v>487.06</v>
      </c>
      <c r="O1181" s="12">
        <f t="shared" si="56"/>
        <v>487.06</v>
      </c>
      <c r="P1181" s="7">
        <v>45</v>
      </c>
      <c r="Q1181" s="7" t="b">
        <v>1</v>
      </c>
      <c r="R1181" s="7"/>
      <c r="S1181" s="15" t="s">
        <v>59</v>
      </c>
    </row>
    <row r="1182" spans="1:19">
      <c r="A1182" s="3" t="s">
        <v>2451</v>
      </c>
      <c r="B1182" s="4" t="s">
        <v>2452</v>
      </c>
      <c r="C1182" s="5" t="s">
        <v>4131</v>
      </c>
      <c r="D1182" s="5">
        <v>45283</v>
      </c>
      <c r="E1182" s="4">
        <v>12</v>
      </c>
      <c r="F1182" s="4">
        <v>23</v>
      </c>
      <c r="G1182" s="4">
        <v>2023</v>
      </c>
      <c r="H1182" s="5">
        <f t="shared" si="54"/>
        <v>45283</v>
      </c>
      <c r="I1182" s="9">
        <v>45303</v>
      </c>
      <c r="J1182" s="4">
        <f t="shared" si="55"/>
        <v>20</v>
      </c>
      <c r="K1182" s="4" t="s">
        <v>14</v>
      </c>
      <c r="L1182" s="4">
        <v>56318</v>
      </c>
      <c r="M1182" s="4">
        <v>1235</v>
      </c>
      <c r="N1182" s="10">
        <v>811.41</v>
      </c>
      <c r="O1182" s="10">
        <f t="shared" si="56"/>
        <v>811.41</v>
      </c>
      <c r="P1182" s="4">
        <v>126</v>
      </c>
      <c r="Q1182" s="4" t="b">
        <v>1</v>
      </c>
      <c r="R1182" s="4"/>
      <c r="S1182" s="14" t="s">
        <v>16</v>
      </c>
    </row>
    <row r="1183" spans="1:19">
      <c r="A1183" s="6" t="s">
        <v>2453</v>
      </c>
      <c r="B1183" s="7" t="s">
        <v>2454</v>
      </c>
      <c r="C1183" s="8" t="s">
        <v>4131</v>
      </c>
      <c r="D1183" s="8">
        <v>45103</v>
      </c>
      <c r="E1183" s="7">
        <v>6</v>
      </c>
      <c r="F1183" s="7">
        <v>26</v>
      </c>
      <c r="G1183" s="7">
        <v>2023</v>
      </c>
      <c r="H1183" s="8">
        <f t="shared" si="54"/>
        <v>45103</v>
      </c>
      <c r="I1183" s="11">
        <v>45114</v>
      </c>
      <c r="J1183" s="7">
        <f t="shared" si="55"/>
        <v>11</v>
      </c>
      <c r="K1183" s="7" t="s">
        <v>14</v>
      </c>
      <c r="L1183" s="7">
        <v>1814</v>
      </c>
      <c r="M1183" s="7">
        <v>35</v>
      </c>
      <c r="N1183" s="12">
        <v>24.25</v>
      </c>
      <c r="O1183" s="12">
        <f t="shared" si="56"/>
        <v>24.25</v>
      </c>
      <c r="P1183" s="7">
        <v>6</v>
      </c>
      <c r="Q1183" s="7" t="b">
        <v>0</v>
      </c>
      <c r="R1183" s="7"/>
      <c r="S1183" s="15" t="s">
        <v>16</v>
      </c>
    </row>
    <row r="1184" spans="1:19">
      <c r="A1184" s="3" t="s">
        <v>2455</v>
      </c>
      <c r="B1184" s="4" t="s">
        <v>2456</v>
      </c>
      <c r="C1184" s="5" t="s">
        <v>4129</v>
      </c>
      <c r="D1184" s="5">
        <v>45228</v>
      </c>
      <c r="E1184" s="4">
        <v>10</v>
      </c>
      <c r="F1184" s="4">
        <v>29</v>
      </c>
      <c r="G1184" s="4">
        <v>2023</v>
      </c>
      <c r="H1184" s="5">
        <f t="shared" si="54"/>
        <v>45228</v>
      </c>
      <c r="I1184" s="9">
        <v>45258</v>
      </c>
      <c r="J1184" s="4">
        <f t="shared" si="55"/>
        <v>30</v>
      </c>
      <c r="K1184" s="4" t="s">
        <v>23</v>
      </c>
      <c r="L1184" s="4">
        <v>77077</v>
      </c>
      <c r="M1184" s="4">
        <v>1732</v>
      </c>
      <c r="N1184" s="10">
        <v>2356.86</v>
      </c>
      <c r="O1184" s="10">
        <f t="shared" si="56"/>
        <v>2356.86</v>
      </c>
      <c r="P1184" s="4">
        <v>140</v>
      </c>
      <c r="Q1184" s="4" t="b">
        <v>1</v>
      </c>
      <c r="R1184" s="4">
        <v>77120</v>
      </c>
      <c r="S1184" s="14" t="s">
        <v>25</v>
      </c>
    </row>
    <row r="1185" spans="1:19">
      <c r="A1185" s="6" t="s">
        <v>2457</v>
      </c>
      <c r="B1185" s="7" t="s">
        <v>2458</v>
      </c>
      <c r="C1185" s="8" t="s">
        <v>4127</v>
      </c>
      <c r="D1185" s="8">
        <v>45125</v>
      </c>
      <c r="E1185" s="7">
        <v>7</v>
      </c>
      <c r="F1185" s="7">
        <v>18</v>
      </c>
      <c r="G1185" s="7">
        <v>2023</v>
      </c>
      <c r="H1185" s="8">
        <f t="shared" si="54"/>
        <v>45125</v>
      </c>
      <c r="I1185" s="11">
        <v>45135</v>
      </c>
      <c r="J1185" s="7">
        <f t="shared" si="55"/>
        <v>10</v>
      </c>
      <c r="K1185" s="7" t="s">
        <v>19</v>
      </c>
      <c r="L1185" s="7">
        <v>91474</v>
      </c>
      <c r="M1185" s="7">
        <v>1851</v>
      </c>
      <c r="N1185" s="12">
        <v>1094.59</v>
      </c>
      <c r="O1185" s="12">
        <f t="shared" si="56"/>
        <v>1094.59</v>
      </c>
      <c r="P1185" s="7">
        <v>0</v>
      </c>
      <c r="Q1185" s="7" t="b">
        <v>0</v>
      </c>
      <c r="R1185" s="7"/>
      <c r="S1185" s="15" t="s">
        <v>20</v>
      </c>
    </row>
    <row r="1186" spans="1:19">
      <c r="A1186" s="3" t="s">
        <v>2459</v>
      </c>
      <c r="B1186" s="4" t="s">
        <v>2460</v>
      </c>
      <c r="C1186" s="5" t="s">
        <v>4129</v>
      </c>
      <c r="D1186" s="5">
        <v>45201</v>
      </c>
      <c r="E1186" s="4">
        <v>10</v>
      </c>
      <c r="F1186" s="4">
        <v>2</v>
      </c>
      <c r="G1186" s="4">
        <v>2023</v>
      </c>
      <c r="H1186" s="5">
        <f t="shared" si="54"/>
        <v>45201</v>
      </c>
      <c r="I1186" s="9">
        <v>45229</v>
      </c>
      <c r="J1186" s="4">
        <f t="shared" si="55"/>
        <v>28</v>
      </c>
      <c r="K1186" s="4" t="s">
        <v>41</v>
      </c>
      <c r="L1186" s="4">
        <v>3443</v>
      </c>
      <c r="M1186" s="4">
        <v>38</v>
      </c>
      <c r="N1186" s="10">
        <v>20.76</v>
      </c>
      <c r="O1186" s="10">
        <f t="shared" si="56"/>
        <v>20.76</v>
      </c>
      <c r="P1186" s="4">
        <v>2</v>
      </c>
      <c r="Q1186" s="4" t="b">
        <v>1</v>
      </c>
      <c r="R1186" s="4"/>
      <c r="S1186" s="14" t="s">
        <v>42</v>
      </c>
    </row>
    <row r="1187" spans="1:19">
      <c r="A1187" s="6" t="s">
        <v>2461</v>
      </c>
      <c r="B1187" s="7" t="s">
        <v>2462</v>
      </c>
      <c r="C1187" s="8" t="s">
        <v>4131</v>
      </c>
      <c r="D1187" s="8">
        <v>45220</v>
      </c>
      <c r="E1187" s="7">
        <v>10</v>
      </c>
      <c r="F1187" s="7">
        <v>21</v>
      </c>
      <c r="G1187" s="7">
        <v>2023</v>
      </c>
      <c r="H1187" s="8">
        <f t="shared" si="54"/>
        <v>45220</v>
      </c>
      <c r="I1187" s="11">
        <v>45215</v>
      </c>
      <c r="J1187" s="7">
        <f t="shared" si="55"/>
        <v>-5</v>
      </c>
      <c r="K1187" s="7" t="s">
        <v>19</v>
      </c>
      <c r="L1187" s="7">
        <v>76993</v>
      </c>
      <c r="M1187" s="7">
        <v>3761</v>
      </c>
      <c r="N1187" s="12">
        <v>5910.87</v>
      </c>
      <c r="O1187" s="12">
        <f t="shared" si="56"/>
        <v>3632.575</v>
      </c>
      <c r="P1187" s="7">
        <v>239</v>
      </c>
      <c r="Q1187" s="7" t="b">
        <v>1</v>
      </c>
      <c r="R1187" s="7"/>
      <c r="S1187" s="15" t="s">
        <v>20</v>
      </c>
    </row>
    <row r="1188" spans="1:19">
      <c r="A1188" s="3" t="s">
        <v>2463</v>
      </c>
      <c r="B1188" s="4" t="s">
        <v>2464</v>
      </c>
      <c r="C1188" s="5" t="s">
        <v>4128</v>
      </c>
      <c r="D1188" s="5">
        <v>44967</v>
      </c>
      <c r="E1188" s="4">
        <v>2</v>
      </c>
      <c r="F1188" s="4">
        <v>10</v>
      </c>
      <c r="G1188" s="4">
        <v>2023</v>
      </c>
      <c r="H1188" s="5">
        <f t="shared" si="54"/>
        <v>44967</v>
      </c>
      <c r="I1188" s="9">
        <v>44984</v>
      </c>
      <c r="J1188" s="4">
        <f t="shared" si="55"/>
        <v>17</v>
      </c>
      <c r="K1188" s="4" t="s">
        <v>23</v>
      </c>
      <c r="L1188" s="4">
        <v>76916</v>
      </c>
      <c r="M1188" s="4">
        <v>1448</v>
      </c>
      <c r="N1188" s="10">
        <v>1509.5</v>
      </c>
      <c r="O1188" s="10">
        <f t="shared" si="56"/>
        <v>1509.5</v>
      </c>
      <c r="P1188" s="4">
        <v>258</v>
      </c>
      <c r="Q1188" s="4" t="b">
        <v>1</v>
      </c>
      <c r="R1188" s="4"/>
      <c r="S1188" s="14" t="s">
        <v>25</v>
      </c>
    </row>
    <row r="1189" spans="1:19">
      <c r="A1189" s="6" t="s">
        <v>2465</v>
      </c>
      <c r="B1189" s="7" t="s">
        <v>2466</v>
      </c>
      <c r="C1189" s="8" t="s">
        <v>4128</v>
      </c>
      <c r="D1189" s="8">
        <v>44944</v>
      </c>
      <c r="E1189" s="7">
        <v>1</v>
      </c>
      <c r="F1189" s="7">
        <v>18</v>
      </c>
      <c r="G1189" s="7">
        <v>2023</v>
      </c>
      <c r="H1189" s="8">
        <f t="shared" si="54"/>
        <v>44944</v>
      </c>
      <c r="I1189" s="11">
        <v>44960</v>
      </c>
      <c r="J1189" s="7">
        <f t="shared" si="55"/>
        <v>16</v>
      </c>
      <c r="K1189" s="7" t="s">
        <v>23</v>
      </c>
      <c r="L1189" s="7">
        <v>74319</v>
      </c>
      <c r="M1189" s="7">
        <v>2925</v>
      </c>
      <c r="N1189" s="12">
        <v>2012.58</v>
      </c>
      <c r="O1189" s="12">
        <f t="shared" si="56"/>
        <v>2012.58</v>
      </c>
      <c r="P1189" s="7">
        <v>422</v>
      </c>
      <c r="Q1189" s="7" t="b">
        <v>0</v>
      </c>
      <c r="R1189" s="7"/>
      <c r="S1189" s="15" t="s">
        <v>25</v>
      </c>
    </row>
    <row r="1190" spans="1:19">
      <c r="A1190" s="3" t="s">
        <v>2467</v>
      </c>
      <c r="B1190" s="4" t="s">
        <v>2468</v>
      </c>
      <c r="C1190" s="5" t="s">
        <v>4127</v>
      </c>
      <c r="D1190" s="5">
        <v>45219</v>
      </c>
      <c r="E1190" s="4">
        <v>10</v>
      </c>
      <c r="F1190" s="4">
        <v>20</v>
      </c>
      <c r="G1190" s="4">
        <v>2023</v>
      </c>
      <c r="H1190" s="5">
        <f t="shared" si="54"/>
        <v>45219</v>
      </c>
      <c r="I1190" s="9">
        <v>45232</v>
      </c>
      <c r="J1190" s="4">
        <f t="shared" si="55"/>
        <v>13</v>
      </c>
      <c r="K1190" s="4" t="s">
        <v>33</v>
      </c>
      <c r="L1190" s="4">
        <v>18368</v>
      </c>
      <c r="M1190" s="4">
        <v>743</v>
      </c>
      <c r="N1190" s="10">
        <v>654.15</v>
      </c>
      <c r="O1190" s="10">
        <f t="shared" si="56"/>
        <v>654.15</v>
      </c>
      <c r="P1190" s="4">
        <v>120</v>
      </c>
      <c r="Q1190" s="4" t="b">
        <v>0</v>
      </c>
      <c r="R1190" s="4"/>
      <c r="S1190" s="14" t="s">
        <v>34</v>
      </c>
    </row>
    <row r="1191" spans="1:19">
      <c r="A1191" s="6" t="s">
        <v>2469</v>
      </c>
      <c r="B1191" s="7" t="s">
        <v>2470</v>
      </c>
      <c r="C1191" s="8" t="s">
        <v>4131</v>
      </c>
      <c r="D1191" s="8">
        <v>44988</v>
      </c>
      <c r="E1191" s="7">
        <v>3</v>
      </c>
      <c r="F1191" s="7">
        <v>3</v>
      </c>
      <c r="G1191" s="7">
        <v>2023</v>
      </c>
      <c r="H1191" s="8">
        <f t="shared" si="54"/>
        <v>44988</v>
      </c>
      <c r="I1191" s="11">
        <v>45013</v>
      </c>
      <c r="J1191" s="7">
        <f t="shared" si="55"/>
        <v>25</v>
      </c>
      <c r="K1191" s="7" t="s">
        <v>138</v>
      </c>
      <c r="L1191" s="7">
        <v>16328</v>
      </c>
      <c r="M1191" s="7">
        <v>770</v>
      </c>
      <c r="N1191" s="12">
        <v>1126.61</v>
      </c>
      <c r="O1191" s="12">
        <f t="shared" si="56"/>
        <v>1126.61</v>
      </c>
      <c r="P1191" s="7">
        <v>62</v>
      </c>
      <c r="Q1191" s="7" t="b">
        <v>1</v>
      </c>
      <c r="R1191" s="7"/>
      <c r="S1191" s="15" t="s">
        <v>139</v>
      </c>
    </row>
    <row r="1192" spans="1:19">
      <c r="A1192" s="3" t="s">
        <v>2471</v>
      </c>
      <c r="B1192" s="4" t="s">
        <v>2472</v>
      </c>
      <c r="C1192" s="5" t="s">
        <v>4131</v>
      </c>
      <c r="D1192" s="5">
        <v>45012</v>
      </c>
      <c r="E1192" s="4">
        <v>3</v>
      </c>
      <c r="F1192" s="4">
        <v>27</v>
      </c>
      <c r="G1192" s="4">
        <v>2023</v>
      </c>
      <c r="H1192" s="5">
        <f t="shared" si="54"/>
        <v>45012</v>
      </c>
      <c r="I1192" s="9">
        <v>45040</v>
      </c>
      <c r="J1192" s="4">
        <f t="shared" si="55"/>
        <v>28</v>
      </c>
      <c r="K1192" s="4" t="s">
        <v>41</v>
      </c>
      <c r="L1192" s="4">
        <v>57942</v>
      </c>
      <c r="M1192" s="4">
        <v>650</v>
      </c>
      <c r="N1192" s="10">
        <v>593.65</v>
      </c>
      <c r="O1192" s="10">
        <f t="shared" si="56"/>
        <v>593.65</v>
      </c>
      <c r="P1192" s="4">
        <v>84</v>
      </c>
      <c r="Q1192" s="4" t="b">
        <v>0</v>
      </c>
      <c r="R1192" s="4"/>
      <c r="S1192" s="14" t="s">
        <v>42</v>
      </c>
    </row>
    <row r="1193" spans="1:19">
      <c r="A1193" s="6" t="s">
        <v>2473</v>
      </c>
      <c r="B1193" s="7" t="s">
        <v>2474</v>
      </c>
      <c r="C1193" s="8" t="s">
        <v>4129</v>
      </c>
      <c r="D1193" s="8">
        <v>45080</v>
      </c>
      <c r="E1193" s="7">
        <v>6</v>
      </c>
      <c r="F1193" s="7">
        <v>3</v>
      </c>
      <c r="G1193" s="7">
        <v>2023</v>
      </c>
      <c r="H1193" s="8">
        <f t="shared" si="54"/>
        <v>45080</v>
      </c>
      <c r="I1193" s="11">
        <v>45018</v>
      </c>
      <c r="J1193" s="7">
        <f t="shared" si="55"/>
        <v>-62</v>
      </c>
      <c r="K1193" s="7" t="s">
        <v>14</v>
      </c>
      <c r="L1193" s="7">
        <v>92751</v>
      </c>
      <c r="M1193" s="7">
        <v>4162</v>
      </c>
      <c r="N1193" s="12">
        <v>5168.3</v>
      </c>
      <c r="O1193" s="12">
        <f t="shared" si="56"/>
        <v>3632.575</v>
      </c>
      <c r="P1193" s="7">
        <v>668</v>
      </c>
      <c r="Q1193" s="7" t="b">
        <v>1</v>
      </c>
      <c r="R1193" s="7"/>
      <c r="S1193" s="15" t="s">
        <v>16</v>
      </c>
    </row>
    <row r="1194" spans="1:19">
      <c r="A1194" s="3" t="s">
        <v>2475</v>
      </c>
      <c r="B1194" s="4" t="s">
        <v>2476</v>
      </c>
      <c r="C1194" s="5" t="s">
        <v>4128</v>
      </c>
      <c r="D1194" s="5">
        <v>44967</v>
      </c>
      <c r="E1194" s="4">
        <v>2</v>
      </c>
      <c r="F1194" s="4">
        <v>10</v>
      </c>
      <c r="G1194" s="4">
        <v>2023</v>
      </c>
      <c r="H1194" s="5">
        <f t="shared" si="54"/>
        <v>44967</v>
      </c>
      <c r="I1194" s="9">
        <v>44990</v>
      </c>
      <c r="J1194" s="4">
        <f t="shared" si="55"/>
        <v>23</v>
      </c>
      <c r="K1194" s="4" t="s">
        <v>14</v>
      </c>
      <c r="L1194" s="4">
        <v>28306</v>
      </c>
      <c r="M1194" s="4">
        <v>880</v>
      </c>
      <c r="N1194" s="10">
        <v>600.64</v>
      </c>
      <c r="O1194" s="10">
        <f t="shared" si="56"/>
        <v>600.64</v>
      </c>
      <c r="P1194" s="4">
        <v>126</v>
      </c>
      <c r="Q1194" s="4" t="b">
        <v>0</v>
      </c>
      <c r="R1194" s="4"/>
      <c r="S1194" s="14" t="s">
        <v>16</v>
      </c>
    </row>
    <row r="1195" spans="1:19">
      <c r="A1195" s="6" t="s">
        <v>2477</v>
      </c>
      <c r="B1195" s="7" t="s">
        <v>2478</v>
      </c>
      <c r="C1195" s="8" t="s">
        <v>4129</v>
      </c>
      <c r="D1195" s="8">
        <v>45248</v>
      </c>
      <c r="E1195" s="7">
        <v>11</v>
      </c>
      <c r="F1195" s="7">
        <v>18</v>
      </c>
      <c r="G1195" s="7">
        <v>2023</v>
      </c>
      <c r="H1195" s="8">
        <f t="shared" si="54"/>
        <v>45248</v>
      </c>
      <c r="I1195" s="11">
        <v>45267</v>
      </c>
      <c r="J1195" s="7">
        <f t="shared" si="55"/>
        <v>19</v>
      </c>
      <c r="K1195" s="7" t="s">
        <v>33</v>
      </c>
      <c r="L1195" s="7">
        <v>86451</v>
      </c>
      <c r="M1195" s="7">
        <v>3051</v>
      </c>
      <c r="N1195" s="12">
        <v>4216.91</v>
      </c>
      <c r="O1195" s="12">
        <f t="shared" si="56"/>
        <v>3632.575</v>
      </c>
      <c r="P1195" s="7">
        <v>0</v>
      </c>
      <c r="Q1195" s="7" t="b">
        <v>1</v>
      </c>
      <c r="R1195" s="7"/>
      <c r="S1195" s="15" t="s">
        <v>34</v>
      </c>
    </row>
    <row r="1196" spans="1:19">
      <c r="A1196" s="3" t="s">
        <v>2479</v>
      </c>
      <c r="B1196" s="4" t="s">
        <v>2480</v>
      </c>
      <c r="C1196" s="5" t="s">
        <v>4131</v>
      </c>
      <c r="D1196" s="5">
        <v>45090</v>
      </c>
      <c r="E1196" s="4">
        <v>6</v>
      </c>
      <c r="F1196" s="4">
        <v>13</v>
      </c>
      <c r="G1196" s="4">
        <v>2023</v>
      </c>
      <c r="H1196" s="5">
        <f t="shared" si="54"/>
        <v>45090</v>
      </c>
      <c r="I1196" s="9">
        <v>45113</v>
      </c>
      <c r="J1196" s="4">
        <f t="shared" si="55"/>
        <v>23</v>
      </c>
      <c r="K1196" s="4" t="s">
        <v>19</v>
      </c>
      <c r="L1196" s="4">
        <v>40915</v>
      </c>
      <c r="M1196" s="4">
        <v>1463</v>
      </c>
      <c r="N1196" s="10">
        <v>1425.13</v>
      </c>
      <c r="O1196" s="10">
        <f t="shared" si="56"/>
        <v>1425.13</v>
      </c>
      <c r="P1196" s="4">
        <v>283</v>
      </c>
      <c r="Q1196" s="4" t="b">
        <v>1</v>
      </c>
      <c r="R1196" s="4"/>
      <c r="S1196" s="14" t="s">
        <v>20</v>
      </c>
    </row>
    <row r="1197" spans="1:19">
      <c r="A1197" s="6" t="s">
        <v>2481</v>
      </c>
      <c r="B1197" s="7" t="s">
        <v>2482</v>
      </c>
      <c r="C1197" s="8" t="s">
        <v>4127</v>
      </c>
      <c r="D1197" s="8">
        <v>45018</v>
      </c>
      <c r="E1197" s="7">
        <v>4</v>
      </c>
      <c r="F1197" s="7">
        <v>2</v>
      </c>
      <c r="G1197" s="7">
        <v>2023</v>
      </c>
      <c r="H1197" s="8">
        <f t="shared" si="54"/>
        <v>45018</v>
      </c>
      <c r="I1197" s="11">
        <v>44979</v>
      </c>
      <c r="J1197" s="7">
        <f t="shared" si="55"/>
        <v>-39</v>
      </c>
      <c r="K1197" s="7" t="s">
        <v>23</v>
      </c>
      <c r="L1197" s="7">
        <v>38219</v>
      </c>
      <c r="M1197" s="7">
        <v>1635</v>
      </c>
      <c r="N1197" s="12">
        <v>2355.14</v>
      </c>
      <c r="O1197" s="12">
        <f t="shared" si="56"/>
        <v>2355.14</v>
      </c>
      <c r="P1197" s="7">
        <v>247</v>
      </c>
      <c r="Q1197" s="7" t="b">
        <v>1</v>
      </c>
      <c r="R1197" s="7"/>
      <c r="S1197" s="15" t="s">
        <v>68</v>
      </c>
    </row>
    <row r="1198" spans="1:19">
      <c r="A1198" s="3" t="s">
        <v>2483</v>
      </c>
      <c r="B1198" s="4" t="s">
        <v>2484</v>
      </c>
      <c r="C1198" s="5" t="s">
        <v>4128</v>
      </c>
      <c r="D1198" s="5">
        <v>45211</v>
      </c>
      <c r="E1198" s="4">
        <v>10</v>
      </c>
      <c r="F1198" s="4">
        <v>12</v>
      </c>
      <c r="G1198" s="4">
        <v>2023</v>
      </c>
      <c r="H1198" s="5">
        <f t="shared" si="54"/>
        <v>45211</v>
      </c>
      <c r="I1198" s="9">
        <v>45241</v>
      </c>
      <c r="J1198" s="4">
        <f t="shared" si="55"/>
        <v>30</v>
      </c>
      <c r="K1198" s="4" t="s">
        <v>41</v>
      </c>
      <c r="L1198" s="4">
        <v>81879</v>
      </c>
      <c r="M1198" s="4">
        <v>1910</v>
      </c>
      <c r="N1198" s="10">
        <v>3271.05</v>
      </c>
      <c r="O1198" s="10">
        <f t="shared" si="56"/>
        <v>3271.05</v>
      </c>
      <c r="P1198" s="4">
        <v>355</v>
      </c>
      <c r="Q1198" s="4" t="b">
        <v>1</v>
      </c>
      <c r="R1198" s="4"/>
      <c r="S1198" s="14" t="s">
        <v>42</v>
      </c>
    </row>
    <row r="1199" spans="1:19">
      <c r="A1199" s="6" t="s">
        <v>2485</v>
      </c>
      <c r="B1199" s="7" t="s">
        <v>2486</v>
      </c>
      <c r="C1199" s="8" t="s">
        <v>4127</v>
      </c>
      <c r="D1199" s="8">
        <v>45068</v>
      </c>
      <c r="E1199" s="7">
        <v>5</v>
      </c>
      <c r="F1199" s="7">
        <v>22</v>
      </c>
      <c r="G1199" s="7">
        <v>2023</v>
      </c>
      <c r="H1199" s="8">
        <f t="shared" si="54"/>
        <v>45068</v>
      </c>
      <c r="I1199" s="11">
        <v>45090</v>
      </c>
      <c r="J1199" s="7">
        <f t="shared" si="55"/>
        <v>22</v>
      </c>
      <c r="K1199" s="7" t="s">
        <v>23</v>
      </c>
      <c r="L1199" s="7">
        <v>65644</v>
      </c>
      <c r="M1199" s="7">
        <v>2581</v>
      </c>
      <c r="N1199" s="12">
        <v>3658.49</v>
      </c>
      <c r="O1199" s="12">
        <f t="shared" si="56"/>
        <v>3632.575</v>
      </c>
      <c r="P1199" s="7">
        <v>411</v>
      </c>
      <c r="Q1199" s="7" t="b">
        <v>1</v>
      </c>
      <c r="R1199" s="7"/>
      <c r="S1199" s="15" t="s">
        <v>25</v>
      </c>
    </row>
    <row r="1200" spans="1:19">
      <c r="A1200" s="3" t="s">
        <v>2487</v>
      </c>
      <c r="B1200" s="4" t="s">
        <v>2488</v>
      </c>
      <c r="C1200" s="5" t="s">
        <v>4131</v>
      </c>
      <c r="D1200" s="5">
        <v>44933</v>
      </c>
      <c r="E1200" s="4">
        <v>1</v>
      </c>
      <c r="F1200" s="4">
        <v>7</v>
      </c>
      <c r="G1200" s="4">
        <v>2023</v>
      </c>
      <c r="H1200" s="5">
        <f t="shared" si="54"/>
        <v>44933</v>
      </c>
      <c r="I1200" s="9">
        <v>44953</v>
      </c>
      <c r="J1200" s="4">
        <f t="shared" si="55"/>
        <v>20</v>
      </c>
      <c r="K1200" s="4" t="s">
        <v>33</v>
      </c>
      <c r="L1200" s="4">
        <v>61279</v>
      </c>
      <c r="M1200" s="4">
        <v>1908</v>
      </c>
      <c r="N1200" s="10">
        <v>1800.43</v>
      </c>
      <c r="O1200" s="10">
        <f t="shared" si="56"/>
        <v>1800.43</v>
      </c>
      <c r="P1200" s="4">
        <v>0</v>
      </c>
      <c r="Q1200" s="4" t="b">
        <v>1</v>
      </c>
      <c r="R1200" s="4"/>
      <c r="S1200" s="14" t="s">
        <v>34</v>
      </c>
    </row>
    <row r="1201" spans="1:19">
      <c r="A1201" s="6" t="s">
        <v>2489</v>
      </c>
      <c r="B1201" s="7" t="s">
        <v>2490</v>
      </c>
      <c r="C1201" s="8" t="s">
        <v>4131</v>
      </c>
      <c r="D1201" s="8">
        <v>45194</v>
      </c>
      <c r="E1201" s="7">
        <v>9</v>
      </c>
      <c r="F1201" s="7">
        <v>25</v>
      </c>
      <c r="G1201" s="7">
        <v>2023</v>
      </c>
      <c r="H1201" s="8">
        <f t="shared" si="54"/>
        <v>45194</v>
      </c>
      <c r="I1201" s="11">
        <v>45214</v>
      </c>
      <c r="J1201" s="7">
        <f t="shared" si="55"/>
        <v>20</v>
      </c>
      <c r="K1201" s="7" t="s">
        <v>23</v>
      </c>
      <c r="L1201" s="7">
        <v>54028</v>
      </c>
      <c r="M1201" s="7">
        <v>2254</v>
      </c>
      <c r="N1201" s="12">
        <v>1991.67</v>
      </c>
      <c r="O1201" s="12">
        <f t="shared" si="56"/>
        <v>1991.67</v>
      </c>
      <c r="P1201" s="7">
        <v>139</v>
      </c>
      <c r="Q1201" s="7" t="b">
        <v>0</v>
      </c>
      <c r="R1201" s="7"/>
      <c r="S1201" s="15" t="s">
        <v>25</v>
      </c>
    </row>
    <row r="1202" spans="1:19">
      <c r="A1202" s="3" t="s">
        <v>2491</v>
      </c>
      <c r="B1202" s="4" t="s">
        <v>2492</v>
      </c>
      <c r="C1202" s="5" t="s">
        <v>4128</v>
      </c>
      <c r="D1202" s="5">
        <v>45003</v>
      </c>
      <c r="E1202" s="4">
        <v>3</v>
      </c>
      <c r="F1202" s="4">
        <v>18</v>
      </c>
      <c r="G1202" s="4">
        <v>2023</v>
      </c>
      <c r="H1202" s="5">
        <f t="shared" si="54"/>
        <v>45003</v>
      </c>
      <c r="I1202" s="9">
        <v>45025</v>
      </c>
      <c r="J1202" s="4">
        <f t="shared" si="55"/>
        <v>22</v>
      </c>
      <c r="K1202" s="4" t="s">
        <v>41</v>
      </c>
      <c r="L1202" s="4">
        <v>1126</v>
      </c>
      <c r="M1202" s="4">
        <v>55</v>
      </c>
      <c r="N1202" s="10">
        <v>54.51</v>
      </c>
      <c r="O1202" s="10">
        <f t="shared" si="56"/>
        <v>54.51</v>
      </c>
      <c r="P1202" s="4">
        <v>5</v>
      </c>
      <c r="Q1202" s="4" t="b">
        <v>0</v>
      </c>
      <c r="R1202" s="4"/>
      <c r="S1202" s="14" t="s">
        <v>42</v>
      </c>
    </row>
    <row r="1203" spans="1:19">
      <c r="A1203" s="6" t="s">
        <v>2493</v>
      </c>
      <c r="B1203" s="7" t="s">
        <v>2494</v>
      </c>
      <c r="C1203" s="8" t="s">
        <v>4127</v>
      </c>
      <c r="D1203" s="8">
        <v>44978</v>
      </c>
      <c r="E1203" s="7">
        <v>2</v>
      </c>
      <c r="F1203" s="7">
        <v>21</v>
      </c>
      <c r="G1203" s="7">
        <v>2023</v>
      </c>
      <c r="H1203" s="8">
        <f t="shared" si="54"/>
        <v>44978</v>
      </c>
      <c r="I1203" s="11">
        <v>45004</v>
      </c>
      <c r="J1203" s="7">
        <f t="shared" si="55"/>
        <v>26</v>
      </c>
      <c r="K1203" s="7" t="s">
        <v>23</v>
      </c>
      <c r="L1203" s="7">
        <v>53329</v>
      </c>
      <c r="M1203" s="7">
        <v>961</v>
      </c>
      <c r="N1203" s="12">
        <v>717.8</v>
      </c>
      <c r="O1203" s="12">
        <f t="shared" si="56"/>
        <v>717.8</v>
      </c>
      <c r="P1203" s="7">
        <v>171</v>
      </c>
      <c r="Q1203" s="7" t="b">
        <v>0</v>
      </c>
      <c r="R1203" s="7"/>
      <c r="S1203" s="15" t="s">
        <v>25</v>
      </c>
    </row>
    <row r="1204" spans="1:19">
      <c r="A1204" s="3" t="s">
        <v>2495</v>
      </c>
      <c r="B1204" s="4" t="s">
        <v>2496</v>
      </c>
      <c r="C1204" s="5" t="s">
        <v>4129</v>
      </c>
      <c r="D1204" s="5">
        <v>44978</v>
      </c>
      <c r="E1204" s="4">
        <v>2</v>
      </c>
      <c r="F1204" s="4">
        <v>21</v>
      </c>
      <c r="G1204" s="4">
        <v>2023</v>
      </c>
      <c r="H1204" s="5">
        <f t="shared" si="54"/>
        <v>44978</v>
      </c>
      <c r="I1204" s="9">
        <v>44997</v>
      </c>
      <c r="J1204" s="4">
        <f t="shared" si="55"/>
        <v>19</v>
      </c>
      <c r="K1204" s="4" t="s">
        <v>33</v>
      </c>
      <c r="L1204" s="4">
        <v>28632</v>
      </c>
      <c r="M1204" s="4">
        <v>1425</v>
      </c>
      <c r="N1204" s="10">
        <v>1099.75</v>
      </c>
      <c r="O1204" s="10">
        <f t="shared" si="56"/>
        <v>1099.75</v>
      </c>
      <c r="P1204" s="4">
        <v>0</v>
      </c>
      <c r="Q1204" s="4" t="b">
        <v>0</v>
      </c>
      <c r="R1204" s="4"/>
      <c r="S1204" s="14" t="s">
        <v>34</v>
      </c>
    </row>
    <row r="1205" spans="1:19">
      <c r="A1205" s="6" t="s">
        <v>2497</v>
      </c>
      <c r="B1205" s="7" t="s">
        <v>2498</v>
      </c>
      <c r="C1205" s="8" t="s">
        <v>4128</v>
      </c>
      <c r="D1205" s="8">
        <v>45103</v>
      </c>
      <c r="E1205" s="7">
        <v>6</v>
      </c>
      <c r="F1205" s="7">
        <v>26</v>
      </c>
      <c r="G1205" s="7">
        <v>2023</v>
      </c>
      <c r="H1205" s="8">
        <f t="shared" si="54"/>
        <v>45103</v>
      </c>
      <c r="I1205" s="11">
        <v>45108</v>
      </c>
      <c r="J1205" s="7">
        <f t="shared" si="55"/>
        <v>5</v>
      </c>
      <c r="K1205" s="7" t="s">
        <v>23</v>
      </c>
      <c r="L1205" s="7">
        <v>66310</v>
      </c>
      <c r="M1205" s="7">
        <v>901</v>
      </c>
      <c r="N1205" s="12">
        <v>1519.12</v>
      </c>
      <c r="O1205" s="12">
        <f t="shared" si="56"/>
        <v>1519.12</v>
      </c>
      <c r="P1205" s="7">
        <v>60</v>
      </c>
      <c r="Q1205" s="7" t="b">
        <v>0</v>
      </c>
      <c r="R1205" s="7"/>
      <c r="S1205" s="15" t="s">
        <v>25</v>
      </c>
    </row>
    <row r="1206" spans="1:19">
      <c r="A1206" s="3" t="s">
        <v>2499</v>
      </c>
      <c r="B1206" s="4" t="s">
        <v>2500</v>
      </c>
      <c r="C1206" s="5" t="s">
        <v>4127</v>
      </c>
      <c r="D1206" s="5">
        <v>45262</v>
      </c>
      <c r="E1206" s="4">
        <v>12</v>
      </c>
      <c r="F1206" s="4">
        <v>2</v>
      </c>
      <c r="G1206" s="4">
        <v>2023</v>
      </c>
      <c r="H1206" s="5">
        <f t="shared" si="54"/>
        <v>45262</v>
      </c>
      <c r="I1206" s="9">
        <v>45278</v>
      </c>
      <c r="J1206" s="4">
        <f t="shared" si="55"/>
        <v>16</v>
      </c>
      <c r="K1206" s="4" t="s">
        <v>23</v>
      </c>
      <c r="L1206" s="4">
        <v>56176</v>
      </c>
      <c r="M1206" s="4">
        <v>566</v>
      </c>
      <c r="N1206" s="10">
        <v>609.64</v>
      </c>
      <c r="O1206" s="10">
        <f t="shared" si="56"/>
        <v>609.64</v>
      </c>
      <c r="P1206" s="4">
        <v>55</v>
      </c>
      <c r="Q1206" s="4" t="b">
        <v>0</v>
      </c>
      <c r="R1206" s="4"/>
      <c r="S1206" s="14" t="s">
        <v>25</v>
      </c>
    </row>
    <row r="1207" spans="1:19">
      <c r="A1207" s="6" t="s">
        <v>2501</v>
      </c>
      <c r="B1207" s="7" t="s">
        <v>2502</v>
      </c>
      <c r="C1207" s="8" t="s">
        <v>4128</v>
      </c>
      <c r="D1207" s="8">
        <v>44946</v>
      </c>
      <c r="E1207" s="7">
        <v>1</v>
      </c>
      <c r="F1207" s="7">
        <v>20</v>
      </c>
      <c r="G1207" s="7">
        <v>2023</v>
      </c>
      <c r="H1207" s="8">
        <f t="shared" si="54"/>
        <v>44946</v>
      </c>
      <c r="I1207" s="11">
        <v>44957</v>
      </c>
      <c r="J1207" s="7">
        <f t="shared" si="55"/>
        <v>11</v>
      </c>
      <c r="K1207" s="7" t="s">
        <v>14</v>
      </c>
      <c r="L1207" s="7">
        <v>87066</v>
      </c>
      <c r="M1207" s="7">
        <v>1024</v>
      </c>
      <c r="N1207" s="12">
        <v>1181.69</v>
      </c>
      <c r="O1207" s="12">
        <f t="shared" si="56"/>
        <v>1181.69</v>
      </c>
      <c r="P1207" s="7">
        <v>0</v>
      </c>
      <c r="Q1207" s="7" t="b">
        <v>0</v>
      </c>
      <c r="R1207" s="7"/>
      <c r="S1207" s="15" t="s">
        <v>16</v>
      </c>
    </row>
    <row r="1208" spans="1:19">
      <c r="A1208" s="3" t="s">
        <v>2503</v>
      </c>
      <c r="B1208" s="4" t="s">
        <v>2504</v>
      </c>
      <c r="C1208" s="5" t="s">
        <v>4128</v>
      </c>
      <c r="D1208" s="5">
        <v>45243</v>
      </c>
      <c r="E1208" s="4">
        <v>11</v>
      </c>
      <c r="F1208" s="4">
        <v>13</v>
      </c>
      <c r="G1208" s="4">
        <v>2023</v>
      </c>
      <c r="H1208" s="5">
        <f t="shared" si="54"/>
        <v>45243</v>
      </c>
      <c r="I1208" s="9">
        <v>45246</v>
      </c>
      <c r="J1208" s="4">
        <f t="shared" si="55"/>
        <v>3</v>
      </c>
      <c r="K1208" s="4" t="s">
        <v>33</v>
      </c>
      <c r="L1208" s="4">
        <v>45327</v>
      </c>
      <c r="M1208" s="4">
        <v>1072</v>
      </c>
      <c r="N1208" s="10">
        <v>1491.23</v>
      </c>
      <c r="O1208" s="10">
        <f t="shared" si="56"/>
        <v>1491.23</v>
      </c>
      <c r="P1208" s="4">
        <v>202</v>
      </c>
      <c r="Q1208" s="4" t="b">
        <v>1</v>
      </c>
      <c r="R1208" s="4"/>
      <c r="S1208" s="14" t="s">
        <v>34</v>
      </c>
    </row>
    <row r="1209" spans="1:19">
      <c r="A1209" s="6" t="s">
        <v>2505</v>
      </c>
      <c r="B1209" s="7" t="s">
        <v>2506</v>
      </c>
      <c r="C1209" s="8" t="s">
        <v>4128</v>
      </c>
      <c r="D1209" s="8">
        <v>44946</v>
      </c>
      <c r="E1209" s="7">
        <v>1</v>
      </c>
      <c r="F1209" s="7">
        <v>20</v>
      </c>
      <c r="G1209" s="7">
        <v>2023</v>
      </c>
      <c r="H1209" s="8">
        <f t="shared" si="54"/>
        <v>44946</v>
      </c>
      <c r="I1209" s="11">
        <v>44969</v>
      </c>
      <c r="J1209" s="7">
        <f t="shared" si="55"/>
        <v>23</v>
      </c>
      <c r="K1209" s="7" t="s">
        <v>33</v>
      </c>
      <c r="L1209" s="7">
        <v>69904</v>
      </c>
      <c r="M1209" s="7">
        <v>2468</v>
      </c>
      <c r="N1209" s="12">
        <v>3416.9</v>
      </c>
      <c r="O1209" s="12">
        <f t="shared" si="56"/>
        <v>3416.9</v>
      </c>
      <c r="P1209" s="7">
        <v>444</v>
      </c>
      <c r="Q1209" s="7" t="b">
        <v>1</v>
      </c>
      <c r="R1209" s="7"/>
      <c r="S1209" s="15" t="s">
        <v>34</v>
      </c>
    </row>
    <row r="1210" spans="1:19">
      <c r="A1210" s="3" t="s">
        <v>2507</v>
      </c>
      <c r="B1210" s="4" t="s">
        <v>2508</v>
      </c>
      <c r="C1210" s="5" t="s">
        <v>4127</v>
      </c>
      <c r="D1210" s="5">
        <v>45280</v>
      </c>
      <c r="E1210" s="4">
        <v>12</v>
      </c>
      <c r="F1210" s="4">
        <v>20</v>
      </c>
      <c r="G1210" s="4">
        <v>2023</v>
      </c>
      <c r="H1210" s="5">
        <f t="shared" si="54"/>
        <v>45280</v>
      </c>
      <c r="I1210" s="9">
        <v>45296</v>
      </c>
      <c r="J1210" s="4">
        <f t="shared" si="55"/>
        <v>16</v>
      </c>
      <c r="K1210" s="4" t="s">
        <v>41</v>
      </c>
      <c r="L1210" s="4">
        <v>4797</v>
      </c>
      <c r="M1210" s="4">
        <v>61</v>
      </c>
      <c r="N1210" s="10">
        <v>36.66</v>
      </c>
      <c r="O1210" s="10">
        <f t="shared" si="56"/>
        <v>36.66</v>
      </c>
      <c r="P1210" s="4">
        <v>7</v>
      </c>
      <c r="Q1210" s="4" t="b">
        <v>0</v>
      </c>
      <c r="R1210" s="4"/>
      <c r="S1210" s="14" t="s">
        <v>42</v>
      </c>
    </row>
    <row r="1211" spans="1:19">
      <c r="A1211" s="6" t="s">
        <v>2509</v>
      </c>
      <c r="B1211" s="7" t="s">
        <v>2510</v>
      </c>
      <c r="C1211" s="8" t="s">
        <v>4129</v>
      </c>
      <c r="D1211" s="8">
        <v>45064</v>
      </c>
      <c r="E1211" s="7">
        <v>5</v>
      </c>
      <c r="F1211" s="7">
        <v>18</v>
      </c>
      <c r="G1211" s="7">
        <v>2023</v>
      </c>
      <c r="H1211" s="8">
        <f t="shared" si="54"/>
        <v>45064</v>
      </c>
      <c r="I1211" s="11">
        <v>45075</v>
      </c>
      <c r="J1211" s="7">
        <f t="shared" si="55"/>
        <v>11</v>
      </c>
      <c r="K1211" s="7" t="s">
        <v>14</v>
      </c>
      <c r="L1211" s="7">
        <v>48882</v>
      </c>
      <c r="M1211" s="7">
        <v>499</v>
      </c>
      <c r="N1211" s="12">
        <v>871.91</v>
      </c>
      <c r="O1211" s="12">
        <f t="shared" si="56"/>
        <v>871.91</v>
      </c>
      <c r="P1211" s="7">
        <v>29</v>
      </c>
      <c r="Q1211" s="7" t="b">
        <v>0</v>
      </c>
      <c r="R1211" s="7"/>
      <c r="S1211" s="15" t="s">
        <v>16</v>
      </c>
    </row>
    <row r="1212" spans="1:19">
      <c r="A1212" s="3" t="s">
        <v>2511</v>
      </c>
      <c r="B1212" s="4" t="s">
        <v>2512</v>
      </c>
      <c r="C1212" s="5" t="s">
        <v>4127</v>
      </c>
      <c r="D1212" s="5">
        <v>45082</v>
      </c>
      <c r="E1212" s="4">
        <v>6</v>
      </c>
      <c r="F1212" s="4">
        <v>5</v>
      </c>
      <c r="G1212" s="4">
        <v>2023</v>
      </c>
      <c r="H1212" s="5">
        <f t="shared" si="54"/>
        <v>45082</v>
      </c>
      <c r="I1212" s="9">
        <v>45100</v>
      </c>
      <c r="J1212" s="4">
        <f t="shared" si="55"/>
        <v>18</v>
      </c>
      <c r="K1212" s="4" t="s">
        <v>14</v>
      </c>
      <c r="L1212" s="4">
        <v>14718</v>
      </c>
      <c r="M1212" s="4">
        <v>698</v>
      </c>
      <c r="N1212" s="10">
        <v>534.66</v>
      </c>
      <c r="O1212" s="10">
        <f t="shared" si="56"/>
        <v>534.66</v>
      </c>
      <c r="P1212" s="4">
        <v>109</v>
      </c>
      <c r="Q1212" s="4" t="b">
        <v>0</v>
      </c>
      <c r="R1212" s="4"/>
      <c r="S1212" s="14" t="s">
        <v>16</v>
      </c>
    </row>
    <row r="1213" spans="1:19">
      <c r="A1213" s="6" t="s">
        <v>2513</v>
      </c>
      <c r="B1213" s="7" t="s">
        <v>2514</v>
      </c>
      <c r="C1213" s="8" t="s">
        <v>4129</v>
      </c>
      <c r="D1213" s="8">
        <v>45283</v>
      </c>
      <c r="E1213" s="7">
        <v>12</v>
      </c>
      <c r="F1213" s="7">
        <v>23</v>
      </c>
      <c r="G1213" s="7">
        <v>2023</v>
      </c>
      <c r="H1213" s="8">
        <f t="shared" si="54"/>
        <v>45283</v>
      </c>
      <c r="I1213" s="11">
        <v>45300</v>
      </c>
      <c r="J1213" s="7">
        <f t="shared" si="55"/>
        <v>17</v>
      </c>
      <c r="K1213" s="7" t="s">
        <v>41</v>
      </c>
      <c r="L1213" s="7">
        <v>35560</v>
      </c>
      <c r="M1213" s="7">
        <v>1524</v>
      </c>
      <c r="N1213" s="12">
        <v>2414.94</v>
      </c>
      <c r="O1213" s="12">
        <f t="shared" si="56"/>
        <v>2414.94</v>
      </c>
      <c r="P1213" s="7">
        <v>0</v>
      </c>
      <c r="Q1213" s="7" t="b">
        <v>1</v>
      </c>
      <c r="R1213" s="7"/>
      <c r="S1213" s="15" t="s">
        <v>42</v>
      </c>
    </row>
    <row r="1214" spans="1:19">
      <c r="A1214" s="3" t="s">
        <v>2515</v>
      </c>
      <c r="B1214" s="4" t="s">
        <v>2516</v>
      </c>
      <c r="C1214" s="5" t="s">
        <v>4128</v>
      </c>
      <c r="D1214" s="5">
        <v>45043</v>
      </c>
      <c r="E1214" s="4">
        <v>4</v>
      </c>
      <c r="F1214" s="4">
        <v>27</v>
      </c>
      <c r="G1214" s="4">
        <v>2023</v>
      </c>
      <c r="H1214" s="5">
        <f t="shared" si="54"/>
        <v>45043</v>
      </c>
      <c r="I1214" s="9">
        <v>45063</v>
      </c>
      <c r="J1214" s="4">
        <f t="shared" si="55"/>
        <v>20</v>
      </c>
      <c r="K1214" s="4" t="s">
        <v>23</v>
      </c>
      <c r="L1214" s="4">
        <v>77589</v>
      </c>
      <c r="M1214" s="4">
        <v>3287</v>
      </c>
      <c r="N1214" s="10">
        <v>5453.15</v>
      </c>
      <c r="O1214" s="10">
        <f t="shared" si="56"/>
        <v>3632.575</v>
      </c>
      <c r="P1214" s="4">
        <v>642</v>
      </c>
      <c r="Q1214" s="4" t="b">
        <v>1</v>
      </c>
      <c r="R1214" s="4"/>
      <c r="S1214" s="14" t="s">
        <v>25</v>
      </c>
    </row>
    <row r="1215" spans="1:19">
      <c r="A1215" s="6" t="s">
        <v>2517</v>
      </c>
      <c r="B1215" s="7" t="s">
        <v>2518</v>
      </c>
      <c r="C1215" s="8" t="s">
        <v>4131</v>
      </c>
      <c r="D1215" s="8">
        <v>45153</v>
      </c>
      <c r="E1215" s="7">
        <v>8</v>
      </c>
      <c r="F1215" s="7">
        <v>15</v>
      </c>
      <c r="G1215" s="7">
        <v>2023</v>
      </c>
      <c r="H1215" s="8">
        <f t="shared" si="54"/>
        <v>45153</v>
      </c>
      <c r="I1215" s="11">
        <v>45174</v>
      </c>
      <c r="J1215" s="7">
        <f t="shared" si="55"/>
        <v>21</v>
      </c>
      <c r="K1215" s="7" t="s">
        <v>138</v>
      </c>
      <c r="L1215" s="7">
        <v>23116</v>
      </c>
      <c r="M1215" s="7">
        <v>1048</v>
      </c>
      <c r="N1215" s="12">
        <v>1647.82</v>
      </c>
      <c r="O1215" s="12">
        <f t="shared" si="56"/>
        <v>1647.82</v>
      </c>
      <c r="P1215" s="7">
        <v>140</v>
      </c>
      <c r="Q1215" s="7" t="b">
        <v>0</v>
      </c>
      <c r="R1215" s="7"/>
      <c r="S1215" s="15" t="s">
        <v>139</v>
      </c>
    </row>
    <row r="1216" spans="1:19">
      <c r="A1216" s="3" t="s">
        <v>2519</v>
      </c>
      <c r="B1216" s="4" t="s">
        <v>2520</v>
      </c>
      <c r="C1216" s="5" t="s">
        <v>4128</v>
      </c>
      <c r="D1216" s="5">
        <v>45140</v>
      </c>
      <c r="E1216" s="4">
        <v>8</v>
      </c>
      <c r="F1216" s="4">
        <v>2</v>
      </c>
      <c r="G1216" s="4">
        <v>2023</v>
      </c>
      <c r="H1216" s="5">
        <f t="shared" si="54"/>
        <v>45140</v>
      </c>
      <c r="I1216" s="9">
        <v>44968</v>
      </c>
      <c r="J1216" s="4">
        <f t="shared" si="55"/>
        <v>-172</v>
      </c>
      <c r="K1216" s="4" t="s">
        <v>41</v>
      </c>
      <c r="L1216" s="4">
        <v>37244</v>
      </c>
      <c r="M1216" s="4">
        <v>1415</v>
      </c>
      <c r="N1216" s="10">
        <v>1936.38</v>
      </c>
      <c r="O1216" s="10">
        <f t="shared" si="56"/>
        <v>1936.38</v>
      </c>
      <c r="P1216" s="4">
        <v>142</v>
      </c>
      <c r="Q1216" s="4" t="b">
        <v>1</v>
      </c>
      <c r="R1216" s="4"/>
      <c r="S1216" s="14" t="s">
        <v>42</v>
      </c>
    </row>
    <row r="1217" spans="1:19">
      <c r="A1217" s="6" t="s">
        <v>2521</v>
      </c>
      <c r="B1217" s="7" t="s">
        <v>2522</v>
      </c>
      <c r="C1217" s="8" t="s">
        <v>4131</v>
      </c>
      <c r="D1217" s="8">
        <v>45153</v>
      </c>
      <c r="E1217" s="7">
        <v>8</v>
      </c>
      <c r="F1217" s="7">
        <v>15</v>
      </c>
      <c r="G1217" s="7">
        <v>2023</v>
      </c>
      <c r="H1217" s="8">
        <f t="shared" si="54"/>
        <v>45153</v>
      </c>
      <c r="I1217" s="11">
        <v>45162</v>
      </c>
      <c r="J1217" s="7">
        <f t="shared" si="55"/>
        <v>9</v>
      </c>
      <c r="K1217" s="7" t="s">
        <v>14</v>
      </c>
      <c r="L1217" s="7">
        <v>2645</v>
      </c>
      <c r="M1217" s="7">
        <v>37</v>
      </c>
      <c r="N1217" s="12">
        <v>19.31</v>
      </c>
      <c r="O1217" s="12">
        <f t="shared" si="56"/>
        <v>19.31</v>
      </c>
      <c r="P1217" s="7">
        <v>0</v>
      </c>
      <c r="Q1217" s="7" t="b">
        <v>1</v>
      </c>
      <c r="R1217" s="7"/>
      <c r="S1217" s="15" t="s">
        <v>16</v>
      </c>
    </row>
    <row r="1218" spans="1:19">
      <c r="A1218" s="3" t="s">
        <v>2523</v>
      </c>
      <c r="B1218" s="4" t="s">
        <v>2524</v>
      </c>
      <c r="C1218" s="5" t="s">
        <v>4127</v>
      </c>
      <c r="D1218" s="5">
        <v>45175</v>
      </c>
      <c r="E1218" s="4">
        <v>9</v>
      </c>
      <c r="F1218" s="4">
        <v>6</v>
      </c>
      <c r="G1218" s="4">
        <v>2023</v>
      </c>
      <c r="H1218" s="5">
        <f t="shared" ref="H1218:H1281" si="57">IF(E1218&gt;12,DATE(G1218,F1218,E1218),D1218)</f>
        <v>45175</v>
      </c>
      <c r="I1218" s="9">
        <v>45196</v>
      </c>
      <c r="J1218" s="4">
        <f t="shared" ref="J1218:J1281" si="58">DATEDIF(H1218,I1218,"D")</f>
        <v>21</v>
      </c>
      <c r="K1218" s="4" t="s">
        <v>19</v>
      </c>
      <c r="L1218" s="4">
        <v>48523</v>
      </c>
      <c r="M1218" s="4">
        <v>1259</v>
      </c>
      <c r="N1218" s="10">
        <v>1310.07</v>
      </c>
      <c r="O1218" s="10">
        <f t="shared" si="56"/>
        <v>1310.07</v>
      </c>
      <c r="P1218" s="4">
        <v>247</v>
      </c>
      <c r="Q1218" s="4" t="b">
        <v>1</v>
      </c>
      <c r="R1218" s="4"/>
      <c r="S1218" s="14" t="s">
        <v>20</v>
      </c>
    </row>
    <row r="1219" spans="1:19">
      <c r="A1219" s="6" t="s">
        <v>2525</v>
      </c>
      <c r="B1219" s="7" t="s">
        <v>2526</v>
      </c>
      <c r="C1219" s="8" t="s">
        <v>4128</v>
      </c>
      <c r="D1219" s="8">
        <v>44955</v>
      </c>
      <c r="E1219" s="7">
        <v>1</v>
      </c>
      <c r="F1219" s="7">
        <v>29</v>
      </c>
      <c r="G1219" s="7">
        <v>2023</v>
      </c>
      <c r="H1219" s="8">
        <f t="shared" si="57"/>
        <v>44955</v>
      </c>
      <c r="I1219" s="11">
        <v>44964</v>
      </c>
      <c r="J1219" s="7">
        <f t="shared" si="58"/>
        <v>9</v>
      </c>
      <c r="K1219" s="7" t="s">
        <v>19</v>
      </c>
      <c r="L1219" s="7">
        <v>20256</v>
      </c>
      <c r="M1219" s="7">
        <v>788</v>
      </c>
      <c r="N1219" s="12">
        <v>1108.92</v>
      </c>
      <c r="O1219" s="12">
        <f t="shared" ref="O1219:O1282" si="59">IF(N1219&lt;$V$6,$V$6,IF(N1219&gt;$V$7,$V$7,N1219))</f>
        <v>1108.92</v>
      </c>
      <c r="P1219" s="7">
        <v>121</v>
      </c>
      <c r="Q1219" s="7" t="b">
        <v>1</v>
      </c>
      <c r="R1219" s="7"/>
      <c r="S1219" s="15" t="s">
        <v>20</v>
      </c>
    </row>
    <row r="1220" spans="1:19">
      <c r="A1220" s="3" t="s">
        <v>2527</v>
      </c>
      <c r="B1220" s="4" t="s">
        <v>2528</v>
      </c>
      <c r="C1220" s="5" t="s">
        <v>4128</v>
      </c>
      <c r="D1220" s="5">
        <v>45086</v>
      </c>
      <c r="E1220" s="4">
        <v>6</v>
      </c>
      <c r="F1220" s="4">
        <v>9</v>
      </c>
      <c r="G1220" s="4">
        <v>2023</v>
      </c>
      <c r="H1220" s="5">
        <f t="shared" si="57"/>
        <v>45086</v>
      </c>
      <c r="I1220" s="9">
        <v>45116</v>
      </c>
      <c r="J1220" s="4">
        <f t="shared" si="58"/>
        <v>30</v>
      </c>
      <c r="K1220" s="4" t="s">
        <v>33</v>
      </c>
      <c r="L1220" s="4">
        <v>54173</v>
      </c>
      <c r="M1220" s="4">
        <v>1149</v>
      </c>
      <c r="N1220" s="10">
        <v>1242.27</v>
      </c>
      <c r="O1220" s="10">
        <f t="shared" si="59"/>
        <v>1242.27</v>
      </c>
      <c r="P1220" s="4">
        <v>173</v>
      </c>
      <c r="Q1220" s="4" t="b">
        <v>0</v>
      </c>
      <c r="R1220" s="4"/>
      <c r="S1220" s="14" t="s">
        <v>34</v>
      </c>
    </row>
    <row r="1221" spans="1:19">
      <c r="A1221" s="6" t="s">
        <v>2529</v>
      </c>
      <c r="B1221" s="7" t="s">
        <v>2530</v>
      </c>
      <c r="C1221" s="8" t="s">
        <v>4128</v>
      </c>
      <c r="D1221" s="8">
        <v>45195</v>
      </c>
      <c r="E1221" s="7">
        <v>9</v>
      </c>
      <c r="F1221" s="7">
        <v>26</v>
      </c>
      <c r="G1221" s="7">
        <v>2023</v>
      </c>
      <c r="H1221" s="8">
        <f t="shared" si="57"/>
        <v>45195</v>
      </c>
      <c r="I1221" s="11">
        <v>45204</v>
      </c>
      <c r="J1221" s="7">
        <f t="shared" si="58"/>
        <v>9</v>
      </c>
      <c r="K1221" s="7" t="s">
        <v>33</v>
      </c>
      <c r="L1221" s="7">
        <v>38430</v>
      </c>
      <c r="M1221" s="7">
        <v>1440</v>
      </c>
      <c r="N1221" s="12">
        <v>2585.12</v>
      </c>
      <c r="O1221" s="12">
        <f t="shared" si="59"/>
        <v>2585.12</v>
      </c>
      <c r="P1221" s="7">
        <v>123</v>
      </c>
      <c r="Q1221" s="7" t="b">
        <v>0</v>
      </c>
      <c r="R1221" s="7"/>
      <c r="S1221" s="15" t="s">
        <v>34</v>
      </c>
    </row>
    <row r="1222" spans="1:19">
      <c r="A1222" s="3" t="s">
        <v>2531</v>
      </c>
      <c r="B1222" s="4" t="s">
        <v>2532</v>
      </c>
      <c r="C1222" s="5" t="s">
        <v>4128</v>
      </c>
      <c r="D1222" s="5">
        <v>45025</v>
      </c>
      <c r="E1222" s="4">
        <v>4</v>
      </c>
      <c r="F1222" s="4">
        <v>9</v>
      </c>
      <c r="G1222" s="4">
        <v>2023</v>
      </c>
      <c r="H1222" s="5">
        <f t="shared" si="57"/>
        <v>45025</v>
      </c>
      <c r="I1222" s="9">
        <v>45053</v>
      </c>
      <c r="J1222" s="4">
        <f t="shared" si="58"/>
        <v>28</v>
      </c>
      <c r="K1222" s="4" t="s">
        <v>138</v>
      </c>
      <c r="L1222" s="4">
        <v>40282</v>
      </c>
      <c r="M1222" s="4">
        <v>442</v>
      </c>
      <c r="N1222" s="10">
        <v>425.74</v>
      </c>
      <c r="O1222" s="10">
        <f t="shared" si="59"/>
        <v>425.74</v>
      </c>
      <c r="P1222" s="4">
        <v>71</v>
      </c>
      <c r="Q1222" s="4" t="b">
        <v>1</v>
      </c>
      <c r="R1222" s="4"/>
      <c r="S1222" s="14" t="s">
        <v>139</v>
      </c>
    </row>
    <row r="1223" spans="1:19">
      <c r="A1223" s="6" t="s">
        <v>2533</v>
      </c>
      <c r="B1223" s="7" t="s">
        <v>2534</v>
      </c>
      <c r="C1223" s="8" t="s">
        <v>4129</v>
      </c>
      <c r="D1223" s="8">
        <v>44956</v>
      </c>
      <c r="E1223" s="7">
        <v>1</v>
      </c>
      <c r="F1223" s="7">
        <v>30</v>
      </c>
      <c r="G1223" s="7">
        <v>2023</v>
      </c>
      <c r="H1223" s="8">
        <f t="shared" si="57"/>
        <v>44956</v>
      </c>
      <c r="I1223" s="11">
        <v>44966</v>
      </c>
      <c r="J1223" s="7">
        <f t="shared" si="58"/>
        <v>10</v>
      </c>
      <c r="K1223" s="7" t="s">
        <v>14</v>
      </c>
      <c r="L1223" s="7">
        <v>64374</v>
      </c>
      <c r="M1223" s="7">
        <v>1432</v>
      </c>
      <c r="N1223" s="12">
        <v>1346.51</v>
      </c>
      <c r="O1223" s="12">
        <f t="shared" si="59"/>
        <v>1346.51</v>
      </c>
      <c r="P1223" s="7">
        <v>232</v>
      </c>
      <c r="Q1223" s="7" t="b">
        <v>1</v>
      </c>
      <c r="R1223" s="7"/>
      <c r="S1223" s="15" t="s">
        <v>16</v>
      </c>
    </row>
    <row r="1224" spans="1:19">
      <c r="A1224" s="3" t="s">
        <v>2535</v>
      </c>
      <c r="B1224" s="4" t="s">
        <v>2536</v>
      </c>
      <c r="C1224" s="5" t="s">
        <v>4131</v>
      </c>
      <c r="D1224" s="5">
        <v>45111</v>
      </c>
      <c r="E1224" s="4">
        <v>7</v>
      </c>
      <c r="F1224" s="4">
        <v>4</v>
      </c>
      <c r="G1224" s="4">
        <v>2023</v>
      </c>
      <c r="H1224" s="5">
        <f t="shared" si="57"/>
        <v>45111</v>
      </c>
      <c r="I1224" s="9">
        <v>45131</v>
      </c>
      <c r="J1224" s="4">
        <f t="shared" si="58"/>
        <v>20</v>
      </c>
      <c r="K1224" s="4" t="s">
        <v>33</v>
      </c>
      <c r="L1224" s="4">
        <v>69244</v>
      </c>
      <c r="M1224" s="4">
        <v>2213</v>
      </c>
      <c r="N1224" s="10">
        <v>1989.48</v>
      </c>
      <c r="O1224" s="10">
        <f t="shared" si="59"/>
        <v>1989.48</v>
      </c>
      <c r="P1224" s="4">
        <v>215</v>
      </c>
      <c r="Q1224" s="4" t="b">
        <v>1</v>
      </c>
      <c r="R1224" s="4"/>
      <c r="S1224" s="14" t="s">
        <v>34</v>
      </c>
    </row>
    <row r="1225" spans="1:19">
      <c r="A1225" s="6" t="s">
        <v>2537</v>
      </c>
      <c r="B1225" s="7" t="s">
        <v>2538</v>
      </c>
      <c r="C1225" s="8" t="s">
        <v>4131</v>
      </c>
      <c r="D1225" s="8">
        <v>45164</v>
      </c>
      <c r="E1225" s="7">
        <v>8</v>
      </c>
      <c r="F1225" s="7">
        <v>26</v>
      </c>
      <c r="G1225" s="7">
        <v>2023</v>
      </c>
      <c r="H1225" s="8">
        <f t="shared" si="57"/>
        <v>45164</v>
      </c>
      <c r="I1225" s="11">
        <v>45181</v>
      </c>
      <c r="J1225" s="7">
        <f t="shared" si="58"/>
        <v>17</v>
      </c>
      <c r="K1225" s="7" t="s">
        <v>19</v>
      </c>
      <c r="L1225" s="7">
        <v>12694</v>
      </c>
      <c r="M1225" s="7">
        <v>447</v>
      </c>
      <c r="N1225" s="12">
        <v>446.63</v>
      </c>
      <c r="O1225" s="12">
        <f t="shared" si="59"/>
        <v>446.63</v>
      </c>
      <c r="P1225" s="7">
        <v>54</v>
      </c>
      <c r="Q1225" s="7" t="b">
        <v>1</v>
      </c>
      <c r="R1225" s="7"/>
      <c r="S1225" s="15" t="s">
        <v>20</v>
      </c>
    </row>
    <row r="1226" spans="1:19">
      <c r="A1226" s="3" t="s">
        <v>2539</v>
      </c>
      <c r="B1226" s="4" t="s">
        <v>2540</v>
      </c>
      <c r="C1226" s="5" t="s">
        <v>4129</v>
      </c>
      <c r="D1226" s="5">
        <v>44990</v>
      </c>
      <c r="E1226" s="4">
        <v>3</v>
      </c>
      <c r="F1226" s="4">
        <v>5</v>
      </c>
      <c r="G1226" s="4">
        <v>2023</v>
      </c>
      <c r="H1226" s="5">
        <f t="shared" si="57"/>
        <v>44990</v>
      </c>
      <c r="I1226" s="9">
        <v>44998</v>
      </c>
      <c r="J1226" s="4">
        <f t="shared" si="58"/>
        <v>8</v>
      </c>
      <c r="K1226" s="4" t="s">
        <v>19</v>
      </c>
      <c r="L1226" s="4">
        <v>57264</v>
      </c>
      <c r="M1226" s="4">
        <v>1894</v>
      </c>
      <c r="N1226" s="10">
        <v>2530.59</v>
      </c>
      <c r="O1226" s="10">
        <f t="shared" si="59"/>
        <v>2530.59</v>
      </c>
      <c r="P1226" s="4">
        <v>178</v>
      </c>
      <c r="Q1226" s="4" t="b">
        <v>0</v>
      </c>
      <c r="R1226" s="4"/>
      <c r="S1226" s="14" t="s">
        <v>20</v>
      </c>
    </row>
    <row r="1227" spans="1:19">
      <c r="A1227" s="6" t="s">
        <v>2541</v>
      </c>
      <c r="B1227" s="7" t="s">
        <v>2542</v>
      </c>
      <c r="C1227" s="8" t="s">
        <v>4128</v>
      </c>
      <c r="D1227" s="8">
        <v>45177</v>
      </c>
      <c r="E1227" s="7">
        <v>9</v>
      </c>
      <c r="F1227" s="7">
        <v>8</v>
      </c>
      <c r="G1227" s="7">
        <v>2023</v>
      </c>
      <c r="H1227" s="8">
        <f t="shared" si="57"/>
        <v>45177</v>
      </c>
      <c r="I1227" s="11">
        <v>45188</v>
      </c>
      <c r="J1227" s="7">
        <f t="shared" si="58"/>
        <v>11</v>
      </c>
      <c r="K1227" s="7" t="s">
        <v>23</v>
      </c>
      <c r="L1227" s="7">
        <v>76060</v>
      </c>
      <c r="M1227" s="7">
        <v>2883</v>
      </c>
      <c r="N1227" s="12">
        <v>4498.99</v>
      </c>
      <c r="O1227" s="12">
        <f t="shared" si="59"/>
        <v>3632.575</v>
      </c>
      <c r="P1227" s="7">
        <v>256</v>
      </c>
      <c r="Q1227" s="7" t="b">
        <v>0</v>
      </c>
      <c r="R1227" s="7">
        <v>76115</v>
      </c>
      <c r="S1227" s="15" t="s">
        <v>25</v>
      </c>
    </row>
    <row r="1228" spans="1:19">
      <c r="A1228" s="3" t="s">
        <v>2543</v>
      </c>
      <c r="B1228" s="4" t="s">
        <v>2544</v>
      </c>
      <c r="C1228" s="5" t="s">
        <v>4128</v>
      </c>
      <c r="D1228" s="5">
        <v>45169</v>
      </c>
      <c r="E1228" s="4">
        <v>8</v>
      </c>
      <c r="F1228" s="4">
        <v>31</v>
      </c>
      <c r="G1228" s="4">
        <v>2023</v>
      </c>
      <c r="H1228" s="5">
        <f t="shared" si="57"/>
        <v>45169</v>
      </c>
      <c r="I1228" s="9">
        <v>45199</v>
      </c>
      <c r="J1228" s="4">
        <f t="shared" si="58"/>
        <v>30</v>
      </c>
      <c r="K1228" s="4" t="s">
        <v>41</v>
      </c>
      <c r="L1228" s="4">
        <v>98416</v>
      </c>
      <c r="M1228" s="4">
        <v>1008</v>
      </c>
      <c r="N1228" s="10">
        <v>1505.8</v>
      </c>
      <c r="O1228" s="10">
        <f t="shared" si="59"/>
        <v>1505.8</v>
      </c>
      <c r="P1228" s="4">
        <v>0</v>
      </c>
      <c r="Q1228" s="4" t="b">
        <v>1</v>
      </c>
      <c r="R1228" s="4"/>
      <c r="S1228" s="14" t="s">
        <v>42</v>
      </c>
    </row>
    <row r="1229" spans="1:19">
      <c r="A1229" s="6" t="s">
        <v>2545</v>
      </c>
      <c r="B1229" s="7" t="s">
        <v>2546</v>
      </c>
      <c r="C1229" s="8" t="s">
        <v>4129</v>
      </c>
      <c r="D1229" s="8">
        <v>45010</v>
      </c>
      <c r="E1229" s="7">
        <v>3</v>
      </c>
      <c r="F1229" s="7">
        <v>25</v>
      </c>
      <c r="G1229" s="7">
        <v>2023</v>
      </c>
      <c r="H1229" s="8">
        <f t="shared" si="57"/>
        <v>45010</v>
      </c>
      <c r="I1229" s="11">
        <v>45039</v>
      </c>
      <c r="J1229" s="7">
        <f t="shared" si="58"/>
        <v>29</v>
      </c>
      <c r="K1229" s="7" t="s">
        <v>23</v>
      </c>
      <c r="L1229" s="7">
        <v>58545</v>
      </c>
      <c r="M1229" s="7">
        <v>821</v>
      </c>
      <c r="N1229" s="12">
        <v>1405.2</v>
      </c>
      <c r="O1229" s="12">
        <f t="shared" si="59"/>
        <v>1405.2</v>
      </c>
      <c r="P1229" s="7">
        <v>76</v>
      </c>
      <c r="Q1229" s="7" t="b">
        <v>1</v>
      </c>
      <c r="R1229" s="7"/>
      <c r="S1229" s="15" t="s">
        <v>25</v>
      </c>
    </row>
    <row r="1230" spans="1:19">
      <c r="A1230" s="3" t="s">
        <v>2547</v>
      </c>
      <c r="B1230" s="4" t="s">
        <v>2548</v>
      </c>
      <c r="C1230" s="5" t="s">
        <v>4129</v>
      </c>
      <c r="D1230" s="5" t="s">
        <v>1320</v>
      </c>
      <c r="E1230" s="4">
        <v>19</v>
      </c>
      <c r="F1230" s="4">
        <v>12</v>
      </c>
      <c r="G1230" s="4">
        <v>2023</v>
      </c>
      <c r="H1230" s="5">
        <f t="shared" si="57"/>
        <v>45279</v>
      </c>
      <c r="I1230" s="9">
        <v>45290</v>
      </c>
      <c r="J1230" s="4">
        <f t="shared" si="58"/>
        <v>11</v>
      </c>
      <c r="K1230" s="4" t="s">
        <v>191</v>
      </c>
      <c r="L1230" s="4">
        <v>40224</v>
      </c>
      <c r="M1230" s="4">
        <v>1800</v>
      </c>
      <c r="N1230" s="10">
        <v>3291.97</v>
      </c>
      <c r="O1230" s="10">
        <f t="shared" si="59"/>
        <v>3291.97</v>
      </c>
      <c r="P1230" s="4">
        <v>239</v>
      </c>
      <c r="Q1230" s="4" t="b">
        <v>0</v>
      </c>
      <c r="R1230" s="4"/>
      <c r="S1230" s="14" t="s">
        <v>42</v>
      </c>
    </row>
    <row r="1231" spans="1:19">
      <c r="A1231" s="6" t="s">
        <v>2549</v>
      </c>
      <c r="B1231" s="7" t="s">
        <v>2550</v>
      </c>
      <c r="C1231" s="8" t="s">
        <v>4127</v>
      </c>
      <c r="D1231" s="8">
        <v>44941</v>
      </c>
      <c r="E1231" s="7">
        <v>1</v>
      </c>
      <c r="F1231" s="7">
        <v>15</v>
      </c>
      <c r="G1231" s="7">
        <v>2023</v>
      </c>
      <c r="H1231" s="8">
        <f t="shared" si="57"/>
        <v>44941</v>
      </c>
      <c r="I1231" s="11">
        <v>44971</v>
      </c>
      <c r="J1231" s="7">
        <f t="shared" si="58"/>
        <v>30</v>
      </c>
      <c r="K1231" s="7" t="s">
        <v>19</v>
      </c>
      <c r="L1231" s="7">
        <v>98945</v>
      </c>
      <c r="M1231" s="7">
        <v>3687</v>
      </c>
      <c r="N1231" s="12">
        <v>6356.83</v>
      </c>
      <c r="O1231" s="12">
        <f t="shared" si="59"/>
        <v>3632.575</v>
      </c>
      <c r="P1231" s="7">
        <v>185</v>
      </c>
      <c r="Q1231" s="7" t="b">
        <v>1</v>
      </c>
      <c r="R1231" s="7"/>
      <c r="S1231" s="15" t="s">
        <v>20</v>
      </c>
    </row>
    <row r="1232" spans="1:19">
      <c r="A1232" s="3" t="s">
        <v>2551</v>
      </c>
      <c r="B1232" s="4" t="s">
        <v>2552</v>
      </c>
      <c r="C1232" s="5" t="s">
        <v>4127</v>
      </c>
      <c r="D1232" s="5">
        <v>45219</v>
      </c>
      <c r="E1232" s="4">
        <v>10</v>
      </c>
      <c r="F1232" s="4">
        <v>20</v>
      </c>
      <c r="G1232" s="4">
        <v>2023</v>
      </c>
      <c r="H1232" s="5">
        <f t="shared" si="57"/>
        <v>45219</v>
      </c>
      <c r="I1232" s="9">
        <v>45227</v>
      </c>
      <c r="J1232" s="4">
        <f t="shared" si="58"/>
        <v>8</v>
      </c>
      <c r="K1232" s="4" t="s">
        <v>138</v>
      </c>
      <c r="L1232" s="4">
        <v>14224</v>
      </c>
      <c r="M1232" s="4">
        <v>206</v>
      </c>
      <c r="N1232" s="10">
        <v>108.85</v>
      </c>
      <c r="O1232" s="10">
        <f t="shared" si="59"/>
        <v>108.85</v>
      </c>
      <c r="P1232" s="4">
        <v>19</v>
      </c>
      <c r="Q1232" s="4" t="b">
        <v>0</v>
      </c>
      <c r="R1232" s="4"/>
      <c r="S1232" s="14" t="s">
        <v>139</v>
      </c>
    </row>
    <row r="1233" spans="1:19">
      <c r="A1233" s="6" t="s">
        <v>2553</v>
      </c>
      <c r="B1233" s="7" t="s">
        <v>2554</v>
      </c>
      <c r="C1233" s="8" t="s">
        <v>4129</v>
      </c>
      <c r="D1233" s="8">
        <v>45040</v>
      </c>
      <c r="E1233" s="7">
        <v>4</v>
      </c>
      <c r="F1233" s="7">
        <v>24</v>
      </c>
      <c r="G1233" s="7">
        <v>2023</v>
      </c>
      <c r="H1233" s="8">
        <f t="shared" si="57"/>
        <v>45040</v>
      </c>
      <c r="I1233" s="11">
        <v>45059</v>
      </c>
      <c r="J1233" s="7">
        <f t="shared" si="58"/>
        <v>19</v>
      </c>
      <c r="K1233" s="7" t="s">
        <v>41</v>
      </c>
      <c r="L1233" s="7">
        <v>41738</v>
      </c>
      <c r="M1233" s="7">
        <v>1823</v>
      </c>
      <c r="N1233" s="12">
        <v>2923.87</v>
      </c>
      <c r="O1233" s="12">
        <f t="shared" si="59"/>
        <v>2923.87</v>
      </c>
      <c r="P1233" s="7">
        <v>332</v>
      </c>
      <c r="Q1233" s="7" t="b">
        <v>1</v>
      </c>
      <c r="R1233" s="7"/>
      <c r="S1233" s="15" t="s">
        <v>68</v>
      </c>
    </row>
    <row r="1234" spans="1:19">
      <c r="A1234" s="3" t="s">
        <v>2555</v>
      </c>
      <c r="B1234" s="4" t="s">
        <v>2556</v>
      </c>
      <c r="C1234" s="5" t="s">
        <v>4128</v>
      </c>
      <c r="D1234" s="5">
        <v>45064</v>
      </c>
      <c r="E1234" s="4">
        <v>5</v>
      </c>
      <c r="F1234" s="4">
        <v>18</v>
      </c>
      <c r="G1234" s="4">
        <v>2023</v>
      </c>
      <c r="H1234" s="5">
        <f t="shared" si="57"/>
        <v>45064</v>
      </c>
      <c r="I1234" s="9">
        <v>45071</v>
      </c>
      <c r="J1234" s="4">
        <f t="shared" si="58"/>
        <v>7</v>
      </c>
      <c r="K1234" s="4" t="s">
        <v>41</v>
      </c>
      <c r="L1234" s="4">
        <v>26150</v>
      </c>
      <c r="M1234" s="4">
        <v>514</v>
      </c>
      <c r="N1234" s="10">
        <v>417.68</v>
      </c>
      <c r="O1234" s="10">
        <f t="shared" si="59"/>
        <v>417.68</v>
      </c>
      <c r="P1234" s="4">
        <v>71</v>
      </c>
      <c r="Q1234" s="4" t="b">
        <v>1</v>
      </c>
      <c r="R1234" s="4"/>
      <c r="S1234" s="14" t="s">
        <v>42</v>
      </c>
    </row>
    <row r="1235" spans="1:19">
      <c r="A1235" s="6" t="s">
        <v>2557</v>
      </c>
      <c r="B1235" s="7" t="s">
        <v>2558</v>
      </c>
      <c r="C1235" s="8" t="s">
        <v>4131</v>
      </c>
      <c r="D1235" s="8" t="s">
        <v>2559</v>
      </c>
      <c r="E1235" s="7">
        <v>16</v>
      </c>
      <c r="F1235" s="7">
        <v>12</v>
      </c>
      <c r="G1235" s="7">
        <v>2023</v>
      </c>
      <c r="H1235" s="8">
        <f t="shared" si="57"/>
        <v>45276</v>
      </c>
      <c r="I1235" s="11">
        <v>45288</v>
      </c>
      <c r="J1235" s="7">
        <f t="shared" si="58"/>
        <v>12</v>
      </c>
      <c r="K1235" s="7" t="s">
        <v>33</v>
      </c>
      <c r="L1235" s="7">
        <v>64731</v>
      </c>
      <c r="M1235" s="7">
        <v>1885</v>
      </c>
      <c r="N1235" s="12">
        <v>1318.35</v>
      </c>
      <c r="O1235" s="12">
        <f t="shared" si="59"/>
        <v>1318.35</v>
      </c>
      <c r="P1235" s="7">
        <v>266</v>
      </c>
      <c r="Q1235" s="7" t="b">
        <v>1</v>
      </c>
      <c r="R1235" s="7"/>
      <c r="S1235" s="15" t="s">
        <v>34</v>
      </c>
    </row>
    <row r="1236" spans="1:19">
      <c r="A1236" s="3" t="s">
        <v>2560</v>
      </c>
      <c r="B1236" s="4" t="s">
        <v>2561</v>
      </c>
      <c r="C1236" s="5" t="s">
        <v>4128</v>
      </c>
      <c r="D1236" s="5">
        <v>44994</v>
      </c>
      <c r="E1236" s="4">
        <v>3</v>
      </c>
      <c r="F1236" s="4">
        <v>9</v>
      </c>
      <c r="G1236" s="4">
        <v>2023</v>
      </c>
      <c r="H1236" s="5">
        <f t="shared" si="57"/>
        <v>44994</v>
      </c>
      <c r="I1236" s="9">
        <v>45004</v>
      </c>
      <c r="J1236" s="4">
        <f t="shared" si="58"/>
        <v>10</v>
      </c>
      <c r="K1236" s="4" t="s">
        <v>19</v>
      </c>
      <c r="L1236" s="4">
        <v>50688</v>
      </c>
      <c r="M1236" s="4">
        <v>801</v>
      </c>
      <c r="N1236" s="10">
        <v>1167.64</v>
      </c>
      <c r="O1236" s="10">
        <f t="shared" si="59"/>
        <v>1167.64</v>
      </c>
      <c r="P1236" s="4">
        <v>88</v>
      </c>
      <c r="Q1236" s="4" t="b">
        <v>0</v>
      </c>
      <c r="R1236" s="4"/>
      <c r="S1236" s="14" t="s">
        <v>20</v>
      </c>
    </row>
    <row r="1237" spans="1:19">
      <c r="A1237" s="6" t="s">
        <v>2562</v>
      </c>
      <c r="B1237" s="7" t="s">
        <v>2563</v>
      </c>
      <c r="C1237" s="8" t="s">
        <v>4129</v>
      </c>
      <c r="D1237" s="8">
        <v>44931</v>
      </c>
      <c r="E1237" s="7">
        <v>1</v>
      </c>
      <c r="F1237" s="7">
        <v>5</v>
      </c>
      <c r="G1237" s="7">
        <v>2023</v>
      </c>
      <c r="H1237" s="8">
        <f t="shared" si="57"/>
        <v>44931</v>
      </c>
      <c r="I1237" s="11">
        <v>44938</v>
      </c>
      <c r="J1237" s="7">
        <f t="shared" si="58"/>
        <v>7</v>
      </c>
      <c r="K1237" s="7" t="s">
        <v>41</v>
      </c>
      <c r="L1237" s="7">
        <v>74509</v>
      </c>
      <c r="M1237" s="7">
        <v>2861</v>
      </c>
      <c r="N1237" s="12">
        <v>2802.68</v>
      </c>
      <c r="O1237" s="12">
        <f t="shared" si="59"/>
        <v>2802.68</v>
      </c>
      <c r="P1237" s="7">
        <v>433</v>
      </c>
      <c r="Q1237" s="7" t="b">
        <v>1</v>
      </c>
      <c r="R1237" s="7"/>
      <c r="S1237" s="15" t="s">
        <v>42</v>
      </c>
    </row>
    <row r="1238" spans="1:19">
      <c r="A1238" s="3" t="s">
        <v>2564</v>
      </c>
      <c r="B1238" s="4" t="s">
        <v>2565</v>
      </c>
      <c r="C1238" s="5" t="s">
        <v>4131</v>
      </c>
      <c r="D1238" s="5">
        <v>45083</v>
      </c>
      <c r="E1238" s="4">
        <v>6</v>
      </c>
      <c r="F1238" s="4">
        <v>6</v>
      </c>
      <c r="G1238" s="4">
        <v>2023</v>
      </c>
      <c r="H1238" s="5">
        <f t="shared" si="57"/>
        <v>45083</v>
      </c>
      <c r="I1238" s="9">
        <v>45110</v>
      </c>
      <c r="J1238" s="4">
        <f t="shared" si="58"/>
        <v>27</v>
      </c>
      <c r="K1238" s="4" t="s">
        <v>19</v>
      </c>
      <c r="L1238" s="4">
        <v>9577</v>
      </c>
      <c r="M1238" s="4">
        <v>351</v>
      </c>
      <c r="N1238" s="10">
        <v>205.57</v>
      </c>
      <c r="O1238" s="10">
        <f t="shared" si="59"/>
        <v>205.57</v>
      </c>
      <c r="P1238" s="4">
        <v>27</v>
      </c>
      <c r="Q1238" s="4" t="b">
        <v>0</v>
      </c>
      <c r="R1238" s="4"/>
      <c r="S1238" s="14" t="s">
        <v>20</v>
      </c>
    </row>
    <row r="1239" spans="1:19">
      <c r="A1239" s="6" t="s">
        <v>2566</v>
      </c>
      <c r="B1239" s="7" t="s">
        <v>2567</v>
      </c>
      <c r="C1239" s="8" t="s">
        <v>4129</v>
      </c>
      <c r="D1239" s="8">
        <v>45067</v>
      </c>
      <c r="E1239" s="7">
        <v>5</v>
      </c>
      <c r="F1239" s="7">
        <v>21</v>
      </c>
      <c r="G1239" s="7">
        <v>2023</v>
      </c>
      <c r="H1239" s="8">
        <f t="shared" si="57"/>
        <v>45067</v>
      </c>
      <c r="I1239" s="11">
        <v>45078</v>
      </c>
      <c r="J1239" s="7">
        <f t="shared" si="58"/>
        <v>11</v>
      </c>
      <c r="K1239" s="7" t="s">
        <v>33</v>
      </c>
      <c r="L1239" s="7">
        <v>9070</v>
      </c>
      <c r="M1239" s="7">
        <v>167</v>
      </c>
      <c r="N1239" s="12">
        <v>117.98</v>
      </c>
      <c r="O1239" s="12">
        <f t="shared" si="59"/>
        <v>117.98</v>
      </c>
      <c r="P1239" s="7">
        <v>28</v>
      </c>
      <c r="Q1239" s="7" t="b">
        <v>1</v>
      </c>
      <c r="R1239" s="7"/>
      <c r="S1239" s="15" t="s">
        <v>34</v>
      </c>
    </row>
    <row r="1240" spans="1:19">
      <c r="A1240" s="3" t="s">
        <v>2568</v>
      </c>
      <c r="B1240" s="4" t="s">
        <v>2569</v>
      </c>
      <c r="C1240" s="5" t="s">
        <v>4129</v>
      </c>
      <c r="D1240" s="5">
        <v>45105</v>
      </c>
      <c r="E1240" s="4">
        <v>6</v>
      </c>
      <c r="F1240" s="4">
        <v>28</v>
      </c>
      <c r="G1240" s="4">
        <v>2023</v>
      </c>
      <c r="H1240" s="5">
        <f t="shared" si="57"/>
        <v>45105</v>
      </c>
      <c r="I1240" s="9">
        <v>45122</v>
      </c>
      <c r="J1240" s="4">
        <f t="shared" si="58"/>
        <v>17</v>
      </c>
      <c r="K1240" s="4" t="s">
        <v>19</v>
      </c>
      <c r="L1240" s="4">
        <v>9666</v>
      </c>
      <c r="M1240" s="4">
        <v>430</v>
      </c>
      <c r="N1240" s="10">
        <v>215.6</v>
      </c>
      <c r="O1240" s="10">
        <f t="shared" si="59"/>
        <v>215.6</v>
      </c>
      <c r="P1240" s="4">
        <v>29</v>
      </c>
      <c r="Q1240" s="4" t="b">
        <v>0</v>
      </c>
      <c r="R1240" s="4"/>
      <c r="S1240" s="14" t="s">
        <v>20</v>
      </c>
    </row>
    <row r="1241" spans="1:19">
      <c r="A1241" s="6" t="s">
        <v>2570</v>
      </c>
      <c r="B1241" s="7" t="s">
        <v>2571</v>
      </c>
      <c r="C1241" s="8" t="s">
        <v>4129</v>
      </c>
      <c r="D1241" s="8">
        <v>45081</v>
      </c>
      <c r="E1241" s="7">
        <v>6</v>
      </c>
      <c r="F1241" s="7">
        <v>4</v>
      </c>
      <c r="G1241" s="7">
        <v>2023</v>
      </c>
      <c r="H1241" s="8">
        <f t="shared" si="57"/>
        <v>45081</v>
      </c>
      <c r="I1241" s="11">
        <v>45103</v>
      </c>
      <c r="J1241" s="7">
        <f t="shared" si="58"/>
        <v>22</v>
      </c>
      <c r="K1241" s="7" t="s">
        <v>33</v>
      </c>
      <c r="L1241" s="7">
        <v>58761</v>
      </c>
      <c r="M1241" s="7">
        <v>1530</v>
      </c>
      <c r="N1241" s="12">
        <v>2837.9</v>
      </c>
      <c r="O1241" s="12">
        <f t="shared" si="59"/>
        <v>2837.9</v>
      </c>
      <c r="P1241" s="7">
        <v>227</v>
      </c>
      <c r="Q1241" s="7" t="b">
        <v>0</v>
      </c>
      <c r="R1241" s="7"/>
      <c r="S1241" s="15" t="s">
        <v>34</v>
      </c>
    </row>
    <row r="1242" spans="1:19">
      <c r="A1242" s="3" t="s">
        <v>2572</v>
      </c>
      <c r="B1242" s="4" t="s">
        <v>2573</v>
      </c>
      <c r="C1242" s="5" t="s">
        <v>4127</v>
      </c>
      <c r="D1242" s="5">
        <v>45130</v>
      </c>
      <c r="E1242" s="4">
        <v>7</v>
      </c>
      <c r="F1242" s="4">
        <v>23</v>
      </c>
      <c r="G1242" s="4">
        <v>2023</v>
      </c>
      <c r="H1242" s="5">
        <f t="shared" si="57"/>
        <v>45130</v>
      </c>
      <c r="I1242" s="9">
        <v>45144</v>
      </c>
      <c r="J1242" s="4">
        <f t="shared" si="58"/>
        <v>14</v>
      </c>
      <c r="K1242" s="4" t="s">
        <v>33</v>
      </c>
      <c r="L1242" s="4">
        <v>37368</v>
      </c>
      <c r="M1242" s="4">
        <v>810</v>
      </c>
      <c r="N1242" s="10">
        <v>434.91</v>
      </c>
      <c r="O1242" s="10">
        <f t="shared" si="59"/>
        <v>434.91</v>
      </c>
      <c r="P1242" s="4">
        <v>81</v>
      </c>
      <c r="Q1242" s="4" t="b">
        <v>0</v>
      </c>
      <c r="R1242" s="4"/>
      <c r="S1242" s="14" t="s">
        <v>34</v>
      </c>
    </row>
    <row r="1243" spans="1:19">
      <c r="A1243" s="6" t="s">
        <v>2574</v>
      </c>
      <c r="B1243" s="7" t="s">
        <v>2575</v>
      </c>
      <c r="C1243" s="8" t="s">
        <v>4129</v>
      </c>
      <c r="D1243" s="8">
        <v>45266</v>
      </c>
      <c r="E1243" s="7">
        <v>12</v>
      </c>
      <c r="F1243" s="7">
        <v>6</v>
      </c>
      <c r="G1243" s="7">
        <v>2023</v>
      </c>
      <c r="H1243" s="8">
        <f t="shared" si="57"/>
        <v>45266</v>
      </c>
      <c r="I1243" s="11">
        <v>45275</v>
      </c>
      <c r="J1243" s="7">
        <f t="shared" si="58"/>
        <v>9</v>
      </c>
      <c r="K1243" s="7" t="s">
        <v>41</v>
      </c>
      <c r="L1243" s="7">
        <v>7783</v>
      </c>
      <c r="M1243" s="7">
        <v>125</v>
      </c>
      <c r="N1243" s="12">
        <v>101.77</v>
      </c>
      <c r="O1243" s="12">
        <f t="shared" si="59"/>
        <v>101.77</v>
      </c>
      <c r="P1243" s="7">
        <v>20</v>
      </c>
      <c r="Q1243" s="7" t="b">
        <v>0</v>
      </c>
      <c r="R1243" s="7"/>
      <c r="S1243" s="15" t="s">
        <v>42</v>
      </c>
    </row>
    <row r="1244" spans="1:19">
      <c r="A1244" s="3" t="s">
        <v>2576</v>
      </c>
      <c r="B1244" s="4" t="s">
        <v>2577</v>
      </c>
      <c r="C1244" s="5" t="s">
        <v>4128</v>
      </c>
      <c r="D1244" s="5">
        <v>45214</v>
      </c>
      <c r="E1244" s="4">
        <v>10</v>
      </c>
      <c r="F1244" s="4">
        <v>15</v>
      </c>
      <c r="G1244" s="4">
        <v>2023</v>
      </c>
      <c r="H1244" s="5">
        <f t="shared" si="57"/>
        <v>45214</v>
      </c>
      <c r="I1244" s="9">
        <v>45223</v>
      </c>
      <c r="J1244" s="4">
        <f t="shared" si="58"/>
        <v>9</v>
      </c>
      <c r="K1244" s="4" t="s">
        <v>23</v>
      </c>
      <c r="L1244" s="4">
        <v>42914</v>
      </c>
      <c r="M1244" s="4">
        <v>886</v>
      </c>
      <c r="N1244" s="10">
        <v>996.21</v>
      </c>
      <c r="O1244" s="10">
        <f t="shared" si="59"/>
        <v>996.21</v>
      </c>
      <c r="P1244" s="4">
        <v>117</v>
      </c>
      <c r="Q1244" s="4" t="b">
        <v>1</v>
      </c>
      <c r="R1244" s="4"/>
      <c r="S1244" s="14" t="s">
        <v>25</v>
      </c>
    </row>
    <row r="1245" spans="1:19">
      <c r="A1245" s="6" t="s">
        <v>2578</v>
      </c>
      <c r="B1245" s="7" t="s">
        <v>2579</v>
      </c>
      <c r="C1245" s="8" t="s">
        <v>4128</v>
      </c>
      <c r="D1245" s="8">
        <v>45079</v>
      </c>
      <c r="E1245" s="7">
        <v>6</v>
      </c>
      <c r="F1245" s="7">
        <v>2</v>
      </c>
      <c r="G1245" s="7">
        <v>2023</v>
      </c>
      <c r="H1245" s="8">
        <f t="shared" si="57"/>
        <v>45079</v>
      </c>
      <c r="I1245" s="11">
        <v>45099</v>
      </c>
      <c r="J1245" s="7">
        <f t="shared" si="58"/>
        <v>20</v>
      </c>
      <c r="K1245" s="7" t="s">
        <v>23</v>
      </c>
      <c r="L1245" s="7">
        <v>71507</v>
      </c>
      <c r="M1245" s="7">
        <v>778</v>
      </c>
      <c r="N1245" s="12">
        <v>805.12</v>
      </c>
      <c r="O1245" s="12">
        <f t="shared" si="59"/>
        <v>805.12</v>
      </c>
      <c r="P1245" s="7">
        <v>91</v>
      </c>
      <c r="Q1245" s="7" t="b">
        <v>1</v>
      </c>
      <c r="R1245" s="7"/>
      <c r="S1245" s="15" t="s">
        <v>68</v>
      </c>
    </row>
    <row r="1246" spans="1:19">
      <c r="A1246" s="3" t="s">
        <v>2580</v>
      </c>
      <c r="B1246" s="4" t="s">
        <v>2581</v>
      </c>
      <c r="C1246" s="5" t="s">
        <v>4129</v>
      </c>
      <c r="D1246" s="5">
        <v>45099</v>
      </c>
      <c r="E1246" s="4">
        <v>6</v>
      </c>
      <c r="F1246" s="4">
        <v>22</v>
      </c>
      <c r="G1246" s="4">
        <v>2023</v>
      </c>
      <c r="H1246" s="5">
        <f t="shared" si="57"/>
        <v>45099</v>
      </c>
      <c r="I1246" s="9">
        <v>45113</v>
      </c>
      <c r="J1246" s="4">
        <f t="shared" si="58"/>
        <v>14</v>
      </c>
      <c r="K1246" s="4" t="s">
        <v>19</v>
      </c>
      <c r="L1246" s="4">
        <v>80026</v>
      </c>
      <c r="M1246" s="4">
        <v>2667</v>
      </c>
      <c r="N1246" s="10">
        <v>4980.86</v>
      </c>
      <c r="O1246" s="10">
        <f t="shared" si="59"/>
        <v>3632.575</v>
      </c>
      <c r="P1246" s="4">
        <v>201</v>
      </c>
      <c r="Q1246" s="4" t="b">
        <v>0</v>
      </c>
      <c r="R1246" s="4"/>
      <c r="S1246" s="14" t="s">
        <v>20</v>
      </c>
    </row>
    <row r="1247" spans="1:19">
      <c r="A1247" s="6" t="s">
        <v>2582</v>
      </c>
      <c r="B1247" s="7" t="s">
        <v>2583</v>
      </c>
      <c r="C1247" s="8" t="s">
        <v>4127</v>
      </c>
      <c r="D1247" s="8">
        <v>45068</v>
      </c>
      <c r="E1247" s="7">
        <v>5</v>
      </c>
      <c r="F1247" s="7">
        <v>22</v>
      </c>
      <c r="G1247" s="7">
        <v>2023</v>
      </c>
      <c r="H1247" s="8">
        <f t="shared" si="57"/>
        <v>45068</v>
      </c>
      <c r="I1247" s="11">
        <v>45090</v>
      </c>
      <c r="J1247" s="7">
        <f t="shared" si="58"/>
        <v>22</v>
      </c>
      <c r="K1247" s="7" t="s">
        <v>33</v>
      </c>
      <c r="L1247" s="7">
        <v>68526</v>
      </c>
      <c r="M1247" s="7">
        <v>2993</v>
      </c>
      <c r="N1247" s="12">
        <v>1677.38</v>
      </c>
      <c r="O1247" s="12">
        <f t="shared" si="59"/>
        <v>1677.38</v>
      </c>
      <c r="P1247" s="7">
        <v>435</v>
      </c>
      <c r="Q1247" s="7" t="b">
        <v>1</v>
      </c>
      <c r="R1247" s="7"/>
      <c r="S1247" s="15" t="s">
        <v>34</v>
      </c>
    </row>
    <row r="1248" spans="1:19">
      <c r="A1248" s="3" t="s">
        <v>2584</v>
      </c>
      <c r="B1248" s="4" t="s">
        <v>2585</v>
      </c>
      <c r="C1248" s="5" t="s">
        <v>4129</v>
      </c>
      <c r="D1248" s="5">
        <v>45260</v>
      </c>
      <c r="E1248" s="4">
        <v>11</v>
      </c>
      <c r="F1248" s="4">
        <v>30</v>
      </c>
      <c r="G1248" s="4">
        <v>2023</v>
      </c>
      <c r="H1248" s="5">
        <f t="shared" si="57"/>
        <v>45260</v>
      </c>
      <c r="I1248" s="9">
        <v>45282</v>
      </c>
      <c r="J1248" s="4">
        <f t="shared" si="58"/>
        <v>22</v>
      </c>
      <c r="K1248" s="4" t="s">
        <v>33</v>
      </c>
      <c r="L1248" s="4">
        <v>71835</v>
      </c>
      <c r="M1248" s="4">
        <v>2295</v>
      </c>
      <c r="N1248" s="10">
        <v>2910.8</v>
      </c>
      <c r="O1248" s="10">
        <f t="shared" si="59"/>
        <v>2910.8</v>
      </c>
      <c r="P1248" s="4">
        <v>450</v>
      </c>
      <c r="Q1248" s="4" t="b">
        <v>1</v>
      </c>
      <c r="R1248" s="4"/>
      <c r="S1248" s="14" t="s">
        <v>34</v>
      </c>
    </row>
    <row r="1249" spans="1:19">
      <c r="A1249" s="6" t="s">
        <v>2586</v>
      </c>
      <c r="B1249" s="7" t="s">
        <v>2587</v>
      </c>
      <c r="C1249" s="8" t="s">
        <v>4128</v>
      </c>
      <c r="D1249" s="8">
        <v>45050</v>
      </c>
      <c r="E1249" s="7">
        <v>5</v>
      </c>
      <c r="F1249" s="7">
        <v>4</v>
      </c>
      <c r="G1249" s="7">
        <v>2023</v>
      </c>
      <c r="H1249" s="8">
        <f t="shared" si="57"/>
        <v>45050</v>
      </c>
      <c r="I1249" s="11">
        <v>45057</v>
      </c>
      <c r="J1249" s="7">
        <f t="shared" si="58"/>
        <v>7</v>
      </c>
      <c r="K1249" s="7" t="s">
        <v>41</v>
      </c>
      <c r="L1249" s="7">
        <v>46765</v>
      </c>
      <c r="M1249" s="7">
        <v>877</v>
      </c>
      <c r="N1249" s="12">
        <v>1333.67</v>
      </c>
      <c r="O1249" s="12">
        <f t="shared" si="59"/>
        <v>1333.67</v>
      </c>
      <c r="P1249" s="7">
        <v>152</v>
      </c>
      <c r="Q1249" s="7" t="b">
        <v>0</v>
      </c>
      <c r="R1249" s="7"/>
      <c r="S1249" s="15" t="s">
        <v>42</v>
      </c>
    </row>
    <row r="1250" spans="1:19">
      <c r="A1250" s="3" t="s">
        <v>2588</v>
      </c>
      <c r="B1250" s="4" t="s">
        <v>2589</v>
      </c>
      <c r="C1250" s="5" t="s">
        <v>4127</v>
      </c>
      <c r="D1250" s="5">
        <v>45234</v>
      </c>
      <c r="E1250" s="4">
        <v>11</v>
      </c>
      <c r="F1250" s="4">
        <v>4</v>
      </c>
      <c r="G1250" s="4">
        <v>2023</v>
      </c>
      <c r="H1250" s="5">
        <f t="shared" si="57"/>
        <v>45234</v>
      </c>
      <c r="I1250" s="9">
        <v>45259</v>
      </c>
      <c r="J1250" s="4">
        <f t="shared" si="58"/>
        <v>25</v>
      </c>
      <c r="K1250" s="4" t="s">
        <v>14</v>
      </c>
      <c r="L1250" s="4">
        <v>20956</v>
      </c>
      <c r="M1250" s="4">
        <v>237</v>
      </c>
      <c r="N1250" s="10">
        <v>449.72</v>
      </c>
      <c r="O1250" s="10">
        <f t="shared" si="59"/>
        <v>449.72</v>
      </c>
      <c r="P1250" s="4">
        <v>13</v>
      </c>
      <c r="Q1250" s="4" t="b">
        <v>0</v>
      </c>
      <c r="R1250" s="4"/>
      <c r="S1250" s="14" t="s">
        <v>16</v>
      </c>
    </row>
    <row r="1251" spans="1:19">
      <c r="A1251" s="6" t="s">
        <v>2590</v>
      </c>
      <c r="B1251" s="7" t="s">
        <v>2591</v>
      </c>
      <c r="C1251" s="8" t="s">
        <v>4128</v>
      </c>
      <c r="D1251" s="8">
        <v>44998</v>
      </c>
      <c r="E1251" s="7">
        <v>3</v>
      </c>
      <c r="F1251" s="7">
        <v>13</v>
      </c>
      <c r="G1251" s="7">
        <v>2023</v>
      </c>
      <c r="H1251" s="8">
        <f t="shared" si="57"/>
        <v>44998</v>
      </c>
      <c r="I1251" s="11">
        <v>45018</v>
      </c>
      <c r="J1251" s="7">
        <f t="shared" si="58"/>
        <v>20</v>
      </c>
      <c r="K1251" s="7" t="s">
        <v>33</v>
      </c>
      <c r="L1251" s="7">
        <v>88895</v>
      </c>
      <c r="M1251" s="7">
        <v>1652</v>
      </c>
      <c r="N1251" s="12">
        <v>2363.28</v>
      </c>
      <c r="O1251" s="12">
        <f t="shared" si="59"/>
        <v>2363.28</v>
      </c>
      <c r="P1251" s="7">
        <v>175</v>
      </c>
      <c r="Q1251" s="7" t="b">
        <v>0</v>
      </c>
      <c r="R1251" s="7"/>
      <c r="S1251" s="15" t="s">
        <v>34</v>
      </c>
    </row>
    <row r="1252" spans="1:19">
      <c r="A1252" s="3" t="s">
        <v>2592</v>
      </c>
      <c r="B1252" s="4" t="s">
        <v>2593</v>
      </c>
      <c r="C1252" s="5" t="s">
        <v>4128</v>
      </c>
      <c r="D1252" s="5">
        <v>45078</v>
      </c>
      <c r="E1252" s="4">
        <v>6</v>
      </c>
      <c r="F1252" s="4">
        <v>1</v>
      </c>
      <c r="G1252" s="4">
        <v>2023</v>
      </c>
      <c r="H1252" s="5">
        <f t="shared" si="57"/>
        <v>45078</v>
      </c>
      <c r="I1252" s="9">
        <v>45107</v>
      </c>
      <c r="J1252" s="4">
        <f t="shared" si="58"/>
        <v>29</v>
      </c>
      <c r="K1252" s="4" t="s">
        <v>23</v>
      </c>
      <c r="L1252" s="4">
        <v>47240</v>
      </c>
      <c r="M1252" s="4">
        <v>1258</v>
      </c>
      <c r="N1252" s="10">
        <v>2145.69</v>
      </c>
      <c r="O1252" s="10">
        <f t="shared" si="59"/>
        <v>2145.69</v>
      </c>
      <c r="P1252" s="4">
        <v>237</v>
      </c>
      <c r="Q1252" s="4" t="b">
        <v>0</v>
      </c>
      <c r="R1252" s="4"/>
      <c r="S1252" s="14" t="s">
        <v>25</v>
      </c>
    </row>
    <row r="1253" spans="1:19">
      <c r="A1253" s="6" t="s">
        <v>2594</v>
      </c>
      <c r="B1253" s="7" t="s">
        <v>2595</v>
      </c>
      <c r="C1253" s="8" t="s">
        <v>4128</v>
      </c>
      <c r="D1253" s="8">
        <v>45125</v>
      </c>
      <c r="E1253" s="7">
        <v>7</v>
      </c>
      <c r="F1253" s="7">
        <v>18</v>
      </c>
      <c r="G1253" s="7">
        <v>2023</v>
      </c>
      <c r="H1253" s="8">
        <f t="shared" si="57"/>
        <v>45125</v>
      </c>
      <c r="I1253" s="11">
        <v>45151</v>
      </c>
      <c r="J1253" s="7">
        <f t="shared" si="58"/>
        <v>26</v>
      </c>
      <c r="K1253" s="7" t="s">
        <v>23</v>
      </c>
      <c r="L1253" s="7">
        <v>38148</v>
      </c>
      <c r="M1253" s="7">
        <v>1540</v>
      </c>
      <c r="N1253" s="12">
        <v>963.4</v>
      </c>
      <c r="O1253" s="12">
        <f t="shared" si="59"/>
        <v>963.4</v>
      </c>
      <c r="P1253" s="7">
        <v>193</v>
      </c>
      <c r="Q1253" s="7" t="b">
        <v>1</v>
      </c>
      <c r="R1253" s="7"/>
      <c r="S1253" s="15" t="s">
        <v>25</v>
      </c>
    </row>
    <row r="1254" spans="1:19">
      <c r="A1254" s="3" t="s">
        <v>2596</v>
      </c>
      <c r="B1254" s="4" t="s">
        <v>2597</v>
      </c>
      <c r="C1254" s="5" t="s">
        <v>4127</v>
      </c>
      <c r="D1254" s="5">
        <v>45219</v>
      </c>
      <c r="E1254" s="4">
        <v>10</v>
      </c>
      <c r="F1254" s="4">
        <v>20</v>
      </c>
      <c r="G1254" s="4">
        <v>2023</v>
      </c>
      <c r="H1254" s="5">
        <f t="shared" si="57"/>
        <v>45219</v>
      </c>
      <c r="I1254" s="9">
        <v>45224</v>
      </c>
      <c r="J1254" s="4">
        <f t="shared" si="58"/>
        <v>5</v>
      </c>
      <c r="K1254" s="4" t="s">
        <v>33</v>
      </c>
      <c r="L1254" s="4">
        <v>95270</v>
      </c>
      <c r="M1254" s="4">
        <v>1668</v>
      </c>
      <c r="N1254" s="10">
        <v>1799.62</v>
      </c>
      <c r="O1254" s="10">
        <f t="shared" si="59"/>
        <v>1799.62</v>
      </c>
      <c r="P1254" s="4">
        <v>249</v>
      </c>
      <c r="Q1254" s="4" t="b">
        <v>1</v>
      </c>
      <c r="R1254" s="4"/>
      <c r="S1254" s="14" t="s">
        <v>34</v>
      </c>
    </row>
    <row r="1255" spans="1:19">
      <c r="A1255" s="6" t="s">
        <v>2598</v>
      </c>
      <c r="B1255" s="7" t="s">
        <v>2599</v>
      </c>
      <c r="C1255" s="8" t="s">
        <v>4128</v>
      </c>
      <c r="D1255" s="8">
        <v>45292</v>
      </c>
      <c r="E1255" s="7">
        <v>1</v>
      </c>
      <c r="F1255" s="7">
        <v>1</v>
      </c>
      <c r="G1255" s="7">
        <v>2024</v>
      </c>
      <c r="H1255" s="8">
        <f t="shared" si="57"/>
        <v>45292</v>
      </c>
      <c r="I1255" s="11">
        <v>45318</v>
      </c>
      <c r="J1255" s="7">
        <f t="shared" si="58"/>
        <v>26</v>
      </c>
      <c r="K1255" s="7" t="s">
        <v>19</v>
      </c>
      <c r="L1255" s="7">
        <v>5757</v>
      </c>
      <c r="M1255" s="7">
        <v>223</v>
      </c>
      <c r="N1255" s="12">
        <v>236.59</v>
      </c>
      <c r="O1255" s="12">
        <f t="shared" si="59"/>
        <v>236.59</v>
      </c>
      <c r="P1255" s="7">
        <v>41</v>
      </c>
      <c r="Q1255" s="7" t="b">
        <v>1</v>
      </c>
      <c r="R1255" s="7"/>
      <c r="S1255" s="15" t="s">
        <v>20</v>
      </c>
    </row>
    <row r="1256" spans="1:19">
      <c r="A1256" s="3" t="s">
        <v>2600</v>
      </c>
      <c r="B1256" s="4" t="s">
        <v>2601</v>
      </c>
      <c r="C1256" s="5" t="s">
        <v>4127</v>
      </c>
      <c r="D1256" s="5">
        <v>45170</v>
      </c>
      <c r="E1256" s="4">
        <v>9</v>
      </c>
      <c r="F1256" s="4">
        <v>1</v>
      </c>
      <c r="G1256" s="4">
        <v>2023</v>
      </c>
      <c r="H1256" s="5">
        <f t="shared" si="57"/>
        <v>45170</v>
      </c>
      <c r="I1256" s="9">
        <v>45195</v>
      </c>
      <c r="J1256" s="4">
        <f t="shared" si="58"/>
        <v>25</v>
      </c>
      <c r="K1256" s="4" t="s">
        <v>41</v>
      </c>
      <c r="L1256" s="4">
        <v>20097</v>
      </c>
      <c r="M1256" s="4">
        <v>897</v>
      </c>
      <c r="N1256" s="10">
        <v>1641</v>
      </c>
      <c r="O1256" s="10">
        <f t="shared" si="59"/>
        <v>1641</v>
      </c>
      <c r="P1256" s="4">
        <v>162</v>
      </c>
      <c r="Q1256" s="4" t="b">
        <v>0</v>
      </c>
      <c r="R1256" s="4"/>
      <c r="S1256" s="14" t="s">
        <v>42</v>
      </c>
    </row>
    <row r="1257" spans="1:19">
      <c r="A1257" s="6" t="s">
        <v>2602</v>
      </c>
      <c r="B1257" s="7" t="s">
        <v>2603</v>
      </c>
      <c r="C1257" s="8" t="s">
        <v>4128</v>
      </c>
      <c r="D1257" s="8">
        <v>45186</v>
      </c>
      <c r="E1257" s="7">
        <v>9</v>
      </c>
      <c r="F1257" s="7">
        <v>17</v>
      </c>
      <c r="G1257" s="7">
        <v>2023</v>
      </c>
      <c r="H1257" s="8">
        <f t="shared" si="57"/>
        <v>45186</v>
      </c>
      <c r="I1257" s="11">
        <v>45209</v>
      </c>
      <c r="J1257" s="7">
        <f t="shared" si="58"/>
        <v>23</v>
      </c>
      <c r="K1257" s="7" t="s">
        <v>23</v>
      </c>
      <c r="L1257" s="7">
        <v>11395</v>
      </c>
      <c r="M1257" s="7">
        <v>320</v>
      </c>
      <c r="N1257" s="12">
        <v>232.66</v>
      </c>
      <c r="O1257" s="12">
        <f t="shared" si="59"/>
        <v>232.66</v>
      </c>
      <c r="P1257" s="7">
        <v>40</v>
      </c>
      <c r="Q1257" s="7" t="b">
        <v>1</v>
      </c>
      <c r="R1257" s="7"/>
      <c r="S1257" s="15" t="s">
        <v>25</v>
      </c>
    </row>
    <row r="1258" spans="1:19">
      <c r="A1258" s="3" t="s">
        <v>2604</v>
      </c>
      <c r="B1258" s="4" t="s">
        <v>2605</v>
      </c>
      <c r="C1258" s="5" t="s">
        <v>4131</v>
      </c>
      <c r="D1258" s="5">
        <v>45263</v>
      </c>
      <c r="E1258" s="4">
        <v>12</v>
      </c>
      <c r="F1258" s="4">
        <v>3</v>
      </c>
      <c r="G1258" s="4">
        <v>2023</v>
      </c>
      <c r="H1258" s="5">
        <f t="shared" si="57"/>
        <v>45263</v>
      </c>
      <c r="I1258" s="9">
        <v>45273</v>
      </c>
      <c r="J1258" s="4">
        <f t="shared" si="58"/>
        <v>10</v>
      </c>
      <c r="K1258" s="4" t="s">
        <v>14</v>
      </c>
      <c r="L1258" s="4">
        <v>17241</v>
      </c>
      <c r="M1258" s="4">
        <v>738</v>
      </c>
      <c r="N1258" s="10">
        <v>537.14</v>
      </c>
      <c r="O1258" s="10">
        <f t="shared" si="59"/>
        <v>537.14</v>
      </c>
      <c r="P1258" s="4">
        <v>0</v>
      </c>
      <c r="Q1258" s="4" t="b">
        <v>0</v>
      </c>
      <c r="R1258" s="4"/>
      <c r="S1258" s="14" t="s">
        <v>16</v>
      </c>
    </row>
    <row r="1259" spans="1:19">
      <c r="A1259" s="6" t="s">
        <v>2606</v>
      </c>
      <c r="B1259" s="7" t="s">
        <v>2607</v>
      </c>
      <c r="C1259" s="8" t="s">
        <v>4128</v>
      </c>
      <c r="D1259" s="8">
        <v>44976</v>
      </c>
      <c r="E1259" s="7">
        <v>2</v>
      </c>
      <c r="F1259" s="7">
        <v>19</v>
      </c>
      <c r="G1259" s="7">
        <v>2023</v>
      </c>
      <c r="H1259" s="8">
        <f t="shared" si="57"/>
        <v>44976</v>
      </c>
      <c r="I1259" s="11">
        <v>44983</v>
      </c>
      <c r="J1259" s="7">
        <f t="shared" si="58"/>
        <v>7</v>
      </c>
      <c r="K1259" s="7" t="s">
        <v>19</v>
      </c>
      <c r="L1259" s="7">
        <v>28696</v>
      </c>
      <c r="M1259" s="7">
        <v>923</v>
      </c>
      <c r="N1259" s="12">
        <v>916.39</v>
      </c>
      <c r="O1259" s="12">
        <f t="shared" si="59"/>
        <v>916.39</v>
      </c>
      <c r="P1259" s="7">
        <v>93</v>
      </c>
      <c r="Q1259" s="7" t="b">
        <v>0</v>
      </c>
      <c r="R1259" s="7"/>
      <c r="S1259" s="15" t="s">
        <v>20</v>
      </c>
    </row>
    <row r="1260" spans="1:19">
      <c r="A1260" s="3" t="s">
        <v>2608</v>
      </c>
      <c r="B1260" s="4" t="s">
        <v>2609</v>
      </c>
      <c r="C1260" s="5" t="s">
        <v>4127</v>
      </c>
      <c r="D1260" s="5">
        <v>45213</v>
      </c>
      <c r="E1260" s="4">
        <v>10</v>
      </c>
      <c r="F1260" s="4">
        <v>14</v>
      </c>
      <c r="G1260" s="4">
        <v>2023</v>
      </c>
      <c r="H1260" s="5">
        <f t="shared" si="57"/>
        <v>45213</v>
      </c>
      <c r="I1260" s="9">
        <v>45235</v>
      </c>
      <c r="J1260" s="4">
        <f t="shared" si="58"/>
        <v>22</v>
      </c>
      <c r="K1260" s="4" t="s">
        <v>23</v>
      </c>
      <c r="L1260" s="4">
        <v>71480</v>
      </c>
      <c r="M1260" s="4">
        <v>2536</v>
      </c>
      <c r="N1260" s="10">
        <v>1475.19</v>
      </c>
      <c r="O1260" s="10">
        <f t="shared" si="59"/>
        <v>1475.19</v>
      </c>
      <c r="P1260" s="4">
        <v>400</v>
      </c>
      <c r="Q1260" s="4" t="b">
        <v>1</v>
      </c>
      <c r="R1260" s="4"/>
      <c r="S1260" s="14" t="s">
        <v>25</v>
      </c>
    </row>
    <row r="1261" spans="1:19">
      <c r="A1261" s="6" t="s">
        <v>2610</v>
      </c>
      <c r="B1261" s="7" t="s">
        <v>2611</v>
      </c>
      <c r="C1261" s="8" t="s">
        <v>4129</v>
      </c>
      <c r="D1261" s="8">
        <v>45275</v>
      </c>
      <c r="E1261" s="7">
        <v>12</v>
      </c>
      <c r="F1261" s="7">
        <v>15</v>
      </c>
      <c r="G1261" s="7">
        <v>2023</v>
      </c>
      <c r="H1261" s="8">
        <f t="shared" si="57"/>
        <v>45275</v>
      </c>
      <c r="I1261" s="11">
        <v>45297</v>
      </c>
      <c r="J1261" s="7">
        <f t="shared" si="58"/>
        <v>22</v>
      </c>
      <c r="K1261" s="7" t="s">
        <v>23</v>
      </c>
      <c r="L1261" s="7">
        <v>47163</v>
      </c>
      <c r="M1261" s="7">
        <v>1464</v>
      </c>
      <c r="N1261" s="12">
        <v>1132.68</v>
      </c>
      <c r="O1261" s="12">
        <f t="shared" si="59"/>
        <v>1132.68</v>
      </c>
      <c r="P1261" s="7">
        <v>136</v>
      </c>
      <c r="Q1261" s="7" t="b">
        <v>1</v>
      </c>
      <c r="R1261" s="7"/>
      <c r="S1261" s="15" t="s">
        <v>25</v>
      </c>
    </row>
    <row r="1262" spans="1:19">
      <c r="A1262" s="3" t="s">
        <v>2612</v>
      </c>
      <c r="B1262" s="4" t="s">
        <v>2613</v>
      </c>
      <c r="C1262" s="5" t="s">
        <v>4127</v>
      </c>
      <c r="D1262" s="5">
        <v>45040</v>
      </c>
      <c r="E1262" s="4">
        <v>4</v>
      </c>
      <c r="F1262" s="4">
        <v>24</v>
      </c>
      <c r="G1262" s="4">
        <v>2023</v>
      </c>
      <c r="H1262" s="5">
        <f t="shared" si="57"/>
        <v>45040</v>
      </c>
      <c r="I1262" s="9">
        <v>45052</v>
      </c>
      <c r="J1262" s="4">
        <f t="shared" si="58"/>
        <v>12</v>
      </c>
      <c r="K1262" s="4" t="s">
        <v>23</v>
      </c>
      <c r="L1262" s="4">
        <v>20816</v>
      </c>
      <c r="M1262" s="4">
        <v>593</v>
      </c>
      <c r="N1262" s="10">
        <v>1155.05</v>
      </c>
      <c r="O1262" s="10">
        <f t="shared" si="59"/>
        <v>1155.05</v>
      </c>
      <c r="P1262" s="4">
        <v>51</v>
      </c>
      <c r="Q1262" s="4" t="b">
        <v>1</v>
      </c>
      <c r="R1262" s="4"/>
      <c r="S1262" s="14" t="s">
        <v>25</v>
      </c>
    </row>
    <row r="1263" spans="1:19">
      <c r="A1263" s="6" t="s">
        <v>2614</v>
      </c>
      <c r="B1263" s="7" t="s">
        <v>2615</v>
      </c>
      <c r="C1263" s="8" t="s">
        <v>4131</v>
      </c>
      <c r="D1263" s="8">
        <v>45084</v>
      </c>
      <c r="E1263" s="7">
        <v>6</v>
      </c>
      <c r="F1263" s="7">
        <v>7</v>
      </c>
      <c r="G1263" s="7">
        <v>2023</v>
      </c>
      <c r="H1263" s="8">
        <f t="shared" si="57"/>
        <v>45084</v>
      </c>
      <c r="I1263" s="11">
        <v>45107</v>
      </c>
      <c r="J1263" s="7">
        <f t="shared" si="58"/>
        <v>23</v>
      </c>
      <c r="K1263" s="7" t="s">
        <v>23</v>
      </c>
      <c r="L1263" s="7">
        <v>50840</v>
      </c>
      <c r="M1263" s="7">
        <v>985</v>
      </c>
      <c r="N1263" s="12">
        <v>1125.14</v>
      </c>
      <c r="O1263" s="12">
        <f t="shared" si="59"/>
        <v>1125.14</v>
      </c>
      <c r="P1263" s="7">
        <v>101</v>
      </c>
      <c r="Q1263" s="7" t="b">
        <v>1</v>
      </c>
      <c r="R1263" s="7"/>
      <c r="S1263" s="15" t="s">
        <v>25</v>
      </c>
    </row>
    <row r="1264" spans="1:19">
      <c r="A1264" s="3" t="s">
        <v>2616</v>
      </c>
      <c r="B1264" s="4" t="s">
        <v>2617</v>
      </c>
      <c r="C1264" s="5" t="s">
        <v>4131</v>
      </c>
      <c r="D1264" s="5">
        <v>45117</v>
      </c>
      <c r="E1264" s="4">
        <v>7</v>
      </c>
      <c r="F1264" s="4">
        <v>10</v>
      </c>
      <c r="G1264" s="4">
        <v>2023</v>
      </c>
      <c r="H1264" s="5">
        <f t="shared" si="57"/>
        <v>45117</v>
      </c>
      <c r="I1264" s="9">
        <v>45135</v>
      </c>
      <c r="J1264" s="4">
        <f t="shared" si="58"/>
        <v>18</v>
      </c>
      <c r="K1264" s="4" t="s">
        <v>41</v>
      </c>
      <c r="L1264" s="4">
        <v>53853</v>
      </c>
      <c r="M1264" s="4">
        <v>1191</v>
      </c>
      <c r="N1264" s="10">
        <v>1724.6</v>
      </c>
      <c r="O1264" s="10">
        <f t="shared" si="59"/>
        <v>1724.6</v>
      </c>
      <c r="P1264" s="4">
        <v>91</v>
      </c>
      <c r="Q1264" s="4" t="b">
        <v>0</v>
      </c>
      <c r="R1264" s="4"/>
      <c r="S1264" s="14" t="s">
        <v>42</v>
      </c>
    </row>
    <row r="1265" spans="1:19">
      <c r="A1265" s="6" t="s">
        <v>2618</v>
      </c>
      <c r="B1265" s="7" t="s">
        <v>2619</v>
      </c>
      <c r="C1265" s="8" t="s">
        <v>4129</v>
      </c>
      <c r="D1265" s="8">
        <v>44987</v>
      </c>
      <c r="E1265" s="7">
        <v>3</v>
      </c>
      <c r="F1265" s="7">
        <v>2</v>
      </c>
      <c r="G1265" s="7">
        <v>2023</v>
      </c>
      <c r="H1265" s="8">
        <f t="shared" si="57"/>
        <v>44987</v>
      </c>
      <c r="I1265" s="11">
        <v>45005</v>
      </c>
      <c r="J1265" s="7">
        <f t="shared" si="58"/>
        <v>18</v>
      </c>
      <c r="K1265" s="7" t="s">
        <v>23</v>
      </c>
      <c r="L1265" s="7">
        <v>25917</v>
      </c>
      <c r="M1265" s="7">
        <v>559</v>
      </c>
      <c r="N1265" s="12">
        <v>888.34</v>
      </c>
      <c r="O1265" s="12">
        <f t="shared" si="59"/>
        <v>888.34</v>
      </c>
      <c r="P1265" s="7">
        <v>86</v>
      </c>
      <c r="Q1265" s="7" t="b">
        <v>1</v>
      </c>
      <c r="R1265" s="7"/>
      <c r="S1265" s="15" t="s">
        <v>25</v>
      </c>
    </row>
    <row r="1266" spans="1:19">
      <c r="A1266" s="3" t="s">
        <v>2620</v>
      </c>
      <c r="B1266" s="4" t="s">
        <v>2621</v>
      </c>
      <c r="C1266" s="5" t="s">
        <v>4129</v>
      </c>
      <c r="D1266" s="5">
        <v>45225</v>
      </c>
      <c r="E1266" s="4">
        <v>10</v>
      </c>
      <c r="F1266" s="4">
        <v>26</v>
      </c>
      <c r="G1266" s="4">
        <v>2023</v>
      </c>
      <c r="H1266" s="5">
        <f t="shared" si="57"/>
        <v>45225</v>
      </c>
      <c r="I1266" s="9">
        <v>45236</v>
      </c>
      <c r="J1266" s="4">
        <f t="shared" si="58"/>
        <v>11</v>
      </c>
      <c r="K1266" s="4" t="s">
        <v>14</v>
      </c>
      <c r="L1266" s="4">
        <v>97731</v>
      </c>
      <c r="M1266" s="4">
        <v>3179</v>
      </c>
      <c r="N1266" s="10">
        <v>3339.36</v>
      </c>
      <c r="O1266" s="10">
        <f t="shared" si="59"/>
        <v>3339.36</v>
      </c>
      <c r="P1266" s="4">
        <v>0</v>
      </c>
      <c r="Q1266" s="4" t="b">
        <v>1</v>
      </c>
      <c r="R1266" s="4"/>
      <c r="S1266" s="14" t="s">
        <v>16</v>
      </c>
    </row>
    <row r="1267" spans="1:19">
      <c r="A1267" s="6" t="s">
        <v>2622</v>
      </c>
      <c r="B1267" s="7" t="s">
        <v>2623</v>
      </c>
      <c r="C1267" s="8" t="s">
        <v>4127</v>
      </c>
      <c r="D1267" s="8">
        <v>45168</v>
      </c>
      <c r="E1267" s="7">
        <v>8</v>
      </c>
      <c r="F1267" s="7">
        <v>30</v>
      </c>
      <c r="G1267" s="7">
        <v>2023</v>
      </c>
      <c r="H1267" s="8">
        <f t="shared" si="57"/>
        <v>45168</v>
      </c>
      <c r="I1267" s="11">
        <v>45175</v>
      </c>
      <c r="J1267" s="7">
        <f t="shared" si="58"/>
        <v>7</v>
      </c>
      <c r="K1267" s="7" t="s">
        <v>23</v>
      </c>
      <c r="L1267" s="7">
        <v>22566</v>
      </c>
      <c r="M1267" s="7">
        <v>333</v>
      </c>
      <c r="N1267" s="12">
        <v>240.04</v>
      </c>
      <c r="O1267" s="12">
        <f t="shared" si="59"/>
        <v>240.04</v>
      </c>
      <c r="P1267" s="7">
        <v>40</v>
      </c>
      <c r="Q1267" s="7" t="b">
        <v>1</v>
      </c>
      <c r="R1267" s="7"/>
      <c r="S1267" s="15" t="s">
        <v>25</v>
      </c>
    </row>
    <row r="1268" spans="1:19">
      <c r="A1268" s="3" t="s">
        <v>2624</v>
      </c>
      <c r="B1268" s="4" t="s">
        <v>2625</v>
      </c>
      <c r="C1268" s="5" t="s">
        <v>4127</v>
      </c>
      <c r="D1268" s="5">
        <v>45275</v>
      </c>
      <c r="E1268" s="4">
        <v>12</v>
      </c>
      <c r="F1268" s="4">
        <v>15</v>
      </c>
      <c r="G1268" s="4">
        <v>2023</v>
      </c>
      <c r="H1268" s="5">
        <f t="shared" si="57"/>
        <v>45275</v>
      </c>
      <c r="I1268" s="9">
        <v>45301</v>
      </c>
      <c r="J1268" s="4">
        <f t="shared" si="58"/>
        <v>26</v>
      </c>
      <c r="K1268" s="4" t="s">
        <v>23</v>
      </c>
      <c r="L1268" s="4">
        <v>76452</v>
      </c>
      <c r="M1268" s="4">
        <v>3568</v>
      </c>
      <c r="N1268" s="10">
        <v>2889.62</v>
      </c>
      <c r="O1268" s="10">
        <f t="shared" si="59"/>
        <v>2889.62</v>
      </c>
      <c r="P1268" s="4">
        <v>387</v>
      </c>
      <c r="Q1268" s="4" t="b">
        <v>1</v>
      </c>
      <c r="R1268" s="4"/>
      <c r="S1268" s="14" t="s">
        <v>25</v>
      </c>
    </row>
    <row r="1269" spans="1:19">
      <c r="A1269" s="6" t="s">
        <v>2626</v>
      </c>
      <c r="B1269" s="7" t="s">
        <v>2627</v>
      </c>
      <c r="C1269" s="8" t="s">
        <v>4128</v>
      </c>
      <c r="D1269" s="8">
        <v>44954</v>
      </c>
      <c r="E1269" s="7">
        <v>1</v>
      </c>
      <c r="F1269" s="7">
        <v>28</v>
      </c>
      <c r="G1269" s="7">
        <v>2023</v>
      </c>
      <c r="H1269" s="8">
        <f t="shared" si="57"/>
        <v>44954</v>
      </c>
      <c r="I1269" s="11">
        <v>44969</v>
      </c>
      <c r="J1269" s="7">
        <f t="shared" si="58"/>
        <v>15</v>
      </c>
      <c r="K1269" s="7" t="s">
        <v>33</v>
      </c>
      <c r="L1269" s="7">
        <v>63823</v>
      </c>
      <c r="M1269" s="7">
        <v>2478</v>
      </c>
      <c r="N1269" s="12">
        <v>2403.41</v>
      </c>
      <c r="O1269" s="12">
        <f t="shared" si="59"/>
        <v>2403.41</v>
      </c>
      <c r="P1269" s="7">
        <v>461</v>
      </c>
      <c r="Q1269" s="7" t="b">
        <v>0</v>
      </c>
      <c r="R1269" s="7"/>
      <c r="S1269" s="15" t="s">
        <v>34</v>
      </c>
    </row>
    <row r="1270" spans="1:19">
      <c r="A1270" s="3" t="s">
        <v>2628</v>
      </c>
      <c r="B1270" s="4" t="s">
        <v>2629</v>
      </c>
      <c r="C1270" s="5" t="s">
        <v>4131</v>
      </c>
      <c r="D1270" s="5">
        <v>45029</v>
      </c>
      <c r="E1270" s="4">
        <v>4</v>
      </c>
      <c r="F1270" s="4">
        <v>13</v>
      </c>
      <c r="G1270" s="4">
        <v>2023</v>
      </c>
      <c r="H1270" s="5">
        <f t="shared" si="57"/>
        <v>45029</v>
      </c>
      <c r="I1270" s="9">
        <v>45048</v>
      </c>
      <c r="J1270" s="4">
        <f t="shared" si="58"/>
        <v>19</v>
      </c>
      <c r="K1270" s="4" t="s">
        <v>33</v>
      </c>
      <c r="L1270" s="4">
        <v>21806</v>
      </c>
      <c r="M1270" s="4">
        <v>568</v>
      </c>
      <c r="N1270" s="10">
        <v>825.93</v>
      </c>
      <c r="O1270" s="10">
        <f t="shared" si="59"/>
        <v>825.93</v>
      </c>
      <c r="P1270" s="4">
        <v>30</v>
      </c>
      <c r="Q1270" s="4" t="b">
        <v>1</v>
      </c>
      <c r="R1270" s="4"/>
      <c r="S1270" s="14" t="s">
        <v>34</v>
      </c>
    </row>
    <row r="1271" spans="1:19">
      <c r="A1271" s="6" t="s">
        <v>2630</v>
      </c>
      <c r="B1271" s="7" t="s">
        <v>2631</v>
      </c>
      <c r="C1271" s="8" t="s">
        <v>4131</v>
      </c>
      <c r="D1271" s="8">
        <v>45161</v>
      </c>
      <c r="E1271" s="7">
        <v>8</v>
      </c>
      <c r="F1271" s="7">
        <v>23</v>
      </c>
      <c r="G1271" s="7">
        <v>2023</v>
      </c>
      <c r="H1271" s="8">
        <f t="shared" si="57"/>
        <v>45161</v>
      </c>
      <c r="I1271" s="11">
        <v>45178</v>
      </c>
      <c r="J1271" s="7">
        <f t="shared" si="58"/>
        <v>17</v>
      </c>
      <c r="K1271" s="7" t="s">
        <v>33</v>
      </c>
      <c r="L1271" s="7">
        <v>76520</v>
      </c>
      <c r="M1271" s="7">
        <v>1250</v>
      </c>
      <c r="N1271" s="12">
        <v>1371.78</v>
      </c>
      <c r="O1271" s="12">
        <f t="shared" si="59"/>
        <v>1371.78</v>
      </c>
      <c r="P1271" s="7">
        <v>206</v>
      </c>
      <c r="Q1271" s="7" t="b">
        <v>0</v>
      </c>
      <c r="R1271" s="7"/>
      <c r="S1271" s="15" t="s">
        <v>34</v>
      </c>
    </row>
    <row r="1272" spans="1:19">
      <c r="A1272" s="3" t="s">
        <v>2632</v>
      </c>
      <c r="B1272" s="4" t="s">
        <v>2633</v>
      </c>
      <c r="C1272" s="5" t="s">
        <v>4131</v>
      </c>
      <c r="D1272" s="5">
        <v>45019</v>
      </c>
      <c r="E1272" s="4">
        <v>4</v>
      </c>
      <c r="F1272" s="4">
        <v>3</v>
      </c>
      <c r="G1272" s="4">
        <v>2023</v>
      </c>
      <c r="H1272" s="5">
        <f t="shared" si="57"/>
        <v>45019</v>
      </c>
      <c r="I1272" s="9">
        <v>45025</v>
      </c>
      <c r="J1272" s="4">
        <f t="shared" si="58"/>
        <v>6</v>
      </c>
      <c r="K1272" s="4" t="s">
        <v>41</v>
      </c>
      <c r="L1272" s="4">
        <v>2759</v>
      </c>
      <c r="M1272" s="4">
        <v>124</v>
      </c>
      <c r="N1272" s="10">
        <v>63.27</v>
      </c>
      <c r="O1272" s="10">
        <f t="shared" si="59"/>
        <v>63.27</v>
      </c>
      <c r="P1272" s="4">
        <v>22</v>
      </c>
      <c r="Q1272" s="4" t="b">
        <v>1</v>
      </c>
      <c r="R1272" s="4"/>
      <c r="S1272" s="14" t="s">
        <v>42</v>
      </c>
    </row>
    <row r="1273" spans="1:19">
      <c r="A1273" s="6" t="s">
        <v>2634</v>
      </c>
      <c r="B1273" s="7" t="s">
        <v>2635</v>
      </c>
      <c r="C1273" s="8" t="s">
        <v>4131</v>
      </c>
      <c r="D1273" s="8">
        <v>45250</v>
      </c>
      <c r="E1273" s="7">
        <v>11</v>
      </c>
      <c r="F1273" s="7">
        <v>20</v>
      </c>
      <c r="G1273" s="7">
        <v>2023</v>
      </c>
      <c r="H1273" s="8">
        <f t="shared" si="57"/>
        <v>45250</v>
      </c>
      <c r="I1273" s="11">
        <v>45254</v>
      </c>
      <c r="J1273" s="7">
        <f t="shared" si="58"/>
        <v>4</v>
      </c>
      <c r="K1273" s="7" t="s">
        <v>14</v>
      </c>
      <c r="L1273" s="7">
        <v>42949</v>
      </c>
      <c r="M1273" s="7">
        <v>1844</v>
      </c>
      <c r="N1273" s="12">
        <v>2369.74</v>
      </c>
      <c r="O1273" s="12">
        <f t="shared" si="59"/>
        <v>2369.74</v>
      </c>
      <c r="P1273" s="7">
        <v>215</v>
      </c>
      <c r="Q1273" s="7" t="b">
        <v>1</v>
      </c>
      <c r="R1273" s="7"/>
      <c r="S1273" s="15" t="s">
        <v>16</v>
      </c>
    </row>
    <row r="1274" spans="1:19">
      <c r="A1274" s="3" t="s">
        <v>2636</v>
      </c>
      <c r="B1274" s="4" t="s">
        <v>2637</v>
      </c>
      <c r="C1274" s="5" t="s">
        <v>4127</v>
      </c>
      <c r="D1274" s="5" t="s">
        <v>2638</v>
      </c>
      <c r="E1274" s="4">
        <v>30</v>
      </c>
      <c r="F1274" s="4">
        <v>1</v>
      </c>
      <c r="G1274" s="4">
        <v>2023</v>
      </c>
      <c r="H1274" s="5">
        <f t="shared" si="57"/>
        <v>44956</v>
      </c>
      <c r="I1274" s="9">
        <v>44980</v>
      </c>
      <c r="J1274" s="4">
        <f t="shared" si="58"/>
        <v>24</v>
      </c>
      <c r="K1274" s="4" t="s">
        <v>41</v>
      </c>
      <c r="L1274" s="4">
        <v>93374</v>
      </c>
      <c r="M1274" s="4">
        <v>3629</v>
      </c>
      <c r="N1274" s="10">
        <v>6830.76</v>
      </c>
      <c r="O1274" s="10">
        <f t="shared" si="59"/>
        <v>3632.575</v>
      </c>
      <c r="P1274" s="4">
        <v>481</v>
      </c>
      <c r="Q1274" s="4" t="b">
        <v>1</v>
      </c>
      <c r="R1274" s="4"/>
      <c r="S1274" s="14" t="s">
        <v>42</v>
      </c>
    </row>
    <row r="1275" spans="1:19">
      <c r="A1275" s="6" t="s">
        <v>2639</v>
      </c>
      <c r="B1275" s="7" t="s">
        <v>2640</v>
      </c>
      <c r="C1275" s="8" t="s">
        <v>4129</v>
      </c>
      <c r="D1275" s="8">
        <v>45067</v>
      </c>
      <c r="E1275" s="7">
        <v>5</v>
      </c>
      <c r="F1275" s="7">
        <v>21</v>
      </c>
      <c r="G1275" s="7">
        <v>2023</v>
      </c>
      <c r="H1275" s="8">
        <f t="shared" si="57"/>
        <v>45067</v>
      </c>
      <c r="I1275" s="11">
        <v>45091</v>
      </c>
      <c r="J1275" s="7">
        <f t="shared" si="58"/>
        <v>24</v>
      </c>
      <c r="K1275" s="7" t="s">
        <v>19</v>
      </c>
      <c r="L1275" s="7">
        <v>3482</v>
      </c>
      <c r="M1275" s="7">
        <v>72</v>
      </c>
      <c r="N1275" s="12">
        <v>123.7</v>
      </c>
      <c r="O1275" s="12">
        <f t="shared" si="59"/>
        <v>123.7</v>
      </c>
      <c r="P1275" s="7">
        <v>13</v>
      </c>
      <c r="Q1275" s="7" t="b">
        <v>1</v>
      </c>
      <c r="R1275" s="7"/>
      <c r="S1275" s="15" t="s">
        <v>20</v>
      </c>
    </row>
    <row r="1276" spans="1:19">
      <c r="A1276" s="3" t="s">
        <v>2641</v>
      </c>
      <c r="B1276" s="4" t="s">
        <v>2642</v>
      </c>
      <c r="C1276" s="5" t="s">
        <v>4127</v>
      </c>
      <c r="D1276" s="5">
        <v>45222</v>
      </c>
      <c r="E1276" s="4">
        <v>10</v>
      </c>
      <c r="F1276" s="4">
        <v>23</v>
      </c>
      <c r="G1276" s="4">
        <v>2023</v>
      </c>
      <c r="H1276" s="5">
        <f t="shared" si="57"/>
        <v>45222</v>
      </c>
      <c r="I1276" s="9">
        <v>45251</v>
      </c>
      <c r="J1276" s="4">
        <f t="shared" si="58"/>
        <v>29</v>
      </c>
      <c r="K1276" s="4" t="s">
        <v>19</v>
      </c>
      <c r="L1276" s="4">
        <v>25442</v>
      </c>
      <c r="M1276" s="4">
        <v>663</v>
      </c>
      <c r="N1276" s="10">
        <v>1152.17</v>
      </c>
      <c r="O1276" s="10">
        <f t="shared" si="59"/>
        <v>1152.17</v>
      </c>
      <c r="P1276" s="4">
        <v>54</v>
      </c>
      <c r="Q1276" s="4" t="b">
        <v>0</v>
      </c>
      <c r="R1276" s="4"/>
      <c r="S1276" s="14" t="s">
        <v>20</v>
      </c>
    </row>
    <row r="1277" spans="1:19">
      <c r="A1277" s="6" t="s">
        <v>2643</v>
      </c>
      <c r="B1277" s="7" t="s">
        <v>2644</v>
      </c>
      <c r="C1277" s="8" t="s">
        <v>4131</v>
      </c>
      <c r="D1277" s="8">
        <v>44972</v>
      </c>
      <c r="E1277" s="7">
        <v>2</v>
      </c>
      <c r="F1277" s="7">
        <v>15</v>
      </c>
      <c r="G1277" s="7">
        <v>2023</v>
      </c>
      <c r="H1277" s="8">
        <f t="shared" si="57"/>
        <v>44972</v>
      </c>
      <c r="I1277" s="11">
        <v>44982</v>
      </c>
      <c r="J1277" s="7">
        <f t="shared" si="58"/>
        <v>10</v>
      </c>
      <c r="K1277" s="7" t="s">
        <v>23</v>
      </c>
      <c r="L1277" s="7">
        <v>34719</v>
      </c>
      <c r="M1277" s="7">
        <v>489</v>
      </c>
      <c r="N1277" s="12">
        <v>827.68</v>
      </c>
      <c r="O1277" s="12">
        <f t="shared" si="59"/>
        <v>827.68</v>
      </c>
      <c r="P1277" s="7">
        <v>62</v>
      </c>
      <c r="Q1277" s="7" t="b">
        <v>1</v>
      </c>
      <c r="R1277" s="7"/>
      <c r="S1277" s="15" t="s">
        <v>25</v>
      </c>
    </row>
    <row r="1278" spans="1:19">
      <c r="A1278" s="3" t="s">
        <v>2645</v>
      </c>
      <c r="B1278" s="4" t="s">
        <v>2646</v>
      </c>
      <c r="C1278" s="5" t="s">
        <v>4131</v>
      </c>
      <c r="D1278" s="5">
        <v>45146</v>
      </c>
      <c r="E1278" s="4">
        <v>8</v>
      </c>
      <c r="F1278" s="4">
        <v>8</v>
      </c>
      <c r="G1278" s="4">
        <v>2023</v>
      </c>
      <c r="H1278" s="5">
        <f t="shared" si="57"/>
        <v>45146</v>
      </c>
      <c r="I1278" s="9">
        <v>45167</v>
      </c>
      <c r="J1278" s="4">
        <f t="shared" si="58"/>
        <v>21</v>
      </c>
      <c r="K1278" s="4" t="s">
        <v>23</v>
      </c>
      <c r="L1278" s="4">
        <v>59066</v>
      </c>
      <c r="M1278" s="4">
        <v>1037</v>
      </c>
      <c r="N1278" s="10">
        <v>1022.06</v>
      </c>
      <c r="O1278" s="10">
        <f t="shared" si="59"/>
        <v>1022.06</v>
      </c>
      <c r="P1278" s="4">
        <v>125</v>
      </c>
      <c r="Q1278" s="4" t="b">
        <v>1</v>
      </c>
      <c r="R1278" s="4"/>
      <c r="S1278" s="14" t="s">
        <v>59</v>
      </c>
    </row>
    <row r="1279" spans="1:19">
      <c r="A1279" s="6" t="s">
        <v>2647</v>
      </c>
      <c r="B1279" s="7" t="s">
        <v>2648</v>
      </c>
      <c r="C1279" s="8" t="s">
        <v>4129</v>
      </c>
      <c r="D1279" s="8" t="s">
        <v>2649</v>
      </c>
      <c r="E1279" s="7">
        <v>16</v>
      </c>
      <c r="F1279" s="7">
        <v>7</v>
      </c>
      <c r="G1279" s="7">
        <v>2023</v>
      </c>
      <c r="H1279" s="8">
        <f t="shared" si="57"/>
        <v>45123</v>
      </c>
      <c r="I1279" s="11">
        <v>45131</v>
      </c>
      <c r="J1279" s="7">
        <f t="shared" si="58"/>
        <v>8</v>
      </c>
      <c r="K1279" s="7" t="s">
        <v>23</v>
      </c>
      <c r="L1279" s="7">
        <v>94501</v>
      </c>
      <c r="M1279" s="7">
        <v>3904</v>
      </c>
      <c r="N1279" s="12">
        <v>6432.98</v>
      </c>
      <c r="O1279" s="12">
        <f t="shared" si="59"/>
        <v>3632.575</v>
      </c>
      <c r="P1279" s="7">
        <v>346</v>
      </c>
      <c r="Q1279" s="7" t="b">
        <v>1</v>
      </c>
      <c r="R1279" s="7"/>
      <c r="S1279" s="15" t="s">
        <v>25</v>
      </c>
    </row>
    <row r="1280" spans="1:19">
      <c r="A1280" s="3" t="s">
        <v>2650</v>
      </c>
      <c r="B1280" s="4" t="s">
        <v>2651</v>
      </c>
      <c r="C1280" s="5" t="s">
        <v>4128</v>
      </c>
      <c r="D1280" s="5">
        <v>45200</v>
      </c>
      <c r="E1280" s="4">
        <v>10</v>
      </c>
      <c r="F1280" s="4">
        <v>1</v>
      </c>
      <c r="G1280" s="4">
        <v>2023</v>
      </c>
      <c r="H1280" s="5">
        <f t="shared" si="57"/>
        <v>45200</v>
      </c>
      <c r="I1280" s="9">
        <v>45207</v>
      </c>
      <c r="J1280" s="4">
        <f t="shared" si="58"/>
        <v>7</v>
      </c>
      <c r="K1280" s="4" t="s">
        <v>14</v>
      </c>
      <c r="L1280" s="4">
        <v>3079</v>
      </c>
      <c r="M1280" s="4">
        <v>118</v>
      </c>
      <c r="N1280" s="10">
        <v>84.34</v>
      </c>
      <c r="O1280" s="10">
        <f t="shared" si="59"/>
        <v>84.34</v>
      </c>
      <c r="P1280" s="4">
        <v>20</v>
      </c>
      <c r="Q1280" s="4" t="b">
        <v>0</v>
      </c>
      <c r="R1280" s="4"/>
      <c r="S1280" s="14" t="s">
        <v>16</v>
      </c>
    </row>
    <row r="1281" spans="1:19">
      <c r="A1281" s="6" t="s">
        <v>2652</v>
      </c>
      <c r="B1281" s="7" t="s">
        <v>2653</v>
      </c>
      <c r="C1281" s="8" t="s">
        <v>4131</v>
      </c>
      <c r="D1281" s="8">
        <v>44934</v>
      </c>
      <c r="E1281" s="7">
        <v>1</v>
      </c>
      <c r="F1281" s="7">
        <v>8</v>
      </c>
      <c r="G1281" s="7">
        <v>2023</v>
      </c>
      <c r="H1281" s="8">
        <f t="shared" si="57"/>
        <v>44934</v>
      </c>
      <c r="I1281" s="11">
        <v>44954</v>
      </c>
      <c r="J1281" s="7">
        <f t="shared" si="58"/>
        <v>20</v>
      </c>
      <c r="K1281" s="7" t="s">
        <v>14</v>
      </c>
      <c r="L1281" s="7">
        <v>3717</v>
      </c>
      <c r="M1281" s="7">
        <v>125</v>
      </c>
      <c r="N1281" s="12">
        <v>185.82</v>
      </c>
      <c r="O1281" s="12">
        <f t="shared" si="59"/>
        <v>185.82</v>
      </c>
      <c r="P1281" s="7">
        <v>23</v>
      </c>
      <c r="Q1281" s="7" t="b">
        <v>1</v>
      </c>
      <c r="R1281" s="7"/>
      <c r="S1281" s="15" t="s">
        <v>16</v>
      </c>
    </row>
    <row r="1282" spans="1:19">
      <c r="A1282" s="3" t="s">
        <v>2654</v>
      </c>
      <c r="B1282" s="4" t="s">
        <v>2655</v>
      </c>
      <c r="C1282" s="5" t="s">
        <v>4129</v>
      </c>
      <c r="D1282" s="5">
        <v>45198</v>
      </c>
      <c r="E1282" s="4">
        <v>9</v>
      </c>
      <c r="F1282" s="4">
        <v>29</v>
      </c>
      <c r="G1282" s="4">
        <v>2023</v>
      </c>
      <c r="H1282" s="5">
        <f t="shared" ref="H1282:H1345" si="60">IF(E1282&gt;12,DATE(G1282,F1282,E1282),D1282)</f>
        <v>45198</v>
      </c>
      <c r="I1282" s="9">
        <v>45224</v>
      </c>
      <c r="J1282" s="4">
        <f t="shared" ref="J1282:J1345" si="61">DATEDIF(H1282,I1282,"D")</f>
        <v>26</v>
      </c>
      <c r="K1282" s="4" t="s">
        <v>14</v>
      </c>
      <c r="L1282" s="4">
        <v>60676</v>
      </c>
      <c r="M1282" s="4">
        <v>2780</v>
      </c>
      <c r="N1282" s="10">
        <v>4065.34</v>
      </c>
      <c r="O1282" s="10">
        <f t="shared" si="59"/>
        <v>3632.575</v>
      </c>
      <c r="P1282" s="4">
        <v>465</v>
      </c>
      <c r="Q1282" s="4" t="b">
        <v>0</v>
      </c>
      <c r="R1282" s="4"/>
      <c r="S1282" s="14" t="s">
        <v>16</v>
      </c>
    </row>
    <row r="1283" spans="1:19">
      <c r="A1283" s="6" t="s">
        <v>2656</v>
      </c>
      <c r="B1283" s="7" t="s">
        <v>2657</v>
      </c>
      <c r="C1283" s="8" t="s">
        <v>4131</v>
      </c>
      <c r="D1283" s="8">
        <v>45247</v>
      </c>
      <c r="E1283" s="7">
        <v>11</v>
      </c>
      <c r="F1283" s="7">
        <v>17</v>
      </c>
      <c r="G1283" s="7">
        <v>2023</v>
      </c>
      <c r="H1283" s="8">
        <f t="shared" si="60"/>
        <v>45247</v>
      </c>
      <c r="I1283" s="11">
        <v>45268</v>
      </c>
      <c r="J1283" s="7">
        <f t="shared" si="61"/>
        <v>21</v>
      </c>
      <c r="K1283" s="7" t="s">
        <v>234</v>
      </c>
      <c r="L1283" s="7">
        <v>28952</v>
      </c>
      <c r="M1283" s="7">
        <v>964</v>
      </c>
      <c r="N1283" s="12">
        <v>518.97</v>
      </c>
      <c r="O1283" s="12">
        <f t="shared" ref="O1283:O1346" si="62">IF(N1283&lt;$V$6,$V$6,IF(N1283&gt;$V$7,$V$7,N1283))</f>
        <v>518.97</v>
      </c>
      <c r="P1283" s="7">
        <v>76</v>
      </c>
      <c r="Q1283" s="7" t="b">
        <v>0</v>
      </c>
      <c r="R1283" s="7"/>
      <c r="S1283" s="15" t="s">
        <v>16</v>
      </c>
    </row>
    <row r="1284" spans="1:19">
      <c r="A1284" s="3" t="s">
        <v>2658</v>
      </c>
      <c r="B1284" s="4" t="s">
        <v>2659</v>
      </c>
      <c r="C1284" s="5" t="s">
        <v>4131</v>
      </c>
      <c r="D1284" s="5">
        <v>45103</v>
      </c>
      <c r="E1284" s="4">
        <v>6</v>
      </c>
      <c r="F1284" s="4">
        <v>26</v>
      </c>
      <c r="G1284" s="4">
        <v>2023</v>
      </c>
      <c r="H1284" s="5">
        <f t="shared" si="60"/>
        <v>45103</v>
      </c>
      <c r="I1284" s="9">
        <v>45130</v>
      </c>
      <c r="J1284" s="4">
        <f t="shared" si="61"/>
        <v>27</v>
      </c>
      <c r="K1284" s="4" t="s">
        <v>14</v>
      </c>
      <c r="L1284" s="4">
        <v>87444</v>
      </c>
      <c r="M1284" s="4">
        <v>2507</v>
      </c>
      <c r="N1284" s="10">
        <v>4216.66</v>
      </c>
      <c r="O1284" s="10">
        <f t="shared" si="62"/>
        <v>3632.575</v>
      </c>
      <c r="P1284" s="4">
        <v>157</v>
      </c>
      <c r="Q1284" s="4" t="b">
        <v>1</v>
      </c>
      <c r="R1284" s="4"/>
      <c r="S1284" s="14" t="s">
        <v>16</v>
      </c>
    </row>
    <row r="1285" spans="1:19">
      <c r="A1285" s="6" t="s">
        <v>2660</v>
      </c>
      <c r="B1285" s="7" t="s">
        <v>2661</v>
      </c>
      <c r="C1285" s="8" t="s">
        <v>4127</v>
      </c>
      <c r="D1285" s="8">
        <v>45184</v>
      </c>
      <c r="E1285" s="7">
        <v>9</v>
      </c>
      <c r="F1285" s="7">
        <v>15</v>
      </c>
      <c r="G1285" s="7">
        <v>2023</v>
      </c>
      <c r="H1285" s="8">
        <f t="shared" si="60"/>
        <v>45184</v>
      </c>
      <c r="I1285" s="11">
        <v>45195</v>
      </c>
      <c r="J1285" s="7">
        <f t="shared" si="61"/>
        <v>11</v>
      </c>
      <c r="K1285" s="7" t="s">
        <v>19</v>
      </c>
      <c r="L1285" s="7">
        <v>43460</v>
      </c>
      <c r="M1285" s="7">
        <v>1026</v>
      </c>
      <c r="N1285" s="12">
        <v>1903.1</v>
      </c>
      <c r="O1285" s="12">
        <f t="shared" si="62"/>
        <v>1903.1</v>
      </c>
      <c r="P1285" s="7">
        <v>144</v>
      </c>
      <c r="Q1285" s="7" t="b">
        <v>1</v>
      </c>
      <c r="R1285" s="7"/>
      <c r="S1285" s="15" t="s">
        <v>20</v>
      </c>
    </row>
    <row r="1286" spans="1:19">
      <c r="A1286" s="3" t="s">
        <v>2662</v>
      </c>
      <c r="B1286" s="4" t="s">
        <v>2663</v>
      </c>
      <c r="C1286" s="5" t="s">
        <v>4131</v>
      </c>
      <c r="D1286" s="5">
        <v>44950</v>
      </c>
      <c r="E1286" s="4">
        <v>1</v>
      </c>
      <c r="F1286" s="4">
        <v>24</v>
      </c>
      <c r="G1286" s="4">
        <v>2023</v>
      </c>
      <c r="H1286" s="5">
        <f t="shared" si="60"/>
        <v>44950</v>
      </c>
      <c r="I1286" s="9">
        <v>44956</v>
      </c>
      <c r="J1286" s="4">
        <f t="shared" si="61"/>
        <v>6</v>
      </c>
      <c r="K1286" s="4" t="s">
        <v>19</v>
      </c>
      <c r="L1286" s="4">
        <v>91397</v>
      </c>
      <c r="M1286" s="4">
        <v>4352</v>
      </c>
      <c r="N1286" s="10">
        <v>3921.69</v>
      </c>
      <c r="O1286" s="10">
        <f t="shared" si="62"/>
        <v>3632.575</v>
      </c>
      <c r="P1286" s="4">
        <v>254</v>
      </c>
      <c r="Q1286" s="4" t="b">
        <v>1</v>
      </c>
      <c r="R1286" s="4"/>
      <c r="S1286" s="14" t="s">
        <v>20</v>
      </c>
    </row>
    <row r="1287" spans="1:19">
      <c r="A1287" s="6" t="s">
        <v>2664</v>
      </c>
      <c r="B1287" s="7" t="s">
        <v>2665</v>
      </c>
      <c r="C1287" s="8" t="s">
        <v>4127</v>
      </c>
      <c r="D1287" s="8">
        <v>45193</v>
      </c>
      <c r="E1287" s="7">
        <v>9</v>
      </c>
      <c r="F1287" s="7">
        <v>24</v>
      </c>
      <c r="G1287" s="7">
        <v>2023</v>
      </c>
      <c r="H1287" s="8">
        <f t="shared" si="60"/>
        <v>45193</v>
      </c>
      <c r="I1287" s="11">
        <v>45222</v>
      </c>
      <c r="J1287" s="7">
        <f t="shared" si="61"/>
        <v>29</v>
      </c>
      <c r="K1287" s="7" t="s">
        <v>23</v>
      </c>
      <c r="L1287" s="7">
        <v>73847</v>
      </c>
      <c r="M1287" s="7">
        <v>982</v>
      </c>
      <c r="N1287" s="12">
        <v>1687.65</v>
      </c>
      <c r="O1287" s="12">
        <f t="shared" si="62"/>
        <v>1687.65</v>
      </c>
      <c r="P1287" s="7">
        <v>148</v>
      </c>
      <c r="Q1287" s="7" t="b">
        <v>0</v>
      </c>
      <c r="R1287" s="7"/>
      <c r="S1287" s="15" t="s">
        <v>25</v>
      </c>
    </row>
    <row r="1288" spans="1:19">
      <c r="A1288" s="3" t="s">
        <v>2666</v>
      </c>
      <c r="B1288" s="4" t="s">
        <v>2667</v>
      </c>
      <c r="C1288" s="5" t="s">
        <v>4131</v>
      </c>
      <c r="D1288" s="5">
        <v>45278</v>
      </c>
      <c r="E1288" s="4">
        <v>12</v>
      </c>
      <c r="F1288" s="4">
        <v>18</v>
      </c>
      <c r="G1288" s="4">
        <v>2023</v>
      </c>
      <c r="H1288" s="5">
        <f t="shared" si="60"/>
        <v>45278</v>
      </c>
      <c r="I1288" s="9">
        <v>45299</v>
      </c>
      <c r="J1288" s="4">
        <f t="shared" si="61"/>
        <v>21</v>
      </c>
      <c r="K1288" s="4" t="s">
        <v>19</v>
      </c>
      <c r="L1288" s="4">
        <v>94607</v>
      </c>
      <c r="M1288" s="4">
        <v>4468</v>
      </c>
      <c r="N1288" s="10">
        <v>2786.28</v>
      </c>
      <c r="O1288" s="10">
        <f t="shared" si="62"/>
        <v>2786.28</v>
      </c>
      <c r="P1288" s="4">
        <v>578</v>
      </c>
      <c r="Q1288" s="4" t="b">
        <v>0</v>
      </c>
      <c r="R1288" s="4"/>
      <c r="S1288" s="14" t="s">
        <v>20</v>
      </c>
    </row>
    <row r="1289" spans="1:19">
      <c r="A1289" s="6" t="s">
        <v>2668</v>
      </c>
      <c r="B1289" s="7" t="s">
        <v>2669</v>
      </c>
      <c r="C1289" s="8" t="s">
        <v>4128</v>
      </c>
      <c r="D1289" s="8">
        <v>45177</v>
      </c>
      <c r="E1289" s="7">
        <v>9</v>
      </c>
      <c r="F1289" s="7">
        <v>8</v>
      </c>
      <c r="G1289" s="7">
        <v>2023</v>
      </c>
      <c r="H1289" s="8">
        <f t="shared" si="60"/>
        <v>45177</v>
      </c>
      <c r="I1289" s="11">
        <v>45203</v>
      </c>
      <c r="J1289" s="7">
        <f t="shared" si="61"/>
        <v>26</v>
      </c>
      <c r="K1289" s="7" t="s">
        <v>33</v>
      </c>
      <c r="L1289" s="7">
        <v>90106</v>
      </c>
      <c r="M1289" s="7">
        <v>3880</v>
      </c>
      <c r="N1289" s="12">
        <v>5431.81</v>
      </c>
      <c r="O1289" s="12">
        <f t="shared" si="62"/>
        <v>3632.575</v>
      </c>
      <c r="P1289" s="7">
        <v>579</v>
      </c>
      <c r="Q1289" s="7" t="b">
        <v>1</v>
      </c>
      <c r="R1289" s="7"/>
      <c r="S1289" s="15" t="s">
        <v>34</v>
      </c>
    </row>
    <row r="1290" spans="1:19">
      <c r="A1290" s="3" t="s">
        <v>2670</v>
      </c>
      <c r="B1290" s="4" t="s">
        <v>2671</v>
      </c>
      <c r="C1290" s="5" t="s">
        <v>4131</v>
      </c>
      <c r="D1290" s="5" t="s">
        <v>2672</v>
      </c>
      <c r="E1290" s="4">
        <v>26</v>
      </c>
      <c r="F1290" s="4">
        <v>7</v>
      </c>
      <c r="G1290" s="4">
        <v>2023</v>
      </c>
      <c r="H1290" s="5">
        <f t="shared" si="60"/>
        <v>45133</v>
      </c>
      <c r="I1290" s="9">
        <v>45149</v>
      </c>
      <c r="J1290" s="4">
        <f t="shared" si="61"/>
        <v>16</v>
      </c>
      <c r="K1290" s="4" t="s">
        <v>19</v>
      </c>
      <c r="L1290" s="4">
        <v>19449</v>
      </c>
      <c r="M1290" s="4">
        <v>295</v>
      </c>
      <c r="N1290" s="10">
        <v>362.4</v>
      </c>
      <c r="O1290" s="10">
        <f t="shared" si="62"/>
        <v>362.4</v>
      </c>
      <c r="P1290" s="4">
        <v>40</v>
      </c>
      <c r="Q1290" s="4" t="b">
        <v>1</v>
      </c>
      <c r="R1290" s="4"/>
      <c r="S1290" s="14" t="s">
        <v>20</v>
      </c>
    </row>
    <row r="1291" spans="1:19">
      <c r="A1291" s="6" t="s">
        <v>2673</v>
      </c>
      <c r="B1291" s="7" t="s">
        <v>2674</v>
      </c>
      <c r="C1291" s="8" t="s">
        <v>4131</v>
      </c>
      <c r="D1291" s="8">
        <v>45041</v>
      </c>
      <c r="E1291" s="7">
        <v>4</v>
      </c>
      <c r="F1291" s="7">
        <v>25</v>
      </c>
      <c r="G1291" s="7">
        <v>2023</v>
      </c>
      <c r="H1291" s="8">
        <f t="shared" si="60"/>
        <v>45041</v>
      </c>
      <c r="I1291" s="11">
        <v>45053</v>
      </c>
      <c r="J1291" s="7">
        <f t="shared" si="61"/>
        <v>12</v>
      </c>
      <c r="K1291" s="7" t="s">
        <v>23</v>
      </c>
      <c r="L1291" s="7">
        <v>34536</v>
      </c>
      <c r="M1291" s="7">
        <v>1125</v>
      </c>
      <c r="N1291" s="12">
        <v>1483.75</v>
      </c>
      <c r="O1291" s="12">
        <f t="shared" si="62"/>
        <v>1483.75</v>
      </c>
      <c r="P1291" s="7">
        <v>127</v>
      </c>
      <c r="Q1291" s="7" t="b">
        <v>1</v>
      </c>
      <c r="R1291" s="7"/>
      <c r="S1291" s="15" t="s">
        <v>25</v>
      </c>
    </row>
    <row r="1292" spans="1:19">
      <c r="A1292" s="3" t="s">
        <v>2675</v>
      </c>
      <c r="B1292" s="4" t="s">
        <v>2676</v>
      </c>
      <c r="C1292" s="5" t="s">
        <v>4128</v>
      </c>
      <c r="D1292" s="5">
        <v>44938</v>
      </c>
      <c r="E1292" s="4">
        <v>1</v>
      </c>
      <c r="F1292" s="4">
        <v>12</v>
      </c>
      <c r="G1292" s="4">
        <v>2023</v>
      </c>
      <c r="H1292" s="5">
        <f t="shared" si="60"/>
        <v>44938</v>
      </c>
      <c r="I1292" s="9">
        <v>44946</v>
      </c>
      <c r="J1292" s="4">
        <f t="shared" si="61"/>
        <v>8</v>
      </c>
      <c r="K1292" s="4" t="s">
        <v>33</v>
      </c>
      <c r="L1292" s="4">
        <v>65077</v>
      </c>
      <c r="M1292" s="4">
        <v>2906</v>
      </c>
      <c r="N1292" s="10">
        <v>5490.33</v>
      </c>
      <c r="O1292" s="10">
        <f t="shared" si="62"/>
        <v>3632.575</v>
      </c>
      <c r="P1292" s="4">
        <v>232</v>
      </c>
      <c r="Q1292" s="4" t="b">
        <v>1</v>
      </c>
      <c r="R1292" s="4"/>
      <c r="S1292" s="14" t="s">
        <v>34</v>
      </c>
    </row>
    <row r="1293" spans="1:19">
      <c r="A1293" s="6" t="s">
        <v>2677</v>
      </c>
      <c r="B1293" s="7" t="s">
        <v>2678</v>
      </c>
      <c r="C1293" s="8" t="s">
        <v>4129</v>
      </c>
      <c r="D1293" s="8">
        <v>45114</v>
      </c>
      <c r="E1293" s="7">
        <v>7</v>
      </c>
      <c r="F1293" s="7">
        <v>7</v>
      </c>
      <c r="G1293" s="7">
        <v>2023</v>
      </c>
      <c r="H1293" s="8">
        <f t="shared" si="60"/>
        <v>45114</v>
      </c>
      <c r="I1293" s="11">
        <v>45127</v>
      </c>
      <c r="J1293" s="7">
        <f t="shared" si="61"/>
        <v>13</v>
      </c>
      <c r="K1293" s="7" t="s">
        <v>41</v>
      </c>
      <c r="L1293" s="7">
        <v>39258</v>
      </c>
      <c r="M1293" s="7">
        <v>1290</v>
      </c>
      <c r="N1293" s="12">
        <v>2331</v>
      </c>
      <c r="O1293" s="12">
        <f t="shared" si="62"/>
        <v>2331</v>
      </c>
      <c r="P1293" s="7">
        <v>123</v>
      </c>
      <c r="Q1293" s="7" t="b">
        <v>0</v>
      </c>
      <c r="R1293" s="7"/>
      <c r="S1293" s="15" t="s">
        <v>42</v>
      </c>
    </row>
    <row r="1294" spans="1:19">
      <c r="A1294" s="3" t="s">
        <v>2679</v>
      </c>
      <c r="B1294" s="4" t="s">
        <v>2680</v>
      </c>
      <c r="C1294" s="5" t="s">
        <v>4129</v>
      </c>
      <c r="D1294" s="5">
        <v>45119</v>
      </c>
      <c r="E1294" s="4">
        <v>7</v>
      </c>
      <c r="F1294" s="4">
        <v>12</v>
      </c>
      <c r="G1294" s="4">
        <v>2023</v>
      </c>
      <c r="H1294" s="5">
        <f t="shared" si="60"/>
        <v>45119</v>
      </c>
      <c r="I1294" s="9">
        <v>45135</v>
      </c>
      <c r="J1294" s="4">
        <f t="shared" si="61"/>
        <v>16</v>
      </c>
      <c r="K1294" s="4" t="s">
        <v>41</v>
      </c>
      <c r="L1294" s="4">
        <v>49302</v>
      </c>
      <c r="M1294" s="4">
        <v>2282</v>
      </c>
      <c r="N1294" s="10">
        <v>3828.34</v>
      </c>
      <c r="O1294" s="10">
        <f t="shared" si="62"/>
        <v>3632.575</v>
      </c>
      <c r="P1294" s="4">
        <v>293</v>
      </c>
      <c r="Q1294" s="4" t="b">
        <v>1</v>
      </c>
      <c r="R1294" s="4"/>
      <c r="S1294" s="14" t="s">
        <v>42</v>
      </c>
    </row>
    <row r="1295" spans="1:19">
      <c r="A1295" s="6" t="s">
        <v>2681</v>
      </c>
      <c r="B1295" s="7" t="s">
        <v>2682</v>
      </c>
      <c r="C1295" s="8" t="s">
        <v>4128</v>
      </c>
      <c r="D1295" s="8">
        <v>45200</v>
      </c>
      <c r="E1295" s="7">
        <v>10</v>
      </c>
      <c r="F1295" s="7">
        <v>1</v>
      </c>
      <c r="G1295" s="7">
        <v>2023</v>
      </c>
      <c r="H1295" s="8">
        <f t="shared" si="60"/>
        <v>45200</v>
      </c>
      <c r="I1295" s="11">
        <v>45223</v>
      </c>
      <c r="J1295" s="7">
        <f t="shared" si="61"/>
        <v>23</v>
      </c>
      <c r="K1295" s="7" t="s">
        <v>23</v>
      </c>
      <c r="L1295" s="7">
        <v>29865</v>
      </c>
      <c r="M1295" s="7">
        <v>1425</v>
      </c>
      <c r="N1295" s="12">
        <v>1297.53</v>
      </c>
      <c r="O1295" s="12">
        <f t="shared" si="62"/>
        <v>1297.53</v>
      </c>
      <c r="P1295" s="7">
        <v>210</v>
      </c>
      <c r="Q1295" s="7" t="b">
        <v>0</v>
      </c>
      <c r="R1295" s="7"/>
      <c r="S1295" s="15" t="s">
        <v>25</v>
      </c>
    </row>
    <row r="1296" spans="1:19">
      <c r="A1296" s="3" t="s">
        <v>2683</v>
      </c>
      <c r="B1296" s="4" t="s">
        <v>2684</v>
      </c>
      <c r="C1296" s="5" t="s">
        <v>4127</v>
      </c>
      <c r="D1296" s="5">
        <v>44951</v>
      </c>
      <c r="E1296" s="4">
        <v>1</v>
      </c>
      <c r="F1296" s="4">
        <v>25</v>
      </c>
      <c r="G1296" s="4">
        <v>2023</v>
      </c>
      <c r="H1296" s="5">
        <f t="shared" si="60"/>
        <v>44951</v>
      </c>
      <c r="I1296" s="9">
        <v>44960</v>
      </c>
      <c r="J1296" s="4">
        <f t="shared" si="61"/>
        <v>9</v>
      </c>
      <c r="K1296" s="4" t="s">
        <v>23</v>
      </c>
      <c r="L1296" s="4">
        <v>7645</v>
      </c>
      <c r="M1296" s="4">
        <v>205</v>
      </c>
      <c r="N1296" s="10">
        <v>382.88</v>
      </c>
      <c r="O1296" s="10">
        <f t="shared" si="62"/>
        <v>382.88</v>
      </c>
      <c r="P1296" s="4">
        <v>34</v>
      </c>
      <c r="Q1296" s="4" t="b">
        <v>1</v>
      </c>
      <c r="R1296" s="4"/>
      <c r="S1296" s="14" t="s">
        <v>25</v>
      </c>
    </row>
    <row r="1297" spans="1:19">
      <c r="A1297" s="6" t="s">
        <v>2685</v>
      </c>
      <c r="B1297" s="7" t="s">
        <v>2686</v>
      </c>
      <c r="C1297" s="8" t="s">
        <v>4129</v>
      </c>
      <c r="D1297" s="8">
        <v>45231</v>
      </c>
      <c r="E1297" s="7">
        <v>11</v>
      </c>
      <c r="F1297" s="7">
        <v>1</v>
      </c>
      <c r="G1297" s="7">
        <v>2023</v>
      </c>
      <c r="H1297" s="8">
        <f t="shared" si="60"/>
        <v>45231</v>
      </c>
      <c r="I1297" s="11">
        <v>44967</v>
      </c>
      <c r="J1297" s="7">
        <f t="shared" si="61"/>
        <v>-264</v>
      </c>
      <c r="K1297" s="7" t="s">
        <v>19</v>
      </c>
      <c r="L1297" s="7">
        <v>39000</v>
      </c>
      <c r="M1297" s="7">
        <v>978</v>
      </c>
      <c r="N1297" s="12">
        <v>632.04</v>
      </c>
      <c r="O1297" s="12">
        <f t="shared" si="62"/>
        <v>632.04</v>
      </c>
      <c r="P1297" s="7">
        <v>0</v>
      </c>
      <c r="Q1297" s="7" t="b">
        <v>1</v>
      </c>
      <c r="R1297" s="7"/>
      <c r="S1297" s="15" t="s">
        <v>20</v>
      </c>
    </row>
    <row r="1298" spans="1:19">
      <c r="A1298" s="3" t="s">
        <v>2687</v>
      </c>
      <c r="B1298" s="4" t="s">
        <v>2688</v>
      </c>
      <c r="C1298" s="5" t="s">
        <v>4129</v>
      </c>
      <c r="D1298" s="5">
        <v>44986</v>
      </c>
      <c r="E1298" s="4">
        <v>3</v>
      </c>
      <c r="F1298" s="4">
        <v>1</v>
      </c>
      <c r="G1298" s="4">
        <v>2023</v>
      </c>
      <c r="H1298" s="5">
        <f t="shared" si="60"/>
        <v>44986</v>
      </c>
      <c r="I1298" s="9">
        <v>45005</v>
      </c>
      <c r="J1298" s="4">
        <f t="shared" si="61"/>
        <v>19</v>
      </c>
      <c r="K1298" s="4" t="s">
        <v>41</v>
      </c>
      <c r="L1298" s="4">
        <v>27737</v>
      </c>
      <c r="M1298" s="4">
        <v>1316</v>
      </c>
      <c r="N1298" s="10">
        <v>2342.47</v>
      </c>
      <c r="O1298" s="10">
        <f t="shared" si="62"/>
        <v>2342.47</v>
      </c>
      <c r="P1298" s="4">
        <v>257</v>
      </c>
      <c r="Q1298" s="4" t="b">
        <v>1</v>
      </c>
      <c r="R1298" s="4"/>
      <c r="S1298" s="14" t="s">
        <v>68</v>
      </c>
    </row>
    <row r="1299" spans="1:19">
      <c r="A1299" s="6" t="s">
        <v>2689</v>
      </c>
      <c r="B1299" s="7" t="s">
        <v>2690</v>
      </c>
      <c r="C1299" s="8" t="s">
        <v>4129</v>
      </c>
      <c r="D1299" s="8">
        <v>45207</v>
      </c>
      <c r="E1299" s="7">
        <v>10</v>
      </c>
      <c r="F1299" s="7">
        <v>8</v>
      </c>
      <c r="G1299" s="7">
        <v>2023</v>
      </c>
      <c r="H1299" s="8">
        <f t="shared" si="60"/>
        <v>45207</v>
      </c>
      <c r="I1299" s="11">
        <v>45222</v>
      </c>
      <c r="J1299" s="7">
        <f t="shared" si="61"/>
        <v>15</v>
      </c>
      <c r="K1299" s="7" t="s">
        <v>14</v>
      </c>
      <c r="L1299" s="7">
        <v>12485</v>
      </c>
      <c r="M1299" s="7">
        <v>462</v>
      </c>
      <c r="N1299" s="12">
        <v>458.41</v>
      </c>
      <c r="O1299" s="12">
        <f t="shared" si="62"/>
        <v>458.41</v>
      </c>
      <c r="P1299" s="7">
        <v>42</v>
      </c>
      <c r="Q1299" s="7" t="b">
        <v>0</v>
      </c>
      <c r="R1299" s="7"/>
      <c r="S1299" s="15" t="s">
        <v>16</v>
      </c>
    </row>
    <row r="1300" spans="1:19">
      <c r="A1300" s="3" t="s">
        <v>2691</v>
      </c>
      <c r="B1300" s="4" t="s">
        <v>2692</v>
      </c>
      <c r="C1300" s="5" t="s">
        <v>4127</v>
      </c>
      <c r="D1300" s="5">
        <v>45032</v>
      </c>
      <c r="E1300" s="4">
        <v>4</v>
      </c>
      <c r="F1300" s="4">
        <v>16</v>
      </c>
      <c r="G1300" s="4">
        <v>2023</v>
      </c>
      <c r="H1300" s="5">
        <f t="shared" si="60"/>
        <v>45032</v>
      </c>
      <c r="I1300" s="9">
        <v>45050</v>
      </c>
      <c r="J1300" s="4">
        <f t="shared" si="61"/>
        <v>18</v>
      </c>
      <c r="K1300" s="4" t="s">
        <v>23</v>
      </c>
      <c r="L1300" s="4">
        <v>39565</v>
      </c>
      <c r="M1300" s="4">
        <v>579</v>
      </c>
      <c r="N1300" s="10">
        <v>336.2</v>
      </c>
      <c r="O1300" s="10">
        <f t="shared" si="62"/>
        <v>336.2</v>
      </c>
      <c r="P1300" s="4">
        <v>35</v>
      </c>
      <c r="Q1300" s="4" t="b">
        <v>0</v>
      </c>
      <c r="R1300" s="4"/>
      <c r="S1300" s="14" t="s">
        <v>25</v>
      </c>
    </row>
    <row r="1301" spans="1:19">
      <c r="A1301" s="6" t="s">
        <v>2693</v>
      </c>
      <c r="B1301" s="7" t="s">
        <v>2694</v>
      </c>
      <c r="C1301" s="8" t="s">
        <v>4131</v>
      </c>
      <c r="D1301" s="8">
        <v>45081</v>
      </c>
      <c r="E1301" s="7">
        <v>6</v>
      </c>
      <c r="F1301" s="7">
        <v>4</v>
      </c>
      <c r="G1301" s="7">
        <v>2023</v>
      </c>
      <c r="H1301" s="8">
        <f t="shared" si="60"/>
        <v>45081</v>
      </c>
      <c r="I1301" s="11">
        <v>45092</v>
      </c>
      <c r="J1301" s="7">
        <f t="shared" si="61"/>
        <v>11</v>
      </c>
      <c r="K1301" s="7" t="s">
        <v>19</v>
      </c>
      <c r="L1301" s="7">
        <v>26522</v>
      </c>
      <c r="M1301" s="7">
        <v>310</v>
      </c>
      <c r="N1301" s="12">
        <v>466.25</v>
      </c>
      <c r="O1301" s="12">
        <f t="shared" si="62"/>
        <v>466.25</v>
      </c>
      <c r="P1301" s="7">
        <v>31</v>
      </c>
      <c r="Q1301" s="7" t="b">
        <v>0</v>
      </c>
      <c r="R1301" s="7"/>
      <c r="S1301" s="15" t="s">
        <v>20</v>
      </c>
    </row>
    <row r="1302" spans="1:19">
      <c r="A1302" s="3" t="s">
        <v>2695</v>
      </c>
      <c r="B1302" s="4" t="s">
        <v>2696</v>
      </c>
      <c r="C1302" s="5" t="s">
        <v>4128</v>
      </c>
      <c r="D1302" s="5">
        <v>45193</v>
      </c>
      <c r="E1302" s="4">
        <v>9</v>
      </c>
      <c r="F1302" s="4">
        <v>24</v>
      </c>
      <c r="G1302" s="4">
        <v>2023</v>
      </c>
      <c r="H1302" s="5">
        <f t="shared" si="60"/>
        <v>45193</v>
      </c>
      <c r="I1302" s="9">
        <v>45198</v>
      </c>
      <c r="J1302" s="4">
        <f t="shared" si="61"/>
        <v>5</v>
      </c>
      <c r="K1302" s="4" t="s">
        <v>23</v>
      </c>
      <c r="L1302" s="4">
        <v>66155</v>
      </c>
      <c r="M1302" s="4">
        <v>2155</v>
      </c>
      <c r="N1302" s="10">
        <v>1825.11</v>
      </c>
      <c r="O1302" s="10">
        <f t="shared" si="62"/>
        <v>1825.11</v>
      </c>
      <c r="P1302" s="4">
        <v>348</v>
      </c>
      <c r="Q1302" s="4" t="b">
        <v>1</v>
      </c>
      <c r="R1302" s="4"/>
      <c r="S1302" s="14" t="s">
        <v>25</v>
      </c>
    </row>
    <row r="1303" spans="1:19">
      <c r="A1303" s="6" t="s">
        <v>2697</v>
      </c>
      <c r="B1303" s="7" t="s">
        <v>2698</v>
      </c>
      <c r="C1303" s="8" t="s">
        <v>4129</v>
      </c>
      <c r="D1303" s="8">
        <v>44997</v>
      </c>
      <c r="E1303" s="7">
        <v>3</v>
      </c>
      <c r="F1303" s="7">
        <v>12</v>
      </c>
      <c r="G1303" s="7">
        <v>2023</v>
      </c>
      <c r="H1303" s="8">
        <f t="shared" si="60"/>
        <v>44997</v>
      </c>
      <c r="I1303" s="11">
        <v>45006</v>
      </c>
      <c r="J1303" s="7">
        <f t="shared" si="61"/>
        <v>9</v>
      </c>
      <c r="K1303" s="7" t="s">
        <v>33</v>
      </c>
      <c r="L1303" s="7">
        <v>56168</v>
      </c>
      <c r="M1303" s="7">
        <v>2651</v>
      </c>
      <c r="N1303" s="12">
        <v>2294.06</v>
      </c>
      <c r="O1303" s="12">
        <f t="shared" si="62"/>
        <v>2294.06</v>
      </c>
      <c r="P1303" s="7">
        <v>306</v>
      </c>
      <c r="Q1303" s="7" t="b">
        <v>0</v>
      </c>
      <c r="R1303" s="7"/>
      <c r="S1303" s="15" t="s">
        <v>34</v>
      </c>
    </row>
    <row r="1304" spans="1:19">
      <c r="A1304" s="3" t="s">
        <v>2699</v>
      </c>
      <c r="B1304" s="4" t="s">
        <v>2700</v>
      </c>
      <c r="C1304" s="5" t="s">
        <v>4131</v>
      </c>
      <c r="D1304" s="5">
        <v>45188</v>
      </c>
      <c r="E1304" s="4">
        <v>9</v>
      </c>
      <c r="F1304" s="4">
        <v>19</v>
      </c>
      <c r="G1304" s="4">
        <v>2023</v>
      </c>
      <c r="H1304" s="5">
        <f t="shared" si="60"/>
        <v>45188</v>
      </c>
      <c r="I1304" s="9">
        <v>45208</v>
      </c>
      <c r="J1304" s="4">
        <f t="shared" si="61"/>
        <v>20</v>
      </c>
      <c r="K1304" s="4" t="s">
        <v>33</v>
      </c>
      <c r="L1304" s="4">
        <v>53487</v>
      </c>
      <c r="M1304" s="4">
        <v>2341</v>
      </c>
      <c r="N1304" s="10">
        <v>2245.18</v>
      </c>
      <c r="O1304" s="10">
        <f t="shared" si="62"/>
        <v>2245.18</v>
      </c>
      <c r="P1304" s="4">
        <v>404</v>
      </c>
      <c r="Q1304" s="4" t="b">
        <v>1</v>
      </c>
      <c r="R1304" s="4"/>
      <c r="S1304" s="14" t="s">
        <v>34</v>
      </c>
    </row>
    <row r="1305" spans="1:19">
      <c r="A1305" s="6" t="s">
        <v>2701</v>
      </c>
      <c r="B1305" s="7" t="s">
        <v>2702</v>
      </c>
      <c r="C1305" s="8" t="s">
        <v>4128</v>
      </c>
      <c r="D1305" s="8">
        <v>44985</v>
      </c>
      <c r="E1305" s="7">
        <v>2</v>
      </c>
      <c r="F1305" s="7">
        <v>28</v>
      </c>
      <c r="G1305" s="7">
        <v>2023</v>
      </c>
      <c r="H1305" s="8">
        <f t="shared" si="60"/>
        <v>44985</v>
      </c>
      <c r="I1305" s="11">
        <v>44988</v>
      </c>
      <c r="J1305" s="7">
        <f t="shared" si="61"/>
        <v>3</v>
      </c>
      <c r="K1305" s="7" t="s">
        <v>33</v>
      </c>
      <c r="L1305" s="7">
        <v>13342</v>
      </c>
      <c r="M1305" s="7">
        <v>494</v>
      </c>
      <c r="N1305" s="12">
        <v>294.19</v>
      </c>
      <c r="O1305" s="12">
        <f t="shared" si="62"/>
        <v>294.19</v>
      </c>
      <c r="P1305" s="7">
        <v>65</v>
      </c>
      <c r="Q1305" s="7" t="b">
        <v>0</v>
      </c>
      <c r="R1305" s="7"/>
      <c r="S1305" s="15" t="s">
        <v>34</v>
      </c>
    </row>
    <row r="1306" spans="1:19">
      <c r="A1306" s="3" t="s">
        <v>2703</v>
      </c>
      <c r="B1306" s="4" t="s">
        <v>2704</v>
      </c>
      <c r="C1306" s="5" t="s">
        <v>4131</v>
      </c>
      <c r="D1306" s="5">
        <v>45238</v>
      </c>
      <c r="E1306" s="4">
        <v>11</v>
      </c>
      <c r="F1306" s="4">
        <v>8</v>
      </c>
      <c r="G1306" s="4">
        <v>2023</v>
      </c>
      <c r="H1306" s="5">
        <f t="shared" si="60"/>
        <v>45238</v>
      </c>
      <c r="I1306" s="9">
        <v>45247</v>
      </c>
      <c r="J1306" s="4">
        <f t="shared" si="61"/>
        <v>9</v>
      </c>
      <c r="K1306" s="4" t="s">
        <v>23</v>
      </c>
      <c r="L1306" s="4">
        <v>41806</v>
      </c>
      <c r="M1306" s="4">
        <v>650</v>
      </c>
      <c r="N1306" s="10">
        <v>497.7</v>
      </c>
      <c r="O1306" s="10">
        <f t="shared" si="62"/>
        <v>497.7</v>
      </c>
      <c r="P1306" s="4">
        <v>123</v>
      </c>
      <c r="Q1306" s="4" t="b">
        <v>0</v>
      </c>
      <c r="R1306" s="4"/>
      <c r="S1306" s="14" t="s">
        <v>25</v>
      </c>
    </row>
    <row r="1307" spans="1:19">
      <c r="A1307" s="6" t="s">
        <v>2705</v>
      </c>
      <c r="B1307" s="7" t="s">
        <v>2706</v>
      </c>
      <c r="C1307" s="8" t="s">
        <v>4131</v>
      </c>
      <c r="D1307" s="8">
        <v>45194</v>
      </c>
      <c r="E1307" s="7">
        <v>9</v>
      </c>
      <c r="F1307" s="7">
        <v>25</v>
      </c>
      <c r="G1307" s="7">
        <v>2023</v>
      </c>
      <c r="H1307" s="8">
        <f t="shared" si="60"/>
        <v>45194</v>
      </c>
      <c r="I1307" s="11">
        <v>45198</v>
      </c>
      <c r="J1307" s="7">
        <f t="shared" si="61"/>
        <v>4</v>
      </c>
      <c r="K1307" s="7" t="s">
        <v>23</v>
      </c>
      <c r="L1307" s="7">
        <v>49770</v>
      </c>
      <c r="M1307" s="7">
        <v>1003</v>
      </c>
      <c r="N1307" s="12">
        <v>509.23</v>
      </c>
      <c r="O1307" s="12">
        <f t="shared" si="62"/>
        <v>509.23</v>
      </c>
      <c r="P1307" s="7">
        <v>192</v>
      </c>
      <c r="Q1307" s="7" t="b">
        <v>1</v>
      </c>
      <c r="R1307" s="7"/>
      <c r="S1307" s="15" t="s">
        <v>25</v>
      </c>
    </row>
    <row r="1308" spans="1:19">
      <c r="A1308" s="3" t="s">
        <v>2707</v>
      </c>
      <c r="B1308" s="4" t="s">
        <v>2708</v>
      </c>
      <c r="C1308" s="5" t="s">
        <v>4127</v>
      </c>
      <c r="D1308" s="5">
        <v>45136</v>
      </c>
      <c r="E1308" s="4">
        <v>7</v>
      </c>
      <c r="F1308" s="4">
        <v>29</v>
      </c>
      <c r="G1308" s="4">
        <v>2023</v>
      </c>
      <c r="H1308" s="5">
        <f t="shared" si="60"/>
        <v>45136</v>
      </c>
      <c r="I1308" s="9">
        <v>45149</v>
      </c>
      <c r="J1308" s="4">
        <f t="shared" si="61"/>
        <v>13</v>
      </c>
      <c r="K1308" s="4" t="s">
        <v>14</v>
      </c>
      <c r="L1308" s="4">
        <v>79623</v>
      </c>
      <c r="M1308" s="4">
        <v>3584</v>
      </c>
      <c r="N1308" s="10">
        <v>4186.52</v>
      </c>
      <c r="O1308" s="10">
        <f t="shared" si="62"/>
        <v>3632.575</v>
      </c>
      <c r="P1308" s="4">
        <v>216</v>
      </c>
      <c r="Q1308" s="4" t="b">
        <v>0</v>
      </c>
      <c r="R1308" s="4"/>
      <c r="S1308" s="14" t="s">
        <v>16</v>
      </c>
    </row>
    <row r="1309" spans="1:19">
      <c r="A1309" s="6" t="s">
        <v>2709</v>
      </c>
      <c r="B1309" s="7" t="s">
        <v>2710</v>
      </c>
      <c r="C1309" s="8" t="s">
        <v>4129</v>
      </c>
      <c r="D1309" s="8">
        <v>45181</v>
      </c>
      <c r="E1309" s="7">
        <v>9</v>
      </c>
      <c r="F1309" s="7">
        <v>12</v>
      </c>
      <c r="G1309" s="7">
        <v>2023</v>
      </c>
      <c r="H1309" s="8">
        <f t="shared" si="60"/>
        <v>45181</v>
      </c>
      <c r="I1309" s="11">
        <v>45208</v>
      </c>
      <c r="J1309" s="7">
        <f t="shared" si="61"/>
        <v>27</v>
      </c>
      <c r="K1309" s="7" t="s">
        <v>19</v>
      </c>
      <c r="L1309" s="7">
        <v>76629</v>
      </c>
      <c r="M1309" s="7">
        <v>1326</v>
      </c>
      <c r="N1309" s="12">
        <v>830.58</v>
      </c>
      <c r="O1309" s="12">
        <f t="shared" si="62"/>
        <v>830.58</v>
      </c>
      <c r="P1309" s="7">
        <v>157</v>
      </c>
      <c r="Q1309" s="7" t="b">
        <v>0</v>
      </c>
      <c r="R1309" s="7"/>
      <c r="S1309" s="15" t="s">
        <v>20</v>
      </c>
    </row>
    <row r="1310" spans="1:19">
      <c r="A1310" s="3" t="s">
        <v>2711</v>
      </c>
      <c r="B1310" s="4" t="s">
        <v>2712</v>
      </c>
      <c r="C1310" s="5" t="s">
        <v>4131</v>
      </c>
      <c r="D1310" s="5">
        <v>45173</v>
      </c>
      <c r="E1310" s="4">
        <v>9</v>
      </c>
      <c r="F1310" s="4">
        <v>4</v>
      </c>
      <c r="G1310" s="4">
        <v>2023</v>
      </c>
      <c r="H1310" s="5">
        <f t="shared" si="60"/>
        <v>45173</v>
      </c>
      <c r="I1310" s="9">
        <v>45043</v>
      </c>
      <c r="J1310" s="4">
        <f t="shared" si="61"/>
        <v>-130</v>
      </c>
      <c r="K1310" s="4" t="s">
        <v>33</v>
      </c>
      <c r="L1310" s="4">
        <v>53603</v>
      </c>
      <c r="M1310" s="4">
        <v>1133</v>
      </c>
      <c r="N1310" s="10">
        <v>1726.67</v>
      </c>
      <c r="O1310" s="10">
        <f t="shared" si="62"/>
        <v>1726.67</v>
      </c>
      <c r="P1310" s="4">
        <v>160</v>
      </c>
      <c r="Q1310" s="4" t="b">
        <v>1</v>
      </c>
      <c r="R1310" s="4"/>
      <c r="S1310" s="14" t="s">
        <v>68</v>
      </c>
    </row>
    <row r="1311" spans="1:19">
      <c r="A1311" s="6" t="s">
        <v>2713</v>
      </c>
      <c r="B1311" s="7" t="s">
        <v>2714</v>
      </c>
      <c r="C1311" s="8" t="s">
        <v>4129</v>
      </c>
      <c r="D1311" s="8">
        <v>45211</v>
      </c>
      <c r="E1311" s="7">
        <v>10</v>
      </c>
      <c r="F1311" s="7">
        <v>12</v>
      </c>
      <c r="G1311" s="7">
        <v>2023</v>
      </c>
      <c r="H1311" s="8">
        <f t="shared" si="60"/>
        <v>45211</v>
      </c>
      <c r="I1311" s="11">
        <v>45283</v>
      </c>
      <c r="J1311" s="7">
        <f t="shared" si="61"/>
        <v>72</v>
      </c>
      <c r="K1311" s="7" t="s">
        <v>14</v>
      </c>
      <c r="L1311" s="7">
        <v>82974</v>
      </c>
      <c r="M1311" s="7">
        <v>1259</v>
      </c>
      <c r="N1311" s="12">
        <v>1074.47</v>
      </c>
      <c r="O1311" s="12">
        <f t="shared" si="62"/>
        <v>1074.47</v>
      </c>
      <c r="P1311" s="7">
        <v>111</v>
      </c>
      <c r="Q1311" s="7" t="b">
        <v>0</v>
      </c>
      <c r="R1311" s="7"/>
      <c r="S1311" s="15" t="s">
        <v>16</v>
      </c>
    </row>
    <row r="1312" spans="1:19">
      <c r="A1312" s="3" t="s">
        <v>2715</v>
      </c>
      <c r="B1312" s="4" t="s">
        <v>2716</v>
      </c>
      <c r="C1312" s="5" t="s">
        <v>4128</v>
      </c>
      <c r="D1312" s="5">
        <v>44983</v>
      </c>
      <c r="E1312" s="4">
        <v>2</v>
      </c>
      <c r="F1312" s="4">
        <v>26</v>
      </c>
      <c r="G1312" s="4">
        <v>2023</v>
      </c>
      <c r="H1312" s="5">
        <f t="shared" si="60"/>
        <v>44983</v>
      </c>
      <c r="I1312" s="9">
        <v>44984</v>
      </c>
      <c r="J1312" s="4">
        <f t="shared" si="61"/>
        <v>1</v>
      </c>
      <c r="K1312" s="4" t="s">
        <v>14</v>
      </c>
      <c r="L1312" s="4">
        <v>27399</v>
      </c>
      <c r="M1312" s="4">
        <v>1014</v>
      </c>
      <c r="N1312" s="10">
        <v>1942.18</v>
      </c>
      <c r="O1312" s="10">
        <f t="shared" si="62"/>
        <v>1942.18</v>
      </c>
      <c r="P1312" s="4">
        <v>112</v>
      </c>
      <c r="Q1312" s="4" t="b">
        <v>0</v>
      </c>
      <c r="R1312" s="4"/>
      <c r="S1312" s="14" t="s">
        <v>16</v>
      </c>
    </row>
    <row r="1313" spans="1:19">
      <c r="A1313" s="6" t="s">
        <v>2717</v>
      </c>
      <c r="B1313" s="7" t="s">
        <v>2718</v>
      </c>
      <c r="C1313" s="8" t="s">
        <v>4127</v>
      </c>
      <c r="D1313" s="8">
        <v>45003</v>
      </c>
      <c r="E1313" s="7">
        <v>3</v>
      </c>
      <c r="F1313" s="7">
        <v>18</v>
      </c>
      <c r="G1313" s="7">
        <v>2023</v>
      </c>
      <c r="H1313" s="8">
        <f t="shared" si="60"/>
        <v>45003</v>
      </c>
      <c r="I1313" s="11">
        <v>45006</v>
      </c>
      <c r="J1313" s="7">
        <f t="shared" si="61"/>
        <v>3</v>
      </c>
      <c r="K1313" s="7" t="s">
        <v>19</v>
      </c>
      <c r="L1313" s="7">
        <v>86382</v>
      </c>
      <c r="M1313" s="7">
        <v>4125</v>
      </c>
      <c r="N1313" s="12">
        <v>7453.37</v>
      </c>
      <c r="O1313" s="12">
        <f t="shared" si="62"/>
        <v>3632.575</v>
      </c>
      <c r="P1313" s="7">
        <v>625</v>
      </c>
      <c r="Q1313" s="7" t="b">
        <v>0</v>
      </c>
      <c r="R1313" s="7"/>
      <c r="S1313" s="15" t="s">
        <v>68</v>
      </c>
    </row>
    <row r="1314" spans="1:19">
      <c r="A1314" s="3" t="s">
        <v>2719</v>
      </c>
      <c r="B1314" s="4" t="s">
        <v>2720</v>
      </c>
      <c r="C1314" s="5" t="s">
        <v>4131</v>
      </c>
      <c r="D1314" s="5">
        <v>44965</v>
      </c>
      <c r="E1314" s="4">
        <v>2</v>
      </c>
      <c r="F1314" s="4">
        <v>8</v>
      </c>
      <c r="G1314" s="4">
        <v>2023</v>
      </c>
      <c r="H1314" s="5">
        <f t="shared" si="60"/>
        <v>44965</v>
      </c>
      <c r="I1314" s="9">
        <v>44972</v>
      </c>
      <c r="J1314" s="4">
        <f t="shared" si="61"/>
        <v>7</v>
      </c>
      <c r="K1314" s="4" t="s">
        <v>23</v>
      </c>
      <c r="L1314" s="4">
        <v>82244</v>
      </c>
      <c r="M1314" s="4">
        <v>1707</v>
      </c>
      <c r="N1314" s="10">
        <v>1594.61</v>
      </c>
      <c r="O1314" s="10">
        <f t="shared" si="62"/>
        <v>1594.61</v>
      </c>
      <c r="P1314" s="4">
        <v>143</v>
      </c>
      <c r="Q1314" s="4" t="b">
        <v>1</v>
      </c>
      <c r="R1314" s="4"/>
      <c r="S1314" s="14" t="s">
        <v>25</v>
      </c>
    </row>
    <row r="1315" spans="1:19">
      <c r="A1315" s="6" t="s">
        <v>2721</v>
      </c>
      <c r="B1315" s="7" t="s">
        <v>2722</v>
      </c>
      <c r="C1315" s="8" t="s">
        <v>4129</v>
      </c>
      <c r="D1315" s="8">
        <v>45058</v>
      </c>
      <c r="E1315" s="7">
        <v>5</v>
      </c>
      <c r="F1315" s="7">
        <v>12</v>
      </c>
      <c r="G1315" s="7">
        <v>2023</v>
      </c>
      <c r="H1315" s="8">
        <f t="shared" si="60"/>
        <v>45058</v>
      </c>
      <c r="I1315" s="11">
        <v>45084</v>
      </c>
      <c r="J1315" s="7">
        <f t="shared" si="61"/>
        <v>26</v>
      </c>
      <c r="K1315" s="7" t="s">
        <v>41</v>
      </c>
      <c r="L1315" s="7">
        <v>77534</v>
      </c>
      <c r="M1315" s="7">
        <v>2249</v>
      </c>
      <c r="N1315" s="12">
        <v>3766.68</v>
      </c>
      <c r="O1315" s="12">
        <f t="shared" si="62"/>
        <v>3632.575</v>
      </c>
      <c r="P1315" s="7">
        <v>315</v>
      </c>
      <c r="Q1315" s="7" t="b">
        <v>0</v>
      </c>
      <c r="R1315" s="7"/>
      <c r="S1315" s="15" t="s">
        <v>42</v>
      </c>
    </row>
    <row r="1316" spans="1:19">
      <c r="A1316" s="3" t="s">
        <v>2723</v>
      </c>
      <c r="B1316" s="4" t="s">
        <v>2724</v>
      </c>
      <c r="C1316" s="5" t="s">
        <v>4129</v>
      </c>
      <c r="D1316" s="5">
        <v>45078</v>
      </c>
      <c r="E1316" s="4">
        <v>6</v>
      </c>
      <c r="F1316" s="4">
        <v>1</v>
      </c>
      <c r="G1316" s="4">
        <v>2023</v>
      </c>
      <c r="H1316" s="5">
        <f t="shared" si="60"/>
        <v>45078</v>
      </c>
      <c r="I1316" s="9">
        <v>44962</v>
      </c>
      <c r="J1316" s="4">
        <f t="shared" si="61"/>
        <v>-116</v>
      </c>
      <c r="K1316" s="4" t="s">
        <v>19</v>
      </c>
      <c r="L1316" s="4">
        <v>56106</v>
      </c>
      <c r="M1316" s="4">
        <v>1984</v>
      </c>
      <c r="N1316" s="10">
        <v>3382.46</v>
      </c>
      <c r="O1316" s="10">
        <f t="shared" si="62"/>
        <v>3382.46</v>
      </c>
      <c r="P1316" s="4">
        <v>306</v>
      </c>
      <c r="Q1316" s="4" t="b">
        <v>0</v>
      </c>
      <c r="R1316" s="4"/>
      <c r="S1316" s="14" t="s">
        <v>20</v>
      </c>
    </row>
    <row r="1317" spans="1:19">
      <c r="A1317" s="6" t="s">
        <v>2725</v>
      </c>
      <c r="B1317" s="7" t="s">
        <v>2726</v>
      </c>
      <c r="C1317" s="8" t="s">
        <v>4127</v>
      </c>
      <c r="D1317" s="8">
        <v>45016</v>
      </c>
      <c r="E1317" s="7">
        <v>3</v>
      </c>
      <c r="F1317" s="7">
        <v>31</v>
      </c>
      <c r="G1317" s="7">
        <v>2023</v>
      </c>
      <c r="H1317" s="8">
        <f t="shared" si="60"/>
        <v>45016</v>
      </c>
      <c r="I1317" s="11">
        <v>45025</v>
      </c>
      <c r="J1317" s="7">
        <f t="shared" si="61"/>
        <v>9</v>
      </c>
      <c r="K1317" s="7" t="s">
        <v>41</v>
      </c>
      <c r="L1317" s="7">
        <v>31678</v>
      </c>
      <c r="M1317" s="7">
        <v>1583</v>
      </c>
      <c r="N1317" s="12">
        <v>3134.09</v>
      </c>
      <c r="O1317" s="12">
        <f t="shared" si="62"/>
        <v>3134.09</v>
      </c>
      <c r="P1317" s="7">
        <v>100</v>
      </c>
      <c r="Q1317" s="7" t="b">
        <v>0</v>
      </c>
      <c r="R1317" s="7"/>
      <c r="S1317" s="15" t="s">
        <v>42</v>
      </c>
    </row>
    <row r="1318" spans="1:19">
      <c r="A1318" s="3" t="s">
        <v>2727</v>
      </c>
      <c r="B1318" s="4" t="s">
        <v>2728</v>
      </c>
      <c r="C1318" s="5" t="s">
        <v>4129</v>
      </c>
      <c r="D1318" s="5">
        <v>45111</v>
      </c>
      <c r="E1318" s="4">
        <v>7</v>
      </c>
      <c r="F1318" s="4">
        <v>4</v>
      </c>
      <c r="G1318" s="4">
        <v>2023</v>
      </c>
      <c r="H1318" s="5">
        <f t="shared" si="60"/>
        <v>45111</v>
      </c>
      <c r="I1318" s="9">
        <v>45141</v>
      </c>
      <c r="J1318" s="4">
        <f t="shared" si="61"/>
        <v>30</v>
      </c>
      <c r="K1318" s="4" t="s">
        <v>138</v>
      </c>
      <c r="L1318" s="4">
        <v>77218</v>
      </c>
      <c r="M1318" s="4">
        <v>1095</v>
      </c>
      <c r="N1318" s="10">
        <v>1529.45</v>
      </c>
      <c r="O1318" s="10">
        <f t="shared" si="62"/>
        <v>1529.45</v>
      </c>
      <c r="P1318" s="4">
        <v>136</v>
      </c>
      <c r="Q1318" s="4" t="b">
        <v>0</v>
      </c>
      <c r="R1318" s="4"/>
      <c r="S1318" s="14" t="s">
        <v>139</v>
      </c>
    </row>
    <row r="1319" spans="1:19">
      <c r="A1319" s="6" t="s">
        <v>2729</v>
      </c>
      <c r="B1319" s="7" t="s">
        <v>2730</v>
      </c>
      <c r="C1319" s="8" t="s">
        <v>4128</v>
      </c>
      <c r="D1319" s="8">
        <v>44929</v>
      </c>
      <c r="E1319" s="7">
        <v>1</v>
      </c>
      <c r="F1319" s="7">
        <v>3</v>
      </c>
      <c r="G1319" s="7">
        <v>2023</v>
      </c>
      <c r="H1319" s="8">
        <f t="shared" si="60"/>
        <v>44929</v>
      </c>
      <c r="I1319" s="11">
        <v>45002</v>
      </c>
      <c r="J1319" s="7">
        <f t="shared" si="61"/>
        <v>73</v>
      </c>
      <c r="K1319" s="7" t="s">
        <v>14</v>
      </c>
      <c r="L1319" s="7">
        <v>64230</v>
      </c>
      <c r="M1319" s="7">
        <v>1923</v>
      </c>
      <c r="N1319" s="12">
        <v>-1197.93</v>
      </c>
      <c r="O1319" s="12">
        <f t="shared" si="62"/>
        <v>-344.195</v>
      </c>
      <c r="P1319" s="7">
        <v>172</v>
      </c>
      <c r="Q1319" s="7" t="b">
        <v>1</v>
      </c>
      <c r="R1319" s="7"/>
      <c r="S1319" s="15" t="s">
        <v>16</v>
      </c>
    </row>
    <row r="1320" spans="1:19">
      <c r="A1320" s="3" t="s">
        <v>2731</v>
      </c>
      <c r="B1320" s="4" t="s">
        <v>2732</v>
      </c>
      <c r="C1320" s="5" t="s">
        <v>4127</v>
      </c>
      <c r="D1320" s="5" t="s">
        <v>2733</v>
      </c>
      <c r="E1320" s="4">
        <v>24</v>
      </c>
      <c r="F1320" s="4">
        <v>1</v>
      </c>
      <c r="G1320" s="4">
        <v>2023</v>
      </c>
      <c r="H1320" s="5">
        <f t="shared" si="60"/>
        <v>44950</v>
      </c>
      <c r="I1320" s="9">
        <v>44965</v>
      </c>
      <c r="J1320" s="4">
        <f t="shared" si="61"/>
        <v>15</v>
      </c>
      <c r="K1320" s="4" t="s">
        <v>23</v>
      </c>
      <c r="L1320" s="4">
        <v>75055</v>
      </c>
      <c r="M1320" s="4">
        <v>1906</v>
      </c>
      <c r="N1320" s="10">
        <v>2802.31</v>
      </c>
      <c r="O1320" s="10">
        <f t="shared" si="62"/>
        <v>2802.31</v>
      </c>
      <c r="P1320" s="4">
        <v>302</v>
      </c>
      <c r="Q1320" s="4" t="b">
        <v>1</v>
      </c>
      <c r="R1320" s="4"/>
      <c r="S1320" s="14" t="s">
        <v>25</v>
      </c>
    </row>
    <row r="1321" spans="1:19">
      <c r="A1321" s="6" t="s">
        <v>2734</v>
      </c>
      <c r="B1321" s="7" t="s">
        <v>2735</v>
      </c>
      <c r="C1321" s="8" t="s">
        <v>4131</v>
      </c>
      <c r="D1321" s="8">
        <v>44997</v>
      </c>
      <c r="E1321" s="7">
        <v>3</v>
      </c>
      <c r="F1321" s="7">
        <v>12</v>
      </c>
      <c r="G1321" s="7">
        <v>2023</v>
      </c>
      <c r="H1321" s="8">
        <f t="shared" si="60"/>
        <v>44997</v>
      </c>
      <c r="I1321" s="11">
        <v>45027</v>
      </c>
      <c r="J1321" s="7">
        <f t="shared" si="61"/>
        <v>30</v>
      </c>
      <c r="K1321" s="7" t="s">
        <v>23</v>
      </c>
      <c r="L1321" s="7">
        <v>57373</v>
      </c>
      <c r="M1321" s="7">
        <v>2560</v>
      </c>
      <c r="N1321" s="12">
        <v>3679.92</v>
      </c>
      <c r="O1321" s="12">
        <f t="shared" si="62"/>
        <v>3632.575</v>
      </c>
      <c r="P1321" s="7">
        <v>200</v>
      </c>
      <c r="Q1321" s="7" t="b">
        <v>0</v>
      </c>
      <c r="R1321" s="7"/>
      <c r="S1321" s="15" t="s">
        <v>59</v>
      </c>
    </row>
    <row r="1322" spans="1:19">
      <c r="A1322" s="3" t="s">
        <v>2736</v>
      </c>
      <c r="B1322" s="4" t="s">
        <v>2737</v>
      </c>
      <c r="C1322" s="5" t="s">
        <v>4129</v>
      </c>
      <c r="D1322" s="5">
        <v>45110</v>
      </c>
      <c r="E1322" s="4">
        <v>7</v>
      </c>
      <c r="F1322" s="4">
        <v>3</v>
      </c>
      <c r="G1322" s="4">
        <v>2023</v>
      </c>
      <c r="H1322" s="5">
        <f t="shared" si="60"/>
        <v>45110</v>
      </c>
      <c r="I1322" s="9">
        <v>45128</v>
      </c>
      <c r="J1322" s="4">
        <f t="shared" si="61"/>
        <v>18</v>
      </c>
      <c r="K1322" s="4" t="s">
        <v>19</v>
      </c>
      <c r="L1322" s="4">
        <v>32480</v>
      </c>
      <c r="M1322" s="4">
        <v>943</v>
      </c>
      <c r="N1322" s="10">
        <v>1374.45</v>
      </c>
      <c r="O1322" s="10">
        <f t="shared" si="62"/>
        <v>1374.45</v>
      </c>
      <c r="P1322" s="4">
        <v>173</v>
      </c>
      <c r="Q1322" s="4" t="b">
        <v>1</v>
      </c>
      <c r="R1322" s="4"/>
      <c r="S1322" s="14" t="s">
        <v>20</v>
      </c>
    </row>
    <row r="1323" spans="1:19">
      <c r="A1323" s="6" t="s">
        <v>2738</v>
      </c>
      <c r="B1323" s="7" t="s">
        <v>2739</v>
      </c>
      <c r="C1323" s="8" t="s">
        <v>4127</v>
      </c>
      <c r="D1323" s="8">
        <v>45064</v>
      </c>
      <c r="E1323" s="7">
        <v>5</v>
      </c>
      <c r="F1323" s="7">
        <v>18</v>
      </c>
      <c r="G1323" s="7">
        <v>2023</v>
      </c>
      <c r="H1323" s="8">
        <f t="shared" si="60"/>
        <v>45064</v>
      </c>
      <c r="I1323" s="11">
        <v>45083</v>
      </c>
      <c r="J1323" s="7">
        <f t="shared" si="61"/>
        <v>19</v>
      </c>
      <c r="K1323" s="7" t="s">
        <v>33</v>
      </c>
      <c r="L1323" s="7">
        <v>86230</v>
      </c>
      <c r="M1323" s="7">
        <v>1245</v>
      </c>
      <c r="N1323" s="12">
        <v>1196.09</v>
      </c>
      <c r="O1323" s="12">
        <f t="shared" si="62"/>
        <v>1196.09</v>
      </c>
      <c r="P1323" s="7">
        <v>142</v>
      </c>
      <c r="Q1323" s="7" t="b">
        <v>1</v>
      </c>
      <c r="R1323" s="7"/>
      <c r="S1323" s="15" t="s">
        <v>34</v>
      </c>
    </row>
    <row r="1324" spans="1:19">
      <c r="A1324" s="3" t="s">
        <v>2740</v>
      </c>
      <c r="B1324" s="4" t="s">
        <v>2741</v>
      </c>
      <c r="C1324" s="5" t="s">
        <v>4127</v>
      </c>
      <c r="D1324" s="5">
        <v>45102</v>
      </c>
      <c r="E1324" s="4">
        <v>6</v>
      </c>
      <c r="F1324" s="4">
        <v>25</v>
      </c>
      <c r="G1324" s="4">
        <v>2023</v>
      </c>
      <c r="H1324" s="5">
        <f t="shared" si="60"/>
        <v>45102</v>
      </c>
      <c r="I1324" s="9">
        <v>45129</v>
      </c>
      <c r="J1324" s="4">
        <f t="shared" si="61"/>
        <v>27</v>
      </c>
      <c r="K1324" s="4" t="s">
        <v>41</v>
      </c>
      <c r="L1324" s="4">
        <v>69836</v>
      </c>
      <c r="M1324" s="4">
        <v>2470</v>
      </c>
      <c r="N1324" s="10">
        <v>4420.11</v>
      </c>
      <c r="O1324" s="10">
        <f t="shared" si="62"/>
        <v>3632.575</v>
      </c>
      <c r="P1324" s="4">
        <v>196</v>
      </c>
      <c r="Q1324" s="4" t="b">
        <v>1</v>
      </c>
      <c r="R1324" s="4"/>
      <c r="S1324" s="14" t="s">
        <v>42</v>
      </c>
    </row>
    <row r="1325" spans="1:19">
      <c r="A1325" s="6" t="s">
        <v>2742</v>
      </c>
      <c r="B1325" s="7" t="s">
        <v>2743</v>
      </c>
      <c r="C1325" s="8" t="s">
        <v>4129</v>
      </c>
      <c r="D1325" s="8">
        <v>45160</v>
      </c>
      <c r="E1325" s="7">
        <v>8</v>
      </c>
      <c r="F1325" s="7">
        <v>22</v>
      </c>
      <c r="G1325" s="7">
        <v>2023</v>
      </c>
      <c r="H1325" s="8">
        <f t="shared" si="60"/>
        <v>45160</v>
      </c>
      <c r="I1325" s="11">
        <v>45169</v>
      </c>
      <c r="J1325" s="7">
        <f t="shared" si="61"/>
        <v>9</v>
      </c>
      <c r="K1325" s="7" t="s">
        <v>23</v>
      </c>
      <c r="L1325" s="7">
        <v>73258</v>
      </c>
      <c r="M1325" s="7">
        <v>2991</v>
      </c>
      <c r="N1325" s="12">
        <v>5800.17</v>
      </c>
      <c r="O1325" s="12">
        <f t="shared" si="62"/>
        <v>3632.575</v>
      </c>
      <c r="P1325" s="7">
        <v>346</v>
      </c>
      <c r="Q1325" s="7" t="b">
        <v>1</v>
      </c>
      <c r="R1325" s="7"/>
      <c r="S1325" s="15" t="s">
        <v>25</v>
      </c>
    </row>
    <row r="1326" spans="1:19">
      <c r="A1326" s="3" t="s">
        <v>2744</v>
      </c>
      <c r="B1326" s="4" t="s">
        <v>2745</v>
      </c>
      <c r="C1326" s="5" t="s">
        <v>4129</v>
      </c>
      <c r="D1326" s="5">
        <v>45171</v>
      </c>
      <c r="E1326" s="4">
        <v>9</v>
      </c>
      <c r="F1326" s="4">
        <v>2</v>
      </c>
      <c r="G1326" s="4">
        <v>2023</v>
      </c>
      <c r="H1326" s="5">
        <f t="shared" si="60"/>
        <v>45171</v>
      </c>
      <c r="I1326" s="9">
        <v>45188</v>
      </c>
      <c r="J1326" s="4">
        <f t="shared" si="61"/>
        <v>17</v>
      </c>
      <c r="K1326" s="4" t="s">
        <v>23</v>
      </c>
      <c r="L1326" s="4">
        <v>40986</v>
      </c>
      <c r="M1326" s="4">
        <v>414</v>
      </c>
      <c r="N1326" s="10">
        <v>342.2</v>
      </c>
      <c r="O1326" s="10">
        <f t="shared" si="62"/>
        <v>342.2</v>
      </c>
      <c r="P1326" s="4">
        <v>46</v>
      </c>
      <c r="Q1326" s="4" t="b">
        <v>0</v>
      </c>
      <c r="R1326" s="4"/>
      <c r="S1326" s="14" t="s">
        <v>25</v>
      </c>
    </row>
    <row r="1327" spans="1:19">
      <c r="A1327" s="6" t="s">
        <v>2746</v>
      </c>
      <c r="B1327" s="7" t="s">
        <v>2747</v>
      </c>
      <c r="C1327" s="8" t="s">
        <v>4131</v>
      </c>
      <c r="D1327" s="8">
        <v>45012</v>
      </c>
      <c r="E1327" s="7">
        <v>3</v>
      </c>
      <c r="F1327" s="7">
        <v>27</v>
      </c>
      <c r="G1327" s="7">
        <v>2023</v>
      </c>
      <c r="H1327" s="8">
        <f t="shared" si="60"/>
        <v>45012</v>
      </c>
      <c r="I1327" s="11">
        <v>45031</v>
      </c>
      <c r="J1327" s="7">
        <f t="shared" si="61"/>
        <v>19</v>
      </c>
      <c r="K1327" s="7" t="s">
        <v>14</v>
      </c>
      <c r="L1327" s="7">
        <v>25160</v>
      </c>
      <c r="M1327" s="7">
        <v>1116</v>
      </c>
      <c r="N1327" s="12">
        <v>705.57</v>
      </c>
      <c r="O1327" s="12">
        <f t="shared" si="62"/>
        <v>705.57</v>
      </c>
      <c r="P1327" s="7">
        <v>127</v>
      </c>
      <c r="Q1327" s="7" t="b">
        <v>1</v>
      </c>
      <c r="R1327" s="7"/>
      <c r="S1327" s="15" t="s">
        <v>16</v>
      </c>
    </row>
    <row r="1328" spans="1:19">
      <c r="A1328" s="3" t="s">
        <v>2748</v>
      </c>
      <c r="B1328" s="4" t="s">
        <v>2749</v>
      </c>
      <c r="C1328" s="5" t="s">
        <v>4128</v>
      </c>
      <c r="D1328" s="5">
        <v>44957</v>
      </c>
      <c r="E1328" s="4">
        <v>1</v>
      </c>
      <c r="F1328" s="4">
        <v>31</v>
      </c>
      <c r="G1328" s="4">
        <v>2023</v>
      </c>
      <c r="H1328" s="5">
        <f t="shared" si="60"/>
        <v>44957</v>
      </c>
      <c r="I1328" s="9">
        <v>44971</v>
      </c>
      <c r="J1328" s="4">
        <f t="shared" si="61"/>
        <v>14</v>
      </c>
      <c r="K1328" s="4" t="s">
        <v>14</v>
      </c>
      <c r="L1328" s="4">
        <v>86595</v>
      </c>
      <c r="M1328" s="4">
        <v>1510</v>
      </c>
      <c r="N1328" s="10">
        <v>1195.62</v>
      </c>
      <c r="O1328" s="10">
        <f t="shared" si="62"/>
        <v>1195.62</v>
      </c>
      <c r="P1328" s="4">
        <v>208</v>
      </c>
      <c r="Q1328" s="4" t="b">
        <v>1</v>
      </c>
      <c r="R1328" s="4"/>
      <c r="S1328" s="14" t="s">
        <v>16</v>
      </c>
    </row>
    <row r="1329" spans="1:19">
      <c r="A1329" s="6" t="s">
        <v>2750</v>
      </c>
      <c r="B1329" s="7" t="s">
        <v>2751</v>
      </c>
      <c r="C1329" s="8" t="s">
        <v>4128</v>
      </c>
      <c r="D1329" s="8">
        <v>44980</v>
      </c>
      <c r="E1329" s="7">
        <v>2</v>
      </c>
      <c r="F1329" s="7">
        <v>23</v>
      </c>
      <c r="G1329" s="7">
        <v>2023</v>
      </c>
      <c r="H1329" s="8">
        <f t="shared" si="60"/>
        <v>44980</v>
      </c>
      <c r="I1329" s="11">
        <v>44987</v>
      </c>
      <c r="J1329" s="7">
        <f t="shared" si="61"/>
        <v>7</v>
      </c>
      <c r="K1329" s="7" t="s">
        <v>14</v>
      </c>
      <c r="L1329" s="7">
        <v>80111</v>
      </c>
      <c r="M1329" s="7">
        <v>2570</v>
      </c>
      <c r="N1329" s="12">
        <v>4448.23</v>
      </c>
      <c r="O1329" s="12">
        <f t="shared" si="62"/>
        <v>3632.575</v>
      </c>
      <c r="P1329" s="7">
        <v>329</v>
      </c>
      <c r="Q1329" s="7" t="b">
        <v>1</v>
      </c>
      <c r="R1329" s="7"/>
      <c r="S1329" s="15" t="s">
        <v>68</v>
      </c>
    </row>
    <row r="1330" spans="1:19">
      <c r="A1330" s="3" t="s">
        <v>2752</v>
      </c>
      <c r="B1330" s="4" t="s">
        <v>2753</v>
      </c>
      <c r="C1330" s="5" t="s">
        <v>4128</v>
      </c>
      <c r="D1330" s="5">
        <v>45218</v>
      </c>
      <c r="E1330" s="4">
        <v>10</v>
      </c>
      <c r="F1330" s="4">
        <v>19</v>
      </c>
      <c r="G1330" s="4">
        <v>2023</v>
      </c>
      <c r="H1330" s="5">
        <f t="shared" si="60"/>
        <v>45218</v>
      </c>
      <c r="I1330" s="9">
        <v>45227</v>
      </c>
      <c r="J1330" s="4">
        <f t="shared" si="61"/>
        <v>9</v>
      </c>
      <c r="K1330" s="4" t="s">
        <v>19</v>
      </c>
      <c r="L1330" s="4">
        <v>65929</v>
      </c>
      <c r="M1330" s="4">
        <v>1755</v>
      </c>
      <c r="N1330" s="10">
        <v>2658.77</v>
      </c>
      <c r="O1330" s="10">
        <f t="shared" si="62"/>
        <v>2658.77</v>
      </c>
      <c r="P1330" s="4">
        <v>0</v>
      </c>
      <c r="Q1330" s="4" t="b">
        <v>1</v>
      </c>
      <c r="R1330" s="4"/>
      <c r="S1330" s="14" t="s">
        <v>20</v>
      </c>
    </row>
    <row r="1331" spans="1:19">
      <c r="A1331" s="6" t="s">
        <v>2754</v>
      </c>
      <c r="B1331" s="7" t="s">
        <v>2755</v>
      </c>
      <c r="C1331" s="8" t="s">
        <v>4131</v>
      </c>
      <c r="D1331" s="8">
        <v>45121</v>
      </c>
      <c r="E1331" s="7">
        <v>7</v>
      </c>
      <c r="F1331" s="7">
        <v>14</v>
      </c>
      <c r="G1331" s="7">
        <v>2023</v>
      </c>
      <c r="H1331" s="8">
        <f t="shared" si="60"/>
        <v>45121</v>
      </c>
      <c r="I1331" s="11">
        <v>45123</v>
      </c>
      <c r="J1331" s="7">
        <f t="shared" si="61"/>
        <v>2</v>
      </c>
      <c r="K1331" s="7" t="s">
        <v>14</v>
      </c>
      <c r="L1331" s="7">
        <v>74506</v>
      </c>
      <c r="M1331" s="7">
        <v>2889</v>
      </c>
      <c r="N1331" s="12">
        <v>4200.81</v>
      </c>
      <c r="O1331" s="12">
        <f t="shared" si="62"/>
        <v>3632.575</v>
      </c>
      <c r="P1331" s="7">
        <v>0</v>
      </c>
      <c r="Q1331" s="7" t="b">
        <v>1</v>
      </c>
      <c r="R1331" s="7"/>
      <c r="S1331" s="15" t="s">
        <v>16</v>
      </c>
    </row>
    <row r="1332" spans="1:19">
      <c r="A1332" s="3" t="s">
        <v>2756</v>
      </c>
      <c r="B1332" s="4" t="s">
        <v>2757</v>
      </c>
      <c r="C1332" s="5" t="s">
        <v>4131</v>
      </c>
      <c r="D1332" s="5">
        <v>45277</v>
      </c>
      <c r="E1332" s="4">
        <v>12</v>
      </c>
      <c r="F1332" s="4">
        <v>17</v>
      </c>
      <c r="G1332" s="4">
        <v>2023</v>
      </c>
      <c r="H1332" s="5">
        <f t="shared" si="60"/>
        <v>45277</v>
      </c>
      <c r="I1332" s="9">
        <v>45291</v>
      </c>
      <c r="J1332" s="4">
        <f t="shared" si="61"/>
        <v>14</v>
      </c>
      <c r="K1332" s="4" t="s">
        <v>41</v>
      </c>
      <c r="L1332" s="4">
        <v>35911</v>
      </c>
      <c r="M1332" s="4">
        <v>892</v>
      </c>
      <c r="N1332" s="10">
        <v>983.6</v>
      </c>
      <c r="O1332" s="10">
        <f t="shared" si="62"/>
        <v>983.6</v>
      </c>
      <c r="P1332" s="4">
        <v>142</v>
      </c>
      <c r="Q1332" s="4" t="b">
        <v>0</v>
      </c>
      <c r="R1332" s="4"/>
      <c r="S1332" s="14" t="s">
        <v>42</v>
      </c>
    </row>
    <row r="1333" spans="1:19">
      <c r="A1333" s="6" t="s">
        <v>2758</v>
      </c>
      <c r="B1333" s="7" t="s">
        <v>2759</v>
      </c>
      <c r="C1333" s="8" t="s">
        <v>4129</v>
      </c>
      <c r="D1333" s="8">
        <v>44993</v>
      </c>
      <c r="E1333" s="7">
        <v>3</v>
      </c>
      <c r="F1333" s="7">
        <v>8</v>
      </c>
      <c r="G1333" s="7">
        <v>2023</v>
      </c>
      <c r="H1333" s="8">
        <f t="shared" si="60"/>
        <v>44993</v>
      </c>
      <c r="I1333" s="11">
        <v>45014</v>
      </c>
      <c r="J1333" s="7">
        <f t="shared" si="61"/>
        <v>21</v>
      </c>
      <c r="K1333" s="7" t="s">
        <v>19</v>
      </c>
      <c r="L1333" s="7">
        <v>88127</v>
      </c>
      <c r="M1333" s="7">
        <v>3947</v>
      </c>
      <c r="N1333" s="12">
        <v>5394.53</v>
      </c>
      <c r="O1333" s="12">
        <f t="shared" si="62"/>
        <v>3632.575</v>
      </c>
      <c r="P1333" s="7">
        <v>528</v>
      </c>
      <c r="Q1333" s="7" t="b">
        <v>0</v>
      </c>
      <c r="R1333" s="7"/>
      <c r="S1333" s="15" t="s">
        <v>20</v>
      </c>
    </row>
    <row r="1334" spans="1:19">
      <c r="A1334" s="3" t="s">
        <v>2760</v>
      </c>
      <c r="B1334" s="4" t="s">
        <v>2761</v>
      </c>
      <c r="C1334" s="5" t="s">
        <v>4128</v>
      </c>
      <c r="D1334" s="5">
        <v>45137</v>
      </c>
      <c r="E1334" s="4">
        <v>7</v>
      </c>
      <c r="F1334" s="4">
        <v>30</v>
      </c>
      <c r="G1334" s="4">
        <v>2023</v>
      </c>
      <c r="H1334" s="5">
        <f t="shared" si="60"/>
        <v>45137</v>
      </c>
      <c r="I1334" s="9">
        <v>45153</v>
      </c>
      <c r="J1334" s="4">
        <f t="shared" si="61"/>
        <v>16</v>
      </c>
      <c r="K1334" s="4" t="s">
        <v>415</v>
      </c>
      <c r="L1334" s="4">
        <v>32821</v>
      </c>
      <c r="M1334" s="4">
        <v>1287</v>
      </c>
      <c r="N1334" s="10">
        <v>1237.85</v>
      </c>
      <c r="O1334" s="10">
        <f t="shared" si="62"/>
        <v>1237.85</v>
      </c>
      <c r="P1334" s="4">
        <v>133</v>
      </c>
      <c r="Q1334" s="4" t="b">
        <v>0</v>
      </c>
      <c r="R1334" s="4"/>
      <c r="S1334" s="14" t="s">
        <v>34</v>
      </c>
    </row>
    <row r="1335" spans="1:19">
      <c r="A1335" s="6" t="s">
        <v>2762</v>
      </c>
      <c r="B1335" s="7" t="s">
        <v>2763</v>
      </c>
      <c r="C1335" s="8" t="s">
        <v>4131</v>
      </c>
      <c r="D1335" s="8">
        <v>45262</v>
      </c>
      <c r="E1335" s="7">
        <v>12</v>
      </c>
      <c r="F1335" s="7">
        <v>2</v>
      </c>
      <c r="G1335" s="7">
        <v>2023</v>
      </c>
      <c r="H1335" s="8">
        <f t="shared" si="60"/>
        <v>45262</v>
      </c>
      <c r="I1335" s="11">
        <v>45282</v>
      </c>
      <c r="J1335" s="7">
        <f t="shared" si="61"/>
        <v>20</v>
      </c>
      <c r="K1335" s="7" t="s">
        <v>23</v>
      </c>
      <c r="L1335" s="7">
        <v>76039</v>
      </c>
      <c r="M1335" s="7">
        <v>2730</v>
      </c>
      <c r="N1335" s="12">
        <v>3319.13</v>
      </c>
      <c r="O1335" s="12">
        <f t="shared" si="62"/>
        <v>3319.13</v>
      </c>
      <c r="P1335" s="7">
        <v>467</v>
      </c>
      <c r="Q1335" s="7" t="b">
        <v>0</v>
      </c>
      <c r="R1335" s="7"/>
      <c r="S1335" s="15" t="s">
        <v>25</v>
      </c>
    </row>
    <row r="1336" spans="1:19">
      <c r="A1336" s="3" t="s">
        <v>2764</v>
      </c>
      <c r="B1336" s="4" t="s">
        <v>2765</v>
      </c>
      <c r="C1336" s="5" t="s">
        <v>4129</v>
      </c>
      <c r="D1336" s="5">
        <v>45274</v>
      </c>
      <c r="E1336" s="4">
        <v>12</v>
      </c>
      <c r="F1336" s="4">
        <v>14</v>
      </c>
      <c r="G1336" s="4">
        <v>2023</v>
      </c>
      <c r="H1336" s="5">
        <f t="shared" si="60"/>
        <v>45274</v>
      </c>
      <c r="I1336" s="9">
        <v>45278</v>
      </c>
      <c r="J1336" s="4">
        <f t="shared" si="61"/>
        <v>4</v>
      </c>
      <c r="K1336" s="4" t="s">
        <v>33</v>
      </c>
      <c r="L1336" s="4">
        <v>61535</v>
      </c>
      <c r="M1336" s="4">
        <v>2575</v>
      </c>
      <c r="N1336" s="10">
        <v>4350.71</v>
      </c>
      <c r="O1336" s="10">
        <f t="shared" si="62"/>
        <v>3632.575</v>
      </c>
      <c r="P1336" s="4">
        <v>278</v>
      </c>
      <c r="Q1336" s="4" t="b">
        <v>1</v>
      </c>
      <c r="R1336" s="4"/>
      <c r="S1336" s="14" t="s">
        <v>34</v>
      </c>
    </row>
    <row r="1337" spans="1:19">
      <c r="A1337" s="6" t="s">
        <v>2766</v>
      </c>
      <c r="B1337" s="7" t="s">
        <v>2767</v>
      </c>
      <c r="C1337" s="8" t="s">
        <v>4131</v>
      </c>
      <c r="D1337" s="8">
        <v>45216</v>
      </c>
      <c r="E1337" s="7">
        <v>10</v>
      </c>
      <c r="F1337" s="7">
        <v>17</v>
      </c>
      <c r="G1337" s="7">
        <v>2023</v>
      </c>
      <c r="H1337" s="8">
        <f t="shared" si="60"/>
        <v>45216</v>
      </c>
      <c r="I1337" s="11">
        <v>45232</v>
      </c>
      <c r="J1337" s="7">
        <f t="shared" si="61"/>
        <v>16</v>
      </c>
      <c r="K1337" s="7" t="s">
        <v>14</v>
      </c>
      <c r="L1337" s="7">
        <v>85458</v>
      </c>
      <c r="M1337" s="7">
        <v>3432</v>
      </c>
      <c r="N1337" s="12">
        <v>6767.43</v>
      </c>
      <c r="O1337" s="12">
        <f t="shared" si="62"/>
        <v>3632.575</v>
      </c>
      <c r="P1337" s="7">
        <v>581</v>
      </c>
      <c r="Q1337" s="7" t="b">
        <v>0</v>
      </c>
      <c r="R1337" s="7"/>
      <c r="S1337" s="15" t="s">
        <v>16</v>
      </c>
    </row>
    <row r="1338" spans="1:19">
      <c r="A1338" s="3" t="s">
        <v>2768</v>
      </c>
      <c r="B1338" s="4" t="s">
        <v>2769</v>
      </c>
      <c r="C1338" s="5" t="s">
        <v>4128</v>
      </c>
      <c r="D1338" s="5">
        <v>45100</v>
      </c>
      <c r="E1338" s="4">
        <v>6</v>
      </c>
      <c r="F1338" s="4">
        <v>23</v>
      </c>
      <c r="G1338" s="4">
        <v>2023</v>
      </c>
      <c r="H1338" s="5">
        <f t="shared" si="60"/>
        <v>45100</v>
      </c>
      <c r="I1338" s="9">
        <v>45114</v>
      </c>
      <c r="J1338" s="4">
        <f t="shared" si="61"/>
        <v>14</v>
      </c>
      <c r="K1338" s="4" t="s">
        <v>33</v>
      </c>
      <c r="L1338" s="4">
        <v>13175</v>
      </c>
      <c r="M1338" s="4">
        <v>150</v>
      </c>
      <c r="N1338" s="10">
        <v>284.81</v>
      </c>
      <c r="O1338" s="10">
        <f t="shared" si="62"/>
        <v>284.81</v>
      </c>
      <c r="P1338" s="4">
        <v>0</v>
      </c>
      <c r="Q1338" s="4" t="b">
        <v>0</v>
      </c>
      <c r="R1338" s="4"/>
      <c r="S1338" s="14" t="s">
        <v>34</v>
      </c>
    </row>
    <row r="1339" spans="1:19">
      <c r="A1339" s="6" t="s">
        <v>2770</v>
      </c>
      <c r="B1339" s="7" t="s">
        <v>2771</v>
      </c>
      <c r="C1339" s="8" t="s">
        <v>4129</v>
      </c>
      <c r="D1339" s="8" t="s">
        <v>2772</v>
      </c>
      <c r="E1339" s="7">
        <v>13</v>
      </c>
      <c r="F1339" s="7">
        <v>11</v>
      </c>
      <c r="G1339" s="7">
        <v>2023</v>
      </c>
      <c r="H1339" s="8">
        <f t="shared" si="60"/>
        <v>45243</v>
      </c>
      <c r="I1339" s="11">
        <v>45256</v>
      </c>
      <c r="J1339" s="7">
        <f t="shared" si="61"/>
        <v>13</v>
      </c>
      <c r="K1339" s="7" t="s">
        <v>23</v>
      </c>
      <c r="L1339" s="7">
        <v>55771</v>
      </c>
      <c r="M1339" s="7">
        <v>1438</v>
      </c>
      <c r="N1339" s="12">
        <v>2733.35</v>
      </c>
      <c r="O1339" s="12">
        <f t="shared" si="62"/>
        <v>2733.35</v>
      </c>
      <c r="P1339" s="7">
        <v>87</v>
      </c>
      <c r="Q1339" s="7" t="b">
        <v>1</v>
      </c>
      <c r="R1339" s="7"/>
      <c r="S1339" s="15" t="s">
        <v>25</v>
      </c>
    </row>
    <row r="1340" spans="1:19">
      <c r="A1340" s="3" t="s">
        <v>2773</v>
      </c>
      <c r="B1340" s="4" t="s">
        <v>2774</v>
      </c>
      <c r="C1340" s="5" t="s">
        <v>4127</v>
      </c>
      <c r="D1340" s="5">
        <v>45265</v>
      </c>
      <c r="E1340" s="4">
        <v>12</v>
      </c>
      <c r="F1340" s="4">
        <v>5</v>
      </c>
      <c r="G1340" s="4">
        <v>2023</v>
      </c>
      <c r="H1340" s="5">
        <f t="shared" si="60"/>
        <v>45265</v>
      </c>
      <c r="I1340" s="9">
        <v>45276</v>
      </c>
      <c r="J1340" s="4">
        <f t="shared" si="61"/>
        <v>11</v>
      </c>
      <c r="K1340" s="4" t="s">
        <v>19</v>
      </c>
      <c r="L1340" s="4">
        <v>87925</v>
      </c>
      <c r="M1340" s="4">
        <v>4152</v>
      </c>
      <c r="N1340" s="10">
        <v>4581.05</v>
      </c>
      <c r="O1340" s="10">
        <f t="shared" si="62"/>
        <v>3632.575</v>
      </c>
      <c r="P1340" s="4">
        <v>788</v>
      </c>
      <c r="Q1340" s="4" t="b">
        <v>1</v>
      </c>
      <c r="R1340" s="4"/>
      <c r="S1340" s="14" t="s">
        <v>20</v>
      </c>
    </row>
    <row r="1341" spans="1:19">
      <c r="A1341" s="6" t="s">
        <v>2775</v>
      </c>
      <c r="B1341" s="7" t="s">
        <v>2776</v>
      </c>
      <c r="C1341" s="8" t="s">
        <v>4128</v>
      </c>
      <c r="D1341" s="8">
        <v>45266</v>
      </c>
      <c r="E1341" s="7">
        <v>12</v>
      </c>
      <c r="F1341" s="7">
        <v>6</v>
      </c>
      <c r="G1341" s="7">
        <v>2023</v>
      </c>
      <c r="H1341" s="8">
        <f t="shared" si="60"/>
        <v>45266</v>
      </c>
      <c r="I1341" s="11">
        <v>45261</v>
      </c>
      <c r="J1341" s="7">
        <f t="shared" si="61"/>
        <v>-5</v>
      </c>
      <c r="K1341" s="7" t="s">
        <v>19</v>
      </c>
      <c r="L1341" s="7">
        <v>67358</v>
      </c>
      <c r="M1341" s="7">
        <v>1012</v>
      </c>
      <c r="N1341" s="12">
        <v>1217.62</v>
      </c>
      <c r="O1341" s="12">
        <f t="shared" si="62"/>
        <v>1217.62</v>
      </c>
      <c r="P1341" s="7">
        <v>110</v>
      </c>
      <c r="Q1341" s="7" t="b">
        <v>0</v>
      </c>
      <c r="R1341" s="7"/>
      <c r="S1341" s="15" t="s">
        <v>20</v>
      </c>
    </row>
    <row r="1342" spans="1:19">
      <c r="A1342" s="3" t="s">
        <v>2777</v>
      </c>
      <c r="B1342" s="4" t="s">
        <v>2778</v>
      </c>
      <c r="C1342" s="5" t="s">
        <v>4129</v>
      </c>
      <c r="D1342" s="5">
        <v>45212</v>
      </c>
      <c r="E1342" s="4">
        <v>10</v>
      </c>
      <c r="F1342" s="4">
        <v>13</v>
      </c>
      <c r="G1342" s="4">
        <v>2023</v>
      </c>
      <c r="H1342" s="5">
        <f t="shared" si="60"/>
        <v>45212</v>
      </c>
      <c r="I1342" s="9">
        <v>45217</v>
      </c>
      <c r="J1342" s="4">
        <f t="shared" si="61"/>
        <v>5</v>
      </c>
      <c r="K1342" s="4" t="s">
        <v>14</v>
      </c>
      <c r="L1342" s="4">
        <v>18327</v>
      </c>
      <c r="M1342" s="4">
        <v>723</v>
      </c>
      <c r="N1342" s="10">
        <v>1126.76</v>
      </c>
      <c r="O1342" s="10">
        <f t="shared" si="62"/>
        <v>1126.76</v>
      </c>
      <c r="P1342" s="4">
        <v>122</v>
      </c>
      <c r="Q1342" s="4" t="b">
        <v>1</v>
      </c>
      <c r="R1342" s="4"/>
      <c r="S1342" s="14" t="s">
        <v>16</v>
      </c>
    </row>
    <row r="1343" spans="1:19">
      <c r="A1343" s="6" t="s">
        <v>2779</v>
      </c>
      <c r="B1343" s="7" t="s">
        <v>2780</v>
      </c>
      <c r="C1343" s="8" t="s">
        <v>4127</v>
      </c>
      <c r="D1343" s="8">
        <v>44932</v>
      </c>
      <c r="E1343" s="7">
        <v>1</v>
      </c>
      <c r="F1343" s="7">
        <v>6</v>
      </c>
      <c r="G1343" s="7">
        <v>2023</v>
      </c>
      <c r="H1343" s="8">
        <f t="shared" si="60"/>
        <v>44932</v>
      </c>
      <c r="I1343" s="11">
        <v>44938</v>
      </c>
      <c r="J1343" s="7">
        <f t="shared" si="61"/>
        <v>6</v>
      </c>
      <c r="K1343" s="7" t="s">
        <v>19</v>
      </c>
      <c r="L1343" s="7">
        <v>48057</v>
      </c>
      <c r="M1343" s="7">
        <v>2354</v>
      </c>
      <c r="N1343" s="12">
        <v>4433.26</v>
      </c>
      <c r="O1343" s="12">
        <f t="shared" si="62"/>
        <v>3632.575</v>
      </c>
      <c r="P1343" s="7">
        <v>216</v>
      </c>
      <c r="Q1343" s="7" t="b">
        <v>0</v>
      </c>
      <c r="R1343" s="7"/>
      <c r="S1343" s="15" t="s">
        <v>20</v>
      </c>
    </row>
    <row r="1344" spans="1:19">
      <c r="A1344" s="3" t="s">
        <v>2781</v>
      </c>
      <c r="B1344" s="4" t="s">
        <v>2782</v>
      </c>
      <c r="C1344" s="5" t="s">
        <v>4131</v>
      </c>
      <c r="D1344" s="5">
        <v>45167</v>
      </c>
      <c r="E1344" s="4">
        <v>8</v>
      </c>
      <c r="F1344" s="4">
        <v>29</v>
      </c>
      <c r="G1344" s="4">
        <v>2023</v>
      </c>
      <c r="H1344" s="5">
        <f t="shared" si="60"/>
        <v>45167</v>
      </c>
      <c r="I1344" s="9">
        <v>45171</v>
      </c>
      <c r="J1344" s="4">
        <f t="shared" si="61"/>
        <v>4</v>
      </c>
      <c r="K1344" s="4" t="s">
        <v>14</v>
      </c>
      <c r="L1344" s="4">
        <v>7150</v>
      </c>
      <c r="M1344" s="4">
        <v>86</v>
      </c>
      <c r="N1344" s="10">
        <v>61.32</v>
      </c>
      <c r="O1344" s="10">
        <f t="shared" si="62"/>
        <v>61.32</v>
      </c>
      <c r="P1344" s="4">
        <v>12</v>
      </c>
      <c r="Q1344" s="4" t="b">
        <v>0</v>
      </c>
      <c r="R1344" s="4"/>
      <c r="S1344" s="14" t="s">
        <v>16</v>
      </c>
    </row>
    <row r="1345" spans="1:19">
      <c r="A1345" s="6" t="s">
        <v>2783</v>
      </c>
      <c r="B1345" s="7" t="s">
        <v>2784</v>
      </c>
      <c r="C1345" s="8" t="s">
        <v>4128</v>
      </c>
      <c r="D1345" s="8">
        <v>44965</v>
      </c>
      <c r="E1345" s="7">
        <v>2</v>
      </c>
      <c r="F1345" s="7">
        <v>8</v>
      </c>
      <c r="G1345" s="7">
        <v>2023</v>
      </c>
      <c r="H1345" s="8">
        <f t="shared" si="60"/>
        <v>44965</v>
      </c>
      <c r="I1345" s="11">
        <v>44977</v>
      </c>
      <c r="J1345" s="7">
        <f t="shared" si="61"/>
        <v>12</v>
      </c>
      <c r="K1345" s="7" t="s">
        <v>19</v>
      </c>
      <c r="L1345" s="7">
        <v>5425</v>
      </c>
      <c r="M1345" s="7">
        <v>202</v>
      </c>
      <c r="N1345" s="12">
        <v>193.19</v>
      </c>
      <c r="O1345" s="12">
        <f t="shared" si="62"/>
        <v>193.19</v>
      </c>
      <c r="P1345" s="7">
        <v>36</v>
      </c>
      <c r="Q1345" s="7" t="b">
        <v>1</v>
      </c>
      <c r="R1345" s="7"/>
      <c r="S1345" s="15" t="s">
        <v>20</v>
      </c>
    </row>
    <row r="1346" spans="1:19">
      <c r="A1346" s="3" t="s">
        <v>2785</v>
      </c>
      <c r="B1346" s="4" t="s">
        <v>2786</v>
      </c>
      <c r="C1346" s="5" t="s">
        <v>4129</v>
      </c>
      <c r="D1346" s="5">
        <v>45096</v>
      </c>
      <c r="E1346" s="4">
        <v>6</v>
      </c>
      <c r="F1346" s="4">
        <v>19</v>
      </c>
      <c r="G1346" s="4">
        <v>2023</v>
      </c>
      <c r="H1346" s="5">
        <f t="shared" ref="H1346:H1409" si="63">IF(E1346&gt;12,DATE(G1346,F1346,E1346),D1346)</f>
        <v>45096</v>
      </c>
      <c r="I1346" s="9">
        <v>45121</v>
      </c>
      <c r="J1346" s="4">
        <f t="shared" ref="J1346:J1409" si="64">DATEDIF(H1346,I1346,"D")</f>
        <v>25</v>
      </c>
      <c r="K1346" s="4" t="s">
        <v>33</v>
      </c>
      <c r="L1346" s="4">
        <v>17032</v>
      </c>
      <c r="M1346" s="4">
        <v>489</v>
      </c>
      <c r="N1346" s="10">
        <v>346.64</v>
      </c>
      <c r="O1346" s="10">
        <f t="shared" si="62"/>
        <v>346.64</v>
      </c>
      <c r="P1346" s="4">
        <v>27</v>
      </c>
      <c r="Q1346" s="4" t="b">
        <v>1</v>
      </c>
      <c r="R1346" s="4"/>
      <c r="S1346" s="14" t="s">
        <v>34</v>
      </c>
    </row>
    <row r="1347" spans="1:19">
      <c r="A1347" s="6" t="s">
        <v>2787</v>
      </c>
      <c r="B1347" s="7" t="s">
        <v>2788</v>
      </c>
      <c r="C1347" s="8" t="s">
        <v>4127</v>
      </c>
      <c r="D1347" s="8">
        <v>45041</v>
      </c>
      <c r="E1347" s="7">
        <v>4</v>
      </c>
      <c r="F1347" s="7">
        <v>25</v>
      </c>
      <c r="G1347" s="7">
        <v>2023</v>
      </c>
      <c r="H1347" s="8">
        <f t="shared" si="63"/>
        <v>45041</v>
      </c>
      <c r="I1347" s="11">
        <v>45067</v>
      </c>
      <c r="J1347" s="7">
        <f t="shared" si="64"/>
        <v>26</v>
      </c>
      <c r="K1347" s="7" t="s">
        <v>33</v>
      </c>
      <c r="L1347" s="7">
        <v>3198</v>
      </c>
      <c r="M1347" s="7">
        <v>106</v>
      </c>
      <c r="N1347" s="12">
        <v>150.31</v>
      </c>
      <c r="O1347" s="12">
        <f t="shared" ref="O1347:O1410" si="65">IF(N1347&lt;$V$6,$V$6,IF(N1347&gt;$V$7,$V$7,N1347))</f>
        <v>150.31</v>
      </c>
      <c r="P1347" s="7">
        <v>18</v>
      </c>
      <c r="Q1347" s="7" t="b">
        <v>1</v>
      </c>
      <c r="R1347" s="7"/>
      <c r="S1347" s="15" t="s">
        <v>34</v>
      </c>
    </row>
    <row r="1348" spans="1:19">
      <c r="A1348" s="3" t="s">
        <v>2789</v>
      </c>
      <c r="B1348" s="4" t="s">
        <v>2790</v>
      </c>
      <c r="C1348" s="5" t="s">
        <v>4129</v>
      </c>
      <c r="D1348" s="5">
        <v>44931</v>
      </c>
      <c r="E1348" s="4">
        <v>1</v>
      </c>
      <c r="F1348" s="4">
        <v>5</v>
      </c>
      <c r="G1348" s="4">
        <v>2023</v>
      </c>
      <c r="H1348" s="5">
        <f t="shared" si="63"/>
        <v>44931</v>
      </c>
      <c r="I1348" s="9">
        <v>44926</v>
      </c>
      <c r="J1348" s="4">
        <f t="shared" si="64"/>
        <v>-5</v>
      </c>
      <c r="K1348" s="4" t="s">
        <v>14</v>
      </c>
      <c r="L1348" s="4">
        <v>61500</v>
      </c>
      <c r="M1348" s="4">
        <v>824</v>
      </c>
      <c r="N1348" s="10">
        <v>790.59</v>
      </c>
      <c r="O1348" s="10">
        <f t="shared" si="65"/>
        <v>790.59</v>
      </c>
      <c r="P1348" s="4">
        <v>111</v>
      </c>
      <c r="Q1348" s="4" t="b">
        <v>1</v>
      </c>
      <c r="R1348" s="4"/>
      <c r="S1348" s="14" t="s">
        <v>16</v>
      </c>
    </row>
    <row r="1349" spans="1:19">
      <c r="A1349" s="6" t="s">
        <v>2791</v>
      </c>
      <c r="B1349" s="7" t="s">
        <v>2792</v>
      </c>
      <c r="C1349" s="8" t="s">
        <v>4131</v>
      </c>
      <c r="D1349" s="8">
        <v>45154</v>
      </c>
      <c r="E1349" s="7">
        <v>8</v>
      </c>
      <c r="F1349" s="7">
        <v>16</v>
      </c>
      <c r="G1349" s="7">
        <v>2023</v>
      </c>
      <c r="H1349" s="8">
        <f t="shared" si="63"/>
        <v>45154</v>
      </c>
      <c r="I1349" s="11">
        <v>45156</v>
      </c>
      <c r="J1349" s="7">
        <f t="shared" si="64"/>
        <v>2</v>
      </c>
      <c r="K1349" s="7" t="s">
        <v>23</v>
      </c>
      <c r="L1349" s="7">
        <v>54394</v>
      </c>
      <c r="M1349" s="7">
        <v>637</v>
      </c>
      <c r="N1349" s="12">
        <v>630.1</v>
      </c>
      <c r="O1349" s="12">
        <f t="shared" si="65"/>
        <v>630.1</v>
      </c>
      <c r="P1349" s="7">
        <v>89</v>
      </c>
      <c r="Q1349" s="7" t="b">
        <v>0</v>
      </c>
      <c r="R1349" s="7"/>
      <c r="S1349" s="15" t="s">
        <v>25</v>
      </c>
    </row>
    <row r="1350" spans="1:19">
      <c r="A1350" s="3" t="s">
        <v>2793</v>
      </c>
      <c r="B1350" s="4" t="s">
        <v>2794</v>
      </c>
      <c r="C1350" s="5" t="s">
        <v>4128</v>
      </c>
      <c r="D1350" s="5">
        <v>45182</v>
      </c>
      <c r="E1350" s="4">
        <v>9</v>
      </c>
      <c r="F1350" s="4">
        <v>13</v>
      </c>
      <c r="G1350" s="4">
        <v>2023</v>
      </c>
      <c r="H1350" s="5">
        <f t="shared" si="63"/>
        <v>45182</v>
      </c>
      <c r="I1350" s="9">
        <v>45210</v>
      </c>
      <c r="J1350" s="4">
        <f t="shared" si="64"/>
        <v>28</v>
      </c>
      <c r="K1350" s="4" t="s">
        <v>23</v>
      </c>
      <c r="L1350" s="4">
        <v>21079</v>
      </c>
      <c r="M1350" s="4">
        <v>773</v>
      </c>
      <c r="N1350" s="10">
        <v>468.73</v>
      </c>
      <c r="O1350" s="10">
        <f t="shared" si="65"/>
        <v>468.73</v>
      </c>
      <c r="P1350" s="4">
        <v>99</v>
      </c>
      <c r="Q1350" s="4" t="b">
        <v>1</v>
      </c>
      <c r="R1350" s="4"/>
      <c r="S1350" s="14" t="s">
        <v>25</v>
      </c>
    </row>
    <row r="1351" spans="1:19">
      <c r="A1351" s="6" t="s">
        <v>2795</v>
      </c>
      <c r="B1351" s="7" t="s">
        <v>2796</v>
      </c>
      <c r="C1351" s="8" t="s">
        <v>4131</v>
      </c>
      <c r="D1351" s="8">
        <v>45181</v>
      </c>
      <c r="E1351" s="7">
        <v>9</v>
      </c>
      <c r="F1351" s="7">
        <v>12</v>
      </c>
      <c r="G1351" s="7">
        <v>2023</v>
      </c>
      <c r="H1351" s="8">
        <f t="shared" si="63"/>
        <v>45181</v>
      </c>
      <c r="I1351" s="11">
        <v>45272</v>
      </c>
      <c r="J1351" s="7">
        <f t="shared" si="64"/>
        <v>91</v>
      </c>
      <c r="K1351" s="7" t="s">
        <v>14</v>
      </c>
      <c r="L1351" s="7">
        <v>37220</v>
      </c>
      <c r="M1351" s="7">
        <v>1597</v>
      </c>
      <c r="N1351" s="12">
        <v>1636.44</v>
      </c>
      <c r="O1351" s="12">
        <f t="shared" si="65"/>
        <v>1636.44</v>
      </c>
      <c r="P1351" s="7">
        <v>289</v>
      </c>
      <c r="Q1351" s="7" t="b">
        <v>1</v>
      </c>
      <c r="R1351" s="7"/>
      <c r="S1351" s="15" t="s">
        <v>16</v>
      </c>
    </row>
    <row r="1352" spans="1:19">
      <c r="A1352" s="3" t="s">
        <v>2797</v>
      </c>
      <c r="B1352" s="4" t="s">
        <v>2798</v>
      </c>
      <c r="C1352" s="5" t="s">
        <v>4129</v>
      </c>
      <c r="D1352" s="5">
        <v>45133</v>
      </c>
      <c r="E1352" s="4">
        <v>7</v>
      </c>
      <c r="F1352" s="4">
        <v>26</v>
      </c>
      <c r="G1352" s="4">
        <v>2023</v>
      </c>
      <c r="H1352" s="5">
        <f t="shared" si="63"/>
        <v>45133</v>
      </c>
      <c r="I1352" s="9">
        <v>45142</v>
      </c>
      <c r="J1352" s="4">
        <f t="shared" si="64"/>
        <v>9</v>
      </c>
      <c r="K1352" s="4" t="s">
        <v>19</v>
      </c>
      <c r="L1352" s="4">
        <v>42874</v>
      </c>
      <c r="M1352" s="4">
        <v>1769</v>
      </c>
      <c r="N1352" s="10">
        <v>3173.13</v>
      </c>
      <c r="O1352" s="10">
        <f t="shared" si="65"/>
        <v>3173.13</v>
      </c>
      <c r="P1352" s="4">
        <v>0</v>
      </c>
      <c r="Q1352" s="4" t="b">
        <v>0</v>
      </c>
      <c r="R1352" s="4"/>
      <c r="S1352" s="14" t="s">
        <v>20</v>
      </c>
    </row>
    <row r="1353" spans="1:19">
      <c r="A1353" s="6" t="s">
        <v>2799</v>
      </c>
      <c r="B1353" s="7" t="s">
        <v>2800</v>
      </c>
      <c r="C1353" s="8" t="s">
        <v>4129</v>
      </c>
      <c r="D1353" s="8">
        <v>44927</v>
      </c>
      <c r="E1353" s="7">
        <v>1</v>
      </c>
      <c r="F1353" s="7">
        <v>1</v>
      </c>
      <c r="G1353" s="7">
        <v>2023</v>
      </c>
      <c r="H1353" s="8">
        <f t="shared" si="63"/>
        <v>44927</v>
      </c>
      <c r="I1353" s="11">
        <v>44931</v>
      </c>
      <c r="J1353" s="7">
        <f t="shared" si="64"/>
        <v>4</v>
      </c>
      <c r="K1353" s="7" t="s">
        <v>14</v>
      </c>
      <c r="L1353" s="7">
        <v>14859</v>
      </c>
      <c r="M1353" s="7">
        <v>471</v>
      </c>
      <c r="N1353" s="12">
        <v>400.17</v>
      </c>
      <c r="O1353" s="12">
        <f t="shared" si="65"/>
        <v>400.17</v>
      </c>
      <c r="P1353" s="7">
        <v>41</v>
      </c>
      <c r="Q1353" s="7" t="b">
        <v>0</v>
      </c>
      <c r="R1353" s="7"/>
      <c r="S1353" s="15" t="s">
        <v>16</v>
      </c>
    </row>
    <row r="1354" spans="1:19">
      <c r="A1354" s="3" t="s">
        <v>2801</v>
      </c>
      <c r="B1354" s="4" t="s">
        <v>2802</v>
      </c>
      <c r="C1354" s="5" t="s">
        <v>4128</v>
      </c>
      <c r="D1354" s="5">
        <v>45243</v>
      </c>
      <c r="E1354" s="4">
        <v>11</v>
      </c>
      <c r="F1354" s="4">
        <v>13</v>
      </c>
      <c r="G1354" s="4">
        <v>2023</v>
      </c>
      <c r="H1354" s="5">
        <f t="shared" si="63"/>
        <v>45243</v>
      </c>
      <c r="I1354" s="9">
        <v>45261</v>
      </c>
      <c r="J1354" s="4">
        <f t="shared" si="64"/>
        <v>18</v>
      </c>
      <c r="K1354" s="4" t="s">
        <v>14</v>
      </c>
      <c r="L1354" s="4">
        <v>51460</v>
      </c>
      <c r="M1354" s="4">
        <v>720</v>
      </c>
      <c r="N1354" s="10">
        <v>1110.8</v>
      </c>
      <c r="O1354" s="10">
        <f t="shared" si="65"/>
        <v>1110.8</v>
      </c>
      <c r="P1354" s="4">
        <v>130</v>
      </c>
      <c r="Q1354" s="4" t="b">
        <v>1</v>
      </c>
      <c r="R1354" s="4"/>
      <c r="S1354" s="14" t="s">
        <v>16</v>
      </c>
    </row>
    <row r="1355" spans="1:19">
      <c r="A1355" s="6" t="s">
        <v>2803</v>
      </c>
      <c r="B1355" s="7" t="s">
        <v>2804</v>
      </c>
      <c r="C1355" s="8" t="s">
        <v>4129</v>
      </c>
      <c r="D1355" s="8">
        <v>45214</v>
      </c>
      <c r="E1355" s="7">
        <v>10</v>
      </c>
      <c r="F1355" s="7">
        <v>15</v>
      </c>
      <c r="G1355" s="7">
        <v>2023</v>
      </c>
      <c r="H1355" s="8">
        <f t="shared" si="63"/>
        <v>45214</v>
      </c>
      <c r="I1355" s="11">
        <v>45232</v>
      </c>
      <c r="J1355" s="7">
        <f t="shared" si="64"/>
        <v>18</v>
      </c>
      <c r="K1355" s="7" t="s">
        <v>33</v>
      </c>
      <c r="L1355" s="7">
        <v>32419</v>
      </c>
      <c r="M1355" s="7">
        <v>1216</v>
      </c>
      <c r="N1355" s="12">
        <v>1756.44</v>
      </c>
      <c r="O1355" s="12">
        <f t="shared" si="65"/>
        <v>1756.44</v>
      </c>
      <c r="P1355" s="7">
        <v>198</v>
      </c>
      <c r="Q1355" s="7" t="b">
        <v>1</v>
      </c>
      <c r="R1355" s="7"/>
      <c r="S1355" s="15" t="s">
        <v>68</v>
      </c>
    </row>
    <row r="1356" spans="1:19">
      <c r="A1356" s="3" t="s">
        <v>2805</v>
      </c>
      <c r="B1356" s="4" t="s">
        <v>2806</v>
      </c>
      <c r="C1356" s="5" t="s">
        <v>4131</v>
      </c>
      <c r="D1356" s="5">
        <v>45101</v>
      </c>
      <c r="E1356" s="4">
        <v>6</v>
      </c>
      <c r="F1356" s="4">
        <v>24</v>
      </c>
      <c r="G1356" s="4">
        <v>2023</v>
      </c>
      <c r="H1356" s="5">
        <f t="shared" si="63"/>
        <v>45101</v>
      </c>
      <c r="I1356" s="9">
        <v>45110</v>
      </c>
      <c r="J1356" s="4">
        <f t="shared" si="64"/>
        <v>9</v>
      </c>
      <c r="K1356" s="4" t="s">
        <v>23</v>
      </c>
      <c r="L1356" s="4">
        <v>9705</v>
      </c>
      <c r="M1356" s="4">
        <v>190</v>
      </c>
      <c r="N1356" s="10">
        <v>341.09</v>
      </c>
      <c r="O1356" s="10">
        <f t="shared" si="65"/>
        <v>341.09</v>
      </c>
      <c r="P1356" s="4">
        <v>10</v>
      </c>
      <c r="Q1356" s="4" t="b">
        <v>1</v>
      </c>
      <c r="R1356" s="4"/>
      <c r="S1356" s="14" t="s">
        <v>25</v>
      </c>
    </row>
    <row r="1357" spans="1:19">
      <c r="A1357" s="6" t="s">
        <v>2807</v>
      </c>
      <c r="B1357" s="7" t="s">
        <v>2808</v>
      </c>
      <c r="C1357" s="8" t="s">
        <v>4128</v>
      </c>
      <c r="D1357" s="8">
        <v>45041</v>
      </c>
      <c r="E1357" s="7">
        <v>4</v>
      </c>
      <c r="F1357" s="7">
        <v>25</v>
      </c>
      <c r="G1357" s="7">
        <v>2023</v>
      </c>
      <c r="H1357" s="8">
        <f t="shared" si="63"/>
        <v>45041</v>
      </c>
      <c r="I1357" s="11">
        <v>45046</v>
      </c>
      <c r="J1357" s="7">
        <f t="shared" si="64"/>
        <v>5</v>
      </c>
      <c r="K1357" s="7" t="s">
        <v>14</v>
      </c>
      <c r="L1357" s="7">
        <v>43880</v>
      </c>
      <c r="M1357" s="7">
        <v>2037</v>
      </c>
      <c r="N1357" s="12">
        <v>1422.71</v>
      </c>
      <c r="O1357" s="12">
        <f t="shared" si="65"/>
        <v>1422.71</v>
      </c>
      <c r="P1357" s="7">
        <v>0</v>
      </c>
      <c r="Q1357" s="7" t="b">
        <v>0</v>
      </c>
      <c r="R1357" s="7"/>
      <c r="S1357" s="15" t="s">
        <v>16</v>
      </c>
    </row>
    <row r="1358" spans="1:19">
      <c r="A1358" s="3" t="s">
        <v>2809</v>
      </c>
      <c r="B1358" s="4" t="s">
        <v>2810</v>
      </c>
      <c r="C1358" s="5" t="s">
        <v>4129</v>
      </c>
      <c r="D1358" s="5">
        <v>45244</v>
      </c>
      <c r="E1358" s="4">
        <v>11</v>
      </c>
      <c r="F1358" s="4">
        <v>14</v>
      </c>
      <c r="G1358" s="4">
        <v>2023</v>
      </c>
      <c r="H1358" s="5">
        <f t="shared" si="63"/>
        <v>45244</v>
      </c>
      <c r="I1358" s="9">
        <v>45270</v>
      </c>
      <c r="J1358" s="4">
        <f t="shared" si="64"/>
        <v>26</v>
      </c>
      <c r="K1358" s="4" t="s">
        <v>19</v>
      </c>
      <c r="L1358" s="4">
        <v>24236</v>
      </c>
      <c r="M1358" s="4">
        <v>1055</v>
      </c>
      <c r="N1358" s="10">
        <v>2074.54</v>
      </c>
      <c r="O1358" s="10">
        <f t="shared" si="65"/>
        <v>2074.54</v>
      </c>
      <c r="P1358" s="4">
        <v>0</v>
      </c>
      <c r="Q1358" s="4" t="b">
        <v>0</v>
      </c>
      <c r="R1358" s="4"/>
      <c r="S1358" s="14" t="s">
        <v>20</v>
      </c>
    </row>
    <row r="1359" spans="1:19">
      <c r="A1359" s="6" t="s">
        <v>2811</v>
      </c>
      <c r="B1359" s="7" t="s">
        <v>2812</v>
      </c>
      <c r="C1359" s="8" t="s">
        <v>4128</v>
      </c>
      <c r="D1359" s="8">
        <v>45113</v>
      </c>
      <c r="E1359" s="7">
        <v>7</v>
      </c>
      <c r="F1359" s="7">
        <v>6</v>
      </c>
      <c r="G1359" s="7">
        <v>2023</v>
      </c>
      <c r="H1359" s="8">
        <f t="shared" si="63"/>
        <v>45113</v>
      </c>
      <c r="I1359" s="11">
        <v>45117</v>
      </c>
      <c r="J1359" s="7">
        <f t="shared" si="64"/>
        <v>4</v>
      </c>
      <c r="K1359" s="7" t="s">
        <v>41</v>
      </c>
      <c r="L1359" s="7">
        <v>88955</v>
      </c>
      <c r="M1359" s="7">
        <v>3413</v>
      </c>
      <c r="N1359" s="12">
        <v>4689.27</v>
      </c>
      <c r="O1359" s="12">
        <f t="shared" si="65"/>
        <v>3632.575</v>
      </c>
      <c r="P1359" s="7">
        <v>375</v>
      </c>
      <c r="Q1359" s="7" t="b">
        <v>1</v>
      </c>
      <c r="R1359" s="7"/>
      <c r="S1359" s="15" t="s">
        <v>42</v>
      </c>
    </row>
    <row r="1360" spans="1:19">
      <c r="A1360" s="3" t="s">
        <v>2813</v>
      </c>
      <c r="B1360" s="4" t="s">
        <v>2814</v>
      </c>
      <c r="C1360" s="5" t="s">
        <v>4131</v>
      </c>
      <c r="D1360" s="5">
        <v>45264</v>
      </c>
      <c r="E1360" s="4">
        <v>12</v>
      </c>
      <c r="F1360" s="4">
        <v>4</v>
      </c>
      <c r="G1360" s="4">
        <v>2023</v>
      </c>
      <c r="H1360" s="5">
        <f t="shared" si="63"/>
        <v>45264</v>
      </c>
      <c r="I1360" s="9">
        <v>45294</v>
      </c>
      <c r="J1360" s="4">
        <f t="shared" si="64"/>
        <v>30</v>
      </c>
      <c r="K1360" s="4" t="s">
        <v>14</v>
      </c>
      <c r="L1360" s="4">
        <v>86514</v>
      </c>
      <c r="M1360" s="4">
        <v>4148</v>
      </c>
      <c r="N1360" s="10">
        <v>8267.84</v>
      </c>
      <c r="O1360" s="10">
        <f t="shared" si="65"/>
        <v>3632.575</v>
      </c>
      <c r="P1360" s="4">
        <v>0</v>
      </c>
      <c r="Q1360" s="4" t="b">
        <v>0</v>
      </c>
      <c r="R1360" s="4"/>
      <c r="S1360" s="14" t="s">
        <v>16</v>
      </c>
    </row>
    <row r="1361" spans="1:19">
      <c r="A1361" s="6" t="s">
        <v>2815</v>
      </c>
      <c r="B1361" s="7" t="s">
        <v>2816</v>
      </c>
      <c r="C1361" s="8" t="s">
        <v>4131</v>
      </c>
      <c r="D1361" s="8">
        <v>45251</v>
      </c>
      <c r="E1361" s="7">
        <v>11</v>
      </c>
      <c r="F1361" s="7">
        <v>21</v>
      </c>
      <c r="G1361" s="7">
        <v>2023</v>
      </c>
      <c r="H1361" s="8">
        <f t="shared" si="63"/>
        <v>45251</v>
      </c>
      <c r="I1361" s="11">
        <v>45275</v>
      </c>
      <c r="J1361" s="7">
        <f t="shared" si="64"/>
        <v>24</v>
      </c>
      <c r="K1361" s="7" t="s">
        <v>41</v>
      </c>
      <c r="L1361" s="7">
        <v>16358</v>
      </c>
      <c r="M1361" s="7">
        <v>184</v>
      </c>
      <c r="N1361" s="12">
        <v>343.58</v>
      </c>
      <c r="O1361" s="12">
        <f t="shared" si="65"/>
        <v>343.58</v>
      </c>
      <c r="P1361" s="7">
        <v>28</v>
      </c>
      <c r="Q1361" s="7" t="b">
        <v>1</v>
      </c>
      <c r="R1361" s="7"/>
      <c r="S1361" s="15" t="s">
        <v>42</v>
      </c>
    </row>
    <row r="1362" spans="1:19">
      <c r="A1362" s="3" t="s">
        <v>2817</v>
      </c>
      <c r="B1362" s="4" t="s">
        <v>2818</v>
      </c>
      <c r="C1362" s="5" t="s">
        <v>4131</v>
      </c>
      <c r="D1362" s="5">
        <v>45194</v>
      </c>
      <c r="E1362" s="4">
        <v>9</v>
      </c>
      <c r="F1362" s="4">
        <v>25</v>
      </c>
      <c r="G1362" s="4">
        <v>2023</v>
      </c>
      <c r="H1362" s="5">
        <f t="shared" si="63"/>
        <v>45194</v>
      </c>
      <c r="I1362" s="9">
        <v>45189</v>
      </c>
      <c r="J1362" s="4">
        <f t="shared" si="64"/>
        <v>-5</v>
      </c>
      <c r="K1362" s="4" t="s">
        <v>33</v>
      </c>
      <c r="L1362" s="4">
        <v>95914</v>
      </c>
      <c r="M1362" s="4">
        <v>3783</v>
      </c>
      <c r="N1362" s="10">
        <v>3148.5</v>
      </c>
      <c r="O1362" s="10">
        <f t="shared" si="65"/>
        <v>3148.5</v>
      </c>
      <c r="P1362" s="4">
        <v>307</v>
      </c>
      <c r="Q1362" s="4" t="b">
        <v>1</v>
      </c>
      <c r="R1362" s="4"/>
      <c r="S1362" s="14" t="s">
        <v>34</v>
      </c>
    </row>
    <row r="1363" spans="1:19">
      <c r="A1363" s="6" t="s">
        <v>2819</v>
      </c>
      <c r="B1363" s="7" t="s">
        <v>2820</v>
      </c>
      <c r="C1363" s="8" t="s">
        <v>4128</v>
      </c>
      <c r="D1363" s="8">
        <v>45011</v>
      </c>
      <c r="E1363" s="7">
        <v>3</v>
      </c>
      <c r="F1363" s="7">
        <v>26</v>
      </c>
      <c r="G1363" s="7">
        <v>2023</v>
      </c>
      <c r="H1363" s="8">
        <f t="shared" si="63"/>
        <v>45011</v>
      </c>
      <c r="I1363" s="11">
        <v>45025</v>
      </c>
      <c r="J1363" s="7">
        <f t="shared" si="64"/>
        <v>14</v>
      </c>
      <c r="K1363" s="7" t="s">
        <v>138</v>
      </c>
      <c r="L1363" s="7">
        <v>77918</v>
      </c>
      <c r="M1363" s="7">
        <v>1808</v>
      </c>
      <c r="N1363" s="12">
        <v>1056.31</v>
      </c>
      <c r="O1363" s="12">
        <f t="shared" si="65"/>
        <v>1056.31</v>
      </c>
      <c r="P1363" s="7">
        <v>307</v>
      </c>
      <c r="Q1363" s="7" t="b">
        <v>1</v>
      </c>
      <c r="R1363" s="7"/>
      <c r="S1363" s="15" t="s">
        <v>139</v>
      </c>
    </row>
    <row r="1364" spans="1:19">
      <c r="A1364" s="3" t="s">
        <v>2821</v>
      </c>
      <c r="B1364" s="4" t="s">
        <v>2822</v>
      </c>
      <c r="C1364" s="5" t="s">
        <v>4128</v>
      </c>
      <c r="D1364" s="5">
        <v>45136</v>
      </c>
      <c r="E1364" s="4">
        <v>7</v>
      </c>
      <c r="F1364" s="4">
        <v>29</v>
      </c>
      <c r="G1364" s="4">
        <v>2023</v>
      </c>
      <c r="H1364" s="5">
        <f t="shared" si="63"/>
        <v>45136</v>
      </c>
      <c r="I1364" s="9">
        <v>45143</v>
      </c>
      <c r="J1364" s="4">
        <f t="shared" si="64"/>
        <v>7</v>
      </c>
      <c r="K1364" s="4" t="s">
        <v>14</v>
      </c>
      <c r="L1364" s="4">
        <v>15596</v>
      </c>
      <c r="M1364" s="4">
        <v>721</v>
      </c>
      <c r="N1364" s="10">
        <v>636.97</v>
      </c>
      <c r="O1364" s="10">
        <f t="shared" si="65"/>
        <v>636.97</v>
      </c>
      <c r="P1364" s="4">
        <v>122</v>
      </c>
      <c r="Q1364" s="4" t="b">
        <v>1</v>
      </c>
      <c r="R1364" s="4"/>
      <c r="S1364" s="14" t="s">
        <v>16</v>
      </c>
    </row>
    <row r="1365" spans="1:19">
      <c r="A1365" s="6" t="s">
        <v>2823</v>
      </c>
      <c r="B1365" s="7" t="s">
        <v>2824</v>
      </c>
      <c r="C1365" s="8" t="s">
        <v>4128</v>
      </c>
      <c r="D1365" s="8">
        <v>45023</v>
      </c>
      <c r="E1365" s="7">
        <v>4</v>
      </c>
      <c r="F1365" s="7">
        <v>7</v>
      </c>
      <c r="G1365" s="7">
        <v>2023</v>
      </c>
      <c r="H1365" s="8">
        <f t="shared" si="63"/>
        <v>45023</v>
      </c>
      <c r="I1365" s="11">
        <v>45025</v>
      </c>
      <c r="J1365" s="7">
        <f t="shared" si="64"/>
        <v>2</v>
      </c>
      <c r="K1365" s="7" t="s">
        <v>33</v>
      </c>
      <c r="L1365" s="7">
        <v>34572</v>
      </c>
      <c r="M1365" s="7">
        <v>714</v>
      </c>
      <c r="N1365" s="12">
        <v>922.02</v>
      </c>
      <c r="O1365" s="12">
        <f t="shared" si="65"/>
        <v>922.02</v>
      </c>
      <c r="P1365" s="7">
        <v>80</v>
      </c>
      <c r="Q1365" s="7" t="b">
        <v>0</v>
      </c>
      <c r="R1365" s="7"/>
      <c r="S1365" s="15" t="s">
        <v>34</v>
      </c>
    </row>
    <row r="1366" spans="1:19">
      <c r="A1366" s="3" t="s">
        <v>2825</v>
      </c>
      <c r="B1366" s="4" t="s">
        <v>2826</v>
      </c>
      <c r="C1366" s="5" t="s">
        <v>4128</v>
      </c>
      <c r="D1366" s="5">
        <v>45037</v>
      </c>
      <c r="E1366" s="4">
        <v>4</v>
      </c>
      <c r="F1366" s="4">
        <v>21</v>
      </c>
      <c r="G1366" s="4">
        <v>2023</v>
      </c>
      <c r="H1366" s="5">
        <f t="shared" si="63"/>
        <v>45037</v>
      </c>
      <c r="I1366" s="9">
        <v>45066</v>
      </c>
      <c r="J1366" s="4">
        <f t="shared" si="64"/>
        <v>29</v>
      </c>
      <c r="K1366" s="4" t="s">
        <v>19</v>
      </c>
      <c r="L1366" s="4">
        <v>79757</v>
      </c>
      <c r="M1366" s="4">
        <v>3110</v>
      </c>
      <c r="N1366" s="10">
        <v>2355.5</v>
      </c>
      <c r="O1366" s="10">
        <f t="shared" si="65"/>
        <v>2355.5</v>
      </c>
      <c r="P1366" s="4">
        <v>287</v>
      </c>
      <c r="Q1366" s="4" t="b">
        <v>0</v>
      </c>
      <c r="R1366" s="4"/>
      <c r="S1366" s="14" t="s">
        <v>20</v>
      </c>
    </row>
    <row r="1367" spans="1:19">
      <c r="A1367" s="6" t="s">
        <v>2827</v>
      </c>
      <c r="B1367" s="7" t="s">
        <v>2828</v>
      </c>
      <c r="C1367" s="8" t="s">
        <v>4128</v>
      </c>
      <c r="D1367" s="8">
        <v>45100</v>
      </c>
      <c r="E1367" s="7">
        <v>6</v>
      </c>
      <c r="F1367" s="7">
        <v>23</v>
      </c>
      <c r="G1367" s="7">
        <v>2023</v>
      </c>
      <c r="H1367" s="8">
        <f t="shared" si="63"/>
        <v>45100</v>
      </c>
      <c r="I1367" s="11">
        <v>45122</v>
      </c>
      <c r="J1367" s="7">
        <f t="shared" si="64"/>
        <v>22</v>
      </c>
      <c r="K1367" s="7" t="s">
        <v>19</v>
      </c>
      <c r="L1367" s="7">
        <v>2279</v>
      </c>
      <c r="M1367" s="7">
        <v>102</v>
      </c>
      <c r="N1367" s="12">
        <v>76.62</v>
      </c>
      <c r="O1367" s="12">
        <f t="shared" si="65"/>
        <v>76.62</v>
      </c>
      <c r="P1367" s="7">
        <v>9</v>
      </c>
      <c r="Q1367" s="7" t="b">
        <v>1</v>
      </c>
      <c r="R1367" s="7"/>
      <c r="S1367" s="15" t="s">
        <v>20</v>
      </c>
    </row>
    <row r="1368" spans="1:19">
      <c r="A1368" s="3" t="s">
        <v>2829</v>
      </c>
      <c r="B1368" s="4" t="s">
        <v>2830</v>
      </c>
      <c r="C1368" s="5" t="s">
        <v>4129</v>
      </c>
      <c r="D1368" s="5">
        <v>45251</v>
      </c>
      <c r="E1368" s="4">
        <v>11</v>
      </c>
      <c r="F1368" s="4">
        <v>21</v>
      </c>
      <c r="G1368" s="4">
        <v>2023</v>
      </c>
      <c r="H1368" s="5">
        <f t="shared" si="63"/>
        <v>45251</v>
      </c>
      <c r="I1368" s="9">
        <v>45270</v>
      </c>
      <c r="J1368" s="4">
        <f t="shared" si="64"/>
        <v>19</v>
      </c>
      <c r="K1368" s="4" t="s">
        <v>138</v>
      </c>
      <c r="L1368" s="4">
        <v>64197</v>
      </c>
      <c r="M1368" s="4">
        <v>748</v>
      </c>
      <c r="N1368" s="10">
        <v>893.03</v>
      </c>
      <c r="O1368" s="10">
        <f t="shared" si="65"/>
        <v>893.03</v>
      </c>
      <c r="P1368" s="4">
        <v>91</v>
      </c>
      <c r="Q1368" s="4" t="b">
        <v>1</v>
      </c>
      <c r="R1368" s="4"/>
      <c r="S1368" s="14" t="s">
        <v>139</v>
      </c>
    </row>
    <row r="1369" spans="1:19">
      <c r="A1369" s="6" t="s">
        <v>2831</v>
      </c>
      <c r="B1369" s="7" t="s">
        <v>2832</v>
      </c>
      <c r="C1369" s="8" t="s">
        <v>4131</v>
      </c>
      <c r="D1369" s="8">
        <v>45157</v>
      </c>
      <c r="E1369" s="7">
        <v>8</v>
      </c>
      <c r="F1369" s="7">
        <v>19</v>
      </c>
      <c r="G1369" s="7">
        <v>2023</v>
      </c>
      <c r="H1369" s="8">
        <f t="shared" si="63"/>
        <v>45157</v>
      </c>
      <c r="I1369" s="11">
        <v>45159</v>
      </c>
      <c r="J1369" s="7">
        <f t="shared" si="64"/>
        <v>2</v>
      </c>
      <c r="K1369" s="7" t="s">
        <v>23</v>
      </c>
      <c r="L1369" s="7">
        <v>63516</v>
      </c>
      <c r="M1369" s="7">
        <v>1645</v>
      </c>
      <c r="N1369" s="12">
        <v>904.59</v>
      </c>
      <c r="O1369" s="12">
        <f t="shared" si="65"/>
        <v>904.59</v>
      </c>
      <c r="P1369" s="7">
        <v>259</v>
      </c>
      <c r="Q1369" s="7" t="b">
        <v>0</v>
      </c>
      <c r="R1369" s="7"/>
      <c r="S1369" s="15" t="s">
        <v>25</v>
      </c>
    </row>
    <row r="1370" spans="1:19">
      <c r="A1370" s="3" t="s">
        <v>2833</v>
      </c>
      <c r="B1370" s="4" t="s">
        <v>2834</v>
      </c>
      <c r="C1370" s="5" t="s">
        <v>4129</v>
      </c>
      <c r="D1370" s="5">
        <v>45185</v>
      </c>
      <c r="E1370" s="4">
        <v>9</v>
      </c>
      <c r="F1370" s="4">
        <v>16</v>
      </c>
      <c r="G1370" s="4">
        <v>2023</v>
      </c>
      <c r="H1370" s="5">
        <f t="shared" si="63"/>
        <v>45185</v>
      </c>
      <c r="I1370" s="9">
        <v>45186</v>
      </c>
      <c r="J1370" s="4">
        <f t="shared" si="64"/>
        <v>1</v>
      </c>
      <c r="K1370" s="4" t="s">
        <v>19</v>
      </c>
      <c r="L1370" s="4">
        <v>8083</v>
      </c>
      <c r="M1370" s="4">
        <v>327</v>
      </c>
      <c r="N1370" s="10">
        <v>223.29</v>
      </c>
      <c r="O1370" s="10">
        <f t="shared" si="65"/>
        <v>223.29</v>
      </c>
      <c r="P1370" s="4">
        <v>33</v>
      </c>
      <c r="Q1370" s="4" t="b">
        <v>1</v>
      </c>
      <c r="R1370" s="4"/>
      <c r="S1370" s="14" t="s">
        <v>20</v>
      </c>
    </row>
    <row r="1371" spans="1:19">
      <c r="A1371" s="6" t="s">
        <v>2835</v>
      </c>
      <c r="B1371" s="7" t="s">
        <v>2836</v>
      </c>
      <c r="C1371" s="8" t="s">
        <v>4131</v>
      </c>
      <c r="D1371" s="8">
        <v>45198</v>
      </c>
      <c r="E1371" s="7">
        <v>9</v>
      </c>
      <c r="F1371" s="7">
        <v>29</v>
      </c>
      <c r="G1371" s="7">
        <v>2023</v>
      </c>
      <c r="H1371" s="8">
        <f t="shared" si="63"/>
        <v>45198</v>
      </c>
      <c r="I1371" s="11">
        <v>45202</v>
      </c>
      <c r="J1371" s="7">
        <f t="shared" si="64"/>
        <v>4</v>
      </c>
      <c r="K1371" s="7" t="s">
        <v>33</v>
      </c>
      <c r="L1371" s="7">
        <v>18771</v>
      </c>
      <c r="M1371" s="7">
        <v>529</v>
      </c>
      <c r="N1371" s="12">
        <v>594.49</v>
      </c>
      <c r="O1371" s="12">
        <f t="shared" si="65"/>
        <v>594.49</v>
      </c>
      <c r="P1371" s="7">
        <v>74</v>
      </c>
      <c r="Q1371" s="7" t="b">
        <v>0</v>
      </c>
      <c r="R1371" s="7"/>
      <c r="S1371" s="15" t="s">
        <v>34</v>
      </c>
    </row>
    <row r="1372" spans="1:19">
      <c r="A1372" s="3" t="s">
        <v>2837</v>
      </c>
      <c r="B1372" s="4" t="s">
        <v>2838</v>
      </c>
      <c r="C1372" s="5" t="s">
        <v>4131</v>
      </c>
      <c r="D1372" s="5">
        <v>45148</v>
      </c>
      <c r="E1372" s="4">
        <v>8</v>
      </c>
      <c r="F1372" s="4">
        <v>10</v>
      </c>
      <c r="G1372" s="4">
        <v>2023</v>
      </c>
      <c r="H1372" s="5">
        <f t="shared" si="63"/>
        <v>45148</v>
      </c>
      <c r="I1372" s="9">
        <v>45159</v>
      </c>
      <c r="J1372" s="4">
        <f t="shared" si="64"/>
        <v>11</v>
      </c>
      <c r="K1372" s="4" t="s">
        <v>14</v>
      </c>
      <c r="L1372" s="4">
        <v>30975</v>
      </c>
      <c r="M1372" s="4">
        <v>640</v>
      </c>
      <c r="N1372" s="10">
        <v>380.6</v>
      </c>
      <c r="O1372" s="10">
        <f t="shared" si="65"/>
        <v>380.6</v>
      </c>
      <c r="P1372" s="4">
        <v>68</v>
      </c>
      <c r="Q1372" s="4" t="b">
        <v>0</v>
      </c>
      <c r="R1372" s="4"/>
      <c r="S1372" s="14" t="s">
        <v>16</v>
      </c>
    </row>
    <row r="1373" spans="1:19">
      <c r="A1373" s="6" t="s">
        <v>2839</v>
      </c>
      <c r="B1373" s="7" t="s">
        <v>2840</v>
      </c>
      <c r="C1373" s="8" t="s">
        <v>4131</v>
      </c>
      <c r="D1373" s="8">
        <v>45187</v>
      </c>
      <c r="E1373" s="7">
        <v>9</v>
      </c>
      <c r="F1373" s="7">
        <v>18</v>
      </c>
      <c r="G1373" s="7">
        <v>2023</v>
      </c>
      <c r="H1373" s="8">
        <f t="shared" si="63"/>
        <v>45187</v>
      </c>
      <c r="I1373" s="11">
        <v>45207</v>
      </c>
      <c r="J1373" s="7">
        <f t="shared" si="64"/>
        <v>20</v>
      </c>
      <c r="K1373" s="7" t="s">
        <v>23</v>
      </c>
      <c r="L1373" s="7">
        <v>46648</v>
      </c>
      <c r="M1373" s="7">
        <v>876</v>
      </c>
      <c r="N1373" s="12">
        <v>959.34</v>
      </c>
      <c r="O1373" s="12">
        <f t="shared" si="65"/>
        <v>959.34</v>
      </c>
      <c r="P1373" s="7">
        <v>83</v>
      </c>
      <c r="Q1373" s="7" t="b">
        <v>1</v>
      </c>
      <c r="R1373" s="7"/>
      <c r="S1373" s="15" t="s">
        <v>25</v>
      </c>
    </row>
    <row r="1374" spans="1:19">
      <c r="A1374" s="3" t="s">
        <v>2841</v>
      </c>
      <c r="B1374" s="4" t="s">
        <v>2842</v>
      </c>
      <c r="C1374" s="5" t="s">
        <v>4128</v>
      </c>
      <c r="D1374" s="5">
        <v>45281</v>
      </c>
      <c r="E1374" s="4">
        <v>12</v>
      </c>
      <c r="F1374" s="4">
        <v>21</v>
      </c>
      <c r="G1374" s="4">
        <v>2023</v>
      </c>
      <c r="H1374" s="5">
        <f t="shared" si="63"/>
        <v>45281</v>
      </c>
      <c r="I1374" s="9">
        <v>45305</v>
      </c>
      <c r="J1374" s="4">
        <f t="shared" si="64"/>
        <v>24</v>
      </c>
      <c r="K1374" s="4" t="s">
        <v>41</v>
      </c>
      <c r="L1374" s="4">
        <v>49285</v>
      </c>
      <c r="M1374" s="4">
        <v>752</v>
      </c>
      <c r="N1374" s="10">
        <v>910.68</v>
      </c>
      <c r="O1374" s="10">
        <f t="shared" si="65"/>
        <v>910.68</v>
      </c>
      <c r="P1374" s="4">
        <v>40</v>
      </c>
      <c r="Q1374" s="4" t="b">
        <v>0</v>
      </c>
      <c r="R1374" s="4"/>
      <c r="S1374" s="14" t="s">
        <v>42</v>
      </c>
    </row>
    <row r="1375" spans="1:19">
      <c r="A1375" s="6" t="s">
        <v>2843</v>
      </c>
      <c r="B1375" s="7" t="s">
        <v>2844</v>
      </c>
      <c r="C1375" s="8" t="s">
        <v>4129</v>
      </c>
      <c r="D1375" s="8">
        <v>44992</v>
      </c>
      <c r="E1375" s="7">
        <v>3</v>
      </c>
      <c r="F1375" s="7">
        <v>7</v>
      </c>
      <c r="G1375" s="7">
        <v>2023</v>
      </c>
      <c r="H1375" s="8">
        <f t="shared" si="63"/>
        <v>44992</v>
      </c>
      <c r="I1375" s="11">
        <v>45001</v>
      </c>
      <c r="J1375" s="7">
        <f t="shared" si="64"/>
        <v>9</v>
      </c>
      <c r="K1375" s="7" t="s">
        <v>19</v>
      </c>
      <c r="L1375" s="7">
        <v>20063</v>
      </c>
      <c r="M1375" s="7">
        <v>888</v>
      </c>
      <c r="N1375" s="12">
        <v>1045.09</v>
      </c>
      <c r="O1375" s="12">
        <f t="shared" si="65"/>
        <v>1045.09</v>
      </c>
      <c r="P1375" s="7">
        <v>44</v>
      </c>
      <c r="Q1375" s="7" t="b">
        <v>0</v>
      </c>
      <c r="R1375" s="7"/>
      <c r="S1375" s="15" t="s">
        <v>20</v>
      </c>
    </row>
    <row r="1376" spans="1:19">
      <c r="A1376" s="3" t="s">
        <v>2845</v>
      </c>
      <c r="B1376" s="4" t="s">
        <v>2846</v>
      </c>
      <c r="C1376" s="5" t="s">
        <v>4128</v>
      </c>
      <c r="D1376" s="5">
        <v>45237</v>
      </c>
      <c r="E1376" s="4">
        <v>11</v>
      </c>
      <c r="F1376" s="4">
        <v>7</v>
      </c>
      <c r="G1376" s="4">
        <v>2023</v>
      </c>
      <c r="H1376" s="5">
        <f t="shared" si="63"/>
        <v>45237</v>
      </c>
      <c r="I1376" s="9">
        <v>45247</v>
      </c>
      <c r="J1376" s="4">
        <f t="shared" si="64"/>
        <v>10</v>
      </c>
      <c r="K1376" s="4" t="s">
        <v>41</v>
      </c>
      <c r="L1376" s="4">
        <v>68642</v>
      </c>
      <c r="M1376" s="4">
        <v>2266</v>
      </c>
      <c r="N1376" s="10">
        <v>4087.33</v>
      </c>
      <c r="O1376" s="10">
        <f t="shared" si="65"/>
        <v>3632.575</v>
      </c>
      <c r="P1376" s="4">
        <v>190</v>
      </c>
      <c r="Q1376" s="4" t="b">
        <v>0</v>
      </c>
      <c r="R1376" s="4"/>
      <c r="S1376" s="14" t="s">
        <v>42</v>
      </c>
    </row>
    <row r="1377" spans="1:19">
      <c r="A1377" s="6" t="s">
        <v>2847</v>
      </c>
      <c r="B1377" s="7" t="s">
        <v>2848</v>
      </c>
      <c r="C1377" s="8" t="s">
        <v>4127</v>
      </c>
      <c r="D1377" s="8">
        <v>45123</v>
      </c>
      <c r="E1377" s="7">
        <v>7</v>
      </c>
      <c r="F1377" s="7">
        <v>16</v>
      </c>
      <c r="G1377" s="7">
        <v>2023</v>
      </c>
      <c r="H1377" s="8">
        <f t="shared" si="63"/>
        <v>45123</v>
      </c>
      <c r="I1377" s="11">
        <v>45137</v>
      </c>
      <c r="J1377" s="7">
        <f t="shared" si="64"/>
        <v>14</v>
      </c>
      <c r="K1377" s="7" t="s">
        <v>33</v>
      </c>
      <c r="L1377" s="7">
        <v>91093</v>
      </c>
      <c r="M1377" s="7">
        <v>1189</v>
      </c>
      <c r="N1377" s="12">
        <v>1539.87</v>
      </c>
      <c r="O1377" s="12">
        <f t="shared" si="65"/>
        <v>1539.87</v>
      </c>
      <c r="P1377" s="7">
        <v>131</v>
      </c>
      <c r="Q1377" s="7" t="b">
        <v>0</v>
      </c>
      <c r="R1377" s="7"/>
      <c r="S1377" s="15" t="s">
        <v>34</v>
      </c>
    </row>
    <row r="1378" spans="1:19">
      <c r="A1378" s="3" t="s">
        <v>2849</v>
      </c>
      <c r="B1378" s="4" t="s">
        <v>2850</v>
      </c>
      <c r="C1378" s="5" t="s">
        <v>4129</v>
      </c>
      <c r="D1378" s="5">
        <v>45281</v>
      </c>
      <c r="E1378" s="4">
        <v>12</v>
      </c>
      <c r="F1378" s="4">
        <v>21</v>
      </c>
      <c r="G1378" s="4">
        <v>2023</v>
      </c>
      <c r="H1378" s="5">
        <f t="shared" si="63"/>
        <v>45281</v>
      </c>
      <c r="I1378" s="9">
        <v>45289</v>
      </c>
      <c r="J1378" s="4">
        <f t="shared" si="64"/>
        <v>8</v>
      </c>
      <c r="K1378" s="4" t="s">
        <v>23</v>
      </c>
      <c r="L1378" s="4">
        <v>87143</v>
      </c>
      <c r="M1378" s="4">
        <v>2204</v>
      </c>
      <c r="N1378" s="10">
        <v>2649.14</v>
      </c>
      <c r="O1378" s="10">
        <f t="shared" si="65"/>
        <v>2649.14</v>
      </c>
      <c r="P1378" s="4">
        <v>391</v>
      </c>
      <c r="Q1378" s="4" t="b">
        <v>1</v>
      </c>
      <c r="R1378" s="4"/>
      <c r="S1378" s="14" t="s">
        <v>68</v>
      </c>
    </row>
    <row r="1379" spans="1:19">
      <c r="A1379" s="6" t="s">
        <v>2851</v>
      </c>
      <c r="B1379" s="7" t="s">
        <v>2852</v>
      </c>
      <c r="C1379" s="8" t="s">
        <v>4131</v>
      </c>
      <c r="D1379" s="8">
        <v>45102</v>
      </c>
      <c r="E1379" s="7">
        <v>6</v>
      </c>
      <c r="F1379" s="7">
        <v>25</v>
      </c>
      <c r="G1379" s="7">
        <v>2023</v>
      </c>
      <c r="H1379" s="8">
        <f t="shared" si="63"/>
        <v>45102</v>
      </c>
      <c r="I1379" s="11">
        <v>45110</v>
      </c>
      <c r="J1379" s="7">
        <f t="shared" si="64"/>
        <v>8</v>
      </c>
      <c r="K1379" s="7" t="s">
        <v>19</v>
      </c>
      <c r="L1379" s="7">
        <v>38599</v>
      </c>
      <c r="M1379" s="7">
        <v>953</v>
      </c>
      <c r="N1379" s="12">
        <v>1063.61</v>
      </c>
      <c r="O1379" s="12">
        <f t="shared" si="65"/>
        <v>1063.61</v>
      </c>
      <c r="P1379" s="7">
        <v>0</v>
      </c>
      <c r="Q1379" s="7" t="b">
        <v>0</v>
      </c>
      <c r="R1379" s="7"/>
      <c r="S1379" s="15" t="s">
        <v>20</v>
      </c>
    </row>
    <row r="1380" spans="1:19">
      <c r="A1380" s="3" t="s">
        <v>2853</v>
      </c>
      <c r="B1380" s="4" t="s">
        <v>2854</v>
      </c>
      <c r="C1380" s="5" t="s">
        <v>4128</v>
      </c>
      <c r="D1380" s="5">
        <v>44995</v>
      </c>
      <c r="E1380" s="4">
        <v>3</v>
      </c>
      <c r="F1380" s="4">
        <v>10</v>
      </c>
      <c r="G1380" s="4">
        <v>2023</v>
      </c>
      <c r="H1380" s="5">
        <f t="shared" si="63"/>
        <v>44995</v>
      </c>
      <c r="I1380" s="9">
        <v>45003</v>
      </c>
      <c r="J1380" s="4">
        <f t="shared" si="64"/>
        <v>8</v>
      </c>
      <c r="K1380" s="4" t="s">
        <v>14</v>
      </c>
      <c r="L1380" s="4">
        <v>52920</v>
      </c>
      <c r="M1380" s="4">
        <v>913</v>
      </c>
      <c r="N1380" s="10">
        <v>1576.24</v>
      </c>
      <c r="O1380" s="10">
        <f t="shared" si="65"/>
        <v>1576.24</v>
      </c>
      <c r="P1380" s="4">
        <v>82</v>
      </c>
      <c r="Q1380" s="4" t="b">
        <v>1</v>
      </c>
      <c r="R1380" s="4"/>
      <c r="S1380" s="14" t="s">
        <v>16</v>
      </c>
    </row>
    <row r="1381" spans="1:19">
      <c r="A1381" s="6" t="s">
        <v>2855</v>
      </c>
      <c r="B1381" s="7" t="s">
        <v>2856</v>
      </c>
      <c r="C1381" s="8" t="s">
        <v>4128</v>
      </c>
      <c r="D1381" s="8">
        <v>45189</v>
      </c>
      <c r="E1381" s="7">
        <v>9</v>
      </c>
      <c r="F1381" s="7">
        <v>20</v>
      </c>
      <c r="G1381" s="7">
        <v>2023</v>
      </c>
      <c r="H1381" s="8">
        <f t="shared" si="63"/>
        <v>45189</v>
      </c>
      <c r="I1381" s="11">
        <v>45209</v>
      </c>
      <c r="J1381" s="7">
        <f t="shared" si="64"/>
        <v>20</v>
      </c>
      <c r="K1381" s="7" t="s">
        <v>14</v>
      </c>
      <c r="L1381" s="7">
        <v>29529</v>
      </c>
      <c r="M1381" s="7">
        <v>809</v>
      </c>
      <c r="N1381" s="12">
        <v>1490.65</v>
      </c>
      <c r="O1381" s="12">
        <f t="shared" si="65"/>
        <v>1490.65</v>
      </c>
      <c r="P1381" s="7">
        <v>70</v>
      </c>
      <c r="Q1381" s="7" t="b">
        <v>0</v>
      </c>
      <c r="R1381" s="7"/>
      <c r="S1381" s="15" t="s">
        <v>16</v>
      </c>
    </row>
    <row r="1382" spans="1:19">
      <c r="A1382" s="3" t="s">
        <v>2857</v>
      </c>
      <c r="B1382" s="4" t="s">
        <v>2858</v>
      </c>
      <c r="C1382" s="5" t="s">
        <v>4129</v>
      </c>
      <c r="D1382" s="5">
        <v>45087</v>
      </c>
      <c r="E1382" s="4">
        <v>6</v>
      </c>
      <c r="F1382" s="4">
        <v>10</v>
      </c>
      <c r="G1382" s="4">
        <v>2023</v>
      </c>
      <c r="H1382" s="5">
        <f t="shared" si="63"/>
        <v>45087</v>
      </c>
      <c r="I1382" s="9">
        <v>45107</v>
      </c>
      <c r="J1382" s="4">
        <f t="shared" si="64"/>
        <v>20</v>
      </c>
      <c r="K1382" s="4" t="s">
        <v>234</v>
      </c>
      <c r="L1382" s="4">
        <v>36954</v>
      </c>
      <c r="M1382" s="4">
        <v>860</v>
      </c>
      <c r="N1382" s="10">
        <v>1530.68</v>
      </c>
      <c r="O1382" s="10">
        <f t="shared" si="65"/>
        <v>1530.68</v>
      </c>
      <c r="P1382" s="4">
        <v>72</v>
      </c>
      <c r="Q1382" s="4" t="b">
        <v>0</v>
      </c>
      <c r="R1382" s="4">
        <v>37008</v>
      </c>
      <c r="S1382" s="14" t="s">
        <v>16</v>
      </c>
    </row>
    <row r="1383" spans="1:19">
      <c r="A1383" s="6" t="s">
        <v>2859</v>
      </c>
      <c r="B1383" s="7" t="s">
        <v>2860</v>
      </c>
      <c r="C1383" s="8" t="s">
        <v>4128</v>
      </c>
      <c r="D1383" s="8">
        <v>45250</v>
      </c>
      <c r="E1383" s="7">
        <v>11</v>
      </c>
      <c r="F1383" s="7">
        <v>20</v>
      </c>
      <c r="G1383" s="7">
        <v>2023</v>
      </c>
      <c r="H1383" s="8">
        <f t="shared" si="63"/>
        <v>45250</v>
      </c>
      <c r="I1383" s="11">
        <v>45269</v>
      </c>
      <c r="J1383" s="7">
        <f t="shared" si="64"/>
        <v>19</v>
      </c>
      <c r="K1383" s="7" t="s">
        <v>41</v>
      </c>
      <c r="L1383" s="7">
        <v>28856</v>
      </c>
      <c r="M1383" s="7">
        <v>683</v>
      </c>
      <c r="N1383" s="12">
        <v>1031.55</v>
      </c>
      <c r="O1383" s="12">
        <f t="shared" si="65"/>
        <v>1031.55</v>
      </c>
      <c r="P1383" s="7">
        <v>68</v>
      </c>
      <c r="Q1383" s="7" t="b">
        <v>1</v>
      </c>
      <c r="R1383" s="7"/>
      <c r="S1383" s="15" t="s">
        <v>42</v>
      </c>
    </row>
    <row r="1384" spans="1:19">
      <c r="A1384" s="3" t="s">
        <v>2861</v>
      </c>
      <c r="B1384" s="4" t="s">
        <v>2862</v>
      </c>
      <c r="C1384" s="5" t="s">
        <v>4127</v>
      </c>
      <c r="D1384" s="5">
        <v>45292</v>
      </c>
      <c r="E1384" s="4">
        <v>1</v>
      </c>
      <c r="F1384" s="4">
        <v>1</v>
      </c>
      <c r="G1384" s="4">
        <v>2024</v>
      </c>
      <c r="H1384" s="5">
        <f t="shared" si="63"/>
        <v>45292</v>
      </c>
      <c r="I1384" s="9">
        <v>45317</v>
      </c>
      <c r="J1384" s="4">
        <f t="shared" si="64"/>
        <v>25</v>
      </c>
      <c r="K1384" s="4" t="s">
        <v>33</v>
      </c>
      <c r="L1384" s="4">
        <v>3573</v>
      </c>
      <c r="M1384" s="4">
        <v>141</v>
      </c>
      <c r="N1384" s="10">
        <v>99.55</v>
      </c>
      <c r="O1384" s="10">
        <f t="shared" si="65"/>
        <v>99.55</v>
      </c>
      <c r="P1384" s="4">
        <v>17</v>
      </c>
      <c r="Q1384" s="4" t="b">
        <v>1</v>
      </c>
      <c r="R1384" s="4"/>
      <c r="S1384" s="14" t="s">
        <v>34</v>
      </c>
    </row>
    <row r="1385" spans="1:19">
      <c r="A1385" s="6" t="s">
        <v>2863</v>
      </c>
      <c r="B1385" s="7" t="s">
        <v>2864</v>
      </c>
      <c r="C1385" s="8" t="s">
        <v>4131</v>
      </c>
      <c r="D1385" s="8">
        <v>45271</v>
      </c>
      <c r="E1385" s="7">
        <v>12</v>
      </c>
      <c r="F1385" s="7">
        <v>11</v>
      </c>
      <c r="G1385" s="7">
        <v>2023</v>
      </c>
      <c r="H1385" s="8">
        <f t="shared" si="63"/>
        <v>45271</v>
      </c>
      <c r="I1385" s="11">
        <v>45280</v>
      </c>
      <c r="J1385" s="7">
        <f t="shared" si="64"/>
        <v>9</v>
      </c>
      <c r="K1385" s="7" t="s">
        <v>14</v>
      </c>
      <c r="L1385" s="7">
        <v>79344</v>
      </c>
      <c r="M1385" s="7">
        <v>1502</v>
      </c>
      <c r="N1385" s="12">
        <v>1374.79</v>
      </c>
      <c r="O1385" s="12">
        <f t="shared" si="65"/>
        <v>1374.79</v>
      </c>
      <c r="P1385" s="7">
        <v>173</v>
      </c>
      <c r="Q1385" s="7" t="b">
        <v>0</v>
      </c>
      <c r="R1385" s="7"/>
      <c r="S1385" s="15" t="s">
        <v>16</v>
      </c>
    </row>
    <row r="1386" spans="1:19">
      <c r="A1386" s="3" t="s">
        <v>2865</v>
      </c>
      <c r="B1386" s="4" t="s">
        <v>2866</v>
      </c>
      <c r="C1386" s="5" t="s">
        <v>4131</v>
      </c>
      <c r="D1386" s="5">
        <v>45018</v>
      </c>
      <c r="E1386" s="4">
        <v>4</v>
      </c>
      <c r="F1386" s="4">
        <v>2</v>
      </c>
      <c r="G1386" s="4">
        <v>2023</v>
      </c>
      <c r="H1386" s="5">
        <f t="shared" si="63"/>
        <v>45018</v>
      </c>
      <c r="I1386" s="9">
        <v>45048</v>
      </c>
      <c r="J1386" s="4">
        <f t="shared" si="64"/>
        <v>30</v>
      </c>
      <c r="K1386" s="4" t="s">
        <v>19</v>
      </c>
      <c r="L1386" s="4">
        <v>36367</v>
      </c>
      <c r="M1386" s="4">
        <v>1297</v>
      </c>
      <c r="N1386" s="10">
        <v>738.12</v>
      </c>
      <c r="O1386" s="10">
        <f t="shared" si="65"/>
        <v>738.12</v>
      </c>
      <c r="P1386" s="4">
        <v>107</v>
      </c>
      <c r="Q1386" s="4" t="b">
        <v>0</v>
      </c>
      <c r="R1386" s="4"/>
      <c r="S1386" s="14" t="s">
        <v>20</v>
      </c>
    </row>
    <row r="1387" spans="1:19">
      <c r="A1387" s="6" t="s">
        <v>2867</v>
      </c>
      <c r="B1387" s="7" t="s">
        <v>2868</v>
      </c>
      <c r="C1387" s="8" t="s">
        <v>4131</v>
      </c>
      <c r="D1387" s="8">
        <v>45092</v>
      </c>
      <c r="E1387" s="7">
        <v>6</v>
      </c>
      <c r="F1387" s="7">
        <v>15</v>
      </c>
      <c r="G1387" s="7">
        <v>2023</v>
      </c>
      <c r="H1387" s="8">
        <f t="shared" si="63"/>
        <v>45092</v>
      </c>
      <c r="I1387" s="11">
        <v>45110</v>
      </c>
      <c r="J1387" s="7">
        <f t="shared" si="64"/>
        <v>18</v>
      </c>
      <c r="K1387" s="7" t="s">
        <v>33</v>
      </c>
      <c r="L1387" s="7">
        <v>61774</v>
      </c>
      <c r="M1387" s="7">
        <v>2027</v>
      </c>
      <c r="N1387" s="12">
        <v>3843.67</v>
      </c>
      <c r="O1387" s="12">
        <f t="shared" si="65"/>
        <v>3632.575</v>
      </c>
      <c r="P1387" s="7">
        <v>141</v>
      </c>
      <c r="Q1387" s="7" t="b">
        <v>1</v>
      </c>
      <c r="R1387" s="7"/>
      <c r="S1387" s="15" t="s">
        <v>34</v>
      </c>
    </row>
    <row r="1388" spans="1:19">
      <c r="A1388" s="3" t="s">
        <v>2869</v>
      </c>
      <c r="B1388" s="4" t="s">
        <v>2870</v>
      </c>
      <c r="C1388" s="5" t="s">
        <v>4128</v>
      </c>
      <c r="D1388" s="5">
        <v>45214</v>
      </c>
      <c r="E1388" s="4">
        <v>10</v>
      </c>
      <c r="F1388" s="4">
        <v>15</v>
      </c>
      <c r="G1388" s="4">
        <v>2023</v>
      </c>
      <c r="H1388" s="5">
        <f t="shared" si="63"/>
        <v>45214</v>
      </c>
      <c r="I1388" s="9">
        <v>45226</v>
      </c>
      <c r="J1388" s="4">
        <f t="shared" si="64"/>
        <v>12</v>
      </c>
      <c r="K1388" s="4" t="s">
        <v>14</v>
      </c>
      <c r="L1388" s="4">
        <v>24752</v>
      </c>
      <c r="M1388" s="4">
        <v>809</v>
      </c>
      <c r="N1388" s="10">
        <v>1206.38</v>
      </c>
      <c r="O1388" s="10">
        <f t="shared" si="65"/>
        <v>1206.38</v>
      </c>
      <c r="P1388" s="4">
        <v>41</v>
      </c>
      <c r="Q1388" s="4" t="b">
        <v>1</v>
      </c>
      <c r="R1388" s="4"/>
      <c r="S1388" s="14" t="s">
        <v>16</v>
      </c>
    </row>
    <row r="1389" spans="1:19">
      <c r="A1389" s="6" t="s">
        <v>2871</v>
      </c>
      <c r="B1389" s="7" t="s">
        <v>2872</v>
      </c>
      <c r="C1389" s="8" t="s">
        <v>4127</v>
      </c>
      <c r="D1389" s="8">
        <v>45268</v>
      </c>
      <c r="E1389" s="7">
        <v>12</v>
      </c>
      <c r="F1389" s="7">
        <v>8</v>
      </c>
      <c r="G1389" s="7">
        <v>2023</v>
      </c>
      <c r="H1389" s="8">
        <f t="shared" si="63"/>
        <v>45268</v>
      </c>
      <c r="I1389" s="11">
        <v>45295</v>
      </c>
      <c r="J1389" s="7">
        <f t="shared" si="64"/>
        <v>27</v>
      </c>
      <c r="K1389" s="7" t="s">
        <v>138</v>
      </c>
      <c r="L1389" s="7">
        <v>56029</v>
      </c>
      <c r="M1389" s="7">
        <v>2046</v>
      </c>
      <c r="N1389" s="12">
        <v>3313.59</v>
      </c>
      <c r="O1389" s="12">
        <f t="shared" si="65"/>
        <v>3313.59</v>
      </c>
      <c r="P1389" s="7">
        <v>149</v>
      </c>
      <c r="Q1389" s="7" t="b">
        <v>1</v>
      </c>
      <c r="R1389" s="7"/>
      <c r="S1389" s="15" t="s">
        <v>139</v>
      </c>
    </row>
    <row r="1390" spans="1:19">
      <c r="A1390" s="3" t="s">
        <v>2873</v>
      </c>
      <c r="B1390" s="4" t="s">
        <v>2874</v>
      </c>
      <c r="C1390" s="5" t="s">
        <v>4128</v>
      </c>
      <c r="D1390" s="5">
        <v>45200</v>
      </c>
      <c r="E1390" s="4">
        <v>10</v>
      </c>
      <c r="F1390" s="4">
        <v>1</v>
      </c>
      <c r="G1390" s="4">
        <v>2023</v>
      </c>
      <c r="H1390" s="5">
        <f t="shared" si="63"/>
        <v>45200</v>
      </c>
      <c r="I1390" s="9">
        <v>45208</v>
      </c>
      <c r="J1390" s="4">
        <f t="shared" si="64"/>
        <v>8</v>
      </c>
      <c r="K1390" s="4" t="s">
        <v>33</v>
      </c>
      <c r="L1390" s="4">
        <v>18685</v>
      </c>
      <c r="M1390" s="4">
        <v>596</v>
      </c>
      <c r="N1390" s="10">
        <v>576.55</v>
      </c>
      <c r="O1390" s="10">
        <f t="shared" si="65"/>
        <v>576.55</v>
      </c>
      <c r="P1390" s="4">
        <v>92</v>
      </c>
      <c r="Q1390" s="4" t="b">
        <v>0</v>
      </c>
      <c r="R1390" s="4"/>
      <c r="S1390" s="14" t="s">
        <v>34</v>
      </c>
    </row>
    <row r="1391" spans="1:19">
      <c r="A1391" s="6" t="s">
        <v>2875</v>
      </c>
      <c r="B1391" s="7" t="s">
        <v>2876</v>
      </c>
      <c r="C1391" s="8" t="s">
        <v>4129</v>
      </c>
      <c r="D1391" s="8">
        <v>44933</v>
      </c>
      <c r="E1391" s="7">
        <v>1</v>
      </c>
      <c r="F1391" s="7">
        <v>7</v>
      </c>
      <c r="G1391" s="7">
        <v>2023</v>
      </c>
      <c r="H1391" s="8">
        <f t="shared" si="63"/>
        <v>44933</v>
      </c>
      <c r="I1391" s="11">
        <v>45113</v>
      </c>
      <c r="J1391" s="7">
        <f t="shared" si="64"/>
        <v>180</v>
      </c>
      <c r="K1391" s="7" t="s">
        <v>23</v>
      </c>
      <c r="L1391" s="7">
        <v>52693</v>
      </c>
      <c r="M1391" s="7">
        <v>2380</v>
      </c>
      <c r="N1391" s="12">
        <v>4208.98</v>
      </c>
      <c r="O1391" s="12">
        <f t="shared" si="65"/>
        <v>3632.575</v>
      </c>
      <c r="P1391" s="7">
        <v>205</v>
      </c>
      <c r="Q1391" s="7" t="b">
        <v>1</v>
      </c>
      <c r="R1391" s="7"/>
      <c r="S1391" s="15" t="s">
        <v>25</v>
      </c>
    </row>
    <row r="1392" spans="1:19">
      <c r="A1392" s="3" t="s">
        <v>2877</v>
      </c>
      <c r="B1392" s="4" t="s">
        <v>2878</v>
      </c>
      <c r="C1392" s="5" t="s">
        <v>4129</v>
      </c>
      <c r="D1392" s="5" t="s">
        <v>2879</v>
      </c>
      <c r="E1392" s="4">
        <v>16</v>
      </c>
      <c r="F1392" s="4">
        <v>3</v>
      </c>
      <c r="G1392" s="4">
        <v>2023</v>
      </c>
      <c r="H1392" s="5">
        <f t="shared" si="63"/>
        <v>45001</v>
      </c>
      <c r="I1392" s="9">
        <v>45002</v>
      </c>
      <c r="J1392" s="4">
        <f t="shared" si="64"/>
        <v>1</v>
      </c>
      <c r="K1392" s="4" t="s">
        <v>41</v>
      </c>
      <c r="L1392" s="4">
        <v>56961</v>
      </c>
      <c r="M1392" s="4">
        <v>2108</v>
      </c>
      <c r="N1392" s="10">
        <v>1874.87</v>
      </c>
      <c r="O1392" s="10">
        <f t="shared" si="65"/>
        <v>1874.87</v>
      </c>
      <c r="P1392" s="4">
        <v>253</v>
      </c>
      <c r="Q1392" s="4" t="b">
        <v>0</v>
      </c>
      <c r="R1392" s="4"/>
      <c r="S1392" s="14" t="s">
        <v>68</v>
      </c>
    </row>
    <row r="1393" spans="1:19">
      <c r="A1393" s="6" t="s">
        <v>2880</v>
      </c>
      <c r="B1393" s="7" t="s">
        <v>2881</v>
      </c>
      <c r="C1393" s="8" t="s">
        <v>4128</v>
      </c>
      <c r="D1393" s="8">
        <v>44955</v>
      </c>
      <c r="E1393" s="7">
        <v>1</v>
      </c>
      <c r="F1393" s="7">
        <v>29</v>
      </c>
      <c r="G1393" s="7">
        <v>2023</v>
      </c>
      <c r="H1393" s="8">
        <f t="shared" si="63"/>
        <v>44955</v>
      </c>
      <c r="I1393" s="11">
        <v>44973</v>
      </c>
      <c r="J1393" s="7">
        <f t="shared" si="64"/>
        <v>18</v>
      </c>
      <c r="K1393" s="7" t="s">
        <v>14</v>
      </c>
      <c r="L1393" s="7">
        <v>77908</v>
      </c>
      <c r="M1393" s="7">
        <v>2483</v>
      </c>
      <c r="N1393" s="12">
        <v>1247.62</v>
      </c>
      <c r="O1393" s="12">
        <f t="shared" si="65"/>
        <v>1247.62</v>
      </c>
      <c r="P1393" s="7">
        <v>0</v>
      </c>
      <c r="Q1393" s="7" t="b">
        <v>0</v>
      </c>
      <c r="R1393" s="7"/>
      <c r="S1393" s="15" t="s">
        <v>16</v>
      </c>
    </row>
    <row r="1394" spans="1:19">
      <c r="A1394" s="3" t="s">
        <v>2882</v>
      </c>
      <c r="B1394" s="4" t="s">
        <v>2883</v>
      </c>
      <c r="C1394" s="5" t="s">
        <v>4131</v>
      </c>
      <c r="D1394" s="5">
        <v>45009</v>
      </c>
      <c r="E1394" s="4">
        <v>3</v>
      </c>
      <c r="F1394" s="4">
        <v>24</v>
      </c>
      <c r="G1394" s="4">
        <v>2023</v>
      </c>
      <c r="H1394" s="5">
        <f t="shared" si="63"/>
        <v>45009</v>
      </c>
      <c r="I1394" s="9">
        <v>45028</v>
      </c>
      <c r="J1394" s="4">
        <f t="shared" si="64"/>
        <v>19</v>
      </c>
      <c r="K1394" s="4" t="s">
        <v>19</v>
      </c>
      <c r="L1394" s="4">
        <v>75532</v>
      </c>
      <c r="M1394" s="4">
        <v>3262</v>
      </c>
      <c r="N1394" s="10">
        <v>3472.8</v>
      </c>
      <c r="O1394" s="10">
        <f t="shared" si="65"/>
        <v>3472.8</v>
      </c>
      <c r="P1394" s="4">
        <v>597</v>
      </c>
      <c r="Q1394" s="4" t="b">
        <v>1</v>
      </c>
      <c r="R1394" s="4"/>
      <c r="S1394" s="14" t="s">
        <v>20</v>
      </c>
    </row>
    <row r="1395" spans="1:19">
      <c r="A1395" s="6" t="s">
        <v>2884</v>
      </c>
      <c r="B1395" s="7" t="s">
        <v>2885</v>
      </c>
      <c r="C1395" s="8" t="s">
        <v>4131</v>
      </c>
      <c r="D1395" s="8">
        <v>45001</v>
      </c>
      <c r="E1395" s="7">
        <v>3</v>
      </c>
      <c r="F1395" s="7">
        <v>16</v>
      </c>
      <c r="G1395" s="7">
        <v>2023</v>
      </c>
      <c r="H1395" s="8">
        <f t="shared" si="63"/>
        <v>45001</v>
      </c>
      <c r="I1395" s="11">
        <v>45012</v>
      </c>
      <c r="J1395" s="7">
        <f t="shared" si="64"/>
        <v>11</v>
      </c>
      <c r="K1395" s="7" t="s">
        <v>33</v>
      </c>
      <c r="L1395" s="7">
        <v>82994</v>
      </c>
      <c r="M1395" s="7">
        <v>2842</v>
      </c>
      <c r="N1395" s="12">
        <v>3854.16</v>
      </c>
      <c r="O1395" s="12">
        <f t="shared" si="65"/>
        <v>3632.575</v>
      </c>
      <c r="P1395" s="7">
        <v>521</v>
      </c>
      <c r="Q1395" s="7" t="b">
        <v>1</v>
      </c>
      <c r="R1395" s="7"/>
      <c r="S1395" s="15" t="s">
        <v>34</v>
      </c>
    </row>
    <row r="1396" spans="1:19">
      <c r="A1396" s="3" t="s">
        <v>2886</v>
      </c>
      <c r="B1396" s="4" t="s">
        <v>2887</v>
      </c>
      <c r="C1396" s="5" t="s">
        <v>4129</v>
      </c>
      <c r="D1396" s="5">
        <v>45078</v>
      </c>
      <c r="E1396" s="4">
        <v>6</v>
      </c>
      <c r="F1396" s="4">
        <v>1</v>
      </c>
      <c r="G1396" s="4">
        <v>2023</v>
      </c>
      <c r="H1396" s="5">
        <f t="shared" si="63"/>
        <v>45078</v>
      </c>
      <c r="I1396" s="9">
        <v>45103</v>
      </c>
      <c r="J1396" s="4">
        <f t="shared" si="64"/>
        <v>25</v>
      </c>
      <c r="K1396" s="4" t="s">
        <v>33</v>
      </c>
      <c r="L1396" s="4">
        <v>57133</v>
      </c>
      <c r="M1396" s="4">
        <v>1236</v>
      </c>
      <c r="N1396" s="10">
        <v>1505.52</v>
      </c>
      <c r="O1396" s="10">
        <f t="shared" si="65"/>
        <v>1505.52</v>
      </c>
      <c r="P1396" s="4">
        <v>200</v>
      </c>
      <c r="Q1396" s="4" t="b">
        <v>1</v>
      </c>
      <c r="R1396" s="4"/>
      <c r="S1396" s="14" t="s">
        <v>34</v>
      </c>
    </row>
    <row r="1397" spans="1:19">
      <c r="A1397" s="6" t="s">
        <v>2888</v>
      </c>
      <c r="B1397" s="7" t="s">
        <v>2889</v>
      </c>
      <c r="C1397" s="8" t="s">
        <v>4131</v>
      </c>
      <c r="D1397" s="8">
        <v>45110</v>
      </c>
      <c r="E1397" s="7">
        <v>7</v>
      </c>
      <c r="F1397" s="7">
        <v>3</v>
      </c>
      <c r="G1397" s="7">
        <v>2023</v>
      </c>
      <c r="H1397" s="8">
        <f t="shared" si="63"/>
        <v>45110</v>
      </c>
      <c r="I1397" s="11">
        <v>45118</v>
      </c>
      <c r="J1397" s="7">
        <f t="shared" si="64"/>
        <v>8</v>
      </c>
      <c r="K1397" s="7" t="s">
        <v>19</v>
      </c>
      <c r="L1397" s="7">
        <v>98425</v>
      </c>
      <c r="M1397" s="7">
        <v>1799</v>
      </c>
      <c r="N1397" s="12">
        <v>3225.81</v>
      </c>
      <c r="O1397" s="12">
        <f t="shared" si="65"/>
        <v>3225.81</v>
      </c>
      <c r="P1397" s="7">
        <v>0</v>
      </c>
      <c r="Q1397" s="7" t="b">
        <v>0</v>
      </c>
      <c r="R1397" s="7"/>
      <c r="S1397" s="15" t="s">
        <v>20</v>
      </c>
    </row>
    <row r="1398" spans="1:19">
      <c r="A1398" s="3" t="s">
        <v>2890</v>
      </c>
      <c r="B1398" s="4" t="s">
        <v>2891</v>
      </c>
      <c r="C1398" s="5" t="s">
        <v>4128</v>
      </c>
      <c r="D1398" s="5">
        <v>45272</v>
      </c>
      <c r="E1398" s="4">
        <v>12</v>
      </c>
      <c r="F1398" s="4">
        <v>12</v>
      </c>
      <c r="G1398" s="4">
        <v>2023</v>
      </c>
      <c r="H1398" s="5">
        <f t="shared" si="63"/>
        <v>45272</v>
      </c>
      <c r="I1398" s="9">
        <v>45278</v>
      </c>
      <c r="J1398" s="4">
        <f t="shared" si="64"/>
        <v>6</v>
      </c>
      <c r="K1398" s="4" t="s">
        <v>23</v>
      </c>
      <c r="L1398" s="4">
        <v>62268</v>
      </c>
      <c r="M1398" s="4">
        <v>1002</v>
      </c>
      <c r="N1398" s="10">
        <v>659.42</v>
      </c>
      <c r="O1398" s="10">
        <f t="shared" si="65"/>
        <v>659.42</v>
      </c>
      <c r="P1398" s="4">
        <v>136</v>
      </c>
      <c r="Q1398" s="4" t="b">
        <v>1</v>
      </c>
      <c r="R1398" s="4"/>
      <c r="S1398" s="14" t="s">
        <v>25</v>
      </c>
    </row>
    <row r="1399" spans="1:19">
      <c r="A1399" s="6" t="s">
        <v>2892</v>
      </c>
      <c r="B1399" s="7" t="s">
        <v>2893</v>
      </c>
      <c r="C1399" s="8" t="s">
        <v>4129</v>
      </c>
      <c r="D1399" s="8">
        <v>45258</v>
      </c>
      <c r="E1399" s="7">
        <v>11</v>
      </c>
      <c r="F1399" s="7">
        <v>28</v>
      </c>
      <c r="G1399" s="7">
        <v>2023</v>
      </c>
      <c r="H1399" s="8">
        <f t="shared" si="63"/>
        <v>45258</v>
      </c>
      <c r="I1399" s="11">
        <v>45284</v>
      </c>
      <c r="J1399" s="7">
        <f t="shared" si="64"/>
        <v>26</v>
      </c>
      <c r="K1399" s="7" t="s">
        <v>19</v>
      </c>
      <c r="L1399" s="7">
        <v>93201</v>
      </c>
      <c r="M1399" s="7">
        <v>4285</v>
      </c>
      <c r="N1399" s="12">
        <v>5702.2</v>
      </c>
      <c r="O1399" s="12">
        <f t="shared" si="65"/>
        <v>3632.575</v>
      </c>
      <c r="P1399" s="7">
        <v>0</v>
      </c>
      <c r="Q1399" s="7" t="b">
        <v>1</v>
      </c>
      <c r="R1399" s="7"/>
      <c r="S1399" s="15" t="s">
        <v>20</v>
      </c>
    </row>
    <row r="1400" spans="1:19">
      <c r="A1400" s="3" t="s">
        <v>2894</v>
      </c>
      <c r="B1400" s="4" t="s">
        <v>2895</v>
      </c>
      <c r="C1400" s="5" t="s">
        <v>4128</v>
      </c>
      <c r="D1400" s="5">
        <v>45283</v>
      </c>
      <c r="E1400" s="4">
        <v>12</v>
      </c>
      <c r="F1400" s="4">
        <v>23</v>
      </c>
      <c r="G1400" s="4">
        <v>2023</v>
      </c>
      <c r="H1400" s="5">
        <f t="shared" si="63"/>
        <v>45283</v>
      </c>
      <c r="I1400" s="9">
        <v>45310</v>
      </c>
      <c r="J1400" s="4">
        <f t="shared" si="64"/>
        <v>27</v>
      </c>
      <c r="K1400" s="4" t="s">
        <v>23</v>
      </c>
      <c r="L1400" s="4">
        <v>39243</v>
      </c>
      <c r="M1400" s="4">
        <v>1507</v>
      </c>
      <c r="N1400" s="10">
        <v>1913.09</v>
      </c>
      <c r="O1400" s="10">
        <f t="shared" si="65"/>
        <v>1913.09</v>
      </c>
      <c r="P1400" s="4">
        <v>79</v>
      </c>
      <c r="Q1400" s="4" t="b">
        <v>1</v>
      </c>
      <c r="R1400" s="4"/>
      <c r="S1400" s="14" t="s">
        <v>68</v>
      </c>
    </row>
    <row r="1401" spans="1:19">
      <c r="A1401" s="6" t="s">
        <v>2896</v>
      </c>
      <c r="B1401" s="7" t="s">
        <v>2897</v>
      </c>
      <c r="C1401" s="8" t="s">
        <v>4128</v>
      </c>
      <c r="D1401" s="8">
        <v>45122</v>
      </c>
      <c r="E1401" s="7">
        <v>7</v>
      </c>
      <c r="F1401" s="7">
        <v>15</v>
      </c>
      <c r="G1401" s="7">
        <v>2023</v>
      </c>
      <c r="H1401" s="8">
        <f t="shared" si="63"/>
        <v>45122</v>
      </c>
      <c r="I1401" s="11">
        <v>45135</v>
      </c>
      <c r="J1401" s="7">
        <f t="shared" si="64"/>
        <v>13</v>
      </c>
      <c r="K1401" s="7" t="s">
        <v>19</v>
      </c>
      <c r="L1401" s="7">
        <v>58384</v>
      </c>
      <c r="M1401" s="7">
        <v>2772</v>
      </c>
      <c r="N1401" s="12">
        <v>2556.03</v>
      </c>
      <c r="O1401" s="12">
        <f t="shared" si="65"/>
        <v>2556.03</v>
      </c>
      <c r="P1401" s="7">
        <v>367</v>
      </c>
      <c r="Q1401" s="7" t="b">
        <v>0</v>
      </c>
      <c r="R1401" s="7"/>
      <c r="S1401" s="15" t="s">
        <v>20</v>
      </c>
    </row>
    <row r="1402" spans="1:19">
      <c r="A1402" s="3" t="s">
        <v>2898</v>
      </c>
      <c r="B1402" s="4" t="s">
        <v>2899</v>
      </c>
      <c r="C1402" s="5" t="s">
        <v>4131</v>
      </c>
      <c r="D1402" s="5">
        <v>45277</v>
      </c>
      <c r="E1402" s="4">
        <v>12</v>
      </c>
      <c r="F1402" s="4">
        <v>17</v>
      </c>
      <c r="G1402" s="4">
        <v>2023</v>
      </c>
      <c r="H1402" s="5">
        <f t="shared" si="63"/>
        <v>45277</v>
      </c>
      <c r="I1402" s="9">
        <v>45284</v>
      </c>
      <c r="J1402" s="4">
        <f t="shared" si="64"/>
        <v>7</v>
      </c>
      <c r="K1402" s="4" t="s">
        <v>41</v>
      </c>
      <c r="L1402" s="4">
        <v>32653</v>
      </c>
      <c r="M1402" s="4">
        <v>1114</v>
      </c>
      <c r="N1402" s="10">
        <v>1930.94</v>
      </c>
      <c r="O1402" s="10">
        <f t="shared" si="65"/>
        <v>1930.94</v>
      </c>
      <c r="P1402" s="4">
        <v>199</v>
      </c>
      <c r="Q1402" s="4" t="b">
        <v>0</v>
      </c>
      <c r="R1402" s="4"/>
      <c r="S1402" s="14" t="s">
        <v>42</v>
      </c>
    </row>
    <row r="1403" spans="1:19">
      <c r="A1403" s="6" t="s">
        <v>2900</v>
      </c>
      <c r="B1403" s="7" t="s">
        <v>2901</v>
      </c>
      <c r="C1403" s="8" t="s">
        <v>4131</v>
      </c>
      <c r="D1403" s="8">
        <v>44933</v>
      </c>
      <c r="E1403" s="7">
        <v>1</v>
      </c>
      <c r="F1403" s="7">
        <v>7</v>
      </c>
      <c r="G1403" s="7">
        <v>2023</v>
      </c>
      <c r="H1403" s="8">
        <f t="shared" si="63"/>
        <v>44933</v>
      </c>
      <c r="I1403" s="11">
        <v>44951</v>
      </c>
      <c r="J1403" s="7">
        <f t="shared" si="64"/>
        <v>18</v>
      </c>
      <c r="K1403" s="7" t="s">
        <v>23</v>
      </c>
      <c r="L1403" s="7">
        <v>27657</v>
      </c>
      <c r="M1403" s="7">
        <v>800</v>
      </c>
      <c r="N1403" s="12">
        <v>1303.42</v>
      </c>
      <c r="O1403" s="12">
        <f t="shared" si="65"/>
        <v>1303.42</v>
      </c>
      <c r="P1403" s="7">
        <v>96</v>
      </c>
      <c r="Q1403" s="7" t="b">
        <v>1</v>
      </c>
      <c r="R1403" s="7"/>
      <c r="S1403" s="15" t="s">
        <v>59</v>
      </c>
    </row>
    <row r="1404" spans="1:19">
      <c r="A1404" s="3" t="s">
        <v>2902</v>
      </c>
      <c r="B1404" s="4" t="s">
        <v>2903</v>
      </c>
      <c r="C1404" s="5" t="s">
        <v>4127</v>
      </c>
      <c r="D1404" s="5">
        <v>45153</v>
      </c>
      <c r="E1404" s="4">
        <v>8</v>
      </c>
      <c r="F1404" s="4">
        <v>15</v>
      </c>
      <c r="G1404" s="4">
        <v>2023</v>
      </c>
      <c r="H1404" s="5">
        <f t="shared" si="63"/>
        <v>45153</v>
      </c>
      <c r="I1404" s="9">
        <v>45173</v>
      </c>
      <c r="J1404" s="4">
        <f t="shared" si="64"/>
        <v>20</v>
      </c>
      <c r="K1404" s="4" t="s">
        <v>14</v>
      </c>
      <c r="L1404" s="4">
        <v>40952</v>
      </c>
      <c r="M1404" s="4">
        <v>507</v>
      </c>
      <c r="N1404" s="10">
        <v>810.84</v>
      </c>
      <c r="O1404" s="10">
        <f t="shared" si="65"/>
        <v>810.84</v>
      </c>
      <c r="P1404" s="4">
        <v>25</v>
      </c>
      <c r="Q1404" s="4" t="b">
        <v>1</v>
      </c>
      <c r="R1404" s="4"/>
      <c r="S1404" s="14" t="s">
        <v>16</v>
      </c>
    </row>
    <row r="1405" spans="1:19">
      <c r="A1405" s="6" t="s">
        <v>2904</v>
      </c>
      <c r="B1405" s="7" t="s">
        <v>2905</v>
      </c>
      <c r="C1405" s="8" t="s">
        <v>4127</v>
      </c>
      <c r="D1405" s="8">
        <v>45287</v>
      </c>
      <c r="E1405" s="7">
        <v>12</v>
      </c>
      <c r="F1405" s="7">
        <v>27</v>
      </c>
      <c r="G1405" s="7">
        <v>2023</v>
      </c>
      <c r="H1405" s="8">
        <f t="shared" si="63"/>
        <v>45287</v>
      </c>
      <c r="I1405" s="11">
        <v>45288</v>
      </c>
      <c r="J1405" s="7">
        <f t="shared" si="64"/>
        <v>1</v>
      </c>
      <c r="K1405" s="7" t="s">
        <v>33</v>
      </c>
      <c r="L1405" s="7">
        <v>23180</v>
      </c>
      <c r="M1405" s="7">
        <v>854</v>
      </c>
      <c r="N1405" s="12">
        <v>1549.4</v>
      </c>
      <c r="O1405" s="12">
        <f t="shared" si="65"/>
        <v>1549.4</v>
      </c>
      <c r="P1405" s="7">
        <v>44</v>
      </c>
      <c r="Q1405" s="7" t="b">
        <v>0</v>
      </c>
      <c r="R1405" s="7"/>
      <c r="S1405" s="15" t="s">
        <v>34</v>
      </c>
    </row>
    <row r="1406" spans="1:19">
      <c r="A1406" s="3" t="s">
        <v>2906</v>
      </c>
      <c r="B1406" s="4" t="s">
        <v>2907</v>
      </c>
      <c r="C1406" s="5" t="s">
        <v>4128</v>
      </c>
      <c r="D1406" s="5">
        <v>45228</v>
      </c>
      <c r="E1406" s="4">
        <v>10</v>
      </c>
      <c r="F1406" s="4">
        <v>29</v>
      </c>
      <c r="G1406" s="4">
        <v>2023</v>
      </c>
      <c r="H1406" s="5">
        <f t="shared" si="63"/>
        <v>45228</v>
      </c>
      <c r="I1406" s="9">
        <v>45234</v>
      </c>
      <c r="J1406" s="4">
        <f t="shared" si="64"/>
        <v>6</v>
      </c>
      <c r="K1406" s="4" t="s">
        <v>33</v>
      </c>
      <c r="L1406" s="4">
        <v>98432</v>
      </c>
      <c r="M1406" s="4">
        <v>3276</v>
      </c>
      <c r="N1406" s="10">
        <v>5189.76</v>
      </c>
      <c r="O1406" s="10">
        <f t="shared" si="65"/>
        <v>3632.575</v>
      </c>
      <c r="P1406" s="4">
        <v>0</v>
      </c>
      <c r="Q1406" s="4" t="b">
        <v>1</v>
      </c>
      <c r="R1406" s="4"/>
      <c r="S1406" s="14" t="s">
        <v>34</v>
      </c>
    </row>
    <row r="1407" spans="1:19">
      <c r="A1407" s="6" t="s">
        <v>2908</v>
      </c>
      <c r="B1407" s="7" t="s">
        <v>2909</v>
      </c>
      <c r="C1407" s="8" t="s">
        <v>4128</v>
      </c>
      <c r="D1407" s="8">
        <v>45026</v>
      </c>
      <c r="E1407" s="7">
        <v>4</v>
      </c>
      <c r="F1407" s="7">
        <v>10</v>
      </c>
      <c r="G1407" s="7">
        <v>2023</v>
      </c>
      <c r="H1407" s="8">
        <f t="shared" si="63"/>
        <v>45026</v>
      </c>
      <c r="I1407" s="11">
        <v>45029</v>
      </c>
      <c r="J1407" s="7">
        <f t="shared" si="64"/>
        <v>3</v>
      </c>
      <c r="K1407" s="7" t="s">
        <v>19</v>
      </c>
      <c r="L1407" s="7">
        <v>79411</v>
      </c>
      <c r="M1407" s="7">
        <v>3939</v>
      </c>
      <c r="N1407" s="12">
        <v>3339.33</v>
      </c>
      <c r="O1407" s="12">
        <f t="shared" si="65"/>
        <v>3339.33</v>
      </c>
      <c r="P1407" s="7">
        <v>288</v>
      </c>
      <c r="Q1407" s="7" t="b">
        <v>1</v>
      </c>
      <c r="R1407" s="7"/>
      <c r="S1407" s="15" t="s">
        <v>20</v>
      </c>
    </row>
    <row r="1408" spans="1:19">
      <c r="A1408" s="3" t="s">
        <v>2910</v>
      </c>
      <c r="B1408" s="4" t="s">
        <v>2911</v>
      </c>
      <c r="C1408" s="5" t="s">
        <v>4127</v>
      </c>
      <c r="D1408" s="5" t="s">
        <v>2559</v>
      </c>
      <c r="E1408" s="4">
        <v>16</v>
      </c>
      <c r="F1408" s="4">
        <v>12</v>
      </c>
      <c r="G1408" s="4">
        <v>2023</v>
      </c>
      <c r="H1408" s="5">
        <f t="shared" si="63"/>
        <v>45276</v>
      </c>
      <c r="I1408" s="9">
        <v>45295</v>
      </c>
      <c r="J1408" s="4">
        <f t="shared" si="64"/>
        <v>19</v>
      </c>
      <c r="K1408" s="4" t="s">
        <v>19</v>
      </c>
      <c r="L1408" s="4">
        <v>2622</v>
      </c>
      <c r="M1408" s="4">
        <v>51</v>
      </c>
      <c r="N1408" s="10">
        <v>79.48</v>
      </c>
      <c r="O1408" s="10">
        <f t="shared" si="65"/>
        <v>79.48</v>
      </c>
      <c r="P1408" s="4">
        <v>7</v>
      </c>
      <c r="Q1408" s="4" t="b">
        <v>1</v>
      </c>
      <c r="R1408" s="4"/>
      <c r="S1408" s="14" t="s">
        <v>20</v>
      </c>
    </row>
    <row r="1409" spans="1:19">
      <c r="A1409" s="6" t="s">
        <v>2912</v>
      </c>
      <c r="B1409" s="7" t="s">
        <v>2913</v>
      </c>
      <c r="C1409" s="8" t="s">
        <v>4127</v>
      </c>
      <c r="D1409" s="8">
        <v>45015</v>
      </c>
      <c r="E1409" s="7">
        <v>3</v>
      </c>
      <c r="F1409" s="7">
        <v>30</v>
      </c>
      <c r="G1409" s="7">
        <v>2023</v>
      </c>
      <c r="H1409" s="8">
        <f t="shared" si="63"/>
        <v>45015</v>
      </c>
      <c r="I1409" s="11">
        <v>45039</v>
      </c>
      <c r="J1409" s="7">
        <f t="shared" si="64"/>
        <v>24</v>
      </c>
      <c r="K1409" s="7" t="s">
        <v>33</v>
      </c>
      <c r="L1409" s="7">
        <v>49756</v>
      </c>
      <c r="M1409" s="7">
        <v>1553</v>
      </c>
      <c r="N1409" s="12">
        <v>1493.29</v>
      </c>
      <c r="O1409" s="12">
        <f t="shared" si="65"/>
        <v>1493.29</v>
      </c>
      <c r="P1409" s="7">
        <v>242</v>
      </c>
      <c r="Q1409" s="7" t="b">
        <v>1</v>
      </c>
      <c r="R1409" s="7"/>
      <c r="S1409" s="15" t="s">
        <v>34</v>
      </c>
    </row>
    <row r="1410" spans="1:19">
      <c r="A1410" s="3" t="s">
        <v>2914</v>
      </c>
      <c r="B1410" s="4" t="s">
        <v>2915</v>
      </c>
      <c r="C1410" s="5" t="s">
        <v>4127</v>
      </c>
      <c r="D1410" s="5">
        <v>44947</v>
      </c>
      <c r="E1410" s="4">
        <v>1</v>
      </c>
      <c r="F1410" s="4">
        <v>21</v>
      </c>
      <c r="G1410" s="4">
        <v>2023</v>
      </c>
      <c r="H1410" s="5">
        <f t="shared" ref="H1410:H1473" si="66">IF(E1410&gt;12,DATE(G1410,F1410,E1410),D1410)</f>
        <v>44947</v>
      </c>
      <c r="I1410" s="9">
        <v>44967</v>
      </c>
      <c r="J1410" s="4">
        <f t="shared" ref="J1410:J1473" si="67">DATEDIF(H1410,I1410,"D")</f>
        <v>20</v>
      </c>
      <c r="K1410" s="4" t="s">
        <v>19</v>
      </c>
      <c r="L1410" s="4">
        <v>41809</v>
      </c>
      <c r="M1410" s="4">
        <v>1506</v>
      </c>
      <c r="N1410" s="10">
        <v>1300.07</v>
      </c>
      <c r="O1410" s="10">
        <f t="shared" si="65"/>
        <v>1300.07</v>
      </c>
      <c r="P1410" s="4">
        <v>115</v>
      </c>
      <c r="Q1410" s="4" t="b">
        <v>0</v>
      </c>
      <c r="R1410" s="4"/>
      <c r="S1410" s="14" t="s">
        <v>20</v>
      </c>
    </row>
    <row r="1411" spans="1:19">
      <c r="A1411" s="6" t="s">
        <v>2916</v>
      </c>
      <c r="B1411" s="7" t="s">
        <v>2917</v>
      </c>
      <c r="C1411" s="8" t="s">
        <v>4128</v>
      </c>
      <c r="D1411" s="8">
        <v>44993</v>
      </c>
      <c r="E1411" s="7">
        <v>3</v>
      </c>
      <c r="F1411" s="7">
        <v>8</v>
      </c>
      <c r="G1411" s="7">
        <v>2023</v>
      </c>
      <c r="H1411" s="8">
        <f t="shared" si="66"/>
        <v>44993</v>
      </c>
      <c r="I1411" s="11">
        <v>45002</v>
      </c>
      <c r="J1411" s="7">
        <f t="shared" si="67"/>
        <v>9</v>
      </c>
      <c r="K1411" s="7" t="s">
        <v>19</v>
      </c>
      <c r="L1411" s="7">
        <v>17725</v>
      </c>
      <c r="M1411" s="7">
        <v>634</v>
      </c>
      <c r="N1411" s="12">
        <v>-386.43</v>
      </c>
      <c r="O1411" s="12">
        <f t="shared" ref="O1411:O1474" si="68">IF(N1411&lt;$V$6,$V$6,IF(N1411&gt;$V$7,$V$7,N1411))</f>
        <v>-344.195</v>
      </c>
      <c r="P1411" s="7">
        <v>116</v>
      </c>
      <c r="Q1411" s="7" t="b">
        <v>1</v>
      </c>
      <c r="R1411" s="7"/>
      <c r="S1411" s="15" t="s">
        <v>20</v>
      </c>
    </row>
    <row r="1412" spans="1:19">
      <c r="A1412" s="3" t="s">
        <v>2918</v>
      </c>
      <c r="B1412" s="4" t="s">
        <v>2919</v>
      </c>
      <c r="C1412" s="5" t="s">
        <v>4131</v>
      </c>
      <c r="D1412" s="5">
        <v>44929</v>
      </c>
      <c r="E1412" s="4">
        <v>1</v>
      </c>
      <c r="F1412" s="4">
        <v>3</v>
      </c>
      <c r="G1412" s="4">
        <v>2023</v>
      </c>
      <c r="H1412" s="5">
        <f t="shared" si="66"/>
        <v>44929</v>
      </c>
      <c r="I1412" s="9">
        <v>44955</v>
      </c>
      <c r="J1412" s="4">
        <f t="shared" si="67"/>
        <v>26</v>
      </c>
      <c r="K1412" s="4" t="s">
        <v>33</v>
      </c>
      <c r="L1412" s="4">
        <v>62396</v>
      </c>
      <c r="M1412" s="4">
        <v>2024</v>
      </c>
      <c r="N1412" s="10">
        <v>3270.87</v>
      </c>
      <c r="O1412" s="10">
        <f t="shared" si="68"/>
        <v>3270.87</v>
      </c>
      <c r="P1412" s="4">
        <v>235</v>
      </c>
      <c r="Q1412" s="4" t="b">
        <v>1</v>
      </c>
      <c r="R1412" s="4"/>
      <c r="S1412" s="14" t="s">
        <v>34</v>
      </c>
    </row>
    <row r="1413" spans="1:19">
      <c r="A1413" s="6" t="s">
        <v>2920</v>
      </c>
      <c r="B1413" s="7" t="s">
        <v>2921</v>
      </c>
      <c r="C1413" s="8" t="s">
        <v>4127</v>
      </c>
      <c r="D1413" s="8" t="s">
        <v>682</v>
      </c>
      <c r="E1413" s="7">
        <v>21</v>
      </c>
      <c r="F1413" s="7">
        <v>3</v>
      </c>
      <c r="G1413" s="7">
        <v>2023</v>
      </c>
      <c r="H1413" s="8">
        <f t="shared" si="66"/>
        <v>45006</v>
      </c>
      <c r="I1413" s="11">
        <v>45022</v>
      </c>
      <c r="J1413" s="7">
        <f t="shared" si="67"/>
        <v>16</v>
      </c>
      <c r="K1413" s="7" t="s">
        <v>19</v>
      </c>
      <c r="L1413" s="7">
        <v>52226</v>
      </c>
      <c r="M1413" s="7">
        <v>2145</v>
      </c>
      <c r="N1413" s="12">
        <v>3360.15</v>
      </c>
      <c r="O1413" s="12">
        <f t="shared" si="68"/>
        <v>3360.15</v>
      </c>
      <c r="P1413" s="7">
        <v>153</v>
      </c>
      <c r="Q1413" s="7" t="b">
        <v>0</v>
      </c>
      <c r="R1413" s="7"/>
      <c r="S1413" s="15" t="s">
        <v>20</v>
      </c>
    </row>
    <row r="1414" spans="1:19">
      <c r="A1414" s="3" t="s">
        <v>2922</v>
      </c>
      <c r="B1414" s="4" t="s">
        <v>2923</v>
      </c>
      <c r="C1414" s="5" t="s">
        <v>4127</v>
      </c>
      <c r="D1414" s="5">
        <v>45092</v>
      </c>
      <c r="E1414" s="4">
        <v>6</v>
      </c>
      <c r="F1414" s="4">
        <v>15</v>
      </c>
      <c r="G1414" s="4">
        <v>2023</v>
      </c>
      <c r="H1414" s="5">
        <f t="shared" si="66"/>
        <v>45092</v>
      </c>
      <c r="I1414" s="9">
        <v>45096</v>
      </c>
      <c r="J1414" s="4">
        <f t="shared" si="67"/>
        <v>4</v>
      </c>
      <c r="K1414" s="4" t="s">
        <v>19</v>
      </c>
      <c r="L1414" s="4">
        <v>82182</v>
      </c>
      <c r="M1414" s="4">
        <v>1495</v>
      </c>
      <c r="N1414" s="10">
        <v>1273.37</v>
      </c>
      <c r="O1414" s="10">
        <f t="shared" si="68"/>
        <v>1273.37</v>
      </c>
      <c r="P1414" s="4">
        <v>246</v>
      </c>
      <c r="Q1414" s="4" t="b">
        <v>0</v>
      </c>
      <c r="R1414" s="4"/>
      <c r="S1414" s="14" t="s">
        <v>20</v>
      </c>
    </row>
    <row r="1415" spans="1:19">
      <c r="A1415" s="6" t="s">
        <v>2924</v>
      </c>
      <c r="B1415" s="7" t="s">
        <v>2925</v>
      </c>
      <c r="C1415" s="8" t="s">
        <v>4127</v>
      </c>
      <c r="D1415" s="8">
        <v>45247</v>
      </c>
      <c r="E1415" s="7">
        <v>11</v>
      </c>
      <c r="F1415" s="7">
        <v>17</v>
      </c>
      <c r="G1415" s="7">
        <v>2023</v>
      </c>
      <c r="H1415" s="8">
        <f t="shared" si="66"/>
        <v>45247</v>
      </c>
      <c r="I1415" s="11">
        <v>45251</v>
      </c>
      <c r="J1415" s="7">
        <f t="shared" si="67"/>
        <v>4</v>
      </c>
      <c r="K1415" s="7" t="s">
        <v>41</v>
      </c>
      <c r="L1415" s="7">
        <v>83565</v>
      </c>
      <c r="M1415" s="7">
        <v>3261</v>
      </c>
      <c r="N1415" s="12">
        <v>5296.09</v>
      </c>
      <c r="O1415" s="12">
        <f t="shared" si="68"/>
        <v>3632.575</v>
      </c>
      <c r="P1415" s="7">
        <v>549</v>
      </c>
      <c r="Q1415" s="7" t="b">
        <v>1</v>
      </c>
      <c r="R1415" s="7"/>
      <c r="S1415" s="15" t="s">
        <v>42</v>
      </c>
    </row>
    <row r="1416" spans="1:19">
      <c r="A1416" s="3" t="s">
        <v>2926</v>
      </c>
      <c r="B1416" s="4" t="s">
        <v>2927</v>
      </c>
      <c r="C1416" s="5" t="s">
        <v>4129</v>
      </c>
      <c r="D1416" s="5">
        <v>45178</v>
      </c>
      <c r="E1416" s="4">
        <v>9</v>
      </c>
      <c r="F1416" s="4">
        <v>9</v>
      </c>
      <c r="G1416" s="4">
        <v>2023</v>
      </c>
      <c r="H1416" s="5">
        <f t="shared" si="66"/>
        <v>45178</v>
      </c>
      <c r="I1416" s="9">
        <v>45186</v>
      </c>
      <c r="J1416" s="4">
        <f t="shared" si="67"/>
        <v>8</v>
      </c>
      <c r="K1416" s="4" t="s">
        <v>33</v>
      </c>
      <c r="L1416" s="4">
        <v>30402</v>
      </c>
      <c r="M1416" s="4">
        <v>1057</v>
      </c>
      <c r="N1416" s="10">
        <v>1983.74</v>
      </c>
      <c r="O1416" s="10">
        <f t="shared" si="68"/>
        <v>1983.74</v>
      </c>
      <c r="P1416" s="4">
        <v>154</v>
      </c>
      <c r="Q1416" s="4" t="b">
        <v>0</v>
      </c>
      <c r="R1416" s="4"/>
      <c r="S1416" s="14" t="s">
        <v>34</v>
      </c>
    </row>
    <row r="1417" spans="1:19">
      <c r="A1417" s="6" t="s">
        <v>2928</v>
      </c>
      <c r="B1417" s="7" t="s">
        <v>2929</v>
      </c>
      <c r="C1417" s="8" t="s">
        <v>4128</v>
      </c>
      <c r="D1417" s="8">
        <v>44964</v>
      </c>
      <c r="E1417" s="7">
        <v>2</v>
      </c>
      <c r="F1417" s="7">
        <v>7</v>
      </c>
      <c r="G1417" s="7">
        <v>2023</v>
      </c>
      <c r="H1417" s="8">
        <f t="shared" si="66"/>
        <v>44964</v>
      </c>
      <c r="I1417" s="11">
        <v>44992</v>
      </c>
      <c r="J1417" s="7">
        <f t="shared" si="67"/>
        <v>28</v>
      </c>
      <c r="K1417" s="7" t="s">
        <v>23</v>
      </c>
      <c r="L1417" s="7">
        <v>5263</v>
      </c>
      <c r="M1417" s="7">
        <v>241</v>
      </c>
      <c r="N1417" s="12">
        <v>159.55</v>
      </c>
      <c r="O1417" s="12">
        <f t="shared" si="68"/>
        <v>159.55</v>
      </c>
      <c r="P1417" s="7">
        <v>42</v>
      </c>
      <c r="Q1417" s="7" t="b">
        <v>1</v>
      </c>
      <c r="R1417" s="7"/>
      <c r="S1417" s="15" t="s">
        <v>25</v>
      </c>
    </row>
    <row r="1418" spans="1:19">
      <c r="A1418" s="3" t="s">
        <v>2930</v>
      </c>
      <c r="B1418" s="4" t="s">
        <v>2931</v>
      </c>
      <c r="C1418" s="5" t="s">
        <v>4128</v>
      </c>
      <c r="D1418" s="5">
        <v>45039</v>
      </c>
      <c r="E1418" s="4">
        <v>4</v>
      </c>
      <c r="F1418" s="4">
        <v>23</v>
      </c>
      <c r="G1418" s="4">
        <v>2023</v>
      </c>
      <c r="H1418" s="5">
        <f t="shared" si="66"/>
        <v>45039</v>
      </c>
      <c r="I1418" s="9">
        <v>45053</v>
      </c>
      <c r="J1418" s="4">
        <f t="shared" si="67"/>
        <v>14</v>
      </c>
      <c r="K1418" s="4" t="s">
        <v>14</v>
      </c>
      <c r="L1418" s="4">
        <v>97523</v>
      </c>
      <c r="M1418" s="4">
        <v>4280</v>
      </c>
      <c r="N1418" s="10">
        <v>3633.53</v>
      </c>
      <c r="O1418" s="10">
        <f t="shared" si="68"/>
        <v>3632.575</v>
      </c>
      <c r="P1418" s="4">
        <v>687</v>
      </c>
      <c r="Q1418" s="4" t="b">
        <v>1</v>
      </c>
      <c r="R1418" s="4"/>
      <c r="S1418" s="14" t="s">
        <v>16</v>
      </c>
    </row>
    <row r="1419" spans="1:19">
      <c r="A1419" s="6" t="s">
        <v>2932</v>
      </c>
      <c r="B1419" s="7" t="s">
        <v>2933</v>
      </c>
      <c r="C1419" s="8" t="s">
        <v>4129</v>
      </c>
      <c r="D1419" s="8">
        <v>45185</v>
      </c>
      <c r="E1419" s="7">
        <v>9</v>
      </c>
      <c r="F1419" s="7">
        <v>16</v>
      </c>
      <c r="G1419" s="7">
        <v>2023</v>
      </c>
      <c r="H1419" s="8">
        <f t="shared" si="66"/>
        <v>45185</v>
      </c>
      <c r="I1419" s="11">
        <v>45193</v>
      </c>
      <c r="J1419" s="7">
        <f t="shared" si="67"/>
        <v>8</v>
      </c>
      <c r="K1419" s="7" t="s">
        <v>33</v>
      </c>
      <c r="L1419" s="7">
        <v>47828</v>
      </c>
      <c r="M1419" s="7">
        <v>1081</v>
      </c>
      <c r="N1419" s="12">
        <v>1757.05</v>
      </c>
      <c r="O1419" s="12">
        <f t="shared" si="68"/>
        <v>1757.05</v>
      </c>
      <c r="P1419" s="7">
        <v>197</v>
      </c>
      <c r="Q1419" s="7" t="b">
        <v>0</v>
      </c>
      <c r="R1419" s="7"/>
      <c r="S1419" s="15" t="s">
        <v>34</v>
      </c>
    </row>
    <row r="1420" spans="1:19">
      <c r="A1420" s="3" t="s">
        <v>2934</v>
      </c>
      <c r="B1420" s="4" t="s">
        <v>2935</v>
      </c>
      <c r="C1420" s="5" t="s">
        <v>4127</v>
      </c>
      <c r="D1420" s="5" t="s">
        <v>2672</v>
      </c>
      <c r="E1420" s="4">
        <v>26</v>
      </c>
      <c r="F1420" s="4">
        <v>7</v>
      </c>
      <c r="G1420" s="4">
        <v>2023</v>
      </c>
      <c r="H1420" s="5">
        <f t="shared" si="66"/>
        <v>45133</v>
      </c>
      <c r="I1420" s="9">
        <v>45141</v>
      </c>
      <c r="J1420" s="4">
        <f t="shared" si="67"/>
        <v>8</v>
      </c>
      <c r="K1420" s="4" t="s">
        <v>41</v>
      </c>
      <c r="L1420" s="4">
        <v>48924</v>
      </c>
      <c r="M1420" s="4">
        <v>1029</v>
      </c>
      <c r="N1420" s="10">
        <v>-938.2</v>
      </c>
      <c r="O1420" s="10">
        <f t="shared" si="68"/>
        <v>-344.195</v>
      </c>
      <c r="P1420" s="4">
        <v>118</v>
      </c>
      <c r="Q1420" s="4" t="b">
        <v>1</v>
      </c>
      <c r="R1420" s="4"/>
      <c r="S1420" s="14" t="s">
        <v>42</v>
      </c>
    </row>
    <row r="1421" spans="1:19">
      <c r="A1421" s="6" t="s">
        <v>2936</v>
      </c>
      <c r="B1421" s="7" t="s">
        <v>2937</v>
      </c>
      <c r="C1421" s="8" t="s">
        <v>4131</v>
      </c>
      <c r="D1421" s="8">
        <v>45040</v>
      </c>
      <c r="E1421" s="7">
        <v>4</v>
      </c>
      <c r="F1421" s="7">
        <v>24</v>
      </c>
      <c r="G1421" s="7">
        <v>2023</v>
      </c>
      <c r="H1421" s="8">
        <f t="shared" si="66"/>
        <v>45040</v>
      </c>
      <c r="I1421" s="11">
        <v>45055</v>
      </c>
      <c r="J1421" s="7">
        <f t="shared" si="67"/>
        <v>15</v>
      </c>
      <c r="K1421" s="7" t="s">
        <v>14</v>
      </c>
      <c r="L1421" s="7">
        <v>75182</v>
      </c>
      <c r="M1421" s="7">
        <v>3703</v>
      </c>
      <c r="N1421" s="12">
        <v>5321.2</v>
      </c>
      <c r="O1421" s="12">
        <f t="shared" si="68"/>
        <v>3632.575</v>
      </c>
      <c r="P1421" s="7">
        <v>600</v>
      </c>
      <c r="Q1421" s="7" t="b">
        <v>1</v>
      </c>
      <c r="R1421" s="7"/>
      <c r="S1421" s="15" t="s">
        <v>16</v>
      </c>
    </row>
    <row r="1422" spans="1:19">
      <c r="A1422" s="3" t="s">
        <v>2938</v>
      </c>
      <c r="B1422" s="4" t="s">
        <v>2939</v>
      </c>
      <c r="C1422" s="5" t="s">
        <v>4128</v>
      </c>
      <c r="D1422" s="5">
        <v>45096</v>
      </c>
      <c r="E1422" s="4">
        <v>6</v>
      </c>
      <c r="F1422" s="4">
        <v>19</v>
      </c>
      <c r="G1422" s="4">
        <v>2023</v>
      </c>
      <c r="H1422" s="5">
        <f t="shared" si="66"/>
        <v>45096</v>
      </c>
      <c r="I1422" s="9">
        <v>45116</v>
      </c>
      <c r="J1422" s="4">
        <f t="shared" si="67"/>
        <v>20</v>
      </c>
      <c r="K1422" s="4" t="s">
        <v>19</v>
      </c>
      <c r="L1422" s="4">
        <v>94065</v>
      </c>
      <c r="M1422" s="4">
        <v>2924</v>
      </c>
      <c r="N1422" s="10">
        <v>1817.99</v>
      </c>
      <c r="O1422" s="10">
        <f t="shared" si="68"/>
        <v>1817.99</v>
      </c>
      <c r="P1422" s="4">
        <v>584</v>
      </c>
      <c r="Q1422" s="4" t="b">
        <v>1</v>
      </c>
      <c r="R1422" s="4"/>
      <c r="S1422" s="14" t="s">
        <v>20</v>
      </c>
    </row>
    <row r="1423" spans="1:19">
      <c r="A1423" s="6" t="s">
        <v>2940</v>
      </c>
      <c r="B1423" s="7" t="s">
        <v>2941</v>
      </c>
      <c r="C1423" s="8" t="s">
        <v>4128</v>
      </c>
      <c r="D1423" s="8">
        <v>45243</v>
      </c>
      <c r="E1423" s="7">
        <v>11</v>
      </c>
      <c r="F1423" s="7">
        <v>13</v>
      </c>
      <c r="G1423" s="7">
        <v>2023</v>
      </c>
      <c r="H1423" s="8">
        <f t="shared" si="66"/>
        <v>45243</v>
      </c>
      <c r="I1423" s="11">
        <v>45249</v>
      </c>
      <c r="J1423" s="7">
        <f t="shared" si="67"/>
        <v>6</v>
      </c>
      <c r="K1423" s="7" t="s">
        <v>14</v>
      </c>
      <c r="L1423" s="7">
        <v>60052</v>
      </c>
      <c r="M1423" s="7">
        <v>2777</v>
      </c>
      <c r="N1423" s="12">
        <v>3272.15</v>
      </c>
      <c r="O1423" s="12">
        <f t="shared" si="68"/>
        <v>3272.15</v>
      </c>
      <c r="P1423" s="7">
        <v>440</v>
      </c>
      <c r="Q1423" s="7" t="b">
        <v>1</v>
      </c>
      <c r="R1423" s="7"/>
      <c r="S1423" s="15" t="s">
        <v>16</v>
      </c>
    </row>
    <row r="1424" spans="1:19">
      <c r="A1424" s="3" t="s">
        <v>2942</v>
      </c>
      <c r="B1424" s="4" t="s">
        <v>2943</v>
      </c>
      <c r="C1424" s="5" t="s">
        <v>4127</v>
      </c>
      <c r="D1424" s="5" t="s">
        <v>687</v>
      </c>
      <c r="E1424" s="4">
        <v>29</v>
      </c>
      <c r="F1424" s="4">
        <v>11</v>
      </c>
      <c r="G1424" s="4">
        <v>2023</v>
      </c>
      <c r="H1424" s="5">
        <f t="shared" si="66"/>
        <v>45259</v>
      </c>
      <c r="I1424" s="9">
        <v>45288</v>
      </c>
      <c r="J1424" s="4">
        <f t="shared" si="67"/>
        <v>29</v>
      </c>
      <c r="K1424" s="4" t="s">
        <v>41</v>
      </c>
      <c r="L1424" s="4">
        <v>12664</v>
      </c>
      <c r="M1424" s="4">
        <v>209</v>
      </c>
      <c r="N1424" s="10">
        <v>336.21</v>
      </c>
      <c r="O1424" s="10">
        <f t="shared" si="68"/>
        <v>336.21</v>
      </c>
      <c r="P1424" s="4">
        <v>14</v>
      </c>
      <c r="Q1424" s="4" t="b">
        <v>1</v>
      </c>
      <c r="R1424" s="4"/>
      <c r="S1424" s="14" t="s">
        <v>42</v>
      </c>
    </row>
    <row r="1425" spans="1:19">
      <c r="A1425" s="6" t="s">
        <v>2944</v>
      </c>
      <c r="B1425" s="7" t="s">
        <v>2945</v>
      </c>
      <c r="C1425" s="8" t="s">
        <v>4127</v>
      </c>
      <c r="D1425" s="8">
        <v>45269</v>
      </c>
      <c r="E1425" s="7">
        <v>12</v>
      </c>
      <c r="F1425" s="7">
        <v>9</v>
      </c>
      <c r="G1425" s="7">
        <v>2023</v>
      </c>
      <c r="H1425" s="8">
        <f t="shared" si="66"/>
        <v>45269</v>
      </c>
      <c r="I1425" s="11">
        <v>45275</v>
      </c>
      <c r="J1425" s="7">
        <f t="shared" si="67"/>
        <v>6</v>
      </c>
      <c r="K1425" s="7" t="s">
        <v>191</v>
      </c>
      <c r="L1425" s="7">
        <v>36737</v>
      </c>
      <c r="M1425" s="7">
        <v>1311</v>
      </c>
      <c r="N1425" s="12">
        <v>2005.53</v>
      </c>
      <c r="O1425" s="12">
        <f t="shared" si="68"/>
        <v>2005.53</v>
      </c>
      <c r="P1425" s="7">
        <v>167</v>
      </c>
      <c r="Q1425" s="7" t="b">
        <v>1</v>
      </c>
      <c r="R1425" s="7"/>
      <c r="S1425" s="15" t="s">
        <v>68</v>
      </c>
    </row>
    <row r="1426" spans="1:19">
      <c r="A1426" s="3" t="s">
        <v>2946</v>
      </c>
      <c r="B1426" s="4" t="s">
        <v>2947</v>
      </c>
      <c r="C1426" s="5" t="s">
        <v>4129</v>
      </c>
      <c r="D1426" s="5">
        <v>45255</v>
      </c>
      <c r="E1426" s="4">
        <v>11</v>
      </c>
      <c r="F1426" s="4">
        <v>25</v>
      </c>
      <c r="G1426" s="4">
        <v>2023</v>
      </c>
      <c r="H1426" s="5">
        <f t="shared" si="66"/>
        <v>45255</v>
      </c>
      <c r="I1426" s="9">
        <v>45285</v>
      </c>
      <c r="J1426" s="4">
        <f t="shared" si="67"/>
        <v>30</v>
      </c>
      <c r="K1426" s="4" t="s">
        <v>33</v>
      </c>
      <c r="L1426" s="4">
        <v>90563</v>
      </c>
      <c r="M1426" s="4">
        <v>3839</v>
      </c>
      <c r="N1426" s="10">
        <v>6613.09</v>
      </c>
      <c r="O1426" s="10">
        <f t="shared" si="68"/>
        <v>3632.575</v>
      </c>
      <c r="P1426" s="4">
        <v>0</v>
      </c>
      <c r="Q1426" s="4" t="b">
        <v>0</v>
      </c>
      <c r="R1426" s="4"/>
      <c r="S1426" s="14" t="s">
        <v>34</v>
      </c>
    </row>
    <row r="1427" spans="1:19">
      <c r="A1427" s="6" t="s">
        <v>2948</v>
      </c>
      <c r="B1427" s="7" t="s">
        <v>2949</v>
      </c>
      <c r="C1427" s="8" t="s">
        <v>4128</v>
      </c>
      <c r="D1427" s="8">
        <v>44947</v>
      </c>
      <c r="E1427" s="7">
        <v>1</v>
      </c>
      <c r="F1427" s="7">
        <v>21</v>
      </c>
      <c r="G1427" s="7">
        <v>2023</v>
      </c>
      <c r="H1427" s="8">
        <f t="shared" si="66"/>
        <v>44947</v>
      </c>
      <c r="I1427" s="11">
        <v>44955</v>
      </c>
      <c r="J1427" s="7">
        <f t="shared" si="67"/>
        <v>8</v>
      </c>
      <c r="K1427" s="7" t="s">
        <v>23</v>
      </c>
      <c r="L1427" s="7">
        <v>30373</v>
      </c>
      <c r="M1427" s="7">
        <v>1454</v>
      </c>
      <c r="N1427" s="12">
        <v>2640.72</v>
      </c>
      <c r="O1427" s="12">
        <f t="shared" si="68"/>
        <v>2640.72</v>
      </c>
      <c r="P1427" s="7">
        <v>110</v>
      </c>
      <c r="Q1427" s="7" t="b">
        <v>1</v>
      </c>
      <c r="R1427" s="7"/>
      <c r="S1427" s="15" t="s">
        <v>25</v>
      </c>
    </row>
    <row r="1428" spans="1:19">
      <c r="A1428" s="3" t="s">
        <v>2950</v>
      </c>
      <c r="B1428" s="4" t="s">
        <v>2951</v>
      </c>
      <c r="C1428" s="5" t="s">
        <v>4131</v>
      </c>
      <c r="D1428" s="5">
        <v>44985</v>
      </c>
      <c r="E1428" s="4">
        <v>2</v>
      </c>
      <c r="F1428" s="4">
        <v>28</v>
      </c>
      <c r="G1428" s="4">
        <v>2023</v>
      </c>
      <c r="H1428" s="5">
        <f t="shared" si="66"/>
        <v>44985</v>
      </c>
      <c r="I1428" s="9">
        <v>44994</v>
      </c>
      <c r="J1428" s="4">
        <f t="shared" si="67"/>
        <v>9</v>
      </c>
      <c r="K1428" s="4" t="s">
        <v>19</v>
      </c>
      <c r="L1428" s="4">
        <v>37397</v>
      </c>
      <c r="M1428" s="4">
        <v>878</v>
      </c>
      <c r="N1428" s="10">
        <v>1457.28</v>
      </c>
      <c r="O1428" s="10">
        <f t="shared" si="68"/>
        <v>1457.28</v>
      </c>
      <c r="P1428" s="4">
        <v>170</v>
      </c>
      <c r="Q1428" s="4" t="b">
        <v>0</v>
      </c>
      <c r="R1428" s="4"/>
      <c r="S1428" s="14" t="s">
        <v>20</v>
      </c>
    </row>
    <row r="1429" spans="1:19">
      <c r="A1429" s="6" t="s">
        <v>2952</v>
      </c>
      <c r="B1429" s="7" t="s">
        <v>2953</v>
      </c>
      <c r="C1429" s="8" t="s">
        <v>4131</v>
      </c>
      <c r="D1429" s="8" t="s">
        <v>2954</v>
      </c>
      <c r="E1429" s="7">
        <v>25</v>
      </c>
      <c r="F1429" s="7">
        <v>5</v>
      </c>
      <c r="G1429" s="7">
        <v>2023</v>
      </c>
      <c r="H1429" s="8">
        <f t="shared" si="66"/>
        <v>45071</v>
      </c>
      <c r="I1429" s="11">
        <v>45075</v>
      </c>
      <c r="J1429" s="7">
        <f t="shared" si="67"/>
        <v>4</v>
      </c>
      <c r="K1429" s="7" t="s">
        <v>23</v>
      </c>
      <c r="L1429" s="7">
        <v>87145</v>
      </c>
      <c r="M1429" s="7">
        <v>3398</v>
      </c>
      <c r="N1429" s="12">
        <v>5122.08</v>
      </c>
      <c r="O1429" s="12">
        <f t="shared" si="68"/>
        <v>3632.575</v>
      </c>
      <c r="P1429" s="7">
        <v>259</v>
      </c>
      <c r="Q1429" s="7" t="b">
        <v>0</v>
      </c>
      <c r="R1429" s="7"/>
      <c r="S1429" s="15" t="s">
        <v>25</v>
      </c>
    </row>
    <row r="1430" spans="1:19">
      <c r="A1430" s="3" t="s">
        <v>2955</v>
      </c>
      <c r="B1430" s="4" t="s">
        <v>2956</v>
      </c>
      <c r="C1430" s="5" t="s">
        <v>4129</v>
      </c>
      <c r="D1430" s="5">
        <v>45191</v>
      </c>
      <c r="E1430" s="4">
        <v>9</v>
      </c>
      <c r="F1430" s="4">
        <v>22</v>
      </c>
      <c r="G1430" s="4">
        <v>2023</v>
      </c>
      <c r="H1430" s="5">
        <f t="shared" si="66"/>
        <v>45191</v>
      </c>
      <c r="I1430" s="9">
        <v>45192</v>
      </c>
      <c r="J1430" s="4">
        <f t="shared" si="67"/>
        <v>1</v>
      </c>
      <c r="K1430" s="4" t="s">
        <v>19</v>
      </c>
      <c r="L1430" s="4">
        <v>39709</v>
      </c>
      <c r="M1430" s="4">
        <v>1252</v>
      </c>
      <c r="N1430" s="10">
        <v>685.57</v>
      </c>
      <c r="O1430" s="10">
        <f t="shared" si="68"/>
        <v>685.57</v>
      </c>
      <c r="P1430" s="4">
        <v>0</v>
      </c>
      <c r="Q1430" s="4" t="b">
        <v>1</v>
      </c>
      <c r="R1430" s="4"/>
      <c r="S1430" s="14" t="s">
        <v>20</v>
      </c>
    </row>
    <row r="1431" spans="1:19">
      <c r="A1431" s="6" t="s">
        <v>2957</v>
      </c>
      <c r="B1431" s="7" t="s">
        <v>2958</v>
      </c>
      <c r="C1431" s="8" t="s">
        <v>4129</v>
      </c>
      <c r="D1431" s="8">
        <v>45187</v>
      </c>
      <c r="E1431" s="7">
        <v>9</v>
      </c>
      <c r="F1431" s="7">
        <v>18</v>
      </c>
      <c r="G1431" s="7">
        <v>2023</v>
      </c>
      <c r="H1431" s="8">
        <f t="shared" si="66"/>
        <v>45187</v>
      </c>
      <c r="I1431" s="11">
        <v>45195</v>
      </c>
      <c r="J1431" s="7">
        <f t="shared" si="67"/>
        <v>8</v>
      </c>
      <c r="K1431" s="7" t="s">
        <v>14</v>
      </c>
      <c r="L1431" s="7">
        <v>62120</v>
      </c>
      <c r="M1431" s="7">
        <v>771</v>
      </c>
      <c r="N1431" s="12">
        <v>1004.19</v>
      </c>
      <c r="O1431" s="12">
        <f t="shared" si="68"/>
        <v>1004.19</v>
      </c>
      <c r="P1431" s="7">
        <v>144</v>
      </c>
      <c r="Q1431" s="7" t="b">
        <v>0</v>
      </c>
      <c r="R1431" s="7"/>
      <c r="S1431" s="15" t="s">
        <v>68</v>
      </c>
    </row>
    <row r="1432" spans="1:19">
      <c r="A1432" s="3" t="s">
        <v>2959</v>
      </c>
      <c r="B1432" s="4" t="s">
        <v>2960</v>
      </c>
      <c r="C1432" s="5" t="s">
        <v>4129</v>
      </c>
      <c r="D1432" s="5">
        <v>45260</v>
      </c>
      <c r="E1432" s="4">
        <v>11</v>
      </c>
      <c r="F1432" s="4">
        <v>30</v>
      </c>
      <c r="G1432" s="4">
        <v>2023</v>
      </c>
      <c r="H1432" s="5">
        <f t="shared" si="66"/>
        <v>45260</v>
      </c>
      <c r="I1432" s="9">
        <v>45282</v>
      </c>
      <c r="J1432" s="4">
        <f t="shared" si="67"/>
        <v>22</v>
      </c>
      <c r="K1432" s="4" t="s">
        <v>33</v>
      </c>
      <c r="L1432" s="4">
        <v>20250</v>
      </c>
      <c r="M1432" s="4">
        <v>761</v>
      </c>
      <c r="N1432" s="10">
        <v>423.53</v>
      </c>
      <c r="O1432" s="10">
        <f t="shared" si="68"/>
        <v>423.53</v>
      </c>
      <c r="P1432" s="4">
        <v>91</v>
      </c>
      <c r="Q1432" s="4" t="b">
        <v>1</v>
      </c>
      <c r="R1432" s="4"/>
      <c r="S1432" s="14" t="s">
        <v>34</v>
      </c>
    </row>
    <row r="1433" spans="1:19">
      <c r="A1433" s="6" t="s">
        <v>2961</v>
      </c>
      <c r="B1433" s="7" t="s">
        <v>2962</v>
      </c>
      <c r="C1433" s="8" t="s">
        <v>4131</v>
      </c>
      <c r="D1433" s="8">
        <v>44976</v>
      </c>
      <c r="E1433" s="7">
        <v>2</v>
      </c>
      <c r="F1433" s="7">
        <v>19</v>
      </c>
      <c r="G1433" s="7">
        <v>2023</v>
      </c>
      <c r="H1433" s="8">
        <f t="shared" si="66"/>
        <v>44976</v>
      </c>
      <c r="I1433" s="11">
        <v>44986</v>
      </c>
      <c r="J1433" s="7">
        <f t="shared" si="67"/>
        <v>10</v>
      </c>
      <c r="K1433" s="7" t="s">
        <v>41</v>
      </c>
      <c r="L1433" s="7">
        <v>22172</v>
      </c>
      <c r="M1433" s="7">
        <v>833</v>
      </c>
      <c r="N1433" s="12">
        <v>1426.18</v>
      </c>
      <c r="O1433" s="12">
        <f t="shared" si="68"/>
        <v>1426.18</v>
      </c>
      <c r="P1433" s="7">
        <v>0</v>
      </c>
      <c r="Q1433" s="7" t="b">
        <v>1</v>
      </c>
      <c r="R1433" s="7"/>
      <c r="S1433" s="15" t="s">
        <v>42</v>
      </c>
    </row>
    <row r="1434" spans="1:19">
      <c r="A1434" s="3" t="s">
        <v>2963</v>
      </c>
      <c r="B1434" s="4" t="s">
        <v>2964</v>
      </c>
      <c r="C1434" s="5" t="s">
        <v>4127</v>
      </c>
      <c r="D1434" s="5">
        <v>45202</v>
      </c>
      <c r="E1434" s="4">
        <v>10</v>
      </c>
      <c r="F1434" s="4">
        <v>3</v>
      </c>
      <c r="G1434" s="4">
        <v>2023</v>
      </c>
      <c r="H1434" s="5">
        <f t="shared" si="66"/>
        <v>45202</v>
      </c>
      <c r="I1434" s="9">
        <v>45216</v>
      </c>
      <c r="J1434" s="4">
        <f t="shared" si="67"/>
        <v>14</v>
      </c>
      <c r="K1434" s="4" t="s">
        <v>138</v>
      </c>
      <c r="L1434" s="4">
        <v>12555</v>
      </c>
      <c r="M1434" s="4">
        <v>592</v>
      </c>
      <c r="N1434" s="10">
        <v>580.8</v>
      </c>
      <c r="O1434" s="10">
        <f t="shared" si="68"/>
        <v>580.8</v>
      </c>
      <c r="P1434" s="4">
        <v>82</v>
      </c>
      <c r="Q1434" s="4" t="b">
        <v>0</v>
      </c>
      <c r="R1434" s="4"/>
      <c r="S1434" s="14" t="s">
        <v>139</v>
      </c>
    </row>
    <row r="1435" spans="1:19">
      <c r="A1435" s="6" t="s">
        <v>2965</v>
      </c>
      <c r="B1435" s="7" t="s">
        <v>2966</v>
      </c>
      <c r="C1435" s="8" t="s">
        <v>4127</v>
      </c>
      <c r="D1435" s="8">
        <v>45034</v>
      </c>
      <c r="E1435" s="7">
        <v>4</v>
      </c>
      <c r="F1435" s="7">
        <v>18</v>
      </c>
      <c r="G1435" s="7">
        <v>2023</v>
      </c>
      <c r="H1435" s="8">
        <f t="shared" si="66"/>
        <v>45034</v>
      </c>
      <c r="I1435" s="11">
        <v>45053</v>
      </c>
      <c r="J1435" s="7">
        <f t="shared" si="67"/>
        <v>19</v>
      </c>
      <c r="K1435" s="7" t="s">
        <v>19</v>
      </c>
      <c r="L1435" s="7">
        <v>88410</v>
      </c>
      <c r="M1435" s="7">
        <v>2642</v>
      </c>
      <c r="N1435" s="12">
        <v>3549.91</v>
      </c>
      <c r="O1435" s="12">
        <f t="shared" si="68"/>
        <v>3549.91</v>
      </c>
      <c r="P1435" s="7">
        <v>370</v>
      </c>
      <c r="Q1435" s="7" t="b">
        <v>0</v>
      </c>
      <c r="R1435" s="7"/>
      <c r="S1435" s="15" t="s">
        <v>20</v>
      </c>
    </row>
    <row r="1436" spans="1:19">
      <c r="A1436" s="3" t="s">
        <v>2967</v>
      </c>
      <c r="B1436" s="4" t="s">
        <v>2968</v>
      </c>
      <c r="C1436" s="5" t="s">
        <v>4131</v>
      </c>
      <c r="D1436" s="5">
        <v>45277</v>
      </c>
      <c r="E1436" s="4">
        <v>12</v>
      </c>
      <c r="F1436" s="4">
        <v>17</v>
      </c>
      <c r="G1436" s="4">
        <v>2023</v>
      </c>
      <c r="H1436" s="5">
        <f t="shared" si="66"/>
        <v>45277</v>
      </c>
      <c r="I1436" s="9">
        <v>45305</v>
      </c>
      <c r="J1436" s="4">
        <f t="shared" si="67"/>
        <v>28</v>
      </c>
      <c r="K1436" s="4" t="s">
        <v>23</v>
      </c>
      <c r="L1436" s="4">
        <v>79617</v>
      </c>
      <c r="M1436" s="4">
        <v>1529</v>
      </c>
      <c r="N1436" s="10">
        <v>1405.41</v>
      </c>
      <c r="O1436" s="10">
        <f t="shared" si="68"/>
        <v>1405.41</v>
      </c>
      <c r="P1436" s="4">
        <v>91</v>
      </c>
      <c r="Q1436" s="4" t="b">
        <v>0</v>
      </c>
      <c r="R1436" s="4"/>
      <c r="S1436" s="14" t="s">
        <v>25</v>
      </c>
    </row>
    <row r="1437" spans="1:19">
      <c r="A1437" s="6" t="s">
        <v>2969</v>
      </c>
      <c r="B1437" s="7" t="s">
        <v>2970</v>
      </c>
      <c r="C1437" s="8" t="s">
        <v>4131</v>
      </c>
      <c r="D1437" s="8">
        <v>45202</v>
      </c>
      <c r="E1437" s="7">
        <v>10</v>
      </c>
      <c r="F1437" s="7">
        <v>3</v>
      </c>
      <c r="G1437" s="7">
        <v>2023</v>
      </c>
      <c r="H1437" s="8">
        <f t="shared" si="66"/>
        <v>45202</v>
      </c>
      <c r="I1437" s="11">
        <v>45222</v>
      </c>
      <c r="J1437" s="7">
        <f t="shared" si="67"/>
        <v>20</v>
      </c>
      <c r="K1437" s="7" t="s">
        <v>23</v>
      </c>
      <c r="L1437" s="7">
        <v>54276</v>
      </c>
      <c r="M1437" s="7">
        <v>639</v>
      </c>
      <c r="N1437" s="12">
        <v>1069.53</v>
      </c>
      <c r="O1437" s="12">
        <f t="shared" si="68"/>
        <v>1069.53</v>
      </c>
      <c r="P1437" s="7">
        <v>125</v>
      </c>
      <c r="Q1437" s="7" t="b">
        <v>1</v>
      </c>
      <c r="R1437" s="7"/>
      <c r="S1437" s="15" t="s">
        <v>25</v>
      </c>
    </row>
    <row r="1438" spans="1:19">
      <c r="A1438" s="3" t="s">
        <v>2971</v>
      </c>
      <c r="B1438" s="4" t="s">
        <v>2972</v>
      </c>
      <c r="C1438" s="5" t="s">
        <v>4129</v>
      </c>
      <c r="D1438" s="5">
        <v>45149</v>
      </c>
      <c r="E1438" s="4">
        <v>8</v>
      </c>
      <c r="F1438" s="4">
        <v>11</v>
      </c>
      <c r="G1438" s="4">
        <v>2023</v>
      </c>
      <c r="H1438" s="5">
        <f t="shared" si="66"/>
        <v>45149</v>
      </c>
      <c r="I1438" s="9">
        <v>45177</v>
      </c>
      <c r="J1438" s="4">
        <f t="shared" si="67"/>
        <v>28</v>
      </c>
      <c r="K1438" s="4" t="s">
        <v>33</v>
      </c>
      <c r="L1438" s="4">
        <v>58492</v>
      </c>
      <c r="M1438" s="4">
        <v>1557</v>
      </c>
      <c r="N1438" s="10">
        <v>2848.93</v>
      </c>
      <c r="O1438" s="10">
        <f t="shared" si="68"/>
        <v>2848.93</v>
      </c>
      <c r="P1438" s="4">
        <v>204</v>
      </c>
      <c r="Q1438" s="4" t="b">
        <v>1</v>
      </c>
      <c r="R1438" s="4"/>
      <c r="S1438" s="14" t="s">
        <v>34</v>
      </c>
    </row>
    <row r="1439" spans="1:19">
      <c r="A1439" s="6" t="s">
        <v>2973</v>
      </c>
      <c r="B1439" s="7" t="s">
        <v>2974</v>
      </c>
      <c r="C1439" s="8" t="s">
        <v>4129</v>
      </c>
      <c r="D1439" s="8">
        <v>45278</v>
      </c>
      <c r="E1439" s="7">
        <v>12</v>
      </c>
      <c r="F1439" s="7">
        <v>18</v>
      </c>
      <c r="G1439" s="7">
        <v>2023</v>
      </c>
      <c r="H1439" s="8">
        <f t="shared" si="66"/>
        <v>45278</v>
      </c>
      <c r="I1439" s="11">
        <v>45291</v>
      </c>
      <c r="J1439" s="7">
        <f t="shared" si="67"/>
        <v>13</v>
      </c>
      <c r="K1439" s="7" t="s">
        <v>19</v>
      </c>
      <c r="L1439" s="7">
        <v>54002</v>
      </c>
      <c r="M1439" s="7">
        <v>1192</v>
      </c>
      <c r="N1439" s="12">
        <v>1308.77</v>
      </c>
      <c r="O1439" s="12">
        <f t="shared" si="68"/>
        <v>1308.77</v>
      </c>
      <c r="P1439" s="7">
        <v>159</v>
      </c>
      <c r="Q1439" s="7" t="b">
        <v>0</v>
      </c>
      <c r="R1439" s="7"/>
      <c r="S1439" s="15" t="s">
        <v>20</v>
      </c>
    </row>
    <row r="1440" spans="1:19">
      <c r="A1440" s="3" t="s">
        <v>2975</v>
      </c>
      <c r="B1440" s="4" t="s">
        <v>2976</v>
      </c>
      <c r="C1440" s="5" t="s">
        <v>4129</v>
      </c>
      <c r="D1440" s="5" t="s">
        <v>2977</v>
      </c>
      <c r="E1440" s="4">
        <v>19</v>
      </c>
      <c r="F1440" s="4">
        <v>6</v>
      </c>
      <c r="G1440" s="4">
        <v>2023</v>
      </c>
      <c r="H1440" s="5">
        <f t="shared" si="66"/>
        <v>45096</v>
      </c>
      <c r="I1440" s="9">
        <v>45111</v>
      </c>
      <c r="J1440" s="4">
        <f t="shared" si="67"/>
        <v>15</v>
      </c>
      <c r="K1440" s="4" t="s">
        <v>23</v>
      </c>
      <c r="L1440" s="4">
        <v>90599</v>
      </c>
      <c r="M1440" s="4">
        <v>3664</v>
      </c>
      <c r="N1440" s="10">
        <v>6574.62</v>
      </c>
      <c r="O1440" s="10">
        <f t="shared" si="68"/>
        <v>3632.575</v>
      </c>
      <c r="P1440" s="4">
        <v>469</v>
      </c>
      <c r="Q1440" s="4" t="b">
        <v>0</v>
      </c>
      <c r="R1440" s="4"/>
      <c r="S1440" s="14" t="s">
        <v>25</v>
      </c>
    </row>
    <row r="1441" spans="1:19">
      <c r="A1441" s="6" t="s">
        <v>2978</v>
      </c>
      <c r="B1441" s="7" t="s">
        <v>2979</v>
      </c>
      <c r="C1441" s="8" t="s">
        <v>4131</v>
      </c>
      <c r="D1441" s="8">
        <v>45109</v>
      </c>
      <c r="E1441" s="7">
        <v>7</v>
      </c>
      <c r="F1441" s="7">
        <v>2</v>
      </c>
      <c r="G1441" s="7">
        <v>2023</v>
      </c>
      <c r="H1441" s="8">
        <f t="shared" si="66"/>
        <v>45109</v>
      </c>
      <c r="I1441" s="11">
        <v>44971</v>
      </c>
      <c r="J1441" s="7">
        <f t="shared" si="67"/>
        <v>-138</v>
      </c>
      <c r="K1441" s="7" t="s">
        <v>19</v>
      </c>
      <c r="L1441" s="7">
        <v>73355</v>
      </c>
      <c r="M1441" s="7">
        <v>1773</v>
      </c>
      <c r="N1441" s="12">
        <v>1596.79</v>
      </c>
      <c r="O1441" s="12">
        <f t="shared" si="68"/>
        <v>1596.79</v>
      </c>
      <c r="P1441" s="7">
        <v>251</v>
      </c>
      <c r="Q1441" s="7" t="b">
        <v>0</v>
      </c>
      <c r="R1441" s="7"/>
      <c r="S1441" s="15" t="s">
        <v>20</v>
      </c>
    </row>
    <row r="1442" spans="1:19">
      <c r="A1442" s="3" t="s">
        <v>2980</v>
      </c>
      <c r="B1442" s="4" t="s">
        <v>2981</v>
      </c>
      <c r="C1442" s="5" t="s">
        <v>4129</v>
      </c>
      <c r="D1442" s="5">
        <v>45055</v>
      </c>
      <c r="E1442" s="4">
        <v>5</v>
      </c>
      <c r="F1442" s="4">
        <v>9</v>
      </c>
      <c r="G1442" s="4">
        <v>2023</v>
      </c>
      <c r="H1442" s="5">
        <f t="shared" si="66"/>
        <v>45055</v>
      </c>
      <c r="I1442" s="9">
        <v>45063</v>
      </c>
      <c r="J1442" s="4">
        <f t="shared" si="67"/>
        <v>8</v>
      </c>
      <c r="K1442" s="4" t="s">
        <v>14</v>
      </c>
      <c r="L1442" s="4">
        <v>92248</v>
      </c>
      <c r="M1442" s="4">
        <v>4424</v>
      </c>
      <c r="N1442" s="10">
        <v>5760.01</v>
      </c>
      <c r="O1442" s="10">
        <f t="shared" si="68"/>
        <v>3632.575</v>
      </c>
      <c r="P1442" s="4">
        <v>396</v>
      </c>
      <c r="Q1442" s="4" t="b">
        <v>1</v>
      </c>
      <c r="R1442" s="4"/>
      <c r="S1442" s="14" t="s">
        <v>16</v>
      </c>
    </row>
    <row r="1443" spans="1:19">
      <c r="A1443" s="6" t="s">
        <v>2982</v>
      </c>
      <c r="B1443" s="7" t="s">
        <v>2983</v>
      </c>
      <c r="C1443" s="8" t="s">
        <v>4127</v>
      </c>
      <c r="D1443" s="8">
        <v>45043</v>
      </c>
      <c r="E1443" s="7">
        <v>4</v>
      </c>
      <c r="F1443" s="7">
        <v>27</v>
      </c>
      <c r="G1443" s="7">
        <v>2023</v>
      </c>
      <c r="H1443" s="8">
        <f t="shared" si="66"/>
        <v>45043</v>
      </c>
      <c r="I1443" s="11">
        <v>45047</v>
      </c>
      <c r="J1443" s="7">
        <f t="shared" si="67"/>
        <v>4</v>
      </c>
      <c r="K1443" s="7" t="s">
        <v>23</v>
      </c>
      <c r="L1443" s="7">
        <v>25762</v>
      </c>
      <c r="M1443" s="7">
        <v>1249</v>
      </c>
      <c r="N1443" s="12">
        <v>2233.39</v>
      </c>
      <c r="O1443" s="12">
        <f t="shared" si="68"/>
        <v>2233.39</v>
      </c>
      <c r="P1443" s="7">
        <v>116</v>
      </c>
      <c r="Q1443" s="7" t="b">
        <v>1</v>
      </c>
      <c r="R1443" s="7"/>
      <c r="S1443" s="15" t="s">
        <v>25</v>
      </c>
    </row>
    <row r="1444" spans="1:19">
      <c r="A1444" s="3" t="s">
        <v>2984</v>
      </c>
      <c r="B1444" s="4" t="s">
        <v>2985</v>
      </c>
      <c r="C1444" s="5" t="s">
        <v>4128</v>
      </c>
      <c r="D1444" s="5">
        <v>45157</v>
      </c>
      <c r="E1444" s="4">
        <v>8</v>
      </c>
      <c r="F1444" s="4">
        <v>19</v>
      </c>
      <c r="G1444" s="4">
        <v>2023</v>
      </c>
      <c r="H1444" s="5">
        <f t="shared" si="66"/>
        <v>45157</v>
      </c>
      <c r="I1444" s="9">
        <v>45185</v>
      </c>
      <c r="J1444" s="4">
        <f t="shared" si="67"/>
        <v>28</v>
      </c>
      <c r="K1444" s="4" t="s">
        <v>33</v>
      </c>
      <c r="L1444" s="4">
        <v>12046</v>
      </c>
      <c r="M1444" s="4">
        <v>419</v>
      </c>
      <c r="N1444" s="10">
        <v>414.32</v>
      </c>
      <c r="O1444" s="10">
        <f t="shared" si="68"/>
        <v>414.32</v>
      </c>
      <c r="P1444" s="4">
        <v>53</v>
      </c>
      <c r="Q1444" s="4" t="b">
        <v>0</v>
      </c>
      <c r="R1444" s="4"/>
      <c r="S1444" s="14" t="s">
        <v>34</v>
      </c>
    </row>
    <row r="1445" spans="1:19">
      <c r="A1445" s="6" t="s">
        <v>2986</v>
      </c>
      <c r="B1445" s="7" t="s">
        <v>2987</v>
      </c>
      <c r="C1445" s="8" t="s">
        <v>4128</v>
      </c>
      <c r="D1445" s="8">
        <v>44935</v>
      </c>
      <c r="E1445" s="7">
        <v>1</v>
      </c>
      <c r="F1445" s="7">
        <v>9</v>
      </c>
      <c r="G1445" s="7">
        <v>2023</v>
      </c>
      <c r="H1445" s="8">
        <f t="shared" si="66"/>
        <v>44935</v>
      </c>
      <c r="I1445" s="11">
        <v>44938</v>
      </c>
      <c r="J1445" s="7">
        <f t="shared" si="67"/>
        <v>3</v>
      </c>
      <c r="K1445" s="7" t="s">
        <v>41</v>
      </c>
      <c r="L1445" s="7">
        <v>97999</v>
      </c>
      <c r="M1445" s="7">
        <v>4620</v>
      </c>
      <c r="N1445" s="12">
        <v>8921.51</v>
      </c>
      <c r="O1445" s="12">
        <f t="shared" si="68"/>
        <v>3632.575</v>
      </c>
      <c r="P1445" s="7">
        <v>790</v>
      </c>
      <c r="Q1445" s="7" t="b">
        <v>0</v>
      </c>
      <c r="R1445" s="7"/>
      <c r="S1445" s="15" t="s">
        <v>42</v>
      </c>
    </row>
    <row r="1446" spans="1:19">
      <c r="A1446" s="3" t="s">
        <v>2988</v>
      </c>
      <c r="B1446" s="4" t="s">
        <v>2989</v>
      </c>
      <c r="C1446" s="5" t="s">
        <v>4128</v>
      </c>
      <c r="D1446" s="5">
        <v>44930</v>
      </c>
      <c r="E1446" s="4">
        <v>1</v>
      </c>
      <c r="F1446" s="4">
        <v>4</v>
      </c>
      <c r="G1446" s="4">
        <v>2023</v>
      </c>
      <c r="H1446" s="5">
        <f t="shared" si="66"/>
        <v>44930</v>
      </c>
      <c r="I1446" s="9">
        <v>44944</v>
      </c>
      <c r="J1446" s="4">
        <f t="shared" si="67"/>
        <v>14</v>
      </c>
      <c r="K1446" s="4" t="s">
        <v>14</v>
      </c>
      <c r="L1446" s="4">
        <v>29769</v>
      </c>
      <c r="M1446" s="4">
        <v>1203</v>
      </c>
      <c r="N1446" s="10">
        <v>821.43</v>
      </c>
      <c r="O1446" s="10">
        <f t="shared" si="68"/>
        <v>821.43</v>
      </c>
      <c r="P1446" s="4">
        <v>69</v>
      </c>
      <c r="Q1446" s="4" t="b">
        <v>1</v>
      </c>
      <c r="R1446" s="4"/>
      <c r="S1446" s="14" t="s">
        <v>16</v>
      </c>
    </row>
    <row r="1447" spans="1:19">
      <c r="A1447" s="6" t="s">
        <v>2990</v>
      </c>
      <c r="B1447" s="7" t="s">
        <v>2991</v>
      </c>
      <c r="C1447" s="8" t="s">
        <v>4128</v>
      </c>
      <c r="D1447" s="8" t="s">
        <v>2992</v>
      </c>
      <c r="E1447" s="7">
        <v>27</v>
      </c>
      <c r="F1447" s="7">
        <v>10</v>
      </c>
      <c r="G1447" s="7">
        <v>2023</v>
      </c>
      <c r="H1447" s="8">
        <f t="shared" si="66"/>
        <v>45226</v>
      </c>
      <c r="I1447" s="11">
        <v>45249</v>
      </c>
      <c r="J1447" s="7">
        <f t="shared" si="67"/>
        <v>23</v>
      </c>
      <c r="K1447" s="7" t="s">
        <v>19</v>
      </c>
      <c r="L1447" s="7">
        <v>54302</v>
      </c>
      <c r="M1447" s="7">
        <v>1730</v>
      </c>
      <c r="N1447" s="12">
        <v>912.42</v>
      </c>
      <c r="O1447" s="12">
        <f t="shared" si="68"/>
        <v>912.42</v>
      </c>
      <c r="P1447" s="7">
        <v>243</v>
      </c>
      <c r="Q1447" s="7" t="b">
        <v>1</v>
      </c>
      <c r="R1447" s="7"/>
      <c r="S1447" s="15" t="s">
        <v>20</v>
      </c>
    </row>
    <row r="1448" spans="1:19">
      <c r="A1448" s="3" t="s">
        <v>2993</v>
      </c>
      <c r="B1448" s="4" t="s">
        <v>2994</v>
      </c>
      <c r="C1448" s="5" t="s">
        <v>4128</v>
      </c>
      <c r="D1448" s="5">
        <v>44964</v>
      </c>
      <c r="E1448" s="4">
        <v>2</v>
      </c>
      <c r="F1448" s="4">
        <v>7</v>
      </c>
      <c r="G1448" s="4">
        <v>2023</v>
      </c>
      <c r="H1448" s="5">
        <f t="shared" si="66"/>
        <v>44964</v>
      </c>
      <c r="I1448" s="9">
        <v>44979</v>
      </c>
      <c r="J1448" s="4">
        <f t="shared" si="67"/>
        <v>15</v>
      </c>
      <c r="K1448" s="4" t="s">
        <v>23</v>
      </c>
      <c r="L1448" s="4">
        <v>24150</v>
      </c>
      <c r="M1448" s="4">
        <v>415</v>
      </c>
      <c r="N1448" s="10">
        <v>770.32</v>
      </c>
      <c r="O1448" s="10">
        <f t="shared" si="68"/>
        <v>770.32</v>
      </c>
      <c r="P1448" s="4">
        <v>70</v>
      </c>
      <c r="Q1448" s="4" t="b">
        <v>1</v>
      </c>
      <c r="R1448" s="4"/>
      <c r="S1448" s="14" t="s">
        <v>25</v>
      </c>
    </row>
    <row r="1449" spans="1:19">
      <c r="A1449" s="6" t="s">
        <v>2995</v>
      </c>
      <c r="B1449" s="7" t="s">
        <v>2996</v>
      </c>
      <c r="C1449" s="8" t="s">
        <v>4128</v>
      </c>
      <c r="D1449" s="8">
        <v>45075</v>
      </c>
      <c r="E1449" s="7">
        <v>5</v>
      </c>
      <c r="F1449" s="7">
        <v>29</v>
      </c>
      <c r="G1449" s="7">
        <v>2023</v>
      </c>
      <c r="H1449" s="8">
        <f t="shared" si="66"/>
        <v>45075</v>
      </c>
      <c r="I1449" s="11">
        <v>45090</v>
      </c>
      <c r="J1449" s="7">
        <f t="shared" si="67"/>
        <v>15</v>
      </c>
      <c r="K1449" s="7" t="s">
        <v>14</v>
      </c>
      <c r="L1449" s="7">
        <v>69247</v>
      </c>
      <c r="M1449" s="7">
        <v>1962</v>
      </c>
      <c r="N1449" s="12">
        <v>1183.03</v>
      </c>
      <c r="O1449" s="12">
        <f t="shared" si="68"/>
        <v>1183.03</v>
      </c>
      <c r="P1449" s="7">
        <v>144</v>
      </c>
      <c r="Q1449" s="7" t="b">
        <v>0</v>
      </c>
      <c r="R1449" s="7"/>
      <c r="S1449" s="15" t="s">
        <v>16</v>
      </c>
    </row>
    <row r="1450" spans="1:19">
      <c r="A1450" s="3" t="s">
        <v>2997</v>
      </c>
      <c r="B1450" s="4" t="s">
        <v>2998</v>
      </c>
      <c r="C1450" s="5" t="s">
        <v>4129</v>
      </c>
      <c r="D1450" s="5">
        <v>44971</v>
      </c>
      <c r="E1450" s="4">
        <v>2</v>
      </c>
      <c r="F1450" s="4">
        <v>14</v>
      </c>
      <c r="G1450" s="4">
        <v>2023</v>
      </c>
      <c r="H1450" s="5">
        <f t="shared" si="66"/>
        <v>44971</v>
      </c>
      <c r="I1450" s="9">
        <v>44976</v>
      </c>
      <c r="J1450" s="4">
        <f t="shared" si="67"/>
        <v>5</v>
      </c>
      <c r="K1450" s="4" t="s">
        <v>41</v>
      </c>
      <c r="L1450" s="4">
        <v>5853</v>
      </c>
      <c r="M1450" s="4">
        <v>189</v>
      </c>
      <c r="N1450" s="10">
        <v>375.7</v>
      </c>
      <c r="O1450" s="10">
        <f t="shared" si="68"/>
        <v>375.7</v>
      </c>
      <c r="P1450" s="4">
        <v>9</v>
      </c>
      <c r="Q1450" s="4" t="b">
        <v>1</v>
      </c>
      <c r="R1450" s="4"/>
      <c r="S1450" s="14" t="s">
        <v>42</v>
      </c>
    </row>
    <row r="1451" spans="1:19">
      <c r="A1451" s="6" t="s">
        <v>2999</v>
      </c>
      <c r="B1451" s="7" t="s">
        <v>3000</v>
      </c>
      <c r="C1451" s="8" t="s">
        <v>4127</v>
      </c>
      <c r="D1451" s="8">
        <v>45122</v>
      </c>
      <c r="E1451" s="7">
        <v>7</v>
      </c>
      <c r="F1451" s="7">
        <v>15</v>
      </c>
      <c r="G1451" s="7">
        <v>2023</v>
      </c>
      <c r="H1451" s="8">
        <f t="shared" si="66"/>
        <v>45122</v>
      </c>
      <c r="I1451" s="11">
        <v>45146</v>
      </c>
      <c r="J1451" s="7">
        <f t="shared" si="67"/>
        <v>24</v>
      </c>
      <c r="K1451" s="7" t="s">
        <v>41</v>
      </c>
      <c r="L1451" s="7">
        <v>95613</v>
      </c>
      <c r="M1451" s="7">
        <v>4260</v>
      </c>
      <c r="N1451" s="12">
        <v>8209.43</v>
      </c>
      <c r="O1451" s="12">
        <f t="shared" si="68"/>
        <v>3632.575</v>
      </c>
      <c r="P1451" s="7">
        <v>412</v>
      </c>
      <c r="Q1451" s="7" t="b">
        <v>1</v>
      </c>
      <c r="R1451" s="7"/>
      <c r="S1451" s="15" t="s">
        <v>42</v>
      </c>
    </row>
    <row r="1452" spans="1:19">
      <c r="A1452" s="3" t="s">
        <v>3001</v>
      </c>
      <c r="B1452" s="4" t="s">
        <v>3002</v>
      </c>
      <c r="C1452" s="5" t="s">
        <v>4129</v>
      </c>
      <c r="D1452" s="5">
        <v>45169</v>
      </c>
      <c r="E1452" s="4">
        <v>8</v>
      </c>
      <c r="F1452" s="4">
        <v>31</v>
      </c>
      <c r="G1452" s="4">
        <v>2023</v>
      </c>
      <c r="H1452" s="5">
        <f t="shared" si="66"/>
        <v>45169</v>
      </c>
      <c r="I1452" s="9">
        <v>45198</v>
      </c>
      <c r="J1452" s="4">
        <f t="shared" si="67"/>
        <v>29</v>
      </c>
      <c r="K1452" s="4" t="s">
        <v>19</v>
      </c>
      <c r="L1452" s="4">
        <v>90399</v>
      </c>
      <c r="M1452" s="4">
        <v>2644</v>
      </c>
      <c r="N1452" s="10">
        <v>1865.42</v>
      </c>
      <c r="O1452" s="10">
        <f t="shared" si="68"/>
        <v>1865.42</v>
      </c>
      <c r="P1452" s="4">
        <v>365</v>
      </c>
      <c r="Q1452" s="4" t="b">
        <v>1</v>
      </c>
      <c r="R1452" s="4"/>
      <c r="S1452" s="14" t="s">
        <v>20</v>
      </c>
    </row>
    <row r="1453" spans="1:19">
      <c r="A1453" s="6" t="s">
        <v>3003</v>
      </c>
      <c r="B1453" s="7" t="s">
        <v>3004</v>
      </c>
      <c r="C1453" s="8" t="s">
        <v>4129</v>
      </c>
      <c r="D1453" s="8">
        <v>45127</v>
      </c>
      <c r="E1453" s="7">
        <v>7</v>
      </c>
      <c r="F1453" s="7">
        <v>20</v>
      </c>
      <c r="G1453" s="7">
        <v>2023</v>
      </c>
      <c r="H1453" s="8">
        <f t="shared" si="66"/>
        <v>45127</v>
      </c>
      <c r="I1453" s="11">
        <v>45140</v>
      </c>
      <c r="J1453" s="7">
        <f t="shared" si="67"/>
        <v>13</v>
      </c>
      <c r="K1453" s="7" t="s">
        <v>14</v>
      </c>
      <c r="L1453" s="7">
        <v>22792</v>
      </c>
      <c r="M1453" s="7">
        <v>1046</v>
      </c>
      <c r="N1453" s="12">
        <v>1366.47</v>
      </c>
      <c r="O1453" s="12">
        <f t="shared" si="68"/>
        <v>1366.47</v>
      </c>
      <c r="P1453" s="7">
        <v>73</v>
      </c>
      <c r="Q1453" s="7" t="b">
        <v>1</v>
      </c>
      <c r="R1453" s="7"/>
      <c r="S1453" s="15" t="s">
        <v>16</v>
      </c>
    </row>
    <row r="1454" spans="1:19">
      <c r="A1454" s="3" t="s">
        <v>3005</v>
      </c>
      <c r="B1454" s="4" t="s">
        <v>3006</v>
      </c>
      <c r="C1454" s="5" t="s">
        <v>4127</v>
      </c>
      <c r="D1454" s="5">
        <v>45078</v>
      </c>
      <c r="E1454" s="4">
        <v>6</v>
      </c>
      <c r="F1454" s="4">
        <v>1</v>
      </c>
      <c r="G1454" s="4">
        <v>2023</v>
      </c>
      <c r="H1454" s="5">
        <f t="shared" si="66"/>
        <v>45078</v>
      </c>
      <c r="I1454" s="9">
        <v>45106</v>
      </c>
      <c r="J1454" s="4">
        <f t="shared" si="67"/>
        <v>28</v>
      </c>
      <c r="K1454" s="4" t="s">
        <v>41</v>
      </c>
      <c r="L1454" s="4">
        <v>60129</v>
      </c>
      <c r="M1454" s="4">
        <v>2223</v>
      </c>
      <c r="N1454" s="10">
        <v>1728.12</v>
      </c>
      <c r="O1454" s="10">
        <f t="shared" si="68"/>
        <v>1728.12</v>
      </c>
      <c r="P1454" s="4">
        <v>253</v>
      </c>
      <c r="Q1454" s="4" t="b">
        <v>1</v>
      </c>
      <c r="R1454" s="4"/>
      <c r="S1454" s="14" t="s">
        <v>42</v>
      </c>
    </row>
    <row r="1455" spans="1:19">
      <c r="A1455" s="6" t="s">
        <v>3007</v>
      </c>
      <c r="B1455" s="7" t="s">
        <v>3008</v>
      </c>
      <c r="C1455" s="8" t="s">
        <v>4131</v>
      </c>
      <c r="D1455" s="8">
        <v>45273</v>
      </c>
      <c r="E1455" s="7">
        <v>12</v>
      </c>
      <c r="F1455" s="7">
        <v>13</v>
      </c>
      <c r="G1455" s="7">
        <v>2023</v>
      </c>
      <c r="H1455" s="8">
        <f t="shared" si="66"/>
        <v>45273</v>
      </c>
      <c r="I1455" s="11">
        <v>45293</v>
      </c>
      <c r="J1455" s="7">
        <f t="shared" si="67"/>
        <v>20</v>
      </c>
      <c r="K1455" s="7" t="s">
        <v>33</v>
      </c>
      <c r="L1455" s="7">
        <v>75478</v>
      </c>
      <c r="M1455" s="7">
        <v>1168</v>
      </c>
      <c r="N1455" s="12">
        <v>1334.13</v>
      </c>
      <c r="O1455" s="12">
        <f t="shared" si="68"/>
        <v>1334.13</v>
      </c>
      <c r="P1455" s="7">
        <v>155</v>
      </c>
      <c r="Q1455" s="7" t="b">
        <v>1</v>
      </c>
      <c r="R1455" s="7"/>
      <c r="S1455" s="15" t="s">
        <v>34</v>
      </c>
    </row>
    <row r="1456" spans="1:19">
      <c r="A1456" s="3" t="s">
        <v>3009</v>
      </c>
      <c r="B1456" s="4" t="s">
        <v>3010</v>
      </c>
      <c r="C1456" s="5" t="s">
        <v>4128</v>
      </c>
      <c r="D1456" s="5">
        <v>45258</v>
      </c>
      <c r="E1456" s="4">
        <v>11</v>
      </c>
      <c r="F1456" s="4">
        <v>28</v>
      </c>
      <c r="G1456" s="4">
        <v>2023</v>
      </c>
      <c r="H1456" s="5">
        <f t="shared" si="66"/>
        <v>45258</v>
      </c>
      <c r="I1456" s="9">
        <v>45283</v>
      </c>
      <c r="J1456" s="4">
        <f t="shared" si="67"/>
        <v>25</v>
      </c>
      <c r="K1456" s="4" t="s">
        <v>41</v>
      </c>
      <c r="L1456" s="4">
        <v>68298</v>
      </c>
      <c r="M1456" s="4">
        <v>3401</v>
      </c>
      <c r="N1456" s="10">
        <v>2013.86</v>
      </c>
      <c r="O1456" s="10">
        <f t="shared" si="68"/>
        <v>2013.86</v>
      </c>
      <c r="P1456" s="4">
        <v>475</v>
      </c>
      <c r="Q1456" s="4" t="b">
        <v>0</v>
      </c>
      <c r="R1456" s="4"/>
      <c r="S1456" s="14" t="s">
        <v>68</v>
      </c>
    </row>
    <row r="1457" spans="1:19">
      <c r="A1457" s="6" t="s">
        <v>3011</v>
      </c>
      <c r="B1457" s="7" t="s">
        <v>3012</v>
      </c>
      <c r="C1457" s="8" t="s">
        <v>4129</v>
      </c>
      <c r="D1457" s="8">
        <v>45210</v>
      </c>
      <c r="E1457" s="7">
        <v>10</v>
      </c>
      <c r="F1457" s="7">
        <v>11</v>
      </c>
      <c r="G1457" s="7">
        <v>2023</v>
      </c>
      <c r="H1457" s="8">
        <f t="shared" si="66"/>
        <v>45210</v>
      </c>
      <c r="I1457" s="11">
        <v>45223</v>
      </c>
      <c r="J1457" s="7">
        <f t="shared" si="67"/>
        <v>13</v>
      </c>
      <c r="K1457" s="7" t="s">
        <v>33</v>
      </c>
      <c r="L1457" s="7">
        <v>32987</v>
      </c>
      <c r="M1457" s="7">
        <v>1025</v>
      </c>
      <c r="N1457" s="12">
        <v>856.78</v>
      </c>
      <c r="O1457" s="12">
        <f t="shared" si="68"/>
        <v>856.78</v>
      </c>
      <c r="P1457" s="7">
        <v>93</v>
      </c>
      <c r="Q1457" s="7" t="b">
        <v>0</v>
      </c>
      <c r="R1457" s="7"/>
      <c r="S1457" s="15" t="s">
        <v>34</v>
      </c>
    </row>
    <row r="1458" spans="1:19">
      <c r="A1458" s="3" t="s">
        <v>3013</v>
      </c>
      <c r="B1458" s="4" t="s">
        <v>3014</v>
      </c>
      <c r="C1458" s="5" t="s">
        <v>4131</v>
      </c>
      <c r="D1458" s="5" t="s">
        <v>3015</v>
      </c>
      <c r="E1458" s="4">
        <v>22</v>
      </c>
      <c r="F1458" s="4">
        <v>1</v>
      </c>
      <c r="G1458" s="4">
        <v>2023</v>
      </c>
      <c r="H1458" s="5">
        <f t="shared" si="66"/>
        <v>44948</v>
      </c>
      <c r="I1458" s="9">
        <v>44949</v>
      </c>
      <c r="J1458" s="4">
        <f t="shared" si="67"/>
        <v>1</v>
      </c>
      <c r="K1458" s="4" t="s">
        <v>33</v>
      </c>
      <c r="L1458" s="4">
        <v>16850</v>
      </c>
      <c r="M1458" s="4">
        <v>432</v>
      </c>
      <c r="N1458" s="10">
        <v>451.4</v>
      </c>
      <c r="O1458" s="10">
        <f t="shared" si="68"/>
        <v>451.4</v>
      </c>
      <c r="P1458" s="4">
        <v>0</v>
      </c>
      <c r="Q1458" s="4" t="b">
        <v>1</v>
      </c>
      <c r="R1458" s="4"/>
      <c r="S1458" s="14" t="s">
        <v>34</v>
      </c>
    </row>
    <row r="1459" spans="1:19">
      <c r="A1459" s="6" t="s">
        <v>3016</v>
      </c>
      <c r="B1459" s="7" t="s">
        <v>3017</v>
      </c>
      <c r="C1459" s="8" t="s">
        <v>4131</v>
      </c>
      <c r="D1459" s="8">
        <v>45232</v>
      </c>
      <c r="E1459" s="7">
        <v>11</v>
      </c>
      <c r="F1459" s="7">
        <v>2</v>
      </c>
      <c r="G1459" s="7">
        <v>2023</v>
      </c>
      <c r="H1459" s="8">
        <f t="shared" si="66"/>
        <v>45232</v>
      </c>
      <c r="I1459" s="11">
        <v>45250</v>
      </c>
      <c r="J1459" s="7">
        <f t="shared" si="67"/>
        <v>18</v>
      </c>
      <c r="K1459" s="7" t="s">
        <v>33</v>
      </c>
      <c r="L1459" s="7">
        <v>13112</v>
      </c>
      <c r="M1459" s="7">
        <v>476</v>
      </c>
      <c r="N1459" s="12">
        <v>-551.19</v>
      </c>
      <c r="O1459" s="12">
        <f t="shared" si="68"/>
        <v>-344.195</v>
      </c>
      <c r="P1459" s="7">
        <v>79</v>
      </c>
      <c r="Q1459" s="7" t="b">
        <v>0</v>
      </c>
      <c r="R1459" s="7"/>
      <c r="S1459" s="15" t="s">
        <v>34</v>
      </c>
    </row>
    <row r="1460" spans="1:19">
      <c r="A1460" s="3" t="s">
        <v>3018</v>
      </c>
      <c r="B1460" s="4" t="s">
        <v>3019</v>
      </c>
      <c r="C1460" s="5" t="s">
        <v>4128</v>
      </c>
      <c r="D1460" s="5">
        <v>44970</v>
      </c>
      <c r="E1460" s="4">
        <v>2</v>
      </c>
      <c r="F1460" s="4">
        <v>13</v>
      </c>
      <c r="G1460" s="4">
        <v>2023</v>
      </c>
      <c r="H1460" s="5">
        <f t="shared" si="66"/>
        <v>44970</v>
      </c>
      <c r="I1460" s="9">
        <v>44995</v>
      </c>
      <c r="J1460" s="4">
        <f t="shared" si="67"/>
        <v>25</v>
      </c>
      <c r="K1460" s="4" t="s">
        <v>14</v>
      </c>
      <c r="L1460" s="4">
        <v>25058</v>
      </c>
      <c r="M1460" s="4">
        <v>359</v>
      </c>
      <c r="N1460" s="10">
        <v>705.88</v>
      </c>
      <c r="O1460" s="10">
        <f t="shared" si="68"/>
        <v>705.88</v>
      </c>
      <c r="P1460" s="4">
        <v>68</v>
      </c>
      <c r="Q1460" s="4" t="b">
        <v>1</v>
      </c>
      <c r="R1460" s="4"/>
      <c r="S1460" s="14" t="s">
        <v>16</v>
      </c>
    </row>
    <row r="1461" spans="1:19">
      <c r="A1461" s="6" t="s">
        <v>3020</v>
      </c>
      <c r="B1461" s="7" t="s">
        <v>3021</v>
      </c>
      <c r="C1461" s="8" t="s">
        <v>4127</v>
      </c>
      <c r="D1461" s="8">
        <v>45103</v>
      </c>
      <c r="E1461" s="7">
        <v>6</v>
      </c>
      <c r="F1461" s="7">
        <v>26</v>
      </c>
      <c r="G1461" s="7">
        <v>2023</v>
      </c>
      <c r="H1461" s="8">
        <f t="shared" si="66"/>
        <v>45103</v>
      </c>
      <c r="I1461" s="11">
        <v>45112</v>
      </c>
      <c r="J1461" s="7">
        <f t="shared" si="67"/>
        <v>9</v>
      </c>
      <c r="K1461" s="7" t="s">
        <v>33</v>
      </c>
      <c r="L1461" s="7">
        <v>46420</v>
      </c>
      <c r="M1461" s="7">
        <v>1646</v>
      </c>
      <c r="N1461" s="12">
        <v>2817.62</v>
      </c>
      <c r="O1461" s="12">
        <f t="shared" si="68"/>
        <v>2817.62</v>
      </c>
      <c r="P1461" s="7">
        <v>0</v>
      </c>
      <c r="Q1461" s="7" t="b">
        <v>0</v>
      </c>
      <c r="R1461" s="7">
        <v>46444</v>
      </c>
      <c r="S1461" s="15" t="s">
        <v>34</v>
      </c>
    </row>
    <row r="1462" spans="1:19">
      <c r="A1462" s="3" t="s">
        <v>3022</v>
      </c>
      <c r="B1462" s="4" t="s">
        <v>3023</v>
      </c>
      <c r="C1462" s="5" t="s">
        <v>4128</v>
      </c>
      <c r="D1462" s="5">
        <v>45189</v>
      </c>
      <c r="E1462" s="4">
        <v>9</v>
      </c>
      <c r="F1462" s="4">
        <v>20</v>
      </c>
      <c r="G1462" s="4">
        <v>2023</v>
      </c>
      <c r="H1462" s="5">
        <f t="shared" si="66"/>
        <v>45189</v>
      </c>
      <c r="I1462" s="9">
        <v>45196</v>
      </c>
      <c r="J1462" s="4">
        <f t="shared" si="67"/>
        <v>7</v>
      </c>
      <c r="K1462" s="4" t="s">
        <v>19</v>
      </c>
      <c r="L1462" s="4">
        <v>39890</v>
      </c>
      <c r="M1462" s="4">
        <v>1193</v>
      </c>
      <c r="N1462" s="10">
        <v>500000</v>
      </c>
      <c r="O1462" s="10">
        <f t="shared" si="68"/>
        <v>3632.575</v>
      </c>
      <c r="P1462" s="4">
        <v>160</v>
      </c>
      <c r="Q1462" s="4" t="b">
        <v>1</v>
      </c>
      <c r="R1462" s="4"/>
      <c r="S1462" s="14" t="s">
        <v>20</v>
      </c>
    </row>
    <row r="1463" spans="1:19">
      <c r="A1463" s="6" t="s">
        <v>3024</v>
      </c>
      <c r="B1463" s="7" t="s">
        <v>3025</v>
      </c>
      <c r="C1463" s="8" t="s">
        <v>4127</v>
      </c>
      <c r="D1463" s="8">
        <v>45242</v>
      </c>
      <c r="E1463" s="7">
        <v>11</v>
      </c>
      <c r="F1463" s="7">
        <v>12</v>
      </c>
      <c r="G1463" s="7">
        <v>2023</v>
      </c>
      <c r="H1463" s="8">
        <f t="shared" si="66"/>
        <v>45242</v>
      </c>
      <c r="I1463" s="11">
        <v>45271</v>
      </c>
      <c r="J1463" s="7">
        <f t="shared" si="67"/>
        <v>29</v>
      </c>
      <c r="K1463" s="7" t="s">
        <v>14</v>
      </c>
      <c r="L1463" s="7">
        <v>67017</v>
      </c>
      <c r="M1463" s="7">
        <v>1760</v>
      </c>
      <c r="N1463" s="12">
        <v>2297.79</v>
      </c>
      <c r="O1463" s="12">
        <f t="shared" si="68"/>
        <v>2297.79</v>
      </c>
      <c r="P1463" s="7">
        <v>0</v>
      </c>
      <c r="Q1463" s="7" t="b">
        <v>1</v>
      </c>
      <c r="R1463" s="7"/>
      <c r="S1463" s="15" t="s">
        <v>16</v>
      </c>
    </row>
    <row r="1464" spans="1:19">
      <c r="A1464" s="3" t="s">
        <v>3026</v>
      </c>
      <c r="B1464" s="4" t="s">
        <v>3027</v>
      </c>
      <c r="C1464" s="5" t="s">
        <v>4131</v>
      </c>
      <c r="D1464" s="5">
        <v>45019</v>
      </c>
      <c r="E1464" s="4">
        <v>4</v>
      </c>
      <c r="F1464" s="4">
        <v>3</v>
      </c>
      <c r="G1464" s="4">
        <v>2023</v>
      </c>
      <c r="H1464" s="5">
        <f t="shared" si="66"/>
        <v>45019</v>
      </c>
      <c r="I1464" s="9">
        <v>45014</v>
      </c>
      <c r="J1464" s="4">
        <f t="shared" si="67"/>
        <v>-5</v>
      </c>
      <c r="K1464" s="4" t="s">
        <v>33</v>
      </c>
      <c r="L1464" s="4">
        <v>48304</v>
      </c>
      <c r="M1464" s="4">
        <v>2324</v>
      </c>
      <c r="N1464" s="10">
        <v>4090.23</v>
      </c>
      <c r="O1464" s="10">
        <f t="shared" si="68"/>
        <v>3632.575</v>
      </c>
      <c r="P1464" s="4">
        <v>0</v>
      </c>
      <c r="Q1464" s="4" t="b">
        <v>1</v>
      </c>
      <c r="R1464" s="4"/>
      <c r="S1464" s="14" t="s">
        <v>34</v>
      </c>
    </row>
    <row r="1465" spans="1:19">
      <c r="A1465" s="6" t="s">
        <v>3028</v>
      </c>
      <c r="B1465" s="7" t="s">
        <v>3029</v>
      </c>
      <c r="C1465" s="8" t="s">
        <v>4127</v>
      </c>
      <c r="D1465" s="8">
        <v>44954</v>
      </c>
      <c r="E1465" s="7">
        <v>1</v>
      </c>
      <c r="F1465" s="7">
        <v>28</v>
      </c>
      <c r="G1465" s="7">
        <v>2023</v>
      </c>
      <c r="H1465" s="8">
        <f t="shared" si="66"/>
        <v>44954</v>
      </c>
      <c r="I1465" s="11">
        <v>44970</v>
      </c>
      <c r="J1465" s="7">
        <f t="shared" si="67"/>
        <v>16</v>
      </c>
      <c r="K1465" s="7" t="s">
        <v>33</v>
      </c>
      <c r="L1465" s="7">
        <v>33921</v>
      </c>
      <c r="M1465" s="7">
        <v>1048</v>
      </c>
      <c r="N1465" s="12">
        <v>1057.42</v>
      </c>
      <c r="O1465" s="12">
        <f t="shared" si="68"/>
        <v>1057.42</v>
      </c>
      <c r="P1465" s="7">
        <v>72</v>
      </c>
      <c r="Q1465" s="7" t="b">
        <v>0</v>
      </c>
      <c r="R1465" s="7"/>
      <c r="S1465" s="15" t="s">
        <v>34</v>
      </c>
    </row>
    <row r="1466" spans="1:19">
      <c r="A1466" s="3" t="s">
        <v>3030</v>
      </c>
      <c r="B1466" s="4" t="s">
        <v>3031</v>
      </c>
      <c r="C1466" s="5" t="s">
        <v>4131</v>
      </c>
      <c r="D1466" s="5">
        <v>45208</v>
      </c>
      <c r="E1466" s="4">
        <v>10</v>
      </c>
      <c r="F1466" s="4">
        <v>9</v>
      </c>
      <c r="G1466" s="4">
        <v>2023</v>
      </c>
      <c r="H1466" s="5">
        <f t="shared" si="66"/>
        <v>45208</v>
      </c>
      <c r="I1466" s="9">
        <v>45222</v>
      </c>
      <c r="J1466" s="4">
        <f t="shared" si="67"/>
        <v>14</v>
      </c>
      <c r="K1466" s="4" t="s">
        <v>33</v>
      </c>
      <c r="L1466" s="4">
        <v>2524</v>
      </c>
      <c r="M1466" s="4">
        <v>47</v>
      </c>
      <c r="N1466" s="10">
        <v>73.48</v>
      </c>
      <c r="O1466" s="10">
        <f t="shared" si="68"/>
        <v>73.48</v>
      </c>
      <c r="P1466" s="4">
        <v>3</v>
      </c>
      <c r="Q1466" s="4" t="b">
        <v>1</v>
      </c>
      <c r="R1466" s="4"/>
      <c r="S1466" s="14" t="s">
        <v>34</v>
      </c>
    </row>
    <row r="1467" spans="1:19">
      <c r="A1467" s="6" t="s">
        <v>3032</v>
      </c>
      <c r="B1467" s="7" t="s">
        <v>3033</v>
      </c>
      <c r="C1467" s="8" t="s">
        <v>4127</v>
      </c>
      <c r="D1467" s="8">
        <v>45075</v>
      </c>
      <c r="E1467" s="7">
        <v>5</v>
      </c>
      <c r="F1467" s="7">
        <v>29</v>
      </c>
      <c r="G1467" s="7">
        <v>2023</v>
      </c>
      <c r="H1467" s="8">
        <f t="shared" si="66"/>
        <v>45075</v>
      </c>
      <c r="I1467" s="11">
        <v>45101</v>
      </c>
      <c r="J1467" s="7">
        <f t="shared" si="67"/>
        <v>26</v>
      </c>
      <c r="K1467" s="7" t="s">
        <v>23</v>
      </c>
      <c r="L1467" s="7">
        <v>16048</v>
      </c>
      <c r="M1467" s="7">
        <v>455</v>
      </c>
      <c r="N1467" s="12">
        <v>905.76</v>
      </c>
      <c r="O1467" s="12">
        <f t="shared" si="68"/>
        <v>905.76</v>
      </c>
      <c r="P1467" s="7">
        <v>69</v>
      </c>
      <c r="Q1467" s="7" t="b">
        <v>0</v>
      </c>
      <c r="R1467" s="7"/>
      <c r="S1467" s="15" t="s">
        <v>25</v>
      </c>
    </row>
    <row r="1468" spans="1:19">
      <c r="A1468" s="3" t="s">
        <v>3034</v>
      </c>
      <c r="B1468" s="4" t="s">
        <v>3035</v>
      </c>
      <c r="C1468" s="5" t="s">
        <v>4128</v>
      </c>
      <c r="D1468" s="5">
        <v>45028</v>
      </c>
      <c r="E1468" s="4">
        <v>4</v>
      </c>
      <c r="F1468" s="4">
        <v>12</v>
      </c>
      <c r="G1468" s="4">
        <v>2023</v>
      </c>
      <c r="H1468" s="5">
        <f t="shared" si="66"/>
        <v>45028</v>
      </c>
      <c r="I1468" s="9">
        <v>45057</v>
      </c>
      <c r="J1468" s="4">
        <f t="shared" si="67"/>
        <v>29</v>
      </c>
      <c r="K1468" s="4" t="s">
        <v>33</v>
      </c>
      <c r="L1468" s="4">
        <v>36111</v>
      </c>
      <c r="M1468" s="4">
        <v>1689</v>
      </c>
      <c r="N1468" s="10">
        <v>1641.61</v>
      </c>
      <c r="O1468" s="10">
        <f t="shared" si="68"/>
        <v>1641.61</v>
      </c>
      <c r="P1468" s="4">
        <v>150</v>
      </c>
      <c r="Q1468" s="4" t="b">
        <v>1</v>
      </c>
      <c r="R1468" s="4"/>
      <c r="S1468" s="14" t="s">
        <v>34</v>
      </c>
    </row>
    <row r="1469" spans="1:19">
      <c r="A1469" s="6" t="s">
        <v>3036</v>
      </c>
      <c r="B1469" s="7" t="s">
        <v>3037</v>
      </c>
      <c r="C1469" s="8" t="s">
        <v>4131</v>
      </c>
      <c r="D1469" s="8">
        <v>45096</v>
      </c>
      <c r="E1469" s="7">
        <v>6</v>
      </c>
      <c r="F1469" s="7">
        <v>19</v>
      </c>
      <c r="G1469" s="7">
        <v>2023</v>
      </c>
      <c r="H1469" s="8">
        <f t="shared" si="66"/>
        <v>45096</v>
      </c>
      <c r="I1469" s="11">
        <v>45113</v>
      </c>
      <c r="J1469" s="7">
        <f t="shared" si="67"/>
        <v>17</v>
      </c>
      <c r="K1469" s="7" t="s">
        <v>19</v>
      </c>
      <c r="L1469" s="7">
        <v>38904</v>
      </c>
      <c r="M1469" s="7">
        <v>663</v>
      </c>
      <c r="N1469" s="12">
        <v>1001.81</v>
      </c>
      <c r="O1469" s="12">
        <f t="shared" si="68"/>
        <v>1001.81</v>
      </c>
      <c r="P1469" s="7">
        <v>58</v>
      </c>
      <c r="Q1469" s="7" t="b">
        <v>1</v>
      </c>
      <c r="R1469" s="7"/>
      <c r="S1469" s="15" t="s">
        <v>20</v>
      </c>
    </row>
    <row r="1470" spans="1:19">
      <c r="A1470" s="3" t="s">
        <v>3038</v>
      </c>
      <c r="B1470" s="4" t="s">
        <v>3039</v>
      </c>
      <c r="C1470" s="5" t="s">
        <v>4127</v>
      </c>
      <c r="D1470" s="5">
        <v>45047</v>
      </c>
      <c r="E1470" s="4">
        <v>5</v>
      </c>
      <c r="F1470" s="4">
        <v>1</v>
      </c>
      <c r="G1470" s="4">
        <v>2023</v>
      </c>
      <c r="H1470" s="5">
        <f t="shared" si="66"/>
        <v>45047</v>
      </c>
      <c r="I1470" s="9">
        <v>45058</v>
      </c>
      <c r="J1470" s="4">
        <f t="shared" si="67"/>
        <v>11</v>
      </c>
      <c r="K1470" s="4" t="s">
        <v>138</v>
      </c>
      <c r="L1470" s="4">
        <v>55912</v>
      </c>
      <c r="M1470" s="4">
        <v>1037</v>
      </c>
      <c r="N1470" s="10">
        <v>1831.83</v>
      </c>
      <c r="O1470" s="10">
        <f t="shared" si="68"/>
        <v>1831.83</v>
      </c>
      <c r="P1470" s="4">
        <v>207</v>
      </c>
      <c r="Q1470" s="4" t="b">
        <v>1</v>
      </c>
      <c r="R1470" s="4"/>
      <c r="S1470" s="14" t="s">
        <v>139</v>
      </c>
    </row>
    <row r="1471" spans="1:19">
      <c r="A1471" s="6" t="s">
        <v>3040</v>
      </c>
      <c r="B1471" s="7" t="s">
        <v>3041</v>
      </c>
      <c r="C1471" s="8" t="s">
        <v>4129</v>
      </c>
      <c r="D1471" s="8">
        <v>45026</v>
      </c>
      <c r="E1471" s="7">
        <v>4</v>
      </c>
      <c r="F1471" s="7">
        <v>10</v>
      </c>
      <c r="G1471" s="7">
        <v>2023</v>
      </c>
      <c r="H1471" s="8">
        <f t="shared" si="66"/>
        <v>45026</v>
      </c>
      <c r="I1471" s="11">
        <v>45037</v>
      </c>
      <c r="J1471" s="7">
        <f t="shared" si="67"/>
        <v>11</v>
      </c>
      <c r="K1471" s="7" t="s">
        <v>33</v>
      </c>
      <c r="L1471" s="7">
        <v>35008</v>
      </c>
      <c r="M1471" s="7">
        <v>368</v>
      </c>
      <c r="N1471" s="12">
        <v>689.53</v>
      </c>
      <c r="O1471" s="12">
        <f t="shared" si="68"/>
        <v>689.53</v>
      </c>
      <c r="P1471" s="7">
        <v>28</v>
      </c>
      <c r="Q1471" s="7" t="b">
        <v>0</v>
      </c>
      <c r="R1471" s="7"/>
      <c r="S1471" s="15" t="s">
        <v>34</v>
      </c>
    </row>
    <row r="1472" spans="1:19">
      <c r="A1472" s="3" t="s">
        <v>3042</v>
      </c>
      <c r="B1472" s="4" t="s">
        <v>3043</v>
      </c>
      <c r="C1472" s="5" t="s">
        <v>4127</v>
      </c>
      <c r="D1472" s="5">
        <v>45242</v>
      </c>
      <c r="E1472" s="4">
        <v>11</v>
      </c>
      <c r="F1472" s="4">
        <v>12</v>
      </c>
      <c r="G1472" s="4">
        <v>2023</v>
      </c>
      <c r="H1472" s="5">
        <f t="shared" si="66"/>
        <v>45242</v>
      </c>
      <c r="I1472" s="9">
        <v>45243</v>
      </c>
      <c r="J1472" s="4">
        <f t="shared" si="67"/>
        <v>1</v>
      </c>
      <c r="K1472" s="4" t="s">
        <v>138</v>
      </c>
      <c r="L1472" s="4">
        <v>1060</v>
      </c>
      <c r="M1472" s="4">
        <v>11</v>
      </c>
      <c r="N1472" s="10">
        <v>17.35</v>
      </c>
      <c r="O1472" s="10">
        <f t="shared" si="68"/>
        <v>17.35</v>
      </c>
      <c r="P1472" s="4">
        <v>0</v>
      </c>
      <c r="Q1472" s="4" t="b">
        <v>0</v>
      </c>
      <c r="R1472" s="4"/>
      <c r="S1472" s="14" t="s">
        <v>139</v>
      </c>
    </row>
    <row r="1473" spans="1:19">
      <c r="A1473" s="6" t="s">
        <v>3044</v>
      </c>
      <c r="B1473" s="7" t="s">
        <v>3045</v>
      </c>
      <c r="C1473" s="8" t="s">
        <v>4129</v>
      </c>
      <c r="D1473" s="8">
        <v>45005</v>
      </c>
      <c r="E1473" s="7">
        <v>3</v>
      </c>
      <c r="F1473" s="7">
        <v>20</v>
      </c>
      <c r="G1473" s="7">
        <v>2023</v>
      </c>
      <c r="H1473" s="8">
        <f t="shared" si="66"/>
        <v>45005</v>
      </c>
      <c r="I1473" s="11">
        <v>45021</v>
      </c>
      <c r="J1473" s="7">
        <f t="shared" si="67"/>
        <v>16</v>
      </c>
      <c r="K1473" s="7" t="s">
        <v>41</v>
      </c>
      <c r="L1473" s="7">
        <v>75666</v>
      </c>
      <c r="M1473" s="7">
        <v>3266</v>
      </c>
      <c r="N1473" s="12">
        <v>3022.4</v>
      </c>
      <c r="O1473" s="12">
        <f t="shared" si="68"/>
        <v>3022.4</v>
      </c>
      <c r="P1473" s="7">
        <v>211</v>
      </c>
      <c r="Q1473" s="7" t="b">
        <v>0</v>
      </c>
      <c r="R1473" s="7"/>
      <c r="S1473" s="15" t="s">
        <v>42</v>
      </c>
    </row>
    <row r="1474" spans="1:19">
      <c r="A1474" s="3" t="s">
        <v>3046</v>
      </c>
      <c r="B1474" s="4" t="s">
        <v>3047</v>
      </c>
      <c r="C1474" s="5" t="s">
        <v>4128</v>
      </c>
      <c r="D1474" s="5">
        <v>45088</v>
      </c>
      <c r="E1474" s="4">
        <v>6</v>
      </c>
      <c r="F1474" s="4">
        <v>11</v>
      </c>
      <c r="G1474" s="4">
        <v>2023</v>
      </c>
      <c r="H1474" s="5">
        <f t="shared" ref="H1474:H1537" si="69">IF(E1474&gt;12,DATE(G1474,F1474,E1474),D1474)</f>
        <v>45088</v>
      </c>
      <c r="I1474" s="9">
        <v>45105</v>
      </c>
      <c r="J1474" s="4">
        <f t="shared" ref="J1474:J1537" si="70">DATEDIF(H1474,I1474,"D")</f>
        <v>17</v>
      </c>
      <c r="K1474" s="4" t="s">
        <v>14</v>
      </c>
      <c r="L1474" s="4">
        <v>84559</v>
      </c>
      <c r="M1474" s="4">
        <v>3321</v>
      </c>
      <c r="N1474" s="10">
        <v>3285.87</v>
      </c>
      <c r="O1474" s="10">
        <f t="shared" si="68"/>
        <v>3285.87</v>
      </c>
      <c r="P1474" s="4">
        <v>454</v>
      </c>
      <c r="Q1474" s="4" t="b">
        <v>0</v>
      </c>
      <c r="R1474" s="4"/>
      <c r="S1474" s="14" t="s">
        <v>16</v>
      </c>
    </row>
    <row r="1475" spans="1:19">
      <c r="A1475" s="6" t="s">
        <v>3048</v>
      </c>
      <c r="B1475" s="7" t="s">
        <v>3049</v>
      </c>
      <c r="C1475" s="8" t="s">
        <v>4127</v>
      </c>
      <c r="D1475" s="8">
        <v>45087</v>
      </c>
      <c r="E1475" s="7">
        <v>6</v>
      </c>
      <c r="F1475" s="7">
        <v>10</v>
      </c>
      <c r="G1475" s="7">
        <v>2023</v>
      </c>
      <c r="H1475" s="8">
        <f t="shared" si="69"/>
        <v>45087</v>
      </c>
      <c r="I1475" s="11">
        <v>45107</v>
      </c>
      <c r="J1475" s="7">
        <f t="shared" si="70"/>
        <v>20</v>
      </c>
      <c r="K1475" s="7" t="s">
        <v>33</v>
      </c>
      <c r="L1475" s="7">
        <v>56337</v>
      </c>
      <c r="M1475" s="7">
        <v>1363</v>
      </c>
      <c r="N1475" s="12">
        <v>723.94</v>
      </c>
      <c r="O1475" s="12">
        <f t="shared" ref="O1475:O1538" si="71">IF(N1475&lt;$V$6,$V$6,IF(N1475&gt;$V$7,$V$7,N1475))</f>
        <v>723.94</v>
      </c>
      <c r="P1475" s="7">
        <v>196</v>
      </c>
      <c r="Q1475" s="7" t="b">
        <v>0</v>
      </c>
      <c r="R1475" s="7"/>
      <c r="S1475" s="15" t="s">
        <v>34</v>
      </c>
    </row>
    <row r="1476" spans="1:19">
      <c r="A1476" s="3" t="s">
        <v>3050</v>
      </c>
      <c r="B1476" s="4" t="s">
        <v>3051</v>
      </c>
      <c r="C1476" s="5" t="s">
        <v>4131</v>
      </c>
      <c r="D1476" s="5">
        <v>45255</v>
      </c>
      <c r="E1476" s="4">
        <v>11</v>
      </c>
      <c r="F1476" s="4">
        <v>25</v>
      </c>
      <c r="G1476" s="4">
        <v>2023</v>
      </c>
      <c r="H1476" s="5">
        <f t="shared" si="69"/>
        <v>45255</v>
      </c>
      <c r="I1476" s="9">
        <v>45268</v>
      </c>
      <c r="J1476" s="4">
        <f t="shared" si="70"/>
        <v>13</v>
      </c>
      <c r="K1476" s="4" t="s">
        <v>138</v>
      </c>
      <c r="L1476" s="4">
        <v>14350</v>
      </c>
      <c r="M1476" s="4">
        <v>544</v>
      </c>
      <c r="N1476" s="10">
        <v>892.88</v>
      </c>
      <c r="O1476" s="10">
        <f t="shared" si="71"/>
        <v>892.88</v>
      </c>
      <c r="P1476" s="4">
        <v>57</v>
      </c>
      <c r="Q1476" s="4" t="b">
        <v>0</v>
      </c>
      <c r="R1476" s="4"/>
      <c r="S1476" s="14" t="s">
        <v>139</v>
      </c>
    </row>
    <row r="1477" spans="1:19">
      <c r="A1477" s="6" t="s">
        <v>3052</v>
      </c>
      <c r="B1477" s="7" t="s">
        <v>3053</v>
      </c>
      <c r="C1477" s="8" t="s">
        <v>4128</v>
      </c>
      <c r="D1477" s="8">
        <v>44995</v>
      </c>
      <c r="E1477" s="7">
        <v>3</v>
      </c>
      <c r="F1477" s="7">
        <v>10</v>
      </c>
      <c r="G1477" s="7">
        <v>2023</v>
      </c>
      <c r="H1477" s="8">
        <f t="shared" si="69"/>
        <v>44995</v>
      </c>
      <c r="I1477" s="11">
        <v>45022</v>
      </c>
      <c r="J1477" s="7">
        <f t="shared" si="70"/>
        <v>27</v>
      </c>
      <c r="K1477" s="7" t="s">
        <v>41</v>
      </c>
      <c r="L1477" s="7">
        <v>25354</v>
      </c>
      <c r="M1477" s="7">
        <v>654</v>
      </c>
      <c r="N1477" s="12">
        <v>368.93</v>
      </c>
      <c r="O1477" s="12">
        <f t="shared" si="71"/>
        <v>368.93</v>
      </c>
      <c r="P1477" s="7">
        <v>85</v>
      </c>
      <c r="Q1477" s="7" t="b">
        <v>1</v>
      </c>
      <c r="R1477" s="7"/>
      <c r="S1477" s="15" t="s">
        <v>42</v>
      </c>
    </row>
    <row r="1478" spans="1:19">
      <c r="A1478" s="3" t="s">
        <v>3054</v>
      </c>
      <c r="B1478" s="4" t="s">
        <v>3055</v>
      </c>
      <c r="C1478" s="5" t="s">
        <v>4128</v>
      </c>
      <c r="D1478" s="5">
        <v>45172</v>
      </c>
      <c r="E1478" s="4">
        <v>9</v>
      </c>
      <c r="F1478" s="4">
        <v>3</v>
      </c>
      <c r="G1478" s="4">
        <v>2023</v>
      </c>
      <c r="H1478" s="5">
        <f t="shared" si="69"/>
        <v>45172</v>
      </c>
      <c r="I1478" s="9">
        <v>45187</v>
      </c>
      <c r="J1478" s="4">
        <f t="shared" si="70"/>
        <v>15</v>
      </c>
      <c r="K1478" s="4" t="s">
        <v>33</v>
      </c>
      <c r="L1478" s="4">
        <v>46186</v>
      </c>
      <c r="M1478" s="4">
        <v>2222</v>
      </c>
      <c r="N1478" s="10">
        <v>3992.89</v>
      </c>
      <c r="O1478" s="10">
        <f t="shared" si="71"/>
        <v>3632.575</v>
      </c>
      <c r="P1478" s="4">
        <v>373</v>
      </c>
      <c r="Q1478" s="4" t="b">
        <v>0</v>
      </c>
      <c r="R1478" s="4"/>
      <c r="S1478" s="14" t="s">
        <v>34</v>
      </c>
    </row>
    <row r="1479" spans="1:19">
      <c r="A1479" s="6" t="s">
        <v>3056</v>
      </c>
      <c r="B1479" s="7" t="s">
        <v>3057</v>
      </c>
      <c r="C1479" s="8" t="s">
        <v>4129</v>
      </c>
      <c r="D1479" s="8">
        <v>45083</v>
      </c>
      <c r="E1479" s="7">
        <v>6</v>
      </c>
      <c r="F1479" s="7">
        <v>6</v>
      </c>
      <c r="G1479" s="7">
        <v>2023</v>
      </c>
      <c r="H1479" s="8">
        <f t="shared" si="69"/>
        <v>45083</v>
      </c>
      <c r="I1479" s="11">
        <v>45103</v>
      </c>
      <c r="J1479" s="7">
        <f t="shared" si="70"/>
        <v>20</v>
      </c>
      <c r="K1479" s="7" t="s">
        <v>14</v>
      </c>
      <c r="L1479" s="7">
        <v>29145</v>
      </c>
      <c r="M1479" s="7">
        <v>1418</v>
      </c>
      <c r="N1479" s="12">
        <v>961.39</v>
      </c>
      <c r="O1479" s="12">
        <f t="shared" si="71"/>
        <v>961.39</v>
      </c>
      <c r="P1479" s="7">
        <v>0</v>
      </c>
      <c r="Q1479" s="7" t="b">
        <v>1</v>
      </c>
      <c r="R1479" s="7"/>
      <c r="S1479" s="15" t="s">
        <v>16</v>
      </c>
    </row>
    <row r="1480" spans="1:19">
      <c r="A1480" s="3" t="s">
        <v>3058</v>
      </c>
      <c r="B1480" s="4" t="s">
        <v>3059</v>
      </c>
      <c r="C1480" s="5" t="s">
        <v>4129</v>
      </c>
      <c r="D1480" s="5">
        <v>45257</v>
      </c>
      <c r="E1480" s="4">
        <v>11</v>
      </c>
      <c r="F1480" s="4">
        <v>27</v>
      </c>
      <c r="G1480" s="4">
        <v>2023</v>
      </c>
      <c r="H1480" s="5">
        <f t="shared" si="69"/>
        <v>45257</v>
      </c>
      <c r="I1480" s="9">
        <v>45264</v>
      </c>
      <c r="J1480" s="4">
        <f t="shared" si="70"/>
        <v>7</v>
      </c>
      <c r="K1480" s="4" t="s">
        <v>14</v>
      </c>
      <c r="L1480" s="4">
        <v>35020</v>
      </c>
      <c r="M1480" s="4">
        <v>900</v>
      </c>
      <c r="N1480" s="10">
        <v>682.03</v>
      </c>
      <c r="O1480" s="10">
        <f t="shared" si="71"/>
        <v>682.03</v>
      </c>
      <c r="P1480" s="4">
        <v>0</v>
      </c>
      <c r="Q1480" s="4" t="b">
        <v>1</v>
      </c>
      <c r="R1480" s="4"/>
      <c r="S1480" s="14" t="s">
        <v>16</v>
      </c>
    </row>
    <row r="1481" spans="1:19">
      <c r="A1481" s="6" t="s">
        <v>3060</v>
      </c>
      <c r="B1481" s="7" t="s">
        <v>3061</v>
      </c>
      <c r="C1481" s="8" t="s">
        <v>4127</v>
      </c>
      <c r="D1481" s="8">
        <v>44998</v>
      </c>
      <c r="E1481" s="7">
        <v>3</v>
      </c>
      <c r="F1481" s="7">
        <v>13</v>
      </c>
      <c r="G1481" s="7">
        <v>2023</v>
      </c>
      <c r="H1481" s="8">
        <f t="shared" si="69"/>
        <v>44998</v>
      </c>
      <c r="I1481" s="11">
        <v>45010</v>
      </c>
      <c r="J1481" s="7">
        <f t="shared" si="70"/>
        <v>12</v>
      </c>
      <c r="K1481" s="7" t="s">
        <v>234</v>
      </c>
      <c r="L1481" s="7">
        <v>87123</v>
      </c>
      <c r="M1481" s="7">
        <v>3848</v>
      </c>
      <c r="N1481" s="12">
        <v>4674.51</v>
      </c>
      <c r="O1481" s="12">
        <f t="shared" si="71"/>
        <v>3632.575</v>
      </c>
      <c r="P1481" s="7">
        <v>668</v>
      </c>
      <c r="Q1481" s="7" t="b">
        <v>1</v>
      </c>
      <c r="R1481" s="7"/>
      <c r="S1481" s="15" t="s">
        <v>16</v>
      </c>
    </row>
    <row r="1482" spans="1:19">
      <c r="A1482" s="3" t="s">
        <v>3062</v>
      </c>
      <c r="B1482" s="4" t="s">
        <v>3063</v>
      </c>
      <c r="C1482" s="5" t="s">
        <v>4127</v>
      </c>
      <c r="D1482" s="5" t="s">
        <v>3064</v>
      </c>
      <c r="E1482" s="4">
        <v>17</v>
      </c>
      <c r="F1482" s="4">
        <v>11</v>
      </c>
      <c r="G1482" s="4">
        <v>2023</v>
      </c>
      <c r="H1482" s="5">
        <f t="shared" si="69"/>
        <v>45247</v>
      </c>
      <c r="I1482" s="9">
        <v>45252</v>
      </c>
      <c r="J1482" s="4">
        <f t="shared" si="70"/>
        <v>5</v>
      </c>
      <c r="K1482" s="4" t="s">
        <v>14</v>
      </c>
      <c r="L1482" s="4">
        <v>76186</v>
      </c>
      <c r="M1482" s="4">
        <v>3117</v>
      </c>
      <c r="N1482" s="10">
        <v>5008.46</v>
      </c>
      <c r="O1482" s="10">
        <f t="shared" si="71"/>
        <v>3632.575</v>
      </c>
      <c r="P1482" s="4">
        <v>419</v>
      </c>
      <c r="Q1482" s="4" t="b">
        <v>1</v>
      </c>
      <c r="R1482" s="4"/>
      <c r="S1482" s="14" t="s">
        <v>68</v>
      </c>
    </row>
    <row r="1483" spans="1:19">
      <c r="A1483" s="6" t="s">
        <v>3065</v>
      </c>
      <c r="B1483" s="7" t="s">
        <v>3066</v>
      </c>
      <c r="C1483" s="8" t="s">
        <v>4129</v>
      </c>
      <c r="D1483" s="8">
        <v>44965</v>
      </c>
      <c r="E1483" s="7">
        <v>2</v>
      </c>
      <c r="F1483" s="7">
        <v>8</v>
      </c>
      <c r="G1483" s="7">
        <v>2023</v>
      </c>
      <c r="H1483" s="8">
        <f t="shared" si="69"/>
        <v>44965</v>
      </c>
      <c r="I1483" s="11">
        <v>44988</v>
      </c>
      <c r="J1483" s="7">
        <f t="shared" si="70"/>
        <v>23</v>
      </c>
      <c r="K1483" s="7" t="s">
        <v>19</v>
      </c>
      <c r="L1483" s="7">
        <v>86469</v>
      </c>
      <c r="M1483" s="7">
        <v>1936</v>
      </c>
      <c r="N1483" s="12">
        <v>1371.66</v>
      </c>
      <c r="O1483" s="12">
        <f t="shared" si="71"/>
        <v>1371.66</v>
      </c>
      <c r="P1483" s="7">
        <v>148</v>
      </c>
      <c r="Q1483" s="7" t="b">
        <v>1</v>
      </c>
      <c r="R1483" s="7"/>
      <c r="S1483" s="15" t="s">
        <v>20</v>
      </c>
    </row>
    <row r="1484" spans="1:19">
      <c r="A1484" s="3" t="s">
        <v>3067</v>
      </c>
      <c r="B1484" s="4" t="s">
        <v>3068</v>
      </c>
      <c r="C1484" s="5" t="s">
        <v>4128</v>
      </c>
      <c r="D1484" s="5" t="s">
        <v>3069</v>
      </c>
      <c r="E1484" s="4">
        <v>20</v>
      </c>
      <c r="F1484" s="4">
        <v>11</v>
      </c>
      <c r="G1484" s="4">
        <v>2023</v>
      </c>
      <c r="H1484" s="5">
        <f t="shared" si="69"/>
        <v>45250</v>
      </c>
      <c r="I1484" s="9">
        <v>45253</v>
      </c>
      <c r="J1484" s="4">
        <f t="shared" si="70"/>
        <v>3</v>
      </c>
      <c r="K1484" s="4" t="s">
        <v>41</v>
      </c>
      <c r="L1484" s="4">
        <v>21581</v>
      </c>
      <c r="M1484" s="4">
        <v>416</v>
      </c>
      <c r="N1484" s="10">
        <v>482.6</v>
      </c>
      <c r="O1484" s="10">
        <f t="shared" si="71"/>
        <v>482.6</v>
      </c>
      <c r="P1484" s="4">
        <v>27</v>
      </c>
      <c r="Q1484" s="4" t="b">
        <v>1</v>
      </c>
      <c r="R1484" s="4"/>
      <c r="S1484" s="14" t="s">
        <v>42</v>
      </c>
    </row>
    <row r="1485" spans="1:19">
      <c r="A1485" s="6" t="s">
        <v>3070</v>
      </c>
      <c r="B1485" s="7" t="s">
        <v>3071</v>
      </c>
      <c r="C1485" s="8" t="s">
        <v>4131</v>
      </c>
      <c r="D1485" s="8">
        <v>45224</v>
      </c>
      <c r="E1485" s="7">
        <v>10</v>
      </c>
      <c r="F1485" s="7">
        <v>25</v>
      </c>
      <c r="G1485" s="7">
        <v>2023</v>
      </c>
      <c r="H1485" s="8">
        <f t="shared" si="69"/>
        <v>45224</v>
      </c>
      <c r="I1485" s="11">
        <v>45244</v>
      </c>
      <c r="J1485" s="7">
        <f t="shared" si="70"/>
        <v>20</v>
      </c>
      <c r="K1485" s="7" t="s">
        <v>33</v>
      </c>
      <c r="L1485" s="7">
        <v>89929</v>
      </c>
      <c r="M1485" s="7">
        <v>2547</v>
      </c>
      <c r="N1485" s="12">
        <v>3118.23</v>
      </c>
      <c r="O1485" s="12">
        <f t="shared" si="71"/>
        <v>3118.23</v>
      </c>
      <c r="P1485" s="7">
        <v>148</v>
      </c>
      <c r="Q1485" s="7" t="b">
        <v>0</v>
      </c>
      <c r="R1485" s="7"/>
      <c r="S1485" s="15" t="s">
        <v>34</v>
      </c>
    </row>
    <row r="1486" spans="1:19">
      <c r="A1486" s="3" t="s">
        <v>3072</v>
      </c>
      <c r="B1486" s="4" t="s">
        <v>3073</v>
      </c>
      <c r="C1486" s="5" t="s">
        <v>4127</v>
      </c>
      <c r="D1486" s="5">
        <v>45035</v>
      </c>
      <c r="E1486" s="4">
        <v>4</v>
      </c>
      <c r="F1486" s="4">
        <v>19</v>
      </c>
      <c r="G1486" s="4">
        <v>2023</v>
      </c>
      <c r="H1486" s="5">
        <f t="shared" si="69"/>
        <v>45035</v>
      </c>
      <c r="I1486" s="9">
        <v>45062</v>
      </c>
      <c r="J1486" s="4">
        <f t="shared" si="70"/>
        <v>27</v>
      </c>
      <c r="K1486" s="4" t="s">
        <v>33</v>
      </c>
      <c r="L1486" s="4">
        <v>24051</v>
      </c>
      <c r="M1486" s="4">
        <v>992</v>
      </c>
      <c r="N1486" s="10">
        <v>811.88</v>
      </c>
      <c r="O1486" s="10">
        <f t="shared" si="71"/>
        <v>811.88</v>
      </c>
      <c r="P1486" s="4">
        <v>148</v>
      </c>
      <c r="Q1486" s="4" t="b">
        <v>0</v>
      </c>
      <c r="R1486" s="4"/>
      <c r="S1486" s="14" t="s">
        <v>34</v>
      </c>
    </row>
    <row r="1487" spans="1:19">
      <c r="A1487" s="6" t="s">
        <v>3074</v>
      </c>
      <c r="B1487" s="7" t="s">
        <v>3075</v>
      </c>
      <c r="C1487" s="8" t="s">
        <v>4131</v>
      </c>
      <c r="D1487" s="8">
        <v>45205</v>
      </c>
      <c r="E1487" s="7">
        <v>10</v>
      </c>
      <c r="F1487" s="7">
        <v>6</v>
      </c>
      <c r="G1487" s="7">
        <v>2023</v>
      </c>
      <c r="H1487" s="8">
        <f t="shared" si="69"/>
        <v>45205</v>
      </c>
      <c r="I1487" s="11">
        <v>45228</v>
      </c>
      <c r="J1487" s="7">
        <f t="shared" si="70"/>
        <v>23</v>
      </c>
      <c r="K1487" s="7" t="s">
        <v>14</v>
      </c>
      <c r="L1487" s="7">
        <v>52474</v>
      </c>
      <c r="M1487" s="7">
        <v>2540</v>
      </c>
      <c r="N1487" s="12">
        <v>1710.28</v>
      </c>
      <c r="O1487" s="12">
        <f t="shared" si="71"/>
        <v>1710.28</v>
      </c>
      <c r="P1487" s="7">
        <v>434</v>
      </c>
      <c r="Q1487" s="7" t="b">
        <v>1</v>
      </c>
      <c r="R1487" s="7"/>
      <c r="S1487" s="15" t="s">
        <v>16</v>
      </c>
    </row>
    <row r="1488" spans="1:19">
      <c r="A1488" s="3" t="s">
        <v>3076</v>
      </c>
      <c r="B1488" s="4" t="s">
        <v>3077</v>
      </c>
      <c r="C1488" s="5" t="s">
        <v>4128</v>
      </c>
      <c r="D1488" s="5">
        <v>45261</v>
      </c>
      <c r="E1488" s="4">
        <v>12</v>
      </c>
      <c r="F1488" s="4">
        <v>1</v>
      </c>
      <c r="G1488" s="4">
        <v>2023</v>
      </c>
      <c r="H1488" s="5">
        <f t="shared" si="69"/>
        <v>45261</v>
      </c>
      <c r="I1488" s="9">
        <v>45283</v>
      </c>
      <c r="J1488" s="4">
        <f t="shared" si="70"/>
        <v>22</v>
      </c>
      <c r="K1488" s="4" t="s">
        <v>41</v>
      </c>
      <c r="L1488" s="4">
        <v>92748</v>
      </c>
      <c r="M1488" s="4">
        <v>3760</v>
      </c>
      <c r="N1488" s="10">
        <v>6597.41</v>
      </c>
      <c r="O1488" s="10">
        <f t="shared" si="71"/>
        <v>3632.575</v>
      </c>
      <c r="P1488" s="4">
        <v>474</v>
      </c>
      <c r="Q1488" s="4" t="b">
        <v>0</v>
      </c>
      <c r="R1488" s="4"/>
      <c r="S1488" s="14" t="s">
        <v>42</v>
      </c>
    </row>
    <row r="1489" spans="1:19">
      <c r="A1489" s="6" t="s">
        <v>3078</v>
      </c>
      <c r="B1489" s="7" t="s">
        <v>3079</v>
      </c>
      <c r="C1489" s="8" t="s">
        <v>4129</v>
      </c>
      <c r="D1489" s="8">
        <v>45041</v>
      </c>
      <c r="E1489" s="7">
        <v>4</v>
      </c>
      <c r="F1489" s="7">
        <v>25</v>
      </c>
      <c r="G1489" s="7">
        <v>2023</v>
      </c>
      <c r="H1489" s="8">
        <f t="shared" si="69"/>
        <v>45041</v>
      </c>
      <c r="I1489" s="11">
        <v>45054</v>
      </c>
      <c r="J1489" s="7">
        <f t="shared" si="70"/>
        <v>13</v>
      </c>
      <c r="K1489" s="7" t="s">
        <v>23</v>
      </c>
      <c r="L1489" s="7">
        <v>70626</v>
      </c>
      <c r="M1489" s="7">
        <v>3122</v>
      </c>
      <c r="N1489" s="12">
        <v>3914.05</v>
      </c>
      <c r="O1489" s="12">
        <f t="shared" si="71"/>
        <v>3632.575</v>
      </c>
      <c r="P1489" s="7">
        <v>181</v>
      </c>
      <c r="Q1489" s="7" t="b">
        <v>0</v>
      </c>
      <c r="R1489" s="7"/>
      <c r="S1489" s="15" t="s">
        <v>25</v>
      </c>
    </row>
    <row r="1490" spans="1:19">
      <c r="A1490" s="3" t="s">
        <v>3080</v>
      </c>
      <c r="B1490" s="4" t="s">
        <v>3081</v>
      </c>
      <c r="C1490" s="5" t="s">
        <v>4127</v>
      </c>
      <c r="D1490" s="5">
        <v>45075</v>
      </c>
      <c r="E1490" s="4">
        <v>5</v>
      </c>
      <c r="F1490" s="4">
        <v>29</v>
      </c>
      <c r="G1490" s="4">
        <v>2023</v>
      </c>
      <c r="H1490" s="5">
        <f t="shared" si="69"/>
        <v>45075</v>
      </c>
      <c r="I1490" s="9">
        <v>45081</v>
      </c>
      <c r="J1490" s="4">
        <f t="shared" si="70"/>
        <v>6</v>
      </c>
      <c r="K1490" s="4" t="s">
        <v>138</v>
      </c>
      <c r="L1490" s="4">
        <v>7960</v>
      </c>
      <c r="M1490" s="4">
        <v>271</v>
      </c>
      <c r="N1490" s="10">
        <v>141.35</v>
      </c>
      <c r="O1490" s="10">
        <f t="shared" si="71"/>
        <v>141.35</v>
      </c>
      <c r="P1490" s="4">
        <v>35</v>
      </c>
      <c r="Q1490" s="4" t="b">
        <v>1</v>
      </c>
      <c r="R1490" s="4"/>
      <c r="S1490" s="14" t="s">
        <v>139</v>
      </c>
    </row>
    <row r="1491" spans="1:19">
      <c r="A1491" s="6" t="s">
        <v>3082</v>
      </c>
      <c r="B1491" s="7" t="s">
        <v>3083</v>
      </c>
      <c r="C1491" s="8" t="s">
        <v>4129</v>
      </c>
      <c r="D1491" s="8">
        <v>44973</v>
      </c>
      <c r="E1491" s="7">
        <v>2</v>
      </c>
      <c r="F1491" s="7">
        <v>16</v>
      </c>
      <c r="G1491" s="7">
        <v>2023</v>
      </c>
      <c r="H1491" s="8">
        <f t="shared" si="69"/>
        <v>44973</v>
      </c>
      <c r="I1491" s="11">
        <v>44999</v>
      </c>
      <c r="J1491" s="7">
        <f t="shared" si="70"/>
        <v>26</v>
      </c>
      <c r="K1491" s="7" t="s">
        <v>14</v>
      </c>
      <c r="L1491" s="7">
        <v>36772</v>
      </c>
      <c r="M1491" s="7">
        <v>1596</v>
      </c>
      <c r="N1491" s="12">
        <v>2720.34</v>
      </c>
      <c r="O1491" s="12">
        <f t="shared" si="71"/>
        <v>2720.34</v>
      </c>
      <c r="P1491" s="7">
        <v>0</v>
      </c>
      <c r="Q1491" s="7" t="b">
        <v>1</v>
      </c>
      <c r="R1491" s="7"/>
      <c r="S1491" s="15" t="s">
        <v>16</v>
      </c>
    </row>
    <row r="1492" spans="1:19">
      <c r="A1492" s="3" t="s">
        <v>3084</v>
      </c>
      <c r="B1492" s="4" t="s">
        <v>3085</v>
      </c>
      <c r="C1492" s="5" t="s">
        <v>4127</v>
      </c>
      <c r="D1492" s="5">
        <v>45266</v>
      </c>
      <c r="E1492" s="4">
        <v>12</v>
      </c>
      <c r="F1492" s="4">
        <v>6</v>
      </c>
      <c r="G1492" s="4">
        <v>2023</v>
      </c>
      <c r="H1492" s="5">
        <f t="shared" si="69"/>
        <v>45266</v>
      </c>
      <c r="I1492" s="9">
        <v>45279</v>
      </c>
      <c r="J1492" s="4">
        <f t="shared" si="70"/>
        <v>13</v>
      </c>
      <c r="K1492" s="4" t="s">
        <v>415</v>
      </c>
      <c r="L1492" s="4">
        <v>22520</v>
      </c>
      <c r="M1492" s="4">
        <v>931</v>
      </c>
      <c r="N1492" s="10">
        <v>1835.18</v>
      </c>
      <c r="O1492" s="10">
        <f t="shared" si="71"/>
        <v>1835.18</v>
      </c>
      <c r="P1492" s="4">
        <v>130</v>
      </c>
      <c r="Q1492" s="4" t="b">
        <v>0</v>
      </c>
      <c r="R1492" s="4"/>
      <c r="S1492" s="14" t="s">
        <v>34</v>
      </c>
    </row>
    <row r="1493" spans="1:19">
      <c r="A1493" s="6" t="s">
        <v>3086</v>
      </c>
      <c r="B1493" s="7" t="s">
        <v>3087</v>
      </c>
      <c r="C1493" s="8" t="s">
        <v>4131</v>
      </c>
      <c r="D1493" s="8">
        <v>45241</v>
      </c>
      <c r="E1493" s="7">
        <v>11</v>
      </c>
      <c r="F1493" s="7">
        <v>11</v>
      </c>
      <c r="G1493" s="7">
        <v>2023</v>
      </c>
      <c r="H1493" s="8">
        <f t="shared" si="69"/>
        <v>45241</v>
      </c>
      <c r="I1493" s="11">
        <v>45248</v>
      </c>
      <c r="J1493" s="7">
        <f t="shared" si="70"/>
        <v>7</v>
      </c>
      <c r="K1493" s="7" t="s">
        <v>23</v>
      </c>
      <c r="L1493" s="7">
        <v>50481</v>
      </c>
      <c r="M1493" s="7">
        <v>1266</v>
      </c>
      <c r="N1493" s="12">
        <v>1783.65</v>
      </c>
      <c r="O1493" s="12">
        <f t="shared" si="71"/>
        <v>1783.65</v>
      </c>
      <c r="P1493" s="7">
        <v>217</v>
      </c>
      <c r="Q1493" s="7" t="b">
        <v>1</v>
      </c>
      <c r="R1493" s="7"/>
      <c r="S1493" s="15" t="s">
        <v>25</v>
      </c>
    </row>
    <row r="1494" spans="1:19">
      <c r="A1494" s="3" t="s">
        <v>3088</v>
      </c>
      <c r="B1494" s="4" t="s">
        <v>3089</v>
      </c>
      <c r="C1494" s="5" t="s">
        <v>4127</v>
      </c>
      <c r="D1494" s="5">
        <v>44998</v>
      </c>
      <c r="E1494" s="4">
        <v>3</v>
      </c>
      <c r="F1494" s="4">
        <v>13</v>
      </c>
      <c r="G1494" s="4">
        <v>2023</v>
      </c>
      <c r="H1494" s="5">
        <f t="shared" si="69"/>
        <v>44998</v>
      </c>
      <c r="I1494" s="9">
        <v>45005</v>
      </c>
      <c r="J1494" s="4">
        <f t="shared" si="70"/>
        <v>7</v>
      </c>
      <c r="K1494" s="4" t="s">
        <v>41</v>
      </c>
      <c r="L1494" s="4">
        <v>37408</v>
      </c>
      <c r="M1494" s="4">
        <v>1200</v>
      </c>
      <c r="N1494" s="10">
        <v>1506.68</v>
      </c>
      <c r="O1494" s="10">
        <f t="shared" si="71"/>
        <v>1506.68</v>
      </c>
      <c r="P1494" s="4">
        <v>204</v>
      </c>
      <c r="Q1494" s="4" t="b">
        <v>1</v>
      </c>
      <c r="R1494" s="4"/>
      <c r="S1494" s="14" t="s">
        <v>42</v>
      </c>
    </row>
    <row r="1495" spans="1:19">
      <c r="A1495" s="6" t="s">
        <v>3090</v>
      </c>
      <c r="B1495" s="7" t="s">
        <v>3091</v>
      </c>
      <c r="C1495" s="8" t="s">
        <v>4127</v>
      </c>
      <c r="D1495" s="8">
        <v>45216</v>
      </c>
      <c r="E1495" s="7">
        <v>10</v>
      </c>
      <c r="F1495" s="7">
        <v>17</v>
      </c>
      <c r="G1495" s="7">
        <v>2023</v>
      </c>
      <c r="H1495" s="8">
        <f t="shared" si="69"/>
        <v>45216</v>
      </c>
      <c r="I1495" s="11">
        <v>45227</v>
      </c>
      <c r="J1495" s="7">
        <f t="shared" si="70"/>
        <v>11</v>
      </c>
      <c r="K1495" s="7" t="s">
        <v>14</v>
      </c>
      <c r="L1495" s="7">
        <v>95006</v>
      </c>
      <c r="M1495" s="7">
        <v>4008</v>
      </c>
      <c r="N1495" s="12">
        <v>7285.04</v>
      </c>
      <c r="O1495" s="12">
        <f t="shared" si="71"/>
        <v>3632.575</v>
      </c>
      <c r="P1495" s="7">
        <v>760</v>
      </c>
      <c r="Q1495" s="7" t="b">
        <v>1</v>
      </c>
      <c r="R1495" s="7"/>
      <c r="S1495" s="15" t="s">
        <v>16</v>
      </c>
    </row>
    <row r="1496" spans="1:19">
      <c r="A1496" s="3" t="s">
        <v>3092</v>
      </c>
      <c r="B1496" s="4" t="s">
        <v>3093</v>
      </c>
      <c r="C1496" s="5" t="s">
        <v>4128</v>
      </c>
      <c r="D1496" s="5">
        <v>45174</v>
      </c>
      <c r="E1496" s="4">
        <v>9</v>
      </c>
      <c r="F1496" s="4">
        <v>5</v>
      </c>
      <c r="G1496" s="4">
        <v>2023</v>
      </c>
      <c r="H1496" s="5">
        <f t="shared" si="69"/>
        <v>45174</v>
      </c>
      <c r="I1496" s="9">
        <v>45067</v>
      </c>
      <c r="J1496" s="4">
        <f t="shared" si="70"/>
        <v>-107</v>
      </c>
      <c r="K1496" s="4" t="s">
        <v>41</v>
      </c>
      <c r="L1496" s="4">
        <v>58134</v>
      </c>
      <c r="M1496" s="4">
        <v>688</v>
      </c>
      <c r="N1496" s="10">
        <v>1327</v>
      </c>
      <c r="O1496" s="10">
        <f t="shared" si="71"/>
        <v>1327</v>
      </c>
      <c r="P1496" s="4">
        <v>113</v>
      </c>
      <c r="Q1496" s="4" t="b">
        <v>1</v>
      </c>
      <c r="R1496" s="4"/>
      <c r="S1496" s="14" t="s">
        <v>42</v>
      </c>
    </row>
    <row r="1497" spans="1:19">
      <c r="A1497" s="6" t="s">
        <v>3094</v>
      </c>
      <c r="B1497" s="7" t="s">
        <v>3095</v>
      </c>
      <c r="C1497" s="8" t="s">
        <v>4128</v>
      </c>
      <c r="D1497" s="8">
        <v>45176</v>
      </c>
      <c r="E1497" s="7">
        <v>9</v>
      </c>
      <c r="F1497" s="7">
        <v>7</v>
      </c>
      <c r="G1497" s="7">
        <v>2023</v>
      </c>
      <c r="H1497" s="8">
        <f t="shared" si="69"/>
        <v>45176</v>
      </c>
      <c r="I1497" s="11">
        <v>45189</v>
      </c>
      <c r="J1497" s="7">
        <f t="shared" si="70"/>
        <v>13</v>
      </c>
      <c r="K1497" s="7" t="s">
        <v>41</v>
      </c>
      <c r="L1497" s="7">
        <v>21491</v>
      </c>
      <c r="M1497" s="7">
        <v>909</v>
      </c>
      <c r="N1497" s="12">
        <v>1483.31</v>
      </c>
      <c r="O1497" s="12">
        <f t="shared" si="71"/>
        <v>1483.31</v>
      </c>
      <c r="P1497" s="7">
        <v>0</v>
      </c>
      <c r="Q1497" s="7" t="b">
        <v>1</v>
      </c>
      <c r="R1497" s="7"/>
      <c r="S1497" s="15" t="s">
        <v>68</v>
      </c>
    </row>
    <row r="1498" spans="1:19">
      <c r="A1498" s="3" t="s">
        <v>3096</v>
      </c>
      <c r="B1498" s="4" t="s">
        <v>3097</v>
      </c>
      <c r="C1498" s="5" t="s">
        <v>4129</v>
      </c>
      <c r="D1498" s="5" t="s">
        <v>3098</v>
      </c>
      <c r="E1498" s="4">
        <v>30</v>
      </c>
      <c r="F1498" s="4">
        <v>4</v>
      </c>
      <c r="G1498" s="4">
        <v>2023</v>
      </c>
      <c r="H1498" s="5">
        <f t="shared" si="69"/>
        <v>45046</v>
      </c>
      <c r="I1498" s="9">
        <v>45055</v>
      </c>
      <c r="J1498" s="4">
        <f t="shared" si="70"/>
        <v>9</v>
      </c>
      <c r="K1498" s="4" t="s">
        <v>23</v>
      </c>
      <c r="L1498" s="4">
        <v>2341</v>
      </c>
      <c r="M1498" s="4">
        <v>40</v>
      </c>
      <c r="N1498" s="10">
        <v>46.73</v>
      </c>
      <c r="O1498" s="10">
        <f t="shared" si="71"/>
        <v>46.73</v>
      </c>
      <c r="P1498" s="4">
        <v>3</v>
      </c>
      <c r="Q1498" s="4" t="b">
        <v>1</v>
      </c>
      <c r="R1498" s="4"/>
      <c r="S1498" s="14" t="s">
        <v>25</v>
      </c>
    </row>
    <row r="1499" spans="1:19">
      <c r="A1499" s="6" t="s">
        <v>3099</v>
      </c>
      <c r="B1499" s="7" t="s">
        <v>3100</v>
      </c>
      <c r="C1499" s="8" t="s">
        <v>4131</v>
      </c>
      <c r="D1499" s="8">
        <v>45032</v>
      </c>
      <c r="E1499" s="7">
        <v>4</v>
      </c>
      <c r="F1499" s="7">
        <v>16</v>
      </c>
      <c r="G1499" s="7">
        <v>2023</v>
      </c>
      <c r="H1499" s="8">
        <f t="shared" si="69"/>
        <v>45032</v>
      </c>
      <c r="I1499" s="11">
        <v>45027</v>
      </c>
      <c r="J1499" s="7">
        <f t="shared" si="70"/>
        <v>-5</v>
      </c>
      <c r="K1499" s="7" t="s">
        <v>19</v>
      </c>
      <c r="L1499" s="7">
        <v>45623</v>
      </c>
      <c r="M1499" s="7">
        <v>1395</v>
      </c>
      <c r="N1499" s="12">
        <v>1936.72</v>
      </c>
      <c r="O1499" s="12">
        <f t="shared" si="71"/>
        <v>1936.72</v>
      </c>
      <c r="P1499" s="7">
        <v>82</v>
      </c>
      <c r="Q1499" s="7" t="b">
        <v>0</v>
      </c>
      <c r="R1499" s="7"/>
      <c r="S1499" s="15" t="s">
        <v>20</v>
      </c>
    </row>
    <row r="1500" spans="1:19">
      <c r="A1500" s="3" t="s">
        <v>3101</v>
      </c>
      <c r="B1500" s="4" t="s">
        <v>3102</v>
      </c>
      <c r="C1500" s="5" t="s">
        <v>4128</v>
      </c>
      <c r="D1500" s="5">
        <v>45125</v>
      </c>
      <c r="E1500" s="4">
        <v>7</v>
      </c>
      <c r="F1500" s="4">
        <v>18</v>
      </c>
      <c r="G1500" s="4">
        <v>2023</v>
      </c>
      <c r="H1500" s="5">
        <f t="shared" si="69"/>
        <v>45125</v>
      </c>
      <c r="I1500" s="9">
        <v>45148</v>
      </c>
      <c r="J1500" s="4">
        <f t="shared" si="70"/>
        <v>23</v>
      </c>
      <c r="K1500" s="4" t="s">
        <v>19</v>
      </c>
      <c r="L1500" s="4">
        <v>91327</v>
      </c>
      <c r="M1500" s="4">
        <v>3865</v>
      </c>
      <c r="N1500" s="10">
        <v>5996.17</v>
      </c>
      <c r="O1500" s="10">
        <f t="shared" si="71"/>
        <v>3632.575</v>
      </c>
      <c r="P1500" s="4">
        <v>493</v>
      </c>
      <c r="Q1500" s="4" t="b">
        <v>0</v>
      </c>
      <c r="R1500" s="4"/>
      <c r="S1500" s="14" t="s">
        <v>20</v>
      </c>
    </row>
    <row r="1501" spans="1:19">
      <c r="A1501" s="6" t="s">
        <v>3103</v>
      </c>
      <c r="B1501" s="7" t="s">
        <v>3104</v>
      </c>
      <c r="C1501" s="8" t="s">
        <v>4129</v>
      </c>
      <c r="D1501" s="8" t="s">
        <v>2733</v>
      </c>
      <c r="E1501" s="7">
        <v>24</v>
      </c>
      <c r="F1501" s="7">
        <v>1</v>
      </c>
      <c r="G1501" s="7">
        <v>2023</v>
      </c>
      <c r="H1501" s="8">
        <f t="shared" si="69"/>
        <v>44950</v>
      </c>
      <c r="I1501" s="11">
        <v>44960</v>
      </c>
      <c r="J1501" s="7">
        <f t="shared" si="70"/>
        <v>10</v>
      </c>
      <c r="K1501" s="7" t="s">
        <v>23</v>
      </c>
      <c r="L1501" s="7">
        <v>1338</v>
      </c>
      <c r="M1501" s="7">
        <v>26</v>
      </c>
      <c r="N1501" s="12">
        <v>20.58</v>
      </c>
      <c r="O1501" s="12">
        <f t="shared" si="71"/>
        <v>20.58</v>
      </c>
      <c r="P1501" s="7">
        <v>0</v>
      </c>
      <c r="Q1501" s="7" t="b">
        <v>1</v>
      </c>
      <c r="R1501" s="7"/>
      <c r="S1501" s="15" t="s">
        <v>25</v>
      </c>
    </row>
    <row r="1502" spans="1:19">
      <c r="A1502" s="3" t="s">
        <v>3105</v>
      </c>
      <c r="B1502" s="4" t="s">
        <v>3106</v>
      </c>
      <c r="C1502" s="5" t="s">
        <v>4131</v>
      </c>
      <c r="D1502" s="5">
        <v>45259</v>
      </c>
      <c r="E1502" s="4">
        <v>11</v>
      </c>
      <c r="F1502" s="4">
        <v>29</v>
      </c>
      <c r="G1502" s="4">
        <v>2023</v>
      </c>
      <c r="H1502" s="5">
        <f t="shared" si="69"/>
        <v>45259</v>
      </c>
      <c r="I1502" s="9">
        <v>45288</v>
      </c>
      <c r="J1502" s="4">
        <f t="shared" si="70"/>
        <v>29</v>
      </c>
      <c r="K1502" s="4" t="s">
        <v>14</v>
      </c>
      <c r="L1502" s="4">
        <v>72431</v>
      </c>
      <c r="M1502" s="4">
        <v>1436</v>
      </c>
      <c r="N1502" s="10">
        <v>1681.27</v>
      </c>
      <c r="O1502" s="10">
        <f t="shared" si="71"/>
        <v>1681.27</v>
      </c>
      <c r="P1502" s="4">
        <v>279</v>
      </c>
      <c r="Q1502" s="4" t="b">
        <v>1</v>
      </c>
      <c r="R1502" s="4"/>
      <c r="S1502" s="14" t="s">
        <v>16</v>
      </c>
    </row>
    <row r="1503" spans="1:19">
      <c r="A1503" s="6" t="s">
        <v>3107</v>
      </c>
      <c r="B1503" s="7" t="s">
        <v>3108</v>
      </c>
      <c r="C1503" s="8" t="s">
        <v>4128</v>
      </c>
      <c r="D1503" s="8">
        <v>45193</v>
      </c>
      <c r="E1503" s="7">
        <v>9</v>
      </c>
      <c r="F1503" s="7">
        <v>24</v>
      </c>
      <c r="G1503" s="7">
        <v>2023</v>
      </c>
      <c r="H1503" s="8">
        <f t="shared" si="69"/>
        <v>45193</v>
      </c>
      <c r="I1503" s="11">
        <v>45201</v>
      </c>
      <c r="J1503" s="7">
        <f t="shared" si="70"/>
        <v>8</v>
      </c>
      <c r="K1503" s="7" t="s">
        <v>138</v>
      </c>
      <c r="L1503" s="7">
        <v>13254</v>
      </c>
      <c r="M1503" s="7">
        <v>346</v>
      </c>
      <c r="N1503" s="12">
        <v>603.68</v>
      </c>
      <c r="O1503" s="12">
        <f t="shared" si="71"/>
        <v>603.68</v>
      </c>
      <c r="P1503" s="7">
        <v>32</v>
      </c>
      <c r="Q1503" s="7" t="b">
        <v>1</v>
      </c>
      <c r="R1503" s="7"/>
      <c r="S1503" s="15" t="s">
        <v>139</v>
      </c>
    </row>
    <row r="1504" spans="1:19">
      <c r="A1504" s="3" t="s">
        <v>3109</v>
      </c>
      <c r="B1504" s="4" t="s">
        <v>3110</v>
      </c>
      <c r="C1504" s="5" t="s">
        <v>4129</v>
      </c>
      <c r="D1504" s="5">
        <v>45061</v>
      </c>
      <c r="E1504" s="4">
        <v>5</v>
      </c>
      <c r="F1504" s="4">
        <v>15</v>
      </c>
      <c r="G1504" s="4">
        <v>2023</v>
      </c>
      <c r="H1504" s="5">
        <f t="shared" si="69"/>
        <v>45061</v>
      </c>
      <c r="I1504" s="9">
        <v>45074</v>
      </c>
      <c r="J1504" s="4">
        <f t="shared" si="70"/>
        <v>13</v>
      </c>
      <c r="K1504" s="4" t="s">
        <v>14</v>
      </c>
      <c r="L1504" s="4">
        <v>52860</v>
      </c>
      <c r="M1504" s="4">
        <v>2420</v>
      </c>
      <c r="N1504" s="10">
        <v>3586.65</v>
      </c>
      <c r="O1504" s="10">
        <f t="shared" si="71"/>
        <v>3586.65</v>
      </c>
      <c r="P1504" s="4">
        <v>430</v>
      </c>
      <c r="Q1504" s="4" t="b">
        <v>1</v>
      </c>
      <c r="R1504" s="4"/>
      <c r="S1504" s="14" t="s">
        <v>16</v>
      </c>
    </row>
    <row r="1505" spans="1:19">
      <c r="A1505" s="6" t="s">
        <v>3111</v>
      </c>
      <c r="B1505" s="7" t="s">
        <v>3112</v>
      </c>
      <c r="C1505" s="8" t="s">
        <v>4129</v>
      </c>
      <c r="D1505" s="8">
        <v>45119</v>
      </c>
      <c r="E1505" s="7">
        <v>7</v>
      </c>
      <c r="F1505" s="7">
        <v>12</v>
      </c>
      <c r="G1505" s="7">
        <v>2023</v>
      </c>
      <c r="H1505" s="8">
        <f t="shared" si="69"/>
        <v>45119</v>
      </c>
      <c r="I1505" s="11">
        <v>45139</v>
      </c>
      <c r="J1505" s="7">
        <f t="shared" si="70"/>
        <v>20</v>
      </c>
      <c r="K1505" s="7" t="s">
        <v>41</v>
      </c>
      <c r="L1505" s="7">
        <v>12344</v>
      </c>
      <c r="M1505" s="7">
        <v>123</v>
      </c>
      <c r="N1505" s="12">
        <v>137.37</v>
      </c>
      <c r="O1505" s="12">
        <f t="shared" si="71"/>
        <v>137.37</v>
      </c>
      <c r="P1505" s="7">
        <v>13</v>
      </c>
      <c r="Q1505" s="7" t="b">
        <v>1</v>
      </c>
      <c r="R1505" s="7"/>
      <c r="S1505" s="15" t="s">
        <v>42</v>
      </c>
    </row>
    <row r="1506" spans="1:19">
      <c r="A1506" s="3" t="s">
        <v>3113</v>
      </c>
      <c r="B1506" s="4" t="s">
        <v>3114</v>
      </c>
      <c r="C1506" s="5" t="s">
        <v>4129</v>
      </c>
      <c r="D1506" s="5">
        <v>45261</v>
      </c>
      <c r="E1506" s="4">
        <v>12</v>
      </c>
      <c r="F1506" s="4">
        <v>1</v>
      </c>
      <c r="G1506" s="4">
        <v>2023</v>
      </c>
      <c r="H1506" s="5">
        <f t="shared" si="69"/>
        <v>45261</v>
      </c>
      <c r="I1506" s="9">
        <v>44967</v>
      </c>
      <c r="J1506" s="4">
        <f t="shared" si="70"/>
        <v>-294</v>
      </c>
      <c r="K1506" s="4" t="s">
        <v>14</v>
      </c>
      <c r="L1506" s="4">
        <v>2750</v>
      </c>
      <c r="M1506" s="4">
        <v>126</v>
      </c>
      <c r="N1506" s="10">
        <v>188.38</v>
      </c>
      <c r="O1506" s="10">
        <f t="shared" si="71"/>
        <v>188.38</v>
      </c>
      <c r="P1506" s="4">
        <v>12</v>
      </c>
      <c r="Q1506" s="4" t="b">
        <v>0</v>
      </c>
      <c r="R1506" s="4"/>
      <c r="S1506" s="14" t="s">
        <v>16</v>
      </c>
    </row>
    <row r="1507" spans="1:19">
      <c r="A1507" s="6" t="s">
        <v>3115</v>
      </c>
      <c r="B1507" s="7" t="s">
        <v>3116</v>
      </c>
      <c r="C1507" s="8" t="s">
        <v>4127</v>
      </c>
      <c r="D1507" s="8">
        <v>45055</v>
      </c>
      <c r="E1507" s="7">
        <v>5</v>
      </c>
      <c r="F1507" s="7">
        <v>9</v>
      </c>
      <c r="G1507" s="7">
        <v>2023</v>
      </c>
      <c r="H1507" s="8">
        <f t="shared" si="69"/>
        <v>45055</v>
      </c>
      <c r="I1507" s="11">
        <v>45071</v>
      </c>
      <c r="J1507" s="7">
        <f t="shared" si="70"/>
        <v>16</v>
      </c>
      <c r="K1507" s="7" t="s">
        <v>33</v>
      </c>
      <c r="L1507" s="7">
        <v>55756</v>
      </c>
      <c r="M1507" s="7">
        <v>900</v>
      </c>
      <c r="N1507" s="12">
        <v>609.6</v>
      </c>
      <c r="O1507" s="12">
        <f t="shared" si="71"/>
        <v>609.6</v>
      </c>
      <c r="P1507" s="7">
        <v>171</v>
      </c>
      <c r="Q1507" s="7" t="b">
        <v>1</v>
      </c>
      <c r="R1507" s="7"/>
      <c r="S1507" s="15" t="s">
        <v>68</v>
      </c>
    </row>
    <row r="1508" spans="1:19">
      <c r="A1508" s="3" t="s">
        <v>3117</v>
      </c>
      <c r="B1508" s="4" t="s">
        <v>3118</v>
      </c>
      <c r="C1508" s="5" t="s">
        <v>4128</v>
      </c>
      <c r="D1508" s="5">
        <v>45191</v>
      </c>
      <c r="E1508" s="4">
        <v>9</v>
      </c>
      <c r="F1508" s="4">
        <v>22</v>
      </c>
      <c r="G1508" s="4">
        <v>2023</v>
      </c>
      <c r="H1508" s="5">
        <f t="shared" si="69"/>
        <v>45191</v>
      </c>
      <c r="I1508" s="9">
        <v>45192</v>
      </c>
      <c r="J1508" s="4">
        <f t="shared" si="70"/>
        <v>1</v>
      </c>
      <c r="K1508" s="4" t="s">
        <v>19</v>
      </c>
      <c r="L1508" s="4">
        <v>68957</v>
      </c>
      <c r="M1508" s="4">
        <v>3420</v>
      </c>
      <c r="N1508" s="10">
        <v>3769.68</v>
      </c>
      <c r="O1508" s="10">
        <f t="shared" si="71"/>
        <v>3632.575</v>
      </c>
      <c r="P1508" s="4">
        <v>357</v>
      </c>
      <c r="Q1508" s="4" t="b">
        <v>1</v>
      </c>
      <c r="R1508" s="4"/>
      <c r="S1508" s="14" t="s">
        <v>20</v>
      </c>
    </row>
    <row r="1509" spans="1:19">
      <c r="A1509" s="6" t="s">
        <v>3119</v>
      </c>
      <c r="B1509" s="7" t="s">
        <v>3120</v>
      </c>
      <c r="C1509" s="8" t="s">
        <v>4127</v>
      </c>
      <c r="D1509" s="8">
        <v>45103</v>
      </c>
      <c r="E1509" s="7">
        <v>6</v>
      </c>
      <c r="F1509" s="7">
        <v>26</v>
      </c>
      <c r="G1509" s="7">
        <v>2023</v>
      </c>
      <c r="H1509" s="8">
        <f t="shared" si="69"/>
        <v>45103</v>
      </c>
      <c r="I1509" s="11">
        <v>45125</v>
      </c>
      <c r="J1509" s="7">
        <f t="shared" si="70"/>
        <v>22</v>
      </c>
      <c r="K1509" s="7" t="s">
        <v>41</v>
      </c>
      <c r="L1509" s="7">
        <v>59053</v>
      </c>
      <c r="M1509" s="7">
        <v>2845</v>
      </c>
      <c r="N1509" s="12">
        <v>4807.18</v>
      </c>
      <c r="O1509" s="12">
        <f t="shared" si="71"/>
        <v>3632.575</v>
      </c>
      <c r="P1509" s="7">
        <v>308</v>
      </c>
      <c r="Q1509" s="7" t="b">
        <v>0</v>
      </c>
      <c r="R1509" s="7"/>
      <c r="S1509" s="15" t="s">
        <v>42</v>
      </c>
    </row>
    <row r="1510" spans="1:19">
      <c r="A1510" s="3" t="s">
        <v>3121</v>
      </c>
      <c r="B1510" s="4" t="s">
        <v>3122</v>
      </c>
      <c r="C1510" s="5" t="s">
        <v>4129</v>
      </c>
      <c r="D1510" s="5">
        <v>45088</v>
      </c>
      <c r="E1510" s="4">
        <v>6</v>
      </c>
      <c r="F1510" s="4">
        <v>11</v>
      </c>
      <c r="G1510" s="4">
        <v>2023</v>
      </c>
      <c r="H1510" s="5">
        <f t="shared" si="69"/>
        <v>45088</v>
      </c>
      <c r="I1510" s="9">
        <v>45266</v>
      </c>
      <c r="J1510" s="4">
        <f t="shared" si="70"/>
        <v>178</v>
      </c>
      <c r="K1510" s="4" t="s">
        <v>19</v>
      </c>
      <c r="L1510" s="4">
        <v>71855</v>
      </c>
      <c r="M1510" s="4">
        <v>2140</v>
      </c>
      <c r="N1510" s="10">
        <v>1777.83</v>
      </c>
      <c r="O1510" s="10">
        <f t="shared" si="71"/>
        <v>1777.83</v>
      </c>
      <c r="P1510" s="4">
        <v>141</v>
      </c>
      <c r="Q1510" s="4" t="b">
        <v>1</v>
      </c>
      <c r="R1510" s="4"/>
      <c r="S1510" s="14" t="s">
        <v>20</v>
      </c>
    </row>
    <row r="1511" spans="1:19">
      <c r="A1511" s="6" t="s">
        <v>3123</v>
      </c>
      <c r="B1511" s="7" t="s">
        <v>3124</v>
      </c>
      <c r="C1511" s="8" t="s">
        <v>4129</v>
      </c>
      <c r="D1511" s="8">
        <v>44998</v>
      </c>
      <c r="E1511" s="7">
        <v>3</v>
      </c>
      <c r="F1511" s="7">
        <v>13</v>
      </c>
      <c r="G1511" s="7">
        <v>2023</v>
      </c>
      <c r="H1511" s="8">
        <f t="shared" si="69"/>
        <v>44998</v>
      </c>
      <c r="I1511" s="11">
        <v>45017</v>
      </c>
      <c r="J1511" s="7">
        <f t="shared" si="70"/>
        <v>19</v>
      </c>
      <c r="K1511" s="7" t="s">
        <v>138</v>
      </c>
      <c r="L1511" s="7">
        <v>16896</v>
      </c>
      <c r="M1511" s="7">
        <v>515</v>
      </c>
      <c r="N1511" s="12">
        <v>401.16</v>
      </c>
      <c r="O1511" s="12">
        <f t="shared" si="71"/>
        <v>401.16</v>
      </c>
      <c r="P1511" s="7">
        <v>77</v>
      </c>
      <c r="Q1511" s="7" t="b">
        <v>1</v>
      </c>
      <c r="R1511" s="7"/>
      <c r="S1511" s="15" t="s">
        <v>139</v>
      </c>
    </row>
    <row r="1512" spans="1:19">
      <c r="A1512" s="3" t="s">
        <v>3125</v>
      </c>
      <c r="B1512" s="4" t="s">
        <v>3126</v>
      </c>
      <c r="C1512" s="5" t="s">
        <v>4131</v>
      </c>
      <c r="D1512" s="5">
        <v>45190</v>
      </c>
      <c r="E1512" s="4">
        <v>9</v>
      </c>
      <c r="F1512" s="4">
        <v>21</v>
      </c>
      <c r="G1512" s="4">
        <v>2023</v>
      </c>
      <c r="H1512" s="5">
        <f t="shared" si="69"/>
        <v>45190</v>
      </c>
      <c r="I1512" s="9">
        <v>45198</v>
      </c>
      <c r="J1512" s="4">
        <f t="shared" si="70"/>
        <v>8</v>
      </c>
      <c r="K1512" s="4" t="s">
        <v>138</v>
      </c>
      <c r="L1512" s="4">
        <v>56761</v>
      </c>
      <c r="M1512" s="4">
        <v>1660</v>
      </c>
      <c r="N1512" s="10">
        <v>3197.54</v>
      </c>
      <c r="O1512" s="10">
        <f t="shared" si="71"/>
        <v>3197.54</v>
      </c>
      <c r="P1512" s="4">
        <v>154</v>
      </c>
      <c r="Q1512" s="4" t="b">
        <v>1</v>
      </c>
      <c r="R1512" s="4"/>
      <c r="S1512" s="14" t="s">
        <v>139</v>
      </c>
    </row>
    <row r="1513" spans="1:19">
      <c r="A1513" s="6" t="s">
        <v>3127</v>
      </c>
      <c r="B1513" s="7" t="s">
        <v>3128</v>
      </c>
      <c r="C1513" s="8" t="s">
        <v>4131</v>
      </c>
      <c r="D1513" s="8">
        <v>45022</v>
      </c>
      <c r="E1513" s="7">
        <v>4</v>
      </c>
      <c r="F1513" s="7">
        <v>6</v>
      </c>
      <c r="G1513" s="7">
        <v>2023</v>
      </c>
      <c r="H1513" s="8">
        <f t="shared" si="69"/>
        <v>45022</v>
      </c>
      <c r="I1513" s="11">
        <v>45043</v>
      </c>
      <c r="J1513" s="7">
        <f t="shared" si="70"/>
        <v>21</v>
      </c>
      <c r="K1513" s="7" t="s">
        <v>33</v>
      </c>
      <c r="L1513" s="7">
        <v>63552</v>
      </c>
      <c r="M1513" s="7">
        <v>2250</v>
      </c>
      <c r="N1513" s="12">
        <v>1833.4</v>
      </c>
      <c r="O1513" s="12">
        <f t="shared" si="71"/>
        <v>1833.4</v>
      </c>
      <c r="P1513" s="7">
        <v>310</v>
      </c>
      <c r="Q1513" s="7" t="b">
        <v>0</v>
      </c>
      <c r="R1513" s="7"/>
      <c r="S1513" s="15" t="s">
        <v>34</v>
      </c>
    </row>
    <row r="1514" spans="1:19">
      <c r="A1514" s="3" t="s">
        <v>3129</v>
      </c>
      <c r="B1514" s="4" t="s">
        <v>3130</v>
      </c>
      <c r="C1514" s="5" t="s">
        <v>4131</v>
      </c>
      <c r="D1514" s="5">
        <v>44987</v>
      </c>
      <c r="E1514" s="4">
        <v>3</v>
      </c>
      <c r="F1514" s="4">
        <v>2</v>
      </c>
      <c r="G1514" s="4">
        <v>2023</v>
      </c>
      <c r="H1514" s="5">
        <f t="shared" si="69"/>
        <v>44987</v>
      </c>
      <c r="I1514" s="9">
        <v>45010</v>
      </c>
      <c r="J1514" s="4">
        <f t="shared" si="70"/>
        <v>23</v>
      </c>
      <c r="K1514" s="4" t="s">
        <v>23</v>
      </c>
      <c r="L1514" s="4">
        <v>78454</v>
      </c>
      <c r="M1514" s="4">
        <v>1069</v>
      </c>
      <c r="N1514" s="10">
        <v>952.88</v>
      </c>
      <c r="O1514" s="10">
        <f t="shared" si="71"/>
        <v>952.88</v>
      </c>
      <c r="P1514" s="4">
        <v>148</v>
      </c>
      <c r="Q1514" s="4" t="b">
        <v>1</v>
      </c>
      <c r="R1514" s="4"/>
      <c r="S1514" s="14" t="s">
        <v>25</v>
      </c>
    </row>
    <row r="1515" spans="1:19">
      <c r="A1515" s="6" t="s">
        <v>3131</v>
      </c>
      <c r="B1515" s="7" t="s">
        <v>3132</v>
      </c>
      <c r="C1515" s="8" t="s">
        <v>4131</v>
      </c>
      <c r="D1515" s="8">
        <v>45096</v>
      </c>
      <c r="E1515" s="7">
        <v>6</v>
      </c>
      <c r="F1515" s="7">
        <v>19</v>
      </c>
      <c r="G1515" s="7">
        <v>2023</v>
      </c>
      <c r="H1515" s="8">
        <f t="shared" si="69"/>
        <v>45096</v>
      </c>
      <c r="I1515" s="11">
        <v>45099</v>
      </c>
      <c r="J1515" s="7">
        <f t="shared" si="70"/>
        <v>3</v>
      </c>
      <c r="K1515" s="7" t="s">
        <v>415</v>
      </c>
      <c r="L1515" s="7">
        <v>91600</v>
      </c>
      <c r="M1515" s="7">
        <v>1035</v>
      </c>
      <c r="N1515" s="12">
        <v>2022.83</v>
      </c>
      <c r="O1515" s="12">
        <f t="shared" si="71"/>
        <v>2022.83</v>
      </c>
      <c r="P1515" s="7">
        <v>163</v>
      </c>
      <c r="Q1515" s="7" t="b">
        <v>0</v>
      </c>
      <c r="R1515" s="7"/>
      <c r="S1515" s="15" t="s">
        <v>34</v>
      </c>
    </row>
    <row r="1516" spans="1:19">
      <c r="A1516" s="3" t="s">
        <v>3133</v>
      </c>
      <c r="B1516" s="4" t="s">
        <v>3134</v>
      </c>
      <c r="C1516" s="5" t="s">
        <v>4127</v>
      </c>
      <c r="D1516" s="5">
        <v>45172</v>
      </c>
      <c r="E1516" s="4">
        <v>9</v>
      </c>
      <c r="F1516" s="4">
        <v>3</v>
      </c>
      <c r="G1516" s="4">
        <v>2023</v>
      </c>
      <c r="H1516" s="5">
        <f t="shared" si="69"/>
        <v>45172</v>
      </c>
      <c r="I1516" s="9">
        <v>45187</v>
      </c>
      <c r="J1516" s="4">
        <f t="shared" si="70"/>
        <v>15</v>
      </c>
      <c r="K1516" s="4" t="s">
        <v>19</v>
      </c>
      <c r="L1516" s="4">
        <v>28935</v>
      </c>
      <c r="M1516" s="4">
        <v>356</v>
      </c>
      <c r="N1516" s="10">
        <v>570.33</v>
      </c>
      <c r="O1516" s="10">
        <f t="shared" si="71"/>
        <v>570.33</v>
      </c>
      <c r="P1516" s="4">
        <v>57</v>
      </c>
      <c r="Q1516" s="4" t="b">
        <v>0</v>
      </c>
      <c r="R1516" s="4"/>
      <c r="S1516" s="14" t="s">
        <v>20</v>
      </c>
    </row>
    <row r="1517" spans="1:19">
      <c r="A1517" s="6" t="s">
        <v>3135</v>
      </c>
      <c r="B1517" s="7" t="s">
        <v>3136</v>
      </c>
      <c r="C1517" s="8" t="s">
        <v>4127</v>
      </c>
      <c r="D1517" s="8">
        <v>45258</v>
      </c>
      <c r="E1517" s="7">
        <v>11</v>
      </c>
      <c r="F1517" s="7">
        <v>28</v>
      </c>
      <c r="G1517" s="7">
        <v>2023</v>
      </c>
      <c r="H1517" s="8">
        <f t="shared" si="69"/>
        <v>45258</v>
      </c>
      <c r="I1517" s="11">
        <v>45281</v>
      </c>
      <c r="J1517" s="7">
        <f t="shared" si="70"/>
        <v>23</v>
      </c>
      <c r="K1517" s="7" t="s">
        <v>14</v>
      </c>
      <c r="L1517" s="7">
        <v>38641</v>
      </c>
      <c r="M1517" s="7">
        <v>1073</v>
      </c>
      <c r="N1517" s="12">
        <v>1662.5</v>
      </c>
      <c r="O1517" s="12">
        <f t="shared" si="71"/>
        <v>1662.5</v>
      </c>
      <c r="P1517" s="7">
        <v>136</v>
      </c>
      <c r="Q1517" s="7" t="b">
        <v>1</v>
      </c>
      <c r="R1517" s="7"/>
      <c r="S1517" s="15" t="s">
        <v>16</v>
      </c>
    </row>
    <row r="1518" spans="1:19">
      <c r="A1518" s="3" t="s">
        <v>3137</v>
      </c>
      <c r="B1518" s="4" t="s">
        <v>3138</v>
      </c>
      <c r="C1518" s="5" t="s">
        <v>4129</v>
      </c>
      <c r="D1518" s="5">
        <v>44949</v>
      </c>
      <c r="E1518" s="4">
        <v>1</v>
      </c>
      <c r="F1518" s="4">
        <v>23</v>
      </c>
      <c r="G1518" s="4">
        <v>2023</v>
      </c>
      <c r="H1518" s="5">
        <f t="shared" si="69"/>
        <v>44949</v>
      </c>
      <c r="I1518" s="9">
        <v>44975</v>
      </c>
      <c r="J1518" s="4">
        <f t="shared" si="70"/>
        <v>26</v>
      </c>
      <c r="K1518" s="4" t="s">
        <v>23</v>
      </c>
      <c r="L1518" s="4">
        <v>30711</v>
      </c>
      <c r="M1518" s="4">
        <v>645</v>
      </c>
      <c r="N1518" s="10">
        <v>1147.71</v>
      </c>
      <c r="O1518" s="10">
        <f t="shared" si="71"/>
        <v>1147.71</v>
      </c>
      <c r="P1518" s="4">
        <v>64</v>
      </c>
      <c r="Q1518" s="4" t="b">
        <v>0</v>
      </c>
      <c r="R1518" s="4"/>
      <c r="S1518" s="14" t="s">
        <v>25</v>
      </c>
    </row>
    <row r="1519" spans="1:19">
      <c r="A1519" s="6" t="s">
        <v>3139</v>
      </c>
      <c r="B1519" s="7" t="s">
        <v>3140</v>
      </c>
      <c r="C1519" s="8" t="s">
        <v>4129</v>
      </c>
      <c r="D1519" s="8">
        <v>44995</v>
      </c>
      <c r="E1519" s="7">
        <v>3</v>
      </c>
      <c r="F1519" s="7">
        <v>10</v>
      </c>
      <c r="G1519" s="7">
        <v>2023</v>
      </c>
      <c r="H1519" s="8">
        <f t="shared" si="69"/>
        <v>44995</v>
      </c>
      <c r="I1519" s="11">
        <v>45203</v>
      </c>
      <c r="J1519" s="7">
        <f t="shared" si="70"/>
        <v>208</v>
      </c>
      <c r="K1519" s="7" t="s">
        <v>19</v>
      </c>
      <c r="L1519" s="7">
        <v>71342</v>
      </c>
      <c r="M1519" s="7">
        <v>2488</v>
      </c>
      <c r="N1519" s="12">
        <v>1676.25</v>
      </c>
      <c r="O1519" s="12">
        <f t="shared" si="71"/>
        <v>1676.25</v>
      </c>
      <c r="P1519" s="7">
        <v>436</v>
      </c>
      <c r="Q1519" s="7" t="b">
        <v>1</v>
      </c>
      <c r="R1519" s="7"/>
      <c r="S1519" s="15" t="s">
        <v>20</v>
      </c>
    </row>
    <row r="1520" spans="1:19">
      <c r="A1520" s="3" t="s">
        <v>3141</v>
      </c>
      <c r="B1520" s="4" t="s">
        <v>3142</v>
      </c>
      <c r="C1520" s="5" t="s">
        <v>4129</v>
      </c>
      <c r="D1520" s="5">
        <v>45220</v>
      </c>
      <c r="E1520" s="4">
        <v>10</v>
      </c>
      <c r="F1520" s="4">
        <v>21</v>
      </c>
      <c r="G1520" s="4">
        <v>2023</v>
      </c>
      <c r="H1520" s="5">
        <f t="shared" si="69"/>
        <v>45220</v>
      </c>
      <c r="I1520" s="9">
        <v>45233</v>
      </c>
      <c r="J1520" s="4">
        <f t="shared" si="70"/>
        <v>13</v>
      </c>
      <c r="K1520" s="4" t="s">
        <v>138</v>
      </c>
      <c r="L1520" s="4">
        <v>13182</v>
      </c>
      <c r="M1520" s="4">
        <v>655</v>
      </c>
      <c r="N1520" s="10">
        <v>1021.1</v>
      </c>
      <c r="O1520" s="10">
        <f t="shared" si="71"/>
        <v>1021.1</v>
      </c>
      <c r="P1520" s="4">
        <v>63</v>
      </c>
      <c r="Q1520" s="4" t="b">
        <v>0</v>
      </c>
      <c r="R1520" s="4"/>
      <c r="S1520" s="14" t="s">
        <v>139</v>
      </c>
    </row>
    <row r="1521" spans="1:19">
      <c r="A1521" s="6" t="s">
        <v>3143</v>
      </c>
      <c r="B1521" s="7" t="s">
        <v>3144</v>
      </c>
      <c r="C1521" s="8" t="s">
        <v>4128</v>
      </c>
      <c r="D1521" s="8">
        <v>45019</v>
      </c>
      <c r="E1521" s="7">
        <v>4</v>
      </c>
      <c r="F1521" s="7">
        <v>3</v>
      </c>
      <c r="G1521" s="7">
        <v>2023</v>
      </c>
      <c r="H1521" s="8">
        <f t="shared" si="69"/>
        <v>45019</v>
      </c>
      <c r="I1521" s="11">
        <v>45038</v>
      </c>
      <c r="J1521" s="7">
        <f t="shared" si="70"/>
        <v>19</v>
      </c>
      <c r="K1521" s="7" t="s">
        <v>33</v>
      </c>
      <c r="L1521" s="7">
        <v>88833</v>
      </c>
      <c r="M1521" s="7">
        <v>2261</v>
      </c>
      <c r="N1521" s="12">
        <v>2838.76</v>
      </c>
      <c r="O1521" s="12">
        <f t="shared" si="71"/>
        <v>2838.76</v>
      </c>
      <c r="P1521" s="7">
        <v>285</v>
      </c>
      <c r="Q1521" s="7" t="b">
        <v>1</v>
      </c>
      <c r="R1521" s="7"/>
      <c r="S1521" s="15" t="s">
        <v>34</v>
      </c>
    </row>
    <row r="1522" spans="1:19">
      <c r="A1522" s="3" t="s">
        <v>3145</v>
      </c>
      <c r="B1522" s="4" t="s">
        <v>3146</v>
      </c>
      <c r="C1522" s="5" t="s">
        <v>4127</v>
      </c>
      <c r="D1522" s="5">
        <v>45215</v>
      </c>
      <c r="E1522" s="4">
        <v>10</v>
      </c>
      <c r="F1522" s="4">
        <v>16</v>
      </c>
      <c r="G1522" s="4">
        <v>2023</v>
      </c>
      <c r="H1522" s="5">
        <f t="shared" si="69"/>
        <v>45215</v>
      </c>
      <c r="I1522" s="9">
        <v>45227</v>
      </c>
      <c r="J1522" s="4">
        <f t="shared" si="70"/>
        <v>12</v>
      </c>
      <c r="K1522" s="4" t="s">
        <v>41</v>
      </c>
      <c r="L1522" s="4">
        <v>57276</v>
      </c>
      <c r="M1522" s="4">
        <v>1887</v>
      </c>
      <c r="N1522" s="10">
        <v>3290.41</v>
      </c>
      <c r="O1522" s="10">
        <f t="shared" si="71"/>
        <v>3290.41</v>
      </c>
      <c r="P1522" s="4">
        <v>207</v>
      </c>
      <c r="Q1522" s="4" t="b">
        <v>0</v>
      </c>
      <c r="R1522" s="4"/>
      <c r="S1522" s="14" t="s">
        <v>42</v>
      </c>
    </row>
    <row r="1523" spans="1:19">
      <c r="A1523" s="6" t="s">
        <v>3147</v>
      </c>
      <c r="B1523" s="7" t="s">
        <v>3148</v>
      </c>
      <c r="C1523" s="8" t="s">
        <v>4128</v>
      </c>
      <c r="D1523" s="8">
        <v>45265</v>
      </c>
      <c r="E1523" s="7">
        <v>12</v>
      </c>
      <c r="F1523" s="7">
        <v>5</v>
      </c>
      <c r="G1523" s="7">
        <v>2023</v>
      </c>
      <c r="H1523" s="8">
        <f t="shared" si="69"/>
        <v>45265</v>
      </c>
      <c r="I1523" s="11">
        <v>45277</v>
      </c>
      <c r="J1523" s="7">
        <f t="shared" si="70"/>
        <v>12</v>
      </c>
      <c r="K1523" s="7" t="s">
        <v>23</v>
      </c>
      <c r="L1523" s="7">
        <v>20541</v>
      </c>
      <c r="M1523" s="7">
        <v>546</v>
      </c>
      <c r="N1523" s="12">
        <v>689.17</v>
      </c>
      <c r="O1523" s="12">
        <f t="shared" si="71"/>
        <v>689.17</v>
      </c>
      <c r="P1523" s="7">
        <v>97</v>
      </c>
      <c r="Q1523" s="7" t="b">
        <v>0</v>
      </c>
      <c r="R1523" s="7"/>
      <c r="S1523" s="15" t="s">
        <v>25</v>
      </c>
    </row>
    <row r="1524" spans="1:19">
      <c r="A1524" s="3" t="s">
        <v>3149</v>
      </c>
      <c r="B1524" s="4" t="s">
        <v>3150</v>
      </c>
      <c r="C1524" s="5" t="s">
        <v>4129</v>
      </c>
      <c r="D1524" s="5">
        <v>45037</v>
      </c>
      <c r="E1524" s="4">
        <v>4</v>
      </c>
      <c r="F1524" s="4">
        <v>21</v>
      </c>
      <c r="G1524" s="4">
        <v>2023</v>
      </c>
      <c r="H1524" s="5">
        <f t="shared" si="69"/>
        <v>45037</v>
      </c>
      <c r="I1524" s="9">
        <v>45050</v>
      </c>
      <c r="J1524" s="4">
        <f t="shared" si="70"/>
        <v>13</v>
      </c>
      <c r="K1524" s="4" t="s">
        <v>14</v>
      </c>
      <c r="L1524" s="4">
        <v>95457</v>
      </c>
      <c r="M1524" s="4">
        <v>4189</v>
      </c>
      <c r="N1524" s="10">
        <v>5991.79</v>
      </c>
      <c r="O1524" s="10">
        <f t="shared" si="71"/>
        <v>3632.575</v>
      </c>
      <c r="P1524" s="4">
        <v>480</v>
      </c>
      <c r="Q1524" s="4" t="b">
        <v>0</v>
      </c>
      <c r="R1524" s="4"/>
      <c r="S1524" s="14" t="s">
        <v>16</v>
      </c>
    </row>
    <row r="1525" spans="1:19">
      <c r="A1525" s="6" t="s">
        <v>3151</v>
      </c>
      <c r="B1525" s="7" t="s">
        <v>3152</v>
      </c>
      <c r="C1525" s="8" t="s">
        <v>4128</v>
      </c>
      <c r="D1525" s="8">
        <v>45173</v>
      </c>
      <c r="E1525" s="7">
        <v>9</v>
      </c>
      <c r="F1525" s="7">
        <v>4</v>
      </c>
      <c r="G1525" s="7">
        <v>2023</v>
      </c>
      <c r="H1525" s="8">
        <f t="shared" si="69"/>
        <v>45173</v>
      </c>
      <c r="I1525" s="11">
        <v>45174</v>
      </c>
      <c r="J1525" s="7">
        <f t="shared" si="70"/>
        <v>1</v>
      </c>
      <c r="K1525" s="7" t="s">
        <v>14</v>
      </c>
      <c r="L1525" s="7">
        <v>83310</v>
      </c>
      <c r="M1525" s="7">
        <v>3839</v>
      </c>
      <c r="N1525" s="12">
        <v>4670.58</v>
      </c>
      <c r="O1525" s="12">
        <f t="shared" si="71"/>
        <v>3632.575</v>
      </c>
      <c r="P1525" s="7">
        <v>414</v>
      </c>
      <c r="Q1525" s="7" t="b">
        <v>1</v>
      </c>
      <c r="R1525" s="7"/>
      <c r="S1525" s="15" t="s">
        <v>16</v>
      </c>
    </row>
    <row r="1526" spans="1:19">
      <c r="A1526" s="3" t="s">
        <v>3153</v>
      </c>
      <c r="B1526" s="4" t="s">
        <v>3154</v>
      </c>
      <c r="C1526" s="5" t="s">
        <v>4128</v>
      </c>
      <c r="D1526" s="5">
        <v>45234</v>
      </c>
      <c r="E1526" s="4">
        <v>11</v>
      </c>
      <c r="F1526" s="4">
        <v>4</v>
      </c>
      <c r="G1526" s="4">
        <v>2023</v>
      </c>
      <c r="H1526" s="5">
        <f t="shared" si="69"/>
        <v>45234</v>
      </c>
      <c r="I1526" s="9">
        <v>45250</v>
      </c>
      <c r="J1526" s="4">
        <f t="shared" si="70"/>
        <v>16</v>
      </c>
      <c r="K1526" s="4" t="s">
        <v>19</v>
      </c>
      <c r="L1526" s="4">
        <v>45813</v>
      </c>
      <c r="M1526" s="4">
        <v>2065</v>
      </c>
      <c r="N1526" s="10">
        <v>2513.6</v>
      </c>
      <c r="O1526" s="10">
        <f t="shared" si="71"/>
        <v>2513.6</v>
      </c>
      <c r="P1526" s="4">
        <v>316</v>
      </c>
      <c r="Q1526" s="4" t="b">
        <v>0</v>
      </c>
      <c r="R1526" s="4"/>
      <c r="S1526" s="14" t="s">
        <v>20</v>
      </c>
    </row>
    <row r="1527" spans="1:19">
      <c r="A1527" s="6" t="s">
        <v>3155</v>
      </c>
      <c r="B1527" s="7" t="s">
        <v>3156</v>
      </c>
      <c r="C1527" s="8" t="s">
        <v>4128</v>
      </c>
      <c r="D1527" s="8">
        <v>45020</v>
      </c>
      <c r="E1527" s="7">
        <v>4</v>
      </c>
      <c r="F1527" s="7">
        <v>4</v>
      </c>
      <c r="G1527" s="7">
        <v>2023</v>
      </c>
      <c r="H1527" s="8">
        <f t="shared" si="69"/>
        <v>45020</v>
      </c>
      <c r="I1527" s="11">
        <v>45034</v>
      </c>
      <c r="J1527" s="7">
        <f t="shared" si="70"/>
        <v>14</v>
      </c>
      <c r="K1527" s="7" t="s">
        <v>23</v>
      </c>
      <c r="L1527" s="7">
        <v>38198</v>
      </c>
      <c r="M1527" s="7">
        <v>1870</v>
      </c>
      <c r="N1527" s="12">
        <v>3089.16</v>
      </c>
      <c r="O1527" s="12">
        <f t="shared" si="71"/>
        <v>3089.16</v>
      </c>
      <c r="P1527" s="7">
        <v>262</v>
      </c>
      <c r="Q1527" s="7" t="b">
        <v>1</v>
      </c>
      <c r="R1527" s="7"/>
      <c r="S1527" s="15" t="s">
        <v>25</v>
      </c>
    </row>
    <row r="1528" spans="1:19">
      <c r="A1528" s="3" t="s">
        <v>3157</v>
      </c>
      <c r="B1528" s="4" t="s">
        <v>3158</v>
      </c>
      <c r="C1528" s="5" t="s">
        <v>4131</v>
      </c>
      <c r="D1528" s="5">
        <v>45012</v>
      </c>
      <c r="E1528" s="4">
        <v>3</v>
      </c>
      <c r="F1528" s="4">
        <v>27</v>
      </c>
      <c r="G1528" s="4">
        <v>2023</v>
      </c>
      <c r="H1528" s="5">
        <f t="shared" si="69"/>
        <v>45012</v>
      </c>
      <c r="I1528" s="9">
        <v>45036</v>
      </c>
      <c r="J1528" s="4">
        <f t="shared" si="70"/>
        <v>24</v>
      </c>
      <c r="K1528" s="4" t="s">
        <v>41</v>
      </c>
      <c r="L1528" s="4">
        <v>9820</v>
      </c>
      <c r="M1528" s="4">
        <v>109</v>
      </c>
      <c r="N1528" s="10">
        <v>157.27</v>
      </c>
      <c r="O1528" s="10">
        <f t="shared" si="71"/>
        <v>157.27</v>
      </c>
      <c r="P1528" s="4">
        <v>7</v>
      </c>
      <c r="Q1528" s="4" t="b">
        <v>1</v>
      </c>
      <c r="R1528" s="4"/>
      <c r="S1528" s="14" t="s">
        <v>42</v>
      </c>
    </row>
    <row r="1529" spans="1:19">
      <c r="A1529" s="6" t="s">
        <v>3159</v>
      </c>
      <c r="B1529" s="7" t="s">
        <v>3160</v>
      </c>
      <c r="C1529" s="8" t="s">
        <v>4131</v>
      </c>
      <c r="D1529" s="8">
        <v>45159</v>
      </c>
      <c r="E1529" s="7">
        <v>8</v>
      </c>
      <c r="F1529" s="7">
        <v>21</v>
      </c>
      <c r="G1529" s="7">
        <v>2023</v>
      </c>
      <c r="H1529" s="8">
        <f t="shared" si="69"/>
        <v>45159</v>
      </c>
      <c r="I1529" s="11">
        <v>45174</v>
      </c>
      <c r="J1529" s="7">
        <f t="shared" si="70"/>
        <v>15</v>
      </c>
      <c r="K1529" s="7" t="s">
        <v>41</v>
      </c>
      <c r="L1529" s="7">
        <v>25070</v>
      </c>
      <c r="M1529" s="7">
        <v>1092</v>
      </c>
      <c r="N1529" s="12">
        <v>1583.29</v>
      </c>
      <c r="O1529" s="12">
        <f t="shared" si="71"/>
        <v>1583.29</v>
      </c>
      <c r="P1529" s="7">
        <v>137</v>
      </c>
      <c r="Q1529" s="7" t="b">
        <v>1</v>
      </c>
      <c r="R1529" s="7"/>
      <c r="S1529" s="15" t="s">
        <v>42</v>
      </c>
    </row>
    <row r="1530" spans="1:19">
      <c r="A1530" s="3" t="s">
        <v>3161</v>
      </c>
      <c r="B1530" s="4" t="s">
        <v>3162</v>
      </c>
      <c r="C1530" s="5" t="s">
        <v>4131</v>
      </c>
      <c r="D1530" s="5">
        <v>45120</v>
      </c>
      <c r="E1530" s="4">
        <v>7</v>
      </c>
      <c r="F1530" s="4">
        <v>13</v>
      </c>
      <c r="G1530" s="4">
        <v>2023</v>
      </c>
      <c r="H1530" s="5">
        <f t="shared" si="69"/>
        <v>45120</v>
      </c>
      <c r="I1530" s="9">
        <v>45150</v>
      </c>
      <c r="J1530" s="4">
        <f t="shared" si="70"/>
        <v>30</v>
      </c>
      <c r="K1530" s="4" t="s">
        <v>14</v>
      </c>
      <c r="L1530" s="4">
        <v>70768</v>
      </c>
      <c r="M1530" s="4">
        <v>2835</v>
      </c>
      <c r="N1530" s="10">
        <v>3332.33</v>
      </c>
      <c r="O1530" s="10">
        <f t="shared" si="71"/>
        <v>3332.33</v>
      </c>
      <c r="P1530" s="4">
        <v>454</v>
      </c>
      <c r="Q1530" s="4" t="b">
        <v>0</v>
      </c>
      <c r="R1530" s="4"/>
      <c r="S1530" s="14" t="s">
        <v>16</v>
      </c>
    </row>
    <row r="1531" spans="1:19">
      <c r="A1531" s="6" t="s">
        <v>3163</v>
      </c>
      <c r="B1531" s="7" t="s">
        <v>3164</v>
      </c>
      <c r="C1531" s="8" t="s">
        <v>4128</v>
      </c>
      <c r="D1531" s="8">
        <v>45030</v>
      </c>
      <c r="E1531" s="7">
        <v>4</v>
      </c>
      <c r="F1531" s="7">
        <v>14</v>
      </c>
      <c r="G1531" s="7">
        <v>2023</v>
      </c>
      <c r="H1531" s="8">
        <f t="shared" si="69"/>
        <v>45030</v>
      </c>
      <c r="I1531" s="11">
        <v>45044</v>
      </c>
      <c r="J1531" s="7">
        <f t="shared" si="70"/>
        <v>14</v>
      </c>
      <c r="K1531" s="7" t="s">
        <v>19</v>
      </c>
      <c r="L1531" s="7">
        <v>12122</v>
      </c>
      <c r="M1531" s="7">
        <v>232</v>
      </c>
      <c r="N1531" s="12">
        <v>300.83</v>
      </c>
      <c r="O1531" s="12">
        <f t="shared" si="71"/>
        <v>300.83</v>
      </c>
      <c r="P1531" s="7">
        <v>46</v>
      </c>
      <c r="Q1531" s="7" t="b">
        <v>1</v>
      </c>
      <c r="R1531" s="7"/>
      <c r="S1531" s="15" t="s">
        <v>20</v>
      </c>
    </row>
    <row r="1532" spans="1:19">
      <c r="A1532" s="3" t="s">
        <v>3165</v>
      </c>
      <c r="B1532" s="4" t="s">
        <v>3166</v>
      </c>
      <c r="C1532" s="5" t="s">
        <v>4127</v>
      </c>
      <c r="D1532" s="5">
        <v>45277</v>
      </c>
      <c r="E1532" s="4">
        <v>12</v>
      </c>
      <c r="F1532" s="4">
        <v>17</v>
      </c>
      <c r="G1532" s="4">
        <v>2023</v>
      </c>
      <c r="H1532" s="5">
        <f t="shared" si="69"/>
        <v>45277</v>
      </c>
      <c r="I1532" s="9">
        <v>45280</v>
      </c>
      <c r="J1532" s="4">
        <f t="shared" si="70"/>
        <v>3</v>
      </c>
      <c r="K1532" s="4" t="s">
        <v>234</v>
      </c>
      <c r="L1532" s="4">
        <v>81559</v>
      </c>
      <c r="M1532" s="4">
        <v>3935</v>
      </c>
      <c r="N1532" s="10">
        <v>6369.1</v>
      </c>
      <c r="O1532" s="10">
        <f t="shared" si="71"/>
        <v>3632.575</v>
      </c>
      <c r="P1532" s="4">
        <v>568</v>
      </c>
      <c r="Q1532" s="4" t="b">
        <v>1</v>
      </c>
      <c r="R1532" s="4"/>
      <c r="S1532" s="14" t="s">
        <v>16</v>
      </c>
    </row>
    <row r="1533" spans="1:19">
      <c r="A1533" s="6" t="s">
        <v>3167</v>
      </c>
      <c r="B1533" s="7" t="s">
        <v>3168</v>
      </c>
      <c r="C1533" s="8" t="s">
        <v>4131</v>
      </c>
      <c r="D1533" s="8">
        <v>44976</v>
      </c>
      <c r="E1533" s="7">
        <v>2</v>
      </c>
      <c r="F1533" s="7">
        <v>19</v>
      </c>
      <c r="G1533" s="7">
        <v>2023</v>
      </c>
      <c r="H1533" s="8">
        <f t="shared" si="69"/>
        <v>44976</v>
      </c>
      <c r="I1533" s="11">
        <v>44990</v>
      </c>
      <c r="J1533" s="7">
        <f t="shared" si="70"/>
        <v>14</v>
      </c>
      <c r="K1533" s="7" t="s">
        <v>19</v>
      </c>
      <c r="L1533" s="7">
        <v>74543</v>
      </c>
      <c r="M1533" s="7">
        <v>1187</v>
      </c>
      <c r="N1533" s="12">
        <v>2064.09</v>
      </c>
      <c r="O1533" s="12">
        <f t="shared" si="71"/>
        <v>2064.09</v>
      </c>
      <c r="P1533" s="7">
        <v>125</v>
      </c>
      <c r="Q1533" s="7" t="b">
        <v>1</v>
      </c>
      <c r="R1533" s="7"/>
      <c r="S1533" s="15" t="s">
        <v>20</v>
      </c>
    </row>
    <row r="1534" spans="1:19">
      <c r="A1534" s="3" t="s">
        <v>3169</v>
      </c>
      <c r="B1534" s="4" t="s">
        <v>3170</v>
      </c>
      <c r="C1534" s="5" t="s">
        <v>4131</v>
      </c>
      <c r="D1534" s="5">
        <v>45027</v>
      </c>
      <c r="E1534" s="4">
        <v>4</v>
      </c>
      <c r="F1534" s="4">
        <v>11</v>
      </c>
      <c r="G1534" s="4">
        <v>2023</v>
      </c>
      <c r="H1534" s="5">
        <f t="shared" si="69"/>
        <v>45027</v>
      </c>
      <c r="I1534" s="9">
        <v>45243</v>
      </c>
      <c r="J1534" s="4">
        <f t="shared" si="70"/>
        <v>216</v>
      </c>
      <c r="K1534" s="4" t="s">
        <v>14</v>
      </c>
      <c r="L1534" s="4">
        <v>84441</v>
      </c>
      <c r="M1534" s="4">
        <v>3139</v>
      </c>
      <c r="N1534" s="10">
        <v>4849.26</v>
      </c>
      <c r="O1534" s="10">
        <f t="shared" si="71"/>
        <v>3632.575</v>
      </c>
      <c r="P1534" s="4">
        <v>263</v>
      </c>
      <c r="Q1534" s="4" t="b">
        <v>0</v>
      </c>
      <c r="R1534" s="4"/>
      <c r="S1534" s="14" t="s">
        <v>16</v>
      </c>
    </row>
    <row r="1535" spans="1:19">
      <c r="A1535" s="6" t="s">
        <v>3171</v>
      </c>
      <c r="B1535" s="7" t="s">
        <v>3172</v>
      </c>
      <c r="C1535" s="8" t="s">
        <v>4127</v>
      </c>
      <c r="D1535" s="8">
        <v>45199</v>
      </c>
      <c r="E1535" s="7">
        <v>9</v>
      </c>
      <c r="F1535" s="7">
        <v>30</v>
      </c>
      <c r="G1535" s="7">
        <v>2023</v>
      </c>
      <c r="H1535" s="8">
        <f t="shared" si="69"/>
        <v>45199</v>
      </c>
      <c r="I1535" s="11">
        <v>45211</v>
      </c>
      <c r="J1535" s="7">
        <f t="shared" si="70"/>
        <v>12</v>
      </c>
      <c r="K1535" s="7" t="s">
        <v>41</v>
      </c>
      <c r="L1535" s="7">
        <v>42786</v>
      </c>
      <c r="M1535" s="7">
        <v>812</v>
      </c>
      <c r="N1535" s="12">
        <v>1531.52</v>
      </c>
      <c r="O1535" s="12">
        <f t="shared" si="71"/>
        <v>1531.52</v>
      </c>
      <c r="P1535" s="7">
        <v>146</v>
      </c>
      <c r="Q1535" s="7" t="b">
        <v>1</v>
      </c>
      <c r="R1535" s="7">
        <v>42843</v>
      </c>
      <c r="S1535" s="15" t="s">
        <v>42</v>
      </c>
    </row>
    <row r="1536" spans="1:19">
      <c r="A1536" s="3" t="s">
        <v>3173</v>
      </c>
      <c r="B1536" s="4" t="s">
        <v>3174</v>
      </c>
      <c r="C1536" s="5" t="s">
        <v>4127</v>
      </c>
      <c r="D1536" s="5">
        <v>45173</v>
      </c>
      <c r="E1536" s="4">
        <v>9</v>
      </c>
      <c r="F1536" s="4">
        <v>4</v>
      </c>
      <c r="G1536" s="4">
        <v>2023</v>
      </c>
      <c r="H1536" s="5">
        <f t="shared" si="69"/>
        <v>45173</v>
      </c>
      <c r="I1536" s="9">
        <v>45181</v>
      </c>
      <c r="J1536" s="4">
        <f t="shared" si="70"/>
        <v>8</v>
      </c>
      <c r="K1536" s="4" t="s">
        <v>33</v>
      </c>
      <c r="L1536" s="4">
        <v>95934</v>
      </c>
      <c r="M1536" s="4">
        <v>2614</v>
      </c>
      <c r="N1536" s="10">
        <v>4523.49</v>
      </c>
      <c r="O1536" s="10">
        <f t="shared" si="71"/>
        <v>3632.575</v>
      </c>
      <c r="P1536" s="4">
        <v>450</v>
      </c>
      <c r="Q1536" s="4" t="b">
        <v>1</v>
      </c>
      <c r="R1536" s="4"/>
      <c r="S1536" s="14" t="s">
        <v>34</v>
      </c>
    </row>
    <row r="1537" spans="1:19">
      <c r="A1537" s="6" t="s">
        <v>3175</v>
      </c>
      <c r="B1537" s="7" t="s">
        <v>3176</v>
      </c>
      <c r="C1537" s="8" t="s">
        <v>4128</v>
      </c>
      <c r="D1537" s="8">
        <v>45203</v>
      </c>
      <c r="E1537" s="7">
        <v>10</v>
      </c>
      <c r="F1537" s="7">
        <v>4</v>
      </c>
      <c r="G1537" s="7">
        <v>2023</v>
      </c>
      <c r="H1537" s="8">
        <f t="shared" si="69"/>
        <v>45203</v>
      </c>
      <c r="I1537" s="11">
        <v>45212</v>
      </c>
      <c r="J1537" s="7">
        <f t="shared" si="70"/>
        <v>9</v>
      </c>
      <c r="K1537" s="7" t="s">
        <v>33</v>
      </c>
      <c r="L1537" s="7">
        <v>7737</v>
      </c>
      <c r="M1537" s="7">
        <v>299</v>
      </c>
      <c r="N1537" s="12">
        <v>401.5</v>
      </c>
      <c r="O1537" s="12">
        <f t="shared" si="71"/>
        <v>401.5</v>
      </c>
      <c r="P1537" s="7">
        <v>25</v>
      </c>
      <c r="Q1537" s="7" t="b">
        <v>0</v>
      </c>
      <c r="R1537" s="7"/>
      <c r="S1537" s="15" t="s">
        <v>34</v>
      </c>
    </row>
    <row r="1538" spans="1:19">
      <c r="A1538" s="3" t="s">
        <v>3177</v>
      </c>
      <c r="B1538" s="4" t="s">
        <v>3178</v>
      </c>
      <c r="C1538" s="5" t="s">
        <v>4127</v>
      </c>
      <c r="D1538" s="5">
        <v>45274</v>
      </c>
      <c r="E1538" s="4">
        <v>12</v>
      </c>
      <c r="F1538" s="4">
        <v>14</v>
      </c>
      <c r="G1538" s="4">
        <v>2023</v>
      </c>
      <c r="H1538" s="5">
        <f t="shared" ref="H1538:H1601" si="72">IF(E1538&gt;12,DATE(G1538,F1538,E1538),D1538)</f>
        <v>45274</v>
      </c>
      <c r="I1538" s="9">
        <v>45286</v>
      </c>
      <c r="J1538" s="4">
        <f t="shared" ref="J1538:J1601" si="73">DATEDIF(H1538,I1538,"D")</f>
        <v>12</v>
      </c>
      <c r="K1538" s="4" t="s">
        <v>33</v>
      </c>
      <c r="L1538" s="4">
        <v>37062</v>
      </c>
      <c r="M1538" s="4">
        <v>1205</v>
      </c>
      <c r="N1538" s="10">
        <v>1816.07</v>
      </c>
      <c r="O1538" s="10">
        <f t="shared" si="71"/>
        <v>1816.07</v>
      </c>
      <c r="P1538" s="4">
        <v>96</v>
      </c>
      <c r="Q1538" s="4" t="b">
        <v>1</v>
      </c>
      <c r="R1538" s="4"/>
      <c r="S1538" s="14" t="s">
        <v>34</v>
      </c>
    </row>
    <row r="1539" spans="1:19">
      <c r="A1539" s="6" t="s">
        <v>3179</v>
      </c>
      <c r="B1539" s="7" t="s">
        <v>3180</v>
      </c>
      <c r="C1539" s="8" t="s">
        <v>4129</v>
      </c>
      <c r="D1539" s="8">
        <v>45116</v>
      </c>
      <c r="E1539" s="7">
        <v>7</v>
      </c>
      <c r="F1539" s="7">
        <v>9</v>
      </c>
      <c r="G1539" s="7">
        <v>2023</v>
      </c>
      <c r="H1539" s="8">
        <f t="shared" si="72"/>
        <v>45116</v>
      </c>
      <c r="I1539" s="11">
        <v>45146</v>
      </c>
      <c r="J1539" s="7">
        <f t="shared" si="73"/>
        <v>30</v>
      </c>
      <c r="K1539" s="7" t="s">
        <v>23</v>
      </c>
      <c r="L1539" s="7">
        <v>55237</v>
      </c>
      <c r="M1539" s="7">
        <v>1496</v>
      </c>
      <c r="N1539" s="12">
        <v>2826.64</v>
      </c>
      <c r="O1539" s="12">
        <f t="shared" ref="O1539:O1602" si="74">IF(N1539&lt;$V$6,$V$6,IF(N1539&gt;$V$7,$V$7,N1539))</f>
        <v>2826.64</v>
      </c>
      <c r="P1539" s="7">
        <v>235</v>
      </c>
      <c r="Q1539" s="7" t="b">
        <v>0</v>
      </c>
      <c r="R1539" s="7"/>
      <c r="S1539" s="15" t="s">
        <v>25</v>
      </c>
    </row>
    <row r="1540" spans="1:19">
      <c r="A1540" s="3" t="s">
        <v>3181</v>
      </c>
      <c r="B1540" s="4" t="s">
        <v>3182</v>
      </c>
      <c r="C1540" s="5" t="s">
        <v>4131</v>
      </c>
      <c r="D1540" s="5">
        <v>45146</v>
      </c>
      <c r="E1540" s="4">
        <v>8</v>
      </c>
      <c r="F1540" s="4">
        <v>8</v>
      </c>
      <c r="G1540" s="4">
        <v>2023</v>
      </c>
      <c r="H1540" s="5">
        <f t="shared" si="72"/>
        <v>45146</v>
      </c>
      <c r="I1540" s="9">
        <v>45155</v>
      </c>
      <c r="J1540" s="4">
        <f t="shared" si="73"/>
        <v>9</v>
      </c>
      <c r="K1540" s="4" t="s">
        <v>14</v>
      </c>
      <c r="L1540" s="4">
        <v>52571</v>
      </c>
      <c r="M1540" s="4">
        <v>1211</v>
      </c>
      <c r="N1540" s="10">
        <v>1730.22</v>
      </c>
      <c r="O1540" s="10">
        <f t="shared" si="74"/>
        <v>1730.22</v>
      </c>
      <c r="P1540" s="4">
        <v>117</v>
      </c>
      <c r="Q1540" s="4" t="b">
        <v>0</v>
      </c>
      <c r="R1540" s="4"/>
      <c r="S1540" s="14" t="s">
        <v>16</v>
      </c>
    </row>
    <row r="1541" spans="1:19">
      <c r="A1541" s="6" t="s">
        <v>3183</v>
      </c>
      <c r="B1541" s="7" t="s">
        <v>3184</v>
      </c>
      <c r="C1541" s="8" t="s">
        <v>4128</v>
      </c>
      <c r="D1541" s="8">
        <v>45122</v>
      </c>
      <c r="E1541" s="7">
        <v>7</v>
      </c>
      <c r="F1541" s="7">
        <v>15</v>
      </c>
      <c r="G1541" s="7">
        <v>2023</v>
      </c>
      <c r="H1541" s="8">
        <f t="shared" si="72"/>
        <v>45122</v>
      </c>
      <c r="I1541" s="11">
        <v>45138</v>
      </c>
      <c r="J1541" s="7">
        <f t="shared" si="73"/>
        <v>16</v>
      </c>
      <c r="K1541" s="7" t="s">
        <v>33</v>
      </c>
      <c r="L1541" s="7">
        <v>26510</v>
      </c>
      <c r="M1541" s="7">
        <v>1155</v>
      </c>
      <c r="N1541" s="12">
        <v>2006.48</v>
      </c>
      <c r="O1541" s="12">
        <f t="shared" si="74"/>
        <v>2006.48</v>
      </c>
      <c r="P1541" s="7">
        <v>110</v>
      </c>
      <c r="Q1541" s="7" t="b">
        <v>1</v>
      </c>
      <c r="R1541" s="7"/>
      <c r="S1541" s="15" t="s">
        <v>34</v>
      </c>
    </row>
    <row r="1542" spans="1:19">
      <c r="A1542" s="3" t="s">
        <v>3185</v>
      </c>
      <c r="B1542" s="4" t="s">
        <v>3186</v>
      </c>
      <c r="C1542" s="5" t="s">
        <v>4129</v>
      </c>
      <c r="D1542" s="5">
        <v>45283</v>
      </c>
      <c r="E1542" s="4">
        <v>12</v>
      </c>
      <c r="F1542" s="4">
        <v>23</v>
      </c>
      <c r="G1542" s="4">
        <v>2023</v>
      </c>
      <c r="H1542" s="5">
        <f t="shared" si="72"/>
        <v>45283</v>
      </c>
      <c r="I1542" s="9">
        <v>45289</v>
      </c>
      <c r="J1542" s="4">
        <f t="shared" si="73"/>
        <v>6</v>
      </c>
      <c r="K1542" s="4" t="s">
        <v>19</v>
      </c>
      <c r="L1542" s="4">
        <v>20426</v>
      </c>
      <c r="M1542" s="4">
        <v>321</v>
      </c>
      <c r="N1542" s="10">
        <v>492.16</v>
      </c>
      <c r="O1542" s="10">
        <f t="shared" si="74"/>
        <v>492.16</v>
      </c>
      <c r="P1542" s="4">
        <v>23</v>
      </c>
      <c r="Q1542" s="4" t="b">
        <v>1</v>
      </c>
      <c r="R1542" s="4"/>
      <c r="S1542" s="14" t="s">
        <v>20</v>
      </c>
    </row>
    <row r="1543" spans="1:19">
      <c r="A1543" s="6" t="s">
        <v>3187</v>
      </c>
      <c r="B1543" s="7" t="s">
        <v>3188</v>
      </c>
      <c r="C1543" s="8" t="s">
        <v>4129</v>
      </c>
      <c r="D1543" s="8">
        <v>45057</v>
      </c>
      <c r="E1543" s="7">
        <v>5</v>
      </c>
      <c r="F1543" s="7">
        <v>11</v>
      </c>
      <c r="G1543" s="7">
        <v>2023</v>
      </c>
      <c r="H1543" s="8">
        <f t="shared" si="72"/>
        <v>45057</v>
      </c>
      <c r="I1543" s="11">
        <v>45063</v>
      </c>
      <c r="J1543" s="7">
        <f t="shared" si="73"/>
        <v>6</v>
      </c>
      <c r="K1543" s="7" t="s">
        <v>33</v>
      </c>
      <c r="L1543" s="7">
        <v>38265</v>
      </c>
      <c r="M1543" s="7">
        <v>1040</v>
      </c>
      <c r="N1543" s="12">
        <v>1381.02</v>
      </c>
      <c r="O1543" s="12">
        <f t="shared" si="74"/>
        <v>1381.02</v>
      </c>
      <c r="P1543" s="7">
        <v>93</v>
      </c>
      <c r="Q1543" s="7" t="b">
        <v>0</v>
      </c>
      <c r="R1543" s="7"/>
      <c r="S1543" s="15" t="s">
        <v>34</v>
      </c>
    </row>
    <row r="1544" spans="1:19">
      <c r="A1544" s="3" t="s">
        <v>3189</v>
      </c>
      <c r="B1544" s="4" t="s">
        <v>3190</v>
      </c>
      <c r="C1544" s="5" t="s">
        <v>4129</v>
      </c>
      <c r="D1544" s="5">
        <v>44969</v>
      </c>
      <c r="E1544" s="4">
        <v>2</v>
      </c>
      <c r="F1544" s="4">
        <v>12</v>
      </c>
      <c r="G1544" s="4">
        <v>2023</v>
      </c>
      <c r="H1544" s="5">
        <f t="shared" si="72"/>
        <v>44969</v>
      </c>
      <c r="I1544" s="9">
        <v>44977</v>
      </c>
      <c r="J1544" s="4">
        <f t="shared" si="73"/>
        <v>8</v>
      </c>
      <c r="K1544" s="4" t="s">
        <v>14</v>
      </c>
      <c r="L1544" s="4">
        <v>18850</v>
      </c>
      <c r="M1544" s="4">
        <v>869</v>
      </c>
      <c r="N1544" s="10">
        <v>749.74</v>
      </c>
      <c r="O1544" s="10">
        <f t="shared" si="74"/>
        <v>749.74</v>
      </c>
      <c r="P1544" s="4">
        <v>99</v>
      </c>
      <c r="Q1544" s="4" t="b">
        <v>1</v>
      </c>
      <c r="R1544" s="4"/>
      <c r="S1544" s="14" t="s">
        <v>16</v>
      </c>
    </row>
    <row r="1545" spans="1:19">
      <c r="A1545" s="6" t="s">
        <v>3191</v>
      </c>
      <c r="B1545" s="7" t="s">
        <v>3192</v>
      </c>
      <c r="C1545" s="8" t="s">
        <v>4129</v>
      </c>
      <c r="D1545" s="8">
        <v>45136</v>
      </c>
      <c r="E1545" s="7">
        <v>7</v>
      </c>
      <c r="F1545" s="7">
        <v>29</v>
      </c>
      <c r="G1545" s="7">
        <v>2023</v>
      </c>
      <c r="H1545" s="8">
        <f t="shared" si="72"/>
        <v>45136</v>
      </c>
      <c r="I1545" s="11">
        <v>45164</v>
      </c>
      <c r="J1545" s="7">
        <f t="shared" si="73"/>
        <v>28</v>
      </c>
      <c r="K1545" s="7" t="s">
        <v>23</v>
      </c>
      <c r="L1545" s="7">
        <v>67150</v>
      </c>
      <c r="M1545" s="7">
        <v>2943</v>
      </c>
      <c r="N1545" s="12">
        <v>3352.07</v>
      </c>
      <c r="O1545" s="12">
        <f t="shared" si="74"/>
        <v>3352.07</v>
      </c>
      <c r="P1545" s="7">
        <v>470</v>
      </c>
      <c r="Q1545" s="7" t="b">
        <v>0</v>
      </c>
      <c r="R1545" s="7"/>
      <c r="S1545" s="15" t="s">
        <v>25</v>
      </c>
    </row>
    <row r="1546" spans="1:19">
      <c r="A1546" s="3" t="s">
        <v>3193</v>
      </c>
      <c r="B1546" s="4" t="s">
        <v>3194</v>
      </c>
      <c r="C1546" s="5" t="s">
        <v>4129</v>
      </c>
      <c r="D1546" s="5">
        <v>44930</v>
      </c>
      <c r="E1546" s="4">
        <v>1</v>
      </c>
      <c r="F1546" s="4">
        <v>4</v>
      </c>
      <c r="G1546" s="4">
        <v>2023</v>
      </c>
      <c r="H1546" s="5">
        <f t="shared" si="72"/>
        <v>44930</v>
      </c>
      <c r="I1546" s="9">
        <v>44949</v>
      </c>
      <c r="J1546" s="4">
        <f t="shared" si="73"/>
        <v>19</v>
      </c>
      <c r="K1546" s="4" t="s">
        <v>33</v>
      </c>
      <c r="L1546" s="4">
        <v>88312</v>
      </c>
      <c r="M1546" s="4">
        <v>2299</v>
      </c>
      <c r="N1546" s="10">
        <v>4486.76</v>
      </c>
      <c r="O1546" s="10">
        <f t="shared" si="74"/>
        <v>3632.575</v>
      </c>
      <c r="P1546" s="4">
        <v>0</v>
      </c>
      <c r="Q1546" s="4" t="b">
        <v>0</v>
      </c>
      <c r="R1546" s="4"/>
      <c r="S1546" s="14" t="s">
        <v>34</v>
      </c>
    </row>
    <row r="1547" spans="1:19">
      <c r="A1547" s="6" t="s">
        <v>3195</v>
      </c>
      <c r="B1547" s="7" t="s">
        <v>3196</v>
      </c>
      <c r="C1547" s="8" t="s">
        <v>4131</v>
      </c>
      <c r="D1547" s="8">
        <v>44930</v>
      </c>
      <c r="E1547" s="7">
        <v>1</v>
      </c>
      <c r="F1547" s="7">
        <v>4</v>
      </c>
      <c r="G1547" s="7">
        <v>2023</v>
      </c>
      <c r="H1547" s="8">
        <f t="shared" si="72"/>
        <v>44930</v>
      </c>
      <c r="I1547" s="11">
        <v>44951</v>
      </c>
      <c r="J1547" s="7">
        <f t="shared" si="73"/>
        <v>21</v>
      </c>
      <c r="K1547" s="7" t="s">
        <v>19</v>
      </c>
      <c r="L1547" s="7">
        <v>90613</v>
      </c>
      <c r="M1547" s="7">
        <v>3672</v>
      </c>
      <c r="N1547" s="12">
        <v>5458.97</v>
      </c>
      <c r="O1547" s="12">
        <f t="shared" si="74"/>
        <v>3632.575</v>
      </c>
      <c r="P1547" s="7">
        <v>364</v>
      </c>
      <c r="Q1547" s="7" t="b">
        <v>0</v>
      </c>
      <c r="R1547" s="7"/>
      <c r="S1547" s="15" t="s">
        <v>20</v>
      </c>
    </row>
    <row r="1548" spans="1:19">
      <c r="A1548" s="3" t="s">
        <v>3197</v>
      </c>
      <c r="B1548" s="4" t="s">
        <v>3198</v>
      </c>
      <c r="C1548" s="5" t="s">
        <v>4129</v>
      </c>
      <c r="D1548" s="5">
        <v>45088</v>
      </c>
      <c r="E1548" s="4">
        <v>6</v>
      </c>
      <c r="F1548" s="4">
        <v>11</v>
      </c>
      <c r="G1548" s="4">
        <v>2023</v>
      </c>
      <c r="H1548" s="5">
        <f t="shared" si="72"/>
        <v>45088</v>
      </c>
      <c r="I1548" s="9">
        <v>45105</v>
      </c>
      <c r="J1548" s="4">
        <f t="shared" si="73"/>
        <v>17</v>
      </c>
      <c r="K1548" s="4" t="s">
        <v>138</v>
      </c>
      <c r="L1548" s="4">
        <v>75910</v>
      </c>
      <c r="M1548" s="4">
        <v>3258</v>
      </c>
      <c r="N1548" s="10">
        <v>4387.2</v>
      </c>
      <c r="O1548" s="10">
        <f t="shared" si="74"/>
        <v>3632.575</v>
      </c>
      <c r="P1548" s="4">
        <v>302</v>
      </c>
      <c r="Q1548" s="4" t="b">
        <v>1</v>
      </c>
      <c r="R1548" s="4"/>
      <c r="S1548" s="14" t="s">
        <v>139</v>
      </c>
    </row>
    <row r="1549" spans="1:19">
      <c r="A1549" s="6" t="s">
        <v>3199</v>
      </c>
      <c r="B1549" s="7" t="s">
        <v>3200</v>
      </c>
      <c r="C1549" s="8" t="s">
        <v>4129</v>
      </c>
      <c r="D1549" s="8">
        <v>45145</v>
      </c>
      <c r="E1549" s="7">
        <v>8</v>
      </c>
      <c r="F1549" s="7">
        <v>7</v>
      </c>
      <c r="G1549" s="7">
        <v>2023</v>
      </c>
      <c r="H1549" s="8">
        <f t="shared" si="72"/>
        <v>45145</v>
      </c>
      <c r="I1549" s="11">
        <v>45165</v>
      </c>
      <c r="J1549" s="7">
        <f t="shared" si="73"/>
        <v>20</v>
      </c>
      <c r="K1549" s="7" t="s">
        <v>19</v>
      </c>
      <c r="L1549" s="7">
        <v>53375</v>
      </c>
      <c r="M1549" s="7">
        <v>2431</v>
      </c>
      <c r="N1549" s="12">
        <v>4617.53</v>
      </c>
      <c r="O1549" s="12">
        <f t="shared" si="74"/>
        <v>3632.575</v>
      </c>
      <c r="P1549" s="7">
        <v>295</v>
      </c>
      <c r="Q1549" s="7" t="b">
        <v>0</v>
      </c>
      <c r="R1549" s="7"/>
      <c r="S1549" s="15" t="s">
        <v>20</v>
      </c>
    </row>
    <row r="1550" spans="1:19">
      <c r="A1550" s="3" t="s">
        <v>3201</v>
      </c>
      <c r="B1550" s="4" t="s">
        <v>3202</v>
      </c>
      <c r="C1550" s="5" t="s">
        <v>4129</v>
      </c>
      <c r="D1550" s="5">
        <v>45201</v>
      </c>
      <c r="E1550" s="4">
        <v>10</v>
      </c>
      <c r="F1550" s="4">
        <v>2</v>
      </c>
      <c r="G1550" s="4">
        <v>2023</v>
      </c>
      <c r="H1550" s="5">
        <f t="shared" si="72"/>
        <v>45201</v>
      </c>
      <c r="I1550" s="9">
        <v>45218</v>
      </c>
      <c r="J1550" s="4">
        <f t="shared" si="73"/>
        <v>17</v>
      </c>
      <c r="K1550" s="4" t="s">
        <v>14</v>
      </c>
      <c r="L1550" s="4">
        <v>36435</v>
      </c>
      <c r="M1550" s="4">
        <v>1157</v>
      </c>
      <c r="N1550" s="10">
        <v>1596.39</v>
      </c>
      <c r="O1550" s="10">
        <f t="shared" si="74"/>
        <v>1596.39</v>
      </c>
      <c r="P1550" s="4">
        <v>89</v>
      </c>
      <c r="Q1550" s="4" t="b">
        <v>1</v>
      </c>
      <c r="R1550" s="4"/>
      <c r="S1550" s="14" t="s">
        <v>16</v>
      </c>
    </row>
    <row r="1551" spans="1:19">
      <c r="A1551" s="6" t="s">
        <v>3203</v>
      </c>
      <c r="B1551" s="7" t="s">
        <v>3204</v>
      </c>
      <c r="C1551" s="8" t="s">
        <v>4129</v>
      </c>
      <c r="D1551" s="8">
        <v>45068</v>
      </c>
      <c r="E1551" s="7">
        <v>5</v>
      </c>
      <c r="F1551" s="7">
        <v>22</v>
      </c>
      <c r="G1551" s="7">
        <v>2023</v>
      </c>
      <c r="H1551" s="8">
        <f t="shared" si="72"/>
        <v>45068</v>
      </c>
      <c r="I1551" s="11">
        <v>45094</v>
      </c>
      <c r="J1551" s="7">
        <f t="shared" si="73"/>
        <v>26</v>
      </c>
      <c r="K1551" s="7" t="s">
        <v>266</v>
      </c>
      <c r="L1551" s="7">
        <v>97443</v>
      </c>
      <c r="M1551" s="7">
        <v>1771</v>
      </c>
      <c r="N1551" s="12">
        <v>2283.04</v>
      </c>
      <c r="O1551" s="12">
        <f t="shared" si="74"/>
        <v>2283.04</v>
      </c>
      <c r="P1551" s="7">
        <v>217</v>
      </c>
      <c r="Q1551" s="7" t="b">
        <v>1</v>
      </c>
      <c r="R1551" s="7"/>
      <c r="S1551" s="15" t="s">
        <v>20</v>
      </c>
    </row>
    <row r="1552" spans="1:19">
      <c r="A1552" s="3" t="s">
        <v>3205</v>
      </c>
      <c r="B1552" s="4" t="s">
        <v>3206</v>
      </c>
      <c r="C1552" s="5" t="s">
        <v>4129</v>
      </c>
      <c r="D1552" s="5">
        <v>45031</v>
      </c>
      <c r="E1552" s="4">
        <v>4</v>
      </c>
      <c r="F1552" s="4">
        <v>15</v>
      </c>
      <c r="G1552" s="4">
        <v>2023</v>
      </c>
      <c r="H1552" s="5">
        <f t="shared" si="72"/>
        <v>45031</v>
      </c>
      <c r="I1552" s="9">
        <v>45038</v>
      </c>
      <c r="J1552" s="4">
        <f t="shared" si="73"/>
        <v>7</v>
      </c>
      <c r="K1552" s="4" t="s">
        <v>41</v>
      </c>
      <c r="L1552" s="4">
        <v>58132</v>
      </c>
      <c r="M1552" s="4">
        <v>1174</v>
      </c>
      <c r="N1552" s="10">
        <v>1924.15</v>
      </c>
      <c r="O1552" s="10">
        <f t="shared" si="74"/>
        <v>1924.15</v>
      </c>
      <c r="P1552" s="4">
        <v>182</v>
      </c>
      <c r="Q1552" s="4" t="b">
        <v>1</v>
      </c>
      <c r="R1552" s="4"/>
      <c r="S1552" s="14" t="s">
        <v>68</v>
      </c>
    </row>
    <row r="1553" spans="1:19">
      <c r="A1553" s="6" t="s">
        <v>3207</v>
      </c>
      <c r="B1553" s="7" t="s">
        <v>3208</v>
      </c>
      <c r="C1553" s="8" t="s">
        <v>4127</v>
      </c>
      <c r="D1553" s="8">
        <v>45174</v>
      </c>
      <c r="E1553" s="7">
        <v>9</v>
      </c>
      <c r="F1553" s="7">
        <v>5</v>
      </c>
      <c r="G1553" s="7">
        <v>2023</v>
      </c>
      <c r="H1553" s="8">
        <f t="shared" si="72"/>
        <v>45174</v>
      </c>
      <c r="I1553" s="11">
        <v>45202</v>
      </c>
      <c r="J1553" s="7">
        <f t="shared" si="73"/>
        <v>28</v>
      </c>
      <c r="K1553" s="7" t="s">
        <v>19</v>
      </c>
      <c r="L1553" s="7">
        <v>79945</v>
      </c>
      <c r="M1553" s="7">
        <v>1745</v>
      </c>
      <c r="N1553" s="12">
        <v>2737.9</v>
      </c>
      <c r="O1553" s="12">
        <f t="shared" si="74"/>
        <v>2737.9</v>
      </c>
      <c r="P1553" s="7">
        <v>95</v>
      </c>
      <c r="Q1553" s="7" t="b">
        <v>1</v>
      </c>
      <c r="R1553" s="7"/>
      <c r="S1553" s="15" t="s">
        <v>20</v>
      </c>
    </row>
    <row r="1554" spans="1:19">
      <c r="A1554" s="3" t="s">
        <v>3209</v>
      </c>
      <c r="B1554" s="4" t="s">
        <v>3210</v>
      </c>
      <c r="C1554" s="5" t="s">
        <v>4131</v>
      </c>
      <c r="D1554" s="5">
        <v>45174</v>
      </c>
      <c r="E1554" s="4">
        <v>9</v>
      </c>
      <c r="F1554" s="4">
        <v>5</v>
      </c>
      <c r="G1554" s="4">
        <v>2023</v>
      </c>
      <c r="H1554" s="5">
        <f t="shared" si="72"/>
        <v>45174</v>
      </c>
      <c r="I1554" s="9">
        <v>45176</v>
      </c>
      <c r="J1554" s="4">
        <f t="shared" si="73"/>
        <v>2</v>
      </c>
      <c r="K1554" s="4" t="s">
        <v>19</v>
      </c>
      <c r="L1554" s="4">
        <v>83050</v>
      </c>
      <c r="M1554" s="4">
        <v>2803</v>
      </c>
      <c r="N1554" s="10">
        <v>2213.64</v>
      </c>
      <c r="O1554" s="10">
        <f t="shared" si="74"/>
        <v>2213.64</v>
      </c>
      <c r="P1554" s="4">
        <v>144</v>
      </c>
      <c r="Q1554" s="4" t="b">
        <v>1</v>
      </c>
      <c r="R1554" s="4"/>
      <c r="S1554" s="14" t="s">
        <v>20</v>
      </c>
    </row>
    <row r="1555" spans="1:19">
      <c r="A1555" s="6" t="s">
        <v>3211</v>
      </c>
      <c r="B1555" s="7" t="s">
        <v>3212</v>
      </c>
      <c r="C1555" s="8" t="s">
        <v>4128</v>
      </c>
      <c r="D1555" s="8">
        <v>45103</v>
      </c>
      <c r="E1555" s="7">
        <v>6</v>
      </c>
      <c r="F1555" s="7">
        <v>26</v>
      </c>
      <c r="G1555" s="7">
        <v>2023</v>
      </c>
      <c r="H1555" s="8">
        <f t="shared" si="72"/>
        <v>45103</v>
      </c>
      <c r="I1555" s="11">
        <v>45116</v>
      </c>
      <c r="J1555" s="7">
        <f t="shared" si="73"/>
        <v>13</v>
      </c>
      <c r="K1555" s="7" t="s">
        <v>23</v>
      </c>
      <c r="L1555" s="7">
        <v>96402</v>
      </c>
      <c r="M1555" s="7">
        <v>1090</v>
      </c>
      <c r="N1555" s="12">
        <v>1315.59</v>
      </c>
      <c r="O1555" s="12">
        <f t="shared" si="74"/>
        <v>1315.59</v>
      </c>
      <c r="P1555" s="7">
        <v>66</v>
      </c>
      <c r="Q1555" s="7" t="b">
        <v>1</v>
      </c>
      <c r="R1555" s="7"/>
      <c r="S1555" s="15" t="s">
        <v>25</v>
      </c>
    </row>
    <row r="1556" spans="1:19">
      <c r="A1556" s="3" t="s">
        <v>3213</v>
      </c>
      <c r="B1556" s="4" t="s">
        <v>3214</v>
      </c>
      <c r="C1556" s="5" t="s">
        <v>4128</v>
      </c>
      <c r="D1556" s="5">
        <v>44997</v>
      </c>
      <c r="E1556" s="4">
        <v>3</v>
      </c>
      <c r="F1556" s="4">
        <v>12</v>
      </c>
      <c r="G1556" s="4">
        <v>2023</v>
      </c>
      <c r="H1556" s="5">
        <f t="shared" si="72"/>
        <v>44997</v>
      </c>
      <c r="I1556" s="9">
        <v>45009</v>
      </c>
      <c r="J1556" s="4">
        <f t="shared" si="73"/>
        <v>12</v>
      </c>
      <c r="K1556" s="4" t="s">
        <v>14</v>
      </c>
      <c r="L1556" s="4">
        <v>3983</v>
      </c>
      <c r="M1556" s="4">
        <v>141</v>
      </c>
      <c r="N1556" s="10">
        <v>170.44</v>
      </c>
      <c r="O1556" s="10">
        <f t="shared" si="74"/>
        <v>170.44</v>
      </c>
      <c r="P1556" s="4">
        <v>18</v>
      </c>
      <c r="Q1556" s="4" t="b">
        <v>0</v>
      </c>
      <c r="R1556" s="4"/>
      <c r="S1556" s="14" t="s">
        <v>16</v>
      </c>
    </row>
    <row r="1557" spans="1:19">
      <c r="A1557" s="6" t="s">
        <v>3215</v>
      </c>
      <c r="B1557" s="7" t="s">
        <v>3216</v>
      </c>
      <c r="C1557" s="8" t="s">
        <v>4129</v>
      </c>
      <c r="D1557" s="8">
        <v>45044</v>
      </c>
      <c r="E1557" s="7">
        <v>4</v>
      </c>
      <c r="F1557" s="7">
        <v>28</v>
      </c>
      <c r="G1557" s="7">
        <v>2023</v>
      </c>
      <c r="H1557" s="8">
        <f t="shared" si="72"/>
        <v>45044</v>
      </c>
      <c r="I1557" s="11">
        <v>45046</v>
      </c>
      <c r="J1557" s="7">
        <f t="shared" si="73"/>
        <v>2</v>
      </c>
      <c r="K1557" s="7" t="s">
        <v>41</v>
      </c>
      <c r="L1557" s="7">
        <v>98241</v>
      </c>
      <c r="M1557" s="7">
        <v>2414</v>
      </c>
      <c r="N1557" s="12">
        <v>2576.55</v>
      </c>
      <c r="O1557" s="12">
        <f t="shared" si="74"/>
        <v>2576.55</v>
      </c>
      <c r="P1557" s="7">
        <v>430</v>
      </c>
      <c r="Q1557" s="7" t="b">
        <v>1</v>
      </c>
      <c r="R1557" s="7"/>
      <c r="S1557" s="15" t="s">
        <v>42</v>
      </c>
    </row>
    <row r="1558" spans="1:19">
      <c r="A1558" s="3" t="s">
        <v>3217</v>
      </c>
      <c r="B1558" s="4" t="s">
        <v>3218</v>
      </c>
      <c r="C1558" s="5" t="s">
        <v>4127</v>
      </c>
      <c r="D1558" s="5">
        <v>45009</v>
      </c>
      <c r="E1558" s="4">
        <v>3</v>
      </c>
      <c r="F1558" s="4">
        <v>24</v>
      </c>
      <c r="G1558" s="4">
        <v>2023</v>
      </c>
      <c r="H1558" s="5">
        <f t="shared" si="72"/>
        <v>45009</v>
      </c>
      <c r="I1558" s="9">
        <v>45034</v>
      </c>
      <c r="J1558" s="4">
        <f t="shared" si="73"/>
        <v>25</v>
      </c>
      <c r="K1558" s="4" t="s">
        <v>14</v>
      </c>
      <c r="L1558" s="4">
        <v>21662</v>
      </c>
      <c r="M1558" s="4">
        <v>472</v>
      </c>
      <c r="N1558" s="10">
        <v>602.24</v>
      </c>
      <c r="O1558" s="10">
        <f t="shared" si="74"/>
        <v>602.24</v>
      </c>
      <c r="P1558" s="4">
        <v>23</v>
      </c>
      <c r="Q1558" s="4" t="b">
        <v>0</v>
      </c>
      <c r="R1558" s="4"/>
      <c r="S1558" s="14" t="s">
        <v>16</v>
      </c>
    </row>
    <row r="1559" spans="1:19">
      <c r="A1559" s="6" t="s">
        <v>3219</v>
      </c>
      <c r="B1559" s="7" t="s">
        <v>3220</v>
      </c>
      <c r="C1559" s="8" t="s">
        <v>4131</v>
      </c>
      <c r="D1559" s="8">
        <v>45100</v>
      </c>
      <c r="E1559" s="7">
        <v>6</v>
      </c>
      <c r="F1559" s="7">
        <v>23</v>
      </c>
      <c r="G1559" s="7">
        <v>2023</v>
      </c>
      <c r="H1559" s="8">
        <f t="shared" si="72"/>
        <v>45100</v>
      </c>
      <c r="I1559" s="11">
        <v>45108</v>
      </c>
      <c r="J1559" s="7">
        <f t="shared" si="73"/>
        <v>8</v>
      </c>
      <c r="K1559" s="7" t="s">
        <v>23</v>
      </c>
      <c r="L1559" s="7">
        <v>24510</v>
      </c>
      <c r="M1559" s="7">
        <v>1107</v>
      </c>
      <c r="N1559" s="12">
        <v>1239.46</v>
      </c>
      <c r="O1559" s="12">
        <f t="shared" si="74"/>
        <v>1239.46</v>
      </c>
      <c r="P1559" s="7">
        <v>0</v>
      </c>
      <c r="Q1559" s="7" t="b">
        <v>0</v>
      </c>
      <c r="R1559" s="7"/>
      <c r="S1559" s="15" t="s">
        <v>25</v>
      </c>
    </row>
    <row r="1560" spans="1:19">
      <c r="A1560" s="3" t="s">
        <v>3221</v>
      </c>
      <c r="B1560" s="4" t="s">
        <v>3222</v>
      </c>
      <c r="C1560" s="5" t="s">
        <v>4129</v>
      </c>
      <c r="D1560" s="5">
        <v>45277</v>
      </c>
      <c r="E1560" s="4">
        <v>12</v>
      </c>
      <c r="F1560" s="4">
        <v>17</v>
      </c>
      <c r="G1560" s="4">
        <v>2023</v>
      </c>
      <c r="H1560" s="5">
        <f t="shared" si="72"/>
        <v>45277</v>
      </c>
      <c r="I1560" s="9">
        <v>45280</v>
      </c>
      <c r="J1560" s="4">
        <f t="shared" si="73"/>
        <v>3</v>
      </c>
      <c r="K1560" s="4" t="s">
        <v>41</v>
      </c>
      <c r="L1560" s="4">
        <v>79187</v>
      </c>
      <c r="M1560" s="4">
        <v>2248</v>
      </c>
      <c r="N1560" s="10">
        <v>1796.19</v>
      </c>
      <c r="O1560" s="10">
        <f t="shared" si="74"/>
        <v>1796.19</v>
      </c>
      <c r="P1560" s="4">
        <v>148</v>
      </c>
      <c r="Q1560" s="4" t="b">
        <v>1</v>
      </c>
      <c r="R1560" s="4"/>
      <c r="S1560" s="14" t="s">
        <v>42</v>
      </c>
    </row>
    <row r="1561" spans="1:19">
      <c r="A1561" s="6" t="s">
        <v>3223</v>
      </c>
      <c r="B1561" s="7" t="s">
        <v>3224</v>
      </c>
      <c r="C1561" s="8" t="s">
        <v>4127</v>
      </c>
      <c r="D1561" s="8" t="s">
        <v>3225</v>
      </c>
      <c r="E1561" s="7">
        <v>22</v>
      </c>
      <c r="F1561" s="7">
        <v>11</v>
      </c>
      <c r="G1561" s="7">
        <v>2023</v>
      </c>
      <c r="H1561" s="8">
        <f t="shared" si="72"/>
        <v>45252</v>
      </c>
      <c r="I1561" s="11">
        <v>45275</v>
      </c>
      <c r="J1561" s="7">
        <f t="shared" si="73"/>
        <v>23</v>
      </c>
      <c r="K1561" s="7" t="s">
        <v>41</v>
      </c>
      <c r="L1561" s="7">
        <v>41998</v>
      </c>
      <c r="M1561" s="7">
        <v>579</v>
      </c>
      <c r="N1561" s="12">
        <v>-647.64</v>
      </c>
      <c r="O1561" s="12">
        <f t="shared" si="74"/>
        <v>-344.195</v>
      </c>
      <c r="P1561" s="7">
        <v>102</v>
      </c>
      <c r="Q1561" s="7" t="b">
        <v>1</v>
      </c>
      <c r="R1561" s="7"/>
      <c r="S1561" s="15" t="s">
        <v>42</v>
      </c>
    </row>
    <row r="1562" spans="1:19">
      <c r="A1562" s="3" t="s">
        <v>3226</v>
      </c>
      <c r="B1562" s="4" t="s">
        <v>3227</v>
      </c>
      <c r="C1562" s="5" t="s">
        <v>4129</v>
      </c>
      <c r="D1562" s="5">
        <v>44973</v>
      </c>
      <c r="E1562" s="4">
        <v>2</v>
      </c>
      <c r="F1562" s="4">
        <v>16</v>
      </c>
      <c r="G1562" s="4">
        <v>2023</v>
      </c>
      <c r="H1562" s="5">
        <f t="shared" si="72"/>
        <v>44973</v>
      </c>
      <c r="I1562" s="9">
        <v>45003</v>
      </c>
      <c r="J1562" s="4">
        <f t="shared" si="73"/>
        <v>30</v>
      </c>
      <c r="K1562" s="4" t="s">
        <v>33</v>
      </c>
      <c r="L1562" s="4">
        <v>57846</v>
      </c>
      <c r="M1562" s="4">
        <v>2491</v>
      </c>
      <c r="N1562" s="10">
        <v>1515.56</v>
      </c>
      <c r="O1562" s="10">
        <f t="shared" si="74"/>
        <v>1515.56</v>
      </c>
      <c r="P1562" s="4">
        <v>304</v>
      </c>
      <c r="Q1562" s="4" t="b">
        <v>0</v>
      </c>
      <c r="R1562" s="4"/>
      <c r="S1562" s="14" t="s">
        <v>34</v>
      </c>
    </row>
    <row r="1563" spans="1:19">
      <c r="A1563" s="6" t="s">
        <v>3228</v>
      </c>
      <c r="B1563" s="7" t="s">
        <v>3229</v>
      </c>
      <c r="C1563" s="8" t="s">
        <v>4128</v>
      </c>
      <c r="D1563" s="8">
        <v>45234</v>
      </c>
      <c r="E1563" s="7">
        <v>11</v>
      </c>
      <c r="F1563" s="7">
        <v>4</v>
      </c>
      <c r="G1563" s="7">
        <v>2023</v>
      </c>
      <c r="H1563" s="8">
        <f t="shared" si="72"/>
        <v>45234</v>
      </c>
      <c r="I1563" s="11">
        <v>45033</v>
      </c>
      <c r="J1563" s="7">
        <f t="shared" si="73"/>
        <v>-201</v>
      </c>
      <c r="K1563" s="7" t="s">
        <v>14</v>
      </c>
      <c r="L1563" s="7">
        <v>95071</v>
      </c>
      <c r="M1563" s="7">
        <v>1131</v>
      </c>
      <c r="N1563" s="12">
        <v>1542.32</v>
      </c>
      <c r="O1563" s="12">
        <f t="shared" si="74"/>
        <v>1542.32</v>
      </c>
      <c r="P1563" s="7">
        <v>168</v>
      </c>
      <c r="Q1563" s="7" t="b">
        <v>1</v>
      </c>
      <c r="R1563" s="7"/>
      <c r="S1563" s="15" t="s">
        <v>16</v>
      </c>
    </row>
    <row r="1564" spans="1:19">
      <c r="A1564" s="3" t="s">
        <v>3230</v>
      </c>
      <c r="B1564" s="4" t="s">
        <v>3231</v>
      </c>
      <c r="C1564" s="5" t="s">
        <v>4129</v>
      </c>
      <c r="D1564" s="5">
        <v>45040</v>
      </c>
      <c r="E1564" s="4">
        <v>4</v>
      </c>
      <c r="F1564" s="4">
        <v>24</v>
      </c>
      <c r="G1564" s="4">
        <v>2023</v>
      </c>
      <c r="H1564" s="5">
        <f t="shared" si="72"/>
        <v>45040</v>
      </c>
      <c r="I1564" s="9">
        <v>45043</v>
      </c>
      <c r="J1564" s="4">
        <f t="shared" si="73"/>
        <v>3</v>
      </c>
      <c r="K1564" s="4" t="s">
        <v>19</v>
      </c>
      <c r="L1564" s="4">
        <v>7640</v>
      </c>
      <c r="M1564" s="4">
        <v>298</v>
      </c>
      <c r="N1564" s="10">
        <v>530.58</v>
      </c>
      <c r="O1564" s="10">
        <f t="shared" si="74"/>
        <v>530.58</v>
      </c>
      <c r="P1564" s="4">
        <v>37</v>
      </c>
      <c r="Q1564" s="4" t="b">
        <v>0</v>
      </c>
      <c r="R1564" s="4"/>
      <c r="S1564" s="14" t="s">
        <v>20</v>
      </c>
    </row>
    <row r="1565" spans="1:19">
      <c r="A1565" s="6" t="s">
        <v>3232</v>
      </c>
      <c r="B1565" s="7" t="s">
        <v>3233</v>
      </c>
      <c r="C1565" s="8" t="s">
        <v>4129</v>
      </c>
      <c r="D1565" s="8">
        <v>45123</v>
      </c>
      <c r="E1565" s="7">
        <v>7</v>
      </c>
      <c r="F1565" s="7">
        <v>16</v>
      </c>
      <c r="G1565" s="7">
        <v>2023</v>
      </c>
      <c r="H1565" s="8">
        <f t="shared" si="72"/>
        <v>45123</v>
      </c>
      <c r="I1565" s="11">
        <v>45143</v>
      </c>
      <c r="J1565" s="7">
        <f t="shared" si="73"/>
        <v>20</v>
      </c>
      <c r="K1565" s="7" t="s">
        <v>41</v>
      </c>
      <c r="L1565" s="7">
        <v>45547</v>
      </c>
      <c r="M1565" s="7">
        <v>1865</v>
      </c>
      <c r="N1565" s="12">
        <v>2961.49</v>
      </c>
      <c r="O1565" s="12">
        <f t="shared" si="74"/>
        <v>2961.49</v>
      </c>
      <c r="P1565" s="7">
        <v>226</v>
      </c>
      <c r="Q1565" s="7" t="b">
        <v>1</v>
      </c>
      <c r="R1565" s="7"/>
      <c r="S1565" s="15" t="s">
        <v>42</v>
      </c>
    </row>
    <row r="1566" spans="1:19">
      <c r="A1566" s="3" t="s">
        <v>3234</v>
      </c>
      <c r="B1566" s="4" t="s">
        <v>3235</v>
      </c>
      <c r="C1566" s="5" t="s">
        <v>4128</v>
      </c>
      <c r="D1566" s="5">
        <v>45262</v>
      </c>
      <c r="E1566" s="4">
        <v>12</v>
      </c>
      <c r="F1566" s="4">
        <v>2</v>
      </c>
      <c r="G1566" s="4">
        <v>2023</v>
      </c>
      <c r="H1566" s="5">
        <f t="shared" si="72"/>
        <v>45262</v>
      </c>
      <c r="I1566" s="9">
        <v>45285</v>
      </c>
      <c r="J1566" s="4">
        <f t="shared" si="73"/>
        <v>23</v>
      </c>
      <c r="K1566" s="4" t="s">
        <v>19</v>
      </c>
      <c r="L1566" s="4">
        <v>55620</v>
      </c>
      <c r="M1566" s="4">
        <v>1340</v>
      </c>
      <c r="N1566" s="10">
        <v>1394.39</v>
      </c>
      <c r="O1566" s="10">
        <f t="shared" si="74"/>
        <v>1394.39</v>
      </c>
      <c r="P1566" s="4">
        <v>234</v>
      </c>
      <c r="Q1566" s="4" t="b">
        <v>0</v>
      </c>
      <c r="R1566" s="4"/>
      <c r="S1566" s="14" t="s">
        <v>20</v>
      </c>
    </row>
    <row r="1567" spans="1:19">
      <c r="A1567" s="6" t="s">
        <v>3236</v>
      </c>
      <c r="B1567" s="7" t="s">
        <v>3237</v>
      </c>
      <c r="C1567" s="8" t="s">
        <v>4129</v>
      </c>
      <c r="D1567" s="8">
        <v>44968</v>
      </c>
      <c r="E1567" s="7">
        <v>2</v>
      </c>
      <c r="F1567" s="7">
        <v>11</v>
      </c>
      <c r="G1567" s="7">
        <v>2023</v>
      </c>
      <c r="H1567" s="8">
        <f t="shared" si="72"/>
        <v>44968</v>
      </c>
      <c r="I1567" s="11">
        <v>45250</v>
      </c>
      <c r="J1567" s="7">
        <f t="shared" si="73"/>
        <v>282</v>
      </c>
      <c r="K1567" s="7" t="s">
        <v>14</v>
      </c>
      <c r="L1567" s="7">
        <v>16317</v>
      </c>
      <c r="M1567" s="7">
        <v>701</v>
      </c>
      <c r="N1567" s="12">
        <v>442.06</v>
      </c>
      <c r="O1567" s="12">
        <f t="shared" si="74"/>
        <v>442.06</v>
      </c>
      <c r="P1567" s="7">
        <v>114</v>
      </c>
      <c r="Q1567" s="7" t="b">
        <v>0</v>
      </c>
      <c r="R1567" s="7"/>
      <c r="S1567" s="15" t="s">
        <v>16</v>
      </c>
    </row>
    <row r="1568" spans="1:19">
      <c r="A1568" s="3" t="s">
        <v>3238</v>
      </c>
      <c r="B1568" s="4" t="s">
        <v>3239</v>
      </c>
      <c r="C1568" s="5" t="s">
        <v>4127</v>
      </c>
      <c r="D1568" s="5">
        <v>45016</v>
      </c>
      <c r="E1568" s="4">
        <v>3</v>
      </c>
      <c r="F1568" s="4">
        <v>31</v>
      </c>
      <c r="G1568" s="4">
        <v>2023</v>
      </c>
      <c r="H1568" s="5">
        <f t="shared" si="72"/>
        <v>45016</v>
      </c>
      <c r="I1568" s="9">
        <v>45018</v>
      </c>
      <c r="J1568" s="4">
        <f t="shared" si="73"/>
        <v>2</v>
      </c>
      <c r="K1568" s="4" t="s">
        <v>415</v>
      </c>
      <c r="L1568" s="4">
        <v>8564</v>
      </c>
      <c r="M1568" s="4">
        <v>262</v>
      </c>
      <c r="N1568" s="10">
        <v>210.44</v>
      </c>
      <c r="O1568" s="10">
        <f t="shared" si="74"/>
        <v>210.44</v>
      </c>
      <c r="P1568" s="4">
        <v>32</v>
      </c>
      <c r="Q1568" s="4" t="b">
        <v>0</v>
      </c>
      <c r="R1568" s="4"/>
      <c r="S1568" s="14" t="s">
        <v>34</v>
      </c>
    </row>
    <row r="1569" spans="1:19">
      <c r="A1569" s="6" t="s">
        <v>3240</v>
      </c>
      <c r="B1569" s="7" t="s">
        <v>3241</v>
      </c>
      <c r="C1569" s="8" t="s">
        <v>4131</v>
      </c>
      <c r="D1569" s="8">
        <v>45030</v>
      </c>
      <c r="E1569" s="7">
        <v>4</v>
      </c>
      <c r="F1569" s="7">
        <v>14</v>
      </c>
      <c r="G1569" s="7">
        <v>2023</v>
      </c>
      <c r="H1569" s="8">
        <f t="shared" si="72"/>
        <v>45030</v>
      </c>
      <c r="I1569" s="11">
        <v>45039</v>
      </c>
      <c r="J1569" s="7">
        <f t="shared" si="73"/>
        <v>9</v>
      </c>
      <c r="K1569" s="7" t="s">
        <v>19</v>
      </c>
      <c r="L1569" s="7">
        <v>28345</v>
      </c>
      <c r="M1569" s="7">
        <v>808</v>
      </c>
      <c r="N1569" s="12">
        <v>1065.13</v>
      </c>
      <c r="O1569" s="12">
        <f t="shared" si="74"/>
        <v>1065.13</v>
      </c>
      <c r="P1569" s="7">
        <v>53</v>
      </c>
      <c r="Q1569" s="7" t="b">
        <v>1</v>
      </c>
      <c r="R1569" s="7"/>
      <c r="S1569" s="15" t="s">
        <v>20</v>
      </c>
    </row>
    <row r="1570" spans="1:19">
      <c r="A1570" s="3" t="s">
        <v>3242</v>
      </c>
      <c r="B1570" s="4" t="s">
        <v>3243</v>
      </c>
      <c r="C1570" s="5" t="s">
        <v>4128</v>
      </c>
      <c r="D1570" s="5">
        <v>45192</v>
      </c>
      <c r="E1570" s="4">
        <v>9</v>
      </c>
      <c r="F1570" s="4">
        <v>23</v>
      </c>
      <c r="G1570" s="4">
        <v>2023</v>
      </c>
      <c r="H1570" s="5">
        <f t="shared" si="72"/>
        <v>45192</v>
      </c>
      <c r="I1570" s="9">
        <v>45195</v>
      </c>
      <c r="J1570" s="4">
        <f t="shared" si="73"/>
        <v>3</v>
      </c>
      <c r="K1570" s="4" t="s">
        <v>41</v>
      </c>
      <c r="L1570" s="4">
        <v>95223</v>
      </c>
      <c r="M1570" s="4">
        <v>1125</v>
      </c>
      <c r="N1570" s="10">
        <v>911.91</v>
      </c>
      <c r="O1570" s="10">
        <f t="shared" si="74"/>
        <v>911.91</v>
      </c>
      <c r="P1570" s="4">
        <v>75</v>
      </c>
      <c r="Q1570" s="4" t="b">
        <v>1</v>
      </c>
      <c r="R1570" s="4"/>
      <c r="S1570" s="14" t="s">
        <v>42</v>
      </c>
    </row>
    <row r="1571" spans="1:19">
      <c r="A1571" s="6" t="s">
        <v>3244</v>
      </c>
      <c r="B1571" s="7" t="s">
        <v>3245</v>
      </c>
      <c r="C1571" s="8" t="s">
        <v>4129</v>
      </c>
      <c r="D1571" s="8">
        <v>45233</v>
      </c>
      <c r="E1571" s="7">
        <v>11</v>
      </c>
      <c r="F1571" s="7">
        <v>3</v>
      </c>
      <c r="G1571" s="7">
        <v>2023</v>
      </c>
      <c r="H1571" s="8">
        <f t="shared" si="72"/>
        <v>45233</v>
      </c>
      <c r="I1571" s="11">
        <v>45250</v>
      </c>
      <c r="J1571" s="7">
        <f t="shared" si="73"/>
        <v>17</v>
      </c>
      <c r="K1571" s="7" t="s">
        <v>33</v>
      </c>
      <c r="L1571" s="7">
        <v>80273</v>
      </c>
      <c r="M1571" s="7">
        <v>1733</v>
      </c>
      <c r="N1571" s="12">
        <v>2280.56</v>
      </c>
      <c r="O1571" s="12">
        <f t="shared" si="74"/>
        <v>2280.56</v>
      </c>
      <c r="P1571" s="7">
        <v>295</v>
      </c>
      <c r="Q1571" s="7" t="b">
        <v>0</v>
      </c>
      <c r="R1571" s="7"/>
      <c r="S1571" s="15" t="s">
        <v>34</v>
      </c>
    </row>
    <row r="1572" spans="1:19">
      <c r="A1572" s="3" t="s">
        <v>3246</v>
      </c>
      <c r="B1572" s="4" t="s">
        <v>3247</v>
      </c>
      <c r="C1572" s="5" t="s">
        <v>4128</v>
      </c>
      <c r="D1572" s="5">
        <v>45241</v>
      </c>
      <c r="E1572" s="4">
        <v>11</v>
      </c>
      <c r="F1572" s="4">
        <v>11</v>
      </c>
      <c r="G1572" s="4">
        <v>2023</v>
      </c>
      <c r="H1572" s="5">
        <f t="shared" si="72"/>
        <v>45241</v>
      </c>
      <c r="I1572" s="9">
        <v>45271</v>
      </c>
      <c r="J1572" s="4">
        <f t="shared" si="73"/>
        <v>30</v>
      </c>
      <c r="K1572" s="4" t="s">
        <v>23</v>
      </c>
      <c r="L1572" s="4">
        <v>75859</v>
      </c>
      <c r="M1572" s="4">
        <v>3583</v>
      </c>
      <c r="N1572" s="10">
        <v>3036.23</v>
      </c>
      <c r="O1572" s="10">
        <f t="shared" si="74"/>
        <v>3036.23</v>
      </c>
      <c r="P1572" s="4">
        <v>0</v>
      </c>
      <c r="Q1572" s="4" t="b">
        <v>1</v>
      </c>
      <c r="R1572" s="4"/>
      <c r="S1572" s="14" t="s">
        <v>25</v>
      </c>
    </row>
    <row r="1573" spans="1:19">
      <c r="A1573" s="6" t="s">
        <v>3248</v>
      </c>
      <c r="B1573" s="7" t="s">
        <v>3249</v>
      </c>
      <c r="C1573" s="8" t="s">
        <v>4131</v>
      </c>
      <c r="D1573" s="8">
        <v>45049</v>
      </c>
      <c r="E1573" s="7">
        <v>5</v>
      </c>
      <c r="F1573" s="7">
        <v>3</v>
      </c>
      <c r="G1573" s="7">
        <v>2023</v>
      </c>
      <c r="H1573" s="8">
        <f t="shared" si="72"/>
        <v>45049</v>
      </c>
      <c r="I1573" s="11">
        <v>45058</v>
      </c>
      <c r="J1573" s="7">
        <f t="shared" si="73"/>
        <v>9</v>
      </c>
      <c r="K1573" s="7" t="s">
        <v>14</v>
      </c>
      <c r="L1573" s="7">
        <v>81765</v>
      </c>
      <c r="M1573" s="7">
        <v>2099</v>
      </c>
      <c r="N1573" s="12">
        <v>3722.34</v>
      </c>
      <c r="O1573" s="12">
        <f t="shared" si="74"/>
        <v>3632.575</v>
      </c>
      <c r="P1573" s="7">
        <v>0</v>
      </c>
      <c r="Q1573" s="7" t="b">
        <v>0</v>
      </c>
      <c r="R1573" s="7"/>
      <c r="S1573" s="15" t="s">
        <v>16</v>
      </c>
    </row>
    <row r="1574" spans="1:19">
      <c r="A1574" s="3" t="s">
        <v>3250</v>
      </c>
      <c r="B1574" s="4" t="s">
        <v>3251</v>
      </c>
      <c r="C1574" s="5" t="s">
        <v>4127</v>
      </c>
      <c r="D1574" s="5">
        <v>44971</v>
      </c>
      <c r="E1574" s="4">
        <v>2</v>
      </c>
      <c r="F1574" s="4">
        <v>14</v>
      </c>
      <c r="G1574" s="4">
        <v>2023</v>
      </c>
      <c r="H1574" s="5">
        <f t="shared" si="72"/>
        <v>44971</v>
      </c>
      <c r="I1574" s="9">
        <v>44986</v>
      </c>
      <c r="J1574" s="4">
        <f t="shared" si="73"/>
        <v>15</v>
      </c>
      <c r="K1574" s="4" t="s">
        <v>415</v>
      </c>
      <c r="L1574" s="4">
        <v>75038</v>
      </c>
      <c r="M1574" s="4">
        <v>2391</v>
      </c>
      <c r="N1574" s="10">
        <v>2620.31</v>
      </c>
      <c r="O1574" s="10">
        <f t="shared" si="74"/>
        <v>2620.31</v>
      </c>
      <c r="P1574" s="4">
        <v>363</v>
      </c>
      <c r="Q1574" s="4" t="b">
        <v>1</v>
      </c>
      <c r="R1574" s="4">
        <v>75079</v>
      </c>
      <c r="S1574" s="14" t="s">
        <v>34</v>
      </c>
    </row>
    <row r="1575" spans="1:19">
      <c r="A1575" s="6" t="s">
        <v>3252</v>
      </c>
      <c r="B1575" s="7" t="s">
        <v>3253</v>
      </c>
      <c r="C1575" s="8" t="s">
        <v>4131</v>
      </c>
      <c r="D1575" s="8">
        <v>45107</v>
      </c>
      <c r="E1575" s="7">
        <v>6</v>
      </c>
      <c r="F1575" s="7">
        <v>30</v>
      </c>
      <c r="G1575" s="7">
        <v>2023</v>
      </c>
      <c r="H1575" s="8">
        <f t="shared" si="72"/>
        <v>45107</v>
      </c>
      <c r="I1575" s="11">
        <v>45112</v>
      </c>
      <c r="J1575" s="7">
        <f t="shared" si="73"/>
        <v>5</v>
      </c>
      <c r="K1575" s="7" t="s">
        <v>191</v>
      </c>
      <c r="L1575" s="7">
        <v>53393</v>
      </c>
      <c r="M1575" s="7">
        <v>1670</v>
      </c>
      <c r="N1575" s="12">
        <v>1450.1</v>
      </c>
      <c r="O1575" s="12">
        <f t="shared" si="74"/>
        <v>1450.1</v>
      </c>
      <c r="P1575" s="7">
        <v>0</v>
      </c>
      <c r="Q1575" s="7" t="b">
        <v>1</v>
      </c>
      <c r="R1575" s="7"/>
      <c r="S1575" s="15" t="s">
        <v>42</v>
      </c>
    </row>
    <row r="1576" spans="1:19">
      <c r="A1576" s="3" t="s">
        <v>3254</v>
      </c>
      <c r="B1576" s="4" t="s">
        <v>3255</v>
      </c>
      <c r="C1576" s="5" t="s">
        <v>4128</v>
      </c>
      <c r="D1576" s="5">
        <v>45029</v>
      </c>
      <c r="E1576" s="4">
        <v>4</v>
      </c>
      <c r="F1576" s="4">
        <v>13</v>
      </c>
      <c r="G1576" s="4">
        <v>2023</v>
      </c>
      <c r="H1576" s="5">
        <f t="shared" si="72"/>
        <v>45029</v>
      </c>
      <c r="I1576" s="9">
        <v>45039</v>
      </c>
      <c r="J1576" s="4">
        <f t="shared" si="73"/>
        <v>10</v>
      </c>
      <c r="K1576" s="4" t="s">
        <v>41</v>
      </c>
      <c r="L1576" s="4">
        <v>67081</v>
      </c>
      <c r="M1576" s="4">
        <v>2255</v>
      </c>
      <c r="N1576" s="10">
        <v>3875.19</v>
      </c>
      <c r="O1576" s="10">
        <f t="shared" si="74"/>
        <v>3632.575</v>
      </c>
      <c r="P1576" s="4">
        <v>325</v>
      </c>
      <c r="Q1576" s="4" t="b">
        <v>0</v>
      </c>
      <c r="R1576" s="4"/>
      <c r="S1576" s="14" t="s">
        <v>42</v>
      </c>
    </row>
    <row r="1577" spans="1:19">
      <c r="A1577" s="6" t="s">
        <v>3256</v>
      </c>
      <c r="B1577" s="7" t="s">
        <v>3257</v>
      </c>
      <c r="C1577" s="8" t="s">
        <v>4128</v>
      </c>
      <c r="D1577" s="8">
        <v>44962</v>
      </c>
      <c r="E1577" s="7">
        <v>2</v>
      </c>
      <c r="F1577" s="7">
        <v>5</v>
      </c>
      <c r="G1577" s="7">
        <v>2023</v>
      </c>
      <c r="H1577" s="8">
        <f t="shared" si="72"/>
        <v>44962</v>
      </c>
      <c r="I1577" s="11">
        <v>44967</v>
      </c>
      <c r="J1577" s="7">
        <f t="shared" si="73"/>
        <v>5</v>
      </c>
      <c r="K1577" s="7" t="s">
        <v>41</v>
      </c>
      <c r="L1577" s="7">
        <v>30430</v>
      </c>
      <c r="M1577" s="7">
        <v>378</v>
      </c>
      <c r="N1577" s="12">
        <v>383.39</v>
      </c>
      <c r="O1577" s="12">
        <f t="shared" si="74"/>
        <v>383.39</v>
      </c>
      <c r="P1577" s="7">
        <v>62</v>
      </c>
      <c r="Q1577" s="7" t="b">
        <v>1</v>
      </c>
      <c r="R1577" s="7"/>
      <c r="S1577" s="15" t="s">
        <v>42</v>
      </c>
    </row>
    <row r="1578" spans="1:19">
      <c r="A1578" s="3" t="s">
        <v>3258</v>
      </c>
      <c r="B1578" s="4" t="s">
        <v>3259</v>
      </c>
      <c r="C1578" s="5" t="s">
        <v>4127</v>
      </c>
      <c r="D1578" s="5">
        <v>45213</v>
      </c>
      <c r="E1578" s="4">
        <v>10</v>
      </c>
      <c r="F1578" s="4">
        <v>14</v>
      </c>
      <c r="G1578" s="4">
        <v>2023</v>
      </c>
      <c r="H1578" s="5">
        <f t="shared" si="72"/>
        <v>45213</v>
      </c>
      <c r="I1578" s="9">
        <v>45241</v>
      </c>
      <c r="J1578" s="4">
        <f t="shared" si="73"/>
        <v>28</v>
      </c>
      <c r="K1578" s="4" t="s">
        <v>33</v>
      </c>
      <c r="L1578" s="4">
        <v>76532</v>
      </c>
      <c r="M1578" s="4">
        <v>1874</v>
      </c>
      <c r="N1578" s="10">
        <v>1250.39</v>
      </c>
      <c r="O1578" s="10">
        <f t="shared" si="74"/>
        <v>1250.39</v>
      </c>
      <c r="P1578" s="4">
        <v>308</v>
      </c>
      <c r="Q1578" s="4" t="b">
        <v>1</v>
      </c>
      <c r="R1578" s="4"/>
      <c r="S1578" s="14" t="s">
        <v>34</v>
      </c>
    </row>
    <row r="1579" spans="1:19">
      <c r="A1579" s="6" t="s">
        <v>3260</v>
      </c>
      <c r="B1579" s="7" t="s">
        <v>3261</v>
      </c>
      <c r="C1579" s="8" t="s">
        <v>4129</v>
      </c>
      <c r="D1579" s="8">
        <v>45068</v>
      </c>
      <c r="E1579" s="7">
        <v>5</v>
      </c>
      <c r="F1579" s="7">
        <v>22</v>
      </c>
      <c r="G1579" s="7">
        <v>2023</v>
      </c>
      <c r="H1579" s="8">
        <f t="shared" si="72"/>
        <v>45068</v>
      </c>
      <c r="I1579" s="11">
        <v>45082</v>
      </c>
      <c r="J1579" s="7">
        <f t="shared" si="73"/>
        <v>14</v>
      </c>
      <c r="K1579" s="7" t="s">
        <v>14</v>
      </c>
      <c r="L1579" s="7">
        <v>28788</v>
      </c>
      <c r="M1579" s="7">
        <v>1120</v>
      </c>
      <c r="N1579" s="12">
        <v>1518.29</v>
      </c>
      <c r="O1579" s="12">
        <f t="shared" si="74"/>
        <v>1518.29</v>
      </c>
      <c r="P1579" s="7">
        <v>115</v>
      </c>
      <c r="Q1579" s="7" t="b">
        <v>0</v>
      </c>
      <c r="R1579" s="7"/>
      <c r="S1579" s="15" t="s">
        <v>16</v>
      </c>
    </row>
    <row r="1580" spans="1:19">
      <c r="A1580" s="3" t="s">
        <v>3262</v>
      </c>
      <c r="B1580" s="4" t="s">
        <v>3263</v>
      </c>
      <c r="C1580" s="5" t="s">
        <v>4131</v>
      </c>
      <c r="D1580" s="5">
        <v>45159</v>
      </c>
      <c r="E1580" s="4">
        <v>8</v>
      </c>
      <c r="F1580" s="4">
        <v>21</v>
      </c>
      <c r="G1580" s="4">
        <v>2023</v>
      </c>
      <c r="H1580" s="5">
        <f t="shared" si="72"/>
        <v>45159</v>
      </c>
      <c r="I1580" s="9">
        <v>45168</v>
      </c>
      <c r="J1580" s="4">
        <f t="shared" si="73"/>
        <v>9</v>
      </c>
      <c r="K1580" s="4" t="s">
        <v>19</v>
      </c>
      <c r="L1580" s="4">
        <v>96505</v>
      </c>
      <c r="M1580" s="4">
        <v>1739</v>
      </c>
      <c r="N1580" s="10">
        <v>2386.51</v>
      </c>
      <c r="O1580" s="10">
        <f t="shared" si="74"/>
        <v>2386.51</v>
      </c>
      <c r="P1580" s="4">
        <v>158</v>
      </c>
      <c r="Q1580" s="4" t="b">
        <v>0</v>
      </c>
      <c r="R1580" s="4"/>
      <c r="S1580" s="14" t="s">
        <v>20</v>
      </c>
    </row>
    <row r="1581" spans="1:19">
      <c r="A1581" s="6" t="s">
        <v>3264</v>
      </c>
      <c r="B1581" s="7" t="s">
        <v>3265</v>
      </c>
      <c r="C1581" s="8" t="s">
        <v>4127</v>
      </c>
      <c r="D1581" s="8">
        <v>45060</v>
      </c>
      <c r="E1581" s="7">
        <v>5</v>
      </c>
      <c r="F1581" s="7">
        <v>14</v>
      </c>
      <c r="G1581" s="7">
        <v>2023</v>
      </c>
      <c r="H1581" s="8">
        <f t="shared" si="72"/>
        <v>45060</v>
      </c>
      <c r="I1581" s="11">
        <v>45088</v>
      </c>
      <c r="J1581" s="7">
        <f t="shared" si="73"/>
        <v>28</v>
      </c>
      <c r="K1581" s="7" t="s">
        <v>14</v>
      </c>
      <c r="L1581" s="7">
        <v>49543</v>
      </c>
      <c r="M1581" s="7">
        <v>898</v>
      </c>
      <c r="N1581" s="12">
        <v>1411.7</v>
      </c>
      <c r="O1581" s="12">
        <f t="shared" si="74"/>
        <v>1411.7</v>
      </c>
      <c r="P1581" s="7">
        <v>0</v>
      </c>
      <c r="Q1581" s="7" t="b">
        <v>1</v>
      </c>
      <c r="R1581" s="7"/>
      <c r="S1581" s="15" t="s">
        <v>16</v>
      </c>
    </row>
    <row r="1582" spans="1:19">
      <c r="A1582" s="3" t="s">
        <v>3266</v>
      </c>
      <c r="B1582" s="4" t="s">
        <v>3267</v>
      </c>
      <c r="C1582" s="5" t="s">
        <v>4131</v>
      </c>
      <c r="D1582" s="5" t="s">
        <v>3268</v>
      </c>
      <c r="E1582" s="4">
        <v>14</v>
      </c>
      <c r="F1582" s="4">
        <v>10</v>
      </c>
      <c r="G1582" s="4">
        <v>2023</v>
      </c>
      <c r="H1582" s="5">
        <f t="shared" si="72"/>
        <v>45213</v>
      </c>
      <c r="I1582" s="9">
        <v>45243</v>
      </c>
      <c r="J1582" s="4">
        <f t="shared" si="73"/>
        <v>30</v>
      </c>
      <c r="K1582" s="4" t="s">
        <v>19</v>
      </c>
      <c r="L1582" s="4">
        <v>14919</v>
      </c>
      <c r="M1582" s="4">
        <v>155</v>
      </c>
      <c r="N1582" s="10">
        <v>133.35</v>
      </c>
      <c r="O1582" s="10">
        <f t="shared" si="74"/>
        <v>133.35</v>
      </c>
      <c r="P1582" s="4">
        <v>16</v>
      </c>
      <c r="Q1582" s="4" t="b">
        <v>0</v>
      </c>
      <c r="R1582" s="4"/>
      <c r="S1582" s="14" t="s">
        <v>20</v>
      </c>
    </row>
    <row r="1583" spans="1:19">
      <c r="A1583" s="6" t="s">
        <v>3269</v>
      </c>
      <c r="B1583" s="7" t="s">
        <v>3270</v>
      </c>
      <c r="C1583" s="8" t="s">
        <v>4128</v>
      </c>
      <c r="D1583" s="8">
        <v>45077</v>
      </c>
      <c r="E1583" s="7">
        <v>5</v>
      </c>
      <c r="F1583" s="7">
        <v>31</v>
      </c>
      <c r="G1583" s="7">
        <v>2023</v>
      </c>
      <c r="H1583" s="8">
        <f t="shared" si="72"/>
        <v>45077</v>
      </c>
      <c r="I1583" s="11">
        <v>45083</v>
      </c>
      <c r="J1583" s="7">
        <f t="shared" si="73"/>
        <v>6</v>
      </c>
      <c r="K1583" s="7" t="s">
        <v>41</v>
      </c>
      <c r="L1583" s="7">
        <v>70346</v>
      </c>
      <c r="M1583" s="7">
        <v>1934</v>
      </c>
      <c r="N1583" s="12">
        <v>2254.38</v>
      </c>
      <c r="O1583" s="12">
        <f t="shared" si="74"/>
        <v>2254.38</v>
      </c>
      <c r="P1583" s="7">
        <v>358</v>
      </c>
      <c r="Q1583" s="7" t="b">
        <v>1</v>
      </c>
      <c r="R1583" s="7"/>
      <c r="S1583" s="15" t="s">
        <v>42</v>
      </c>
    </row>
    <row r="1584" spans="1:19">
      <c r="A1584" s="3" t="s">
        <v>3271</v>
      </c>
      <c r="B1584" s="4" t="s">
        <v>3272</v>
      </c>
      <c r="C1584" s="5" t="s">
        <v>4129</v>
      </c>
      <c r="D1584" s="5">
        <v>45189</v>
      </c>
      <c r="E1584" s="4">
        <v>9</v>
      </c>
      <c r="F1584" s="4">
        <v>20</v>
      </c>
      <c r="G1584" s="4">
        <v>2023</v>
      </c>
      <c r="H1584" s="5">
        <f t="shared" si="72"/>
        <v>45189</v>
      </c>
      <c r="I1584" s="9">
        <v>45197</v>
      </c>
      <c r="J1584" s="4">
        <f t="shared" si="73"/>
        <v>8</v>
      </c>
      <c r="K1584" s="4" t="s">
        <v>33</v>
      </c>
      <c r="L1584" s="4">
        <v>97122</v>
      </c>
      <c r="M1584" s="4">
        <v>4400</v>
      </c>
      <c r="N1584" s="10">
        <v>4063.63</v>
      </c>
      <c r="O1584" s="10">
        <f t="shared" si="74"/>
        <v>3632.575</v>
      </c>
      <c r="P1584" s="4">
        <v>265</v>
      </c>
      <c r="Q1584" s="4" t="b">
        <v>0</v>
      </c>
      <c r="R1584" s="4"/>
      <c r="S1584" s="14" t="s">
        <v>34</v>
      </c>
    </row>
    <row r="1585" spans="1:19">
      <c r="A1585" s="6" t="s">
        <v>3273</v>
      </c>
      <c r="B1585" s="7" t="s">
        <v>3274</v>
      </c>
      <c r="C1585" s="8" t="s">
        <v>4131</v>
      </c>
      <c r="D1585" s="8">
        <v>45221</v>
      </c>
      <c r="E1585" s="7">
        <v>10</v>
      </c>
      <c r="F1585" s="7">
        <v>22</v>
      </c>
      <c r="G1585" s="7">
        <v>2023</v>
      </c>
      <c r="H1585" s="8">
        <f t="shared" si="72"/>
        <v>45221</v>
      </c>
      <c r="I1585" s="11">
        <v>45235</v>
      </c>
      <c r="J1585" s="7">
        <f t="shared" si="73"/>
        <v>14</v>
      </c>
      <c r="K1585" s="7" t="s">
        <v>23</v>
      </c>
      <c r="L1585" s="7">
        <v>40974</v>
      </c>
      <c r="M1585" s="7">
        <v>494</v>
      </c>
      <c r="N1585" s="12">
        <v>306.99</v>
      </c>
      <c r="O1585" s="12">
        <f t="shared" si="74"/>
        <v>306.99</v>
      </c>
      <c r="P1585" s="7">
        <v>29</v>
      </c>
      <c r="Q1585" s="7" t="b">
        <v>1</v>
      </c>
      <c r="R1585" s="7"/>
      <c r="S1585" s="15" t="s">
        <v>25</v>
      </c>
    </row>
    <row r="1586" spans="1:19">
      <c r="A1586" s="3" t="s">
        <v>3275</v>
      </c>
      <c r="B1586" s="4" t="s">
        <v>3276</v>
      </c>
      <c r="C1586" s="5" t="s">
        <v>4127</v>
      </c>
      <c r="D1586" s="5">
        <v>45120</v>
      </c>
      <c r="E1586" s="4">
        <v>7</v>
      </c>
      <c r="F1586" s="4">
        <v>13</v>
      </c>
      <c r="G1586" s="4">
        <v>2023</v>
      </c>
      <c r="H1586" s="5">
        <f t="shared" si="72"/>
        <v>45120</v>
      </c>
      <c r="I1586" s="9">
        <v>45130</v>
      </c>
      <c r="J1586" s="4">
        <f t="shared" si="73"/>
        <v>10</v>
      </c>
      <c r="K1586" s="4" t="s">
        <v>23</v>
      </c>
      <c r="L1586" s="4">
        <v>17371</v>
      </c>
      <c r="M1586" s="4">
        <v>306</v>
      </c>
      <c r="N1586" s="10">
        <v>555.37</v>
      </c>
      <c r="O1586" s="10">
        <f t="shared" si="74"/>
        <v>555.37</v>
      </c>
      <c r="P1586" s="4">
        <v>57</v>
      </c>
      <c r="Q1586" s="4" t="b">
        <v>0</v>
      </c>
      <c r="R1586" s="4"/>
      <c r="S1586" s="14" t="s">
        <v>59</v>
      </c>
    </row>
    <row r="1587" spans="1:19">
      <c r="A1587" s="6" t="s">
        <v>3277</v>
      </c>
      <c r="B1587" s="7" t="s">
        <v>3278</v>
      </c>
      <c r="C1587" s="8" t="s">
        <v>4131</v>
      </c>
      <c r="D1587" s="8">
        <v>45100</v>
      </c>
      <c r="E1587" s="7">
        <v>6</v>
      </c>
      <c r="F1587" s="7">
        <v>23</v>
      </c>
      <c r="G1587" s="7">
        <v>2023</v>
      </c>
      <c r="H1587" s="8">
        <f t="shared" si="72"/>
        <v>45100</v>
      </c>
      <c r="I1587" s="11">
        <v>45106</v>
      </c>
      <c r="J1587" s="7">
        <f t="shared" si="73"/>
        <v>6</v>
      </c>
      <c r="K1587" s="7" t="s">
        <v>14</v>
      </c>
      <c r="L1587" s="7">
        <v>46084</v>
      </c>
      <c r="M1587" s="7">
        <v>1032</v>
      </c>
      <c r="N1587" s="12">
        <v>1644.29</v>
      </c>
      <c r="O1587" s="12">
        <f t="shared" si="74"/>
        <v>1644.29</v>
      </c>
      <c r="P1587" s="7">
        <v>151</v>
      </c>
      <c r="Q1587" s="7" t="b">
        <v>1</v>
      </c>
      <c r="R1587" s="7"/>
      <c r="S1587" s="15" t="s">
        <v>16</v>
      </c>
    </row>
    <row r="1588" spans="1:19">
      <c r="A1588" s="3" t="s">
        <v>3279</v>
      </c>
      <c r="B1588" s="4" t="s">
        <v>3280</v>
      </c>
      <c r="C1588" s="5" t="s">
        <v>4128</v>
      </c>
      <c r="D1588" s="5">
        <v>45162</v>
      </c>
      <c r="E1588" s="4">
        <v>8</v>
      </c>
      <c r="F1588" s="4">
        <v>24</v>
      </c>
      <c r="G1588" s="4">
        <v>2023</v>
      </c>
      <c r="H1588" s="5">
        <f t="shared" si="72"/>
        <v>45162</v>
      </c>
      <c r="I1588" s="9">
        <v>45179</v>
      </c>
      <c r="J1588" s="4">
        <f t="shared" si="73"/>
        <v>17</v>
      </c>
      <c r="K1588" s="4" t="s">
        <v>41</v>
      </c>
      <c r="L1588" s="4">
        <v>30629</v>
      </c>
      <c r="M1588" s="4">
        <v>1202</v>
      </c>
      <c r="N1588" s="10">
        <v>1144.54</v>
      </c>
      <c r="O1588" s="10">
        <f t="shared" si="74"/>
        <v>1144.54</v>
      </c>
      <c r="P1588" s="4">
        <v>0</v>
      </c>
      <c r="Q1588" s="4" t="b">
        <v>1</v>
      </c>
      <c r="R1588" s="4"/>
      <c r="S1588" s="14" t="s">
        <v>42</v>
      </c>
    </row>
    <row r="1589" spans="1:19">
      <c r="A1589" s="6" t="s">
        <v>3281</v>
      </c>
      <c r="B1589" s="7" t="s">
        <v>3282</v>
      </c>
      <c r="C1589" s="8" t="s">
        <v>4128</v>
      </c>
      <c r="D1589" s="8">
        <v>45173</v>
      </c>
      <c r="E1589" s="7">
        <v>9</v>
      </c>
      <c r="F1589" s="7">
        <v>4</v>
      </c>
      <c r="G1589" s="7">
        <v>2023</v>
      </c>
      <c r="H1589" s="8">
        <f t="shared" si="72"/>
        <v>45173</v>
      </c>
      <c r="I1589" s="11">
        <v>45028</v>
      </c>
      <c r="J1589" s="7">
        <f t="shared" si="73"/>
        <v>-145</v>
      </c>
      <c r="K1589" s="7" t="s">
        <v>23</v>
      </c>
      <c r="L1589" s="7">
        <v>52184</v>
      </c>
      <c r="M1589" s="7">
        <v>1859</v>
      </c>
      <c r="N1589" s="12">
        <v>2600.85</v>
      </c>
      <c r="O1589" s="12">
        <f t="shared" si="74"/>
        <v>2600.85</v>
      </c>
      <c r="P1589" s="7">
        <v>303</v>
      </c>
      <c r="Q1589" s="7" t="b">
        <v>1</v>
      </c>
      <c r="R1589" s="7"/>
      <c r="S1589" s="15" t="s">
        <v>25</v>
      </c>
    </row>
    <row r="1590" spans="1:19">
      <c r="A1590" s="3" t="s">
        <v>3283</v>
      </c>
      <c r="B1590" s="4" t="s">
        <v>3284</v>
      </c>
      <c r="C1590" s="5" t="s">
        <v>4127</v>
      </c>
      <c r="D1590" s="5">
        <v>45251</v>
      </c>
      <c r="E1590" s="4">
        <v>11</v>
      </c>
      <c r="F1590" s="4">
        <v>21</v>
      </c>
      <c r="G1590" s="4">
        <v>2023</v>
      </c>
      <c r="H1590" s="5">
        <f t="shared" si="72"/>
        <v>45251</v>
      </c>
      <c r="I1590" s="9">
        <v>45259</v>
      </c>
      <c r="J1590" s="4">
        <f t="shared" si="73"/>
        <v>8</v>
      </c>
      <c r="K1590" s="4" t="s">
        <v>14</v>
      </c>
      <c r="L1590" s="4">
        <v>62916</v>
      </c>
      <c r="M1590" s="4">
        <v>1675</v>
      </c>
      <c r="N1590" s="10">
        <v>1343.18</v>
      </c>
      <c r="O1590" s="10">
        <f t="shared" si="74"/>
        <v>1343.18</v>
      </c>
      <c r="P1590" s="4">
        <v>252</v>
      </c>
      <c r="Q1590" s="4" t="b">
        <v>0</v>
      </c>
      <c r="R1590" s="4"/>
      <c r="S1590" s="14" t="s">
        <v>16</v>
      </c>
    </row>
    <row r="1591" spans="1:19">
      <c r="A1591" s="6" t="s">
        <v>3285</v>
      </c>
      <c r="B1591" s="7" t="s">
        <v>3286</v>
      </c>
      <c r="C1591" s="8" t="s">
        <v>4131</v>
      </c>
      <c r="D1591" s="8">
        <v>45286</v>
      </c>
      <c r="E1591" s="7">
        <v>12</v>
      </c>
      <c r="F1591" s="7">
        <v>26</v>
      </c>
      <c r="G1591" s="7">
        <v>2023</v>
      </c>
      <c r="H1591" s="8">
        <f t="shared" si="72"/>
        <v>45286</v>
      </c>
      <c r="I1591" s="11">
        <v>45314</v>
      </c>
      <c r="J1591" s="7">
        <f t="shared" si="73"/>
        <v>28</v>
      </c>
      <c r="K1591" s="7" t="s">
        <v>14</v>
      </c>
      <c r="L1591" s="7">
        <v>74972</v>
      </c>
      <c r="M1591" s="7">
        <v>3026</v>
      </c>
      <c r="N1591" s="12">
        <v>5553.78</v>
      </c>
      <c r="O1591" s="12">
        <f t="shared" si="74"/>
        <v>3632.575</v>
      </c>
      <c r="P1591" s="7">
        <v>392</v>
      </c>
      <c r="Q1591" s="7" t="b">
        <v>1</v>
      </c>
      <c r="R1591" s="7"/>
      <c r="S1591" s="15" t="s">
        <v>16</v>
      </c>
    </row>
    <row r="1592" spans="1:19">
      <c r="A1592" s="3" t="s">
        <v>3287</v>
      </c>
      <c r="B1592" s="4" t="s">
        <v>3288</v>
      </c>
      <c r="C1592" s="5" t="s">
        <v>4131</v>
      </c>
      <c r="D1592" s="5">
        <v>45107</v>
      </c>
      <c r="E1592" s="4">
        <v>6</v>
      </c>
      <c r="F1592" s="4">
        <v>30</v>
      </c>
      <c r="G1592" s="4">
        <v>2023</v>
      </c>
      <c r="H1592" s="5">
        <f t="shared" si="72"/>
        <v>45107</v>
      </c>
      <c r="I1592" s="9">
        <v>45110</v>
      </c>
      <c r="J1592" s="4">
        <f t="shared" si="73"/>
        <v>3</v>
      </c>
      <c r="K1592" s="4" t="s">
        <v>14</v>
      </c>
      <c r="L1592" s="4">
        <v>63187</v>
      </c>
      <c r="M1592" s="4">
        <v>2172</v>
      </c>
      <c r="N1592" s="10">
        <v>1460.36</v>
      </c>
      <c r="O1592" s="10">
        <f t="shared" si="74"/>
        <v>1460.36</v>
      </c>
      <c r="P1592" s="4">
        <v>140</v>
      </c>
      <c r="Q1592" s="4" t="b">
        <v>1</v>
      </c>
      <c r="R1592" s="4"/>
      <c r="S1592" s="14" t="s">
        <v>16</v>
      </c>
    </row>
    <row r="1593" spans="1:19">
      <c r="A1593" s="6" t="s">
        <v>3289</v>
      </c>
      <c r="B1593" s="7" t="s">
        <v>3290</v>
      </c>
      <c r="C1593" s="8" t="s">
        <v>4131</v>
      </c>
      <c r="D1593" s="8">
        <v>45061</v>
      </c>
      <c r="E1593" s="7">
        <v>5</v>
      </c>
      <c r="F1593" s="7">
        <v>15</v>
      </c>
      <c r="G1593" s="7">
        <v>2023</v>
      </c>
      <c r="H1593" s="8">
        <f t="shared" si="72"/>
        <v>45061</v>
      </c>
      <c r="I1593" s="11">
        <v>45081</v>
      </c>
      <c r="J1593" s="7">
        <f t="shared" si="73"/>
        <v>20</v>
      </c>
      <c r="K1593" s="7" t="s">
        <v>138</v>
      </c>
      <c r="L1593" s="7">
        <v>13984</v>
      </c>
      <c r="M1593" s="7">
        <v>641</v>
      </c>
      <c r="N1593" s="12">
        <v>324.19</v>
      </c>
      <c r="O1593" s="12">
        <f t="shared" si="74"/>
        <v>324.19</v>
      </c>
      <c r="P1593" s="7">
        <v>110</v>
      </c>
      <c r="Q1593" s="7" t="b">
        <v>0</v>
      </c>
      <c r="R1593" s="7"/>
      <c r="S1593" s="15" t="s">
        <v>139</v>
      </c>
    </row>
    <row r="1594" spans="1:19">
      <c r="A1594" s="3" t="s">
        <v>3291</v>
      </c>
      <c r="B1594" s="4" t="s">
        <v>3292</v>
      </c>
      <c r="C1594" s="5" t="s">
        <v>4127</v>
      </c>
      <c r="D1594" s="5">
        <v>45271</v>
      </c>
      <c r="E1594" s="4">
        <v>12</v>
      </c>
      <c r="F1594" s="4">
        <v>11</v>
      </c>
      <c r="G1594" s="4">
        <v>2023</v>
      </c>
      <c r="H1594" s="5">
        <f t="shared" si="72"/>
        <v>45271</v>
      </c>
      <c r="I1594" s="9">
        <v>45273</v>
      </c>
      <c r="J1594" s="4">
        <f t="shared" si="73"/>
        <v>2</v>
      </c>
      <c r="K1594" s="4" t="s">
        <v>33</v>
      </c>
      <c r="L1594" s="4">
        <v>34039</v>
      </c>
      <c r="M1594" s="4">
        <v>1454</v>
      </c>
      <c r="N1594" s="10">
        <v>1821.88</v>
      </c>
      <c r="O1594" s="10">
        <f t="shared" si="74"/>
        <v>1821.88</v>
      </c>
      <c r="P1594" s="4">
        <v>261</v>
      </c>
      <c r="Q1594" s="4" t="b">
        <v>1</v>
      </c>
      <c r="R1594" s="4"/>
      <c r="S1594" s="14" t="s">
        <v>34</v>
      </c>
    </row>
    <row r="1595" spans="1:19">
      <c r="A1595" s="6" t="s">
        <v>3293</v>
      </c>
      <c r="B1595" s="7" t="s">
        <v>3294</v>
      </c>
      <c r="C1595" s="8" t="s">
        <v>4127</v>
      </c>
      <c r="D1595" s="8">
        <v>45210</v>
      </c>
      <c r="E1595" s="7">
        <v>10</v>
      </c>
      <c r="F1595" s="7">
        <v>11</v>
      </c>
      <c r="G1595" s="7">
        <v>2023</v>
      </c>
      <c r="H1595" s="8">
        <f t="shared" si="72"/>
        <v>45210</v>
      </c>
      <c r="I1595" s="11">
        <v>45229</v>
      </c>
      <c r="J1595" s="7">
        <f t="shared" si="73"/>
        <v>19</v>
      </c>
      <c r="K1595" s="7" t="s">
        <v>19</v>
      </c>
      <c r="L1595" s="7">
        <v>86431</v>
      </c>
      <c r="M1595" s="7">
        <v>1738</v>
      </c>
      <c r="N1595" s="12">
        <v>2389.21</v>
      </c>
      <c r="O1595" s="12">
        <f t="shared" si="74"/>
        <v>2389.21</v>
      </c>
      <c r="P1595" s="7">
        <v>0</v>
      </c>
      <c r="Q1595" s="7" t="b">
        <v>0</v>
      </c>
      <c r="R1595" s="7"/>
      <c r="S1595" s="15" t="s">
        <v>20</v>
      </c>
    </row>
    <row r="1596" spans="1:19">
      <c r="A1596" s="3" t="s">
        <v>3295</v>
      </c>
      <c r="B1596" s="4" t="s">
        <v>3296</v>
      </c>
      <c r="C1596" s="5" t="s">
        <v>4129</v>
      </c>
      <c r="D1596" s="5">
        <v>45108</v>
      </c>
      <c r="E1596" s="4">
        <v>7</v>
      </c>
      <c r="F1596" s="4">
        <v>1</v>
      </c>
      <c r="G1596" s="4">
        <v>2023</v>
      </c>
      <c r="H1596" s="5">
        <f t="shared" si="72"/>
        <v>45108</v>
      </c>
      <c r="I1596" s="9">
        <v>45129</v>
      </c>
      <c r="J1596" s="4">
        <f t="shared" si="73"/>
        <v>21</v>
      </c>
      <c r="K1596" s="4" t="s">
        <v>19</v>
      </c>
      <c r="L1596" s="4">
        <v>84691</v>
      </c>
      <c r="M1596" s="4">
        <v>1766</v>
      </c>
      <c r="N1596" s="10">
        <v>2416.68</v>
      </c>
      <c r="O1596" s="10">
        <f t="shared" si="74"/>
        <v>2416.68</v>
      </c>
      <c r="P1596" s="4">
        <v>313</v>
      </c>
      <c r="Q1596" s="4" t="b">
        <v>1</v>
      </c>
      <c r="R1596" s="4"/>
      <c r="S1596" s="14" t="s">
        <v>20</v>
      </c>
    </row>
    <row r="1597" spans="1:19">
      <c r="A1597" s="6" t="s">
        <v>3297</v>
      </c>
      <c r="B1597" s="7" t="s">
        <v>3298</v>
      </c>
      <c r="C1597" s="8" t="s">
        <v>4129</v>
      </c>
      <c r="D1597" s="8">
        <v>45020</v>
      </c>
      <c r="E1597" s="7">
        <v>4</v>
      </c>
      <c r="F1597" s="7">
        <v>4</v>
      </c>
      <c r="G1597" s="7">
        <v>2023</v>
      </c>
      <c r="H1597" s="8">
        <f t="shared" si="72"/>
        <v>45020</v>
      </c>
      <c r="I1597" s="11">
        <v>45046</v>
      </c>
      <c r="J1597" s="7">
        <f t="shared" si="73"/>
        <v>26</v>
      </c>
      <c r="K1597" s="7" t="s">
        <v>41</v>
      </c>
      <c r="L1597" s="7">
        <v>59606</v>
      </c>
      <c r="M1597" s="7">
        <v>894</v>
      </c>
      <c r="N1597" s="12">
        <v>520.1</v>
      </c>
      <c r="O1597" s="12">
        <f t="shared" si="74"/>
        <v>520.1</v>
      </c>
      <c r="P1597" s="7">
        <v>162</v>
      </c>
      <c r="Q1597" s="7" t="b">
        <v>0</v>
      </c>
      <c r="R1597" s="7"/>
      <c r="S1597" s="15" t="s">
        <v>42</v>
      </c>
    </row>
    <row r="1598" spans="1:19">
      <c r="A1598" s="3" t="s">
        <v>3299</v>
      </c>
      <c r="B1598" s="4" t="s">
        <v>3300</v>
      </c>
      <c r="C1598" s="5" t="s">
        <v>4131</v>
      </c>
      <c r="D1598" s="5">
        <v>45024</v>
      </c>
      <c r="E1598" s="4">
        <v>4</v>
      </c>
      <c r="F1598" s="4">
        <v>8</v>
      </c>
      <c r="G1598" s="4">
        <v>2023</v>
      </c>
      <c r="H1598" s="5">
        <f t="shared" si="72"/>
        <v>45024</v>
      </c>
      <c r="I1598" s="9">
        <v>45050</v>
      </c>
      <c r="J1598" s="4">
        <f t="shared" si="73"/>
        <v>26</v>
      </c>
      <c r="K1598" s="4" t="s">
        <v>41</v>
      </c>
      <c r="L1598" s="4">
        <v>11616</v>
      </c>
      <c r="M1598" s="4">
        <v>272</v>
      </c>
      <c r="N1598" s="10">
        <v>264.13</v>
      </c>
      <c r="O1598" s="10">
        <f t="shared" si="74"/>
        <v>264.13</v>
      </c>
      <c r="P1598" s="4">
        <v>36</v>
      </c>
      <c r="Q1598" s="4" t="b">
        <v>0</v>
      </c>
      <c r="R1598" s="4"/>
      <c r="S1598" s="14" t="s">
        <v>42</v>
      </c>
    </row>
    <row r="1599" spans="1:19">
      <c r="A1599" s="6" t="s">
        <v>3301</v>
      </c>
      <c r="B1599" s="7" t="s">
        <v>3302</v>
      </c>
      <c r="C1599" s="8" t="s">
        <v>4128</v>
      </c>
      <c r="D1599" s="8">
        <v>45050</v>
      </c>
      <c r="E1599" s="7">
        <v>5</v>
      </c>
      <c r="F1599" s="7">
        <v>4</v>
      </c>
      <c r="G1599" s="7">
        <v>2023</v>
      </c>
      <c r="H1599" s="8">
        <f t="shared" si="72"/>
        <v>45050</v>
      </c>
      <c r="I1599" s="11">
        <v>45078</v>
      </c>
      <c r="J1599" s="7">
        <f t="shared" si="73"/>
        <v>28</v>
      </c>
      <c r="K1599" s="7" t="s">
        <v>41</v>
      </c>
      <c r="L1599" s="7">
        <v>51072</v>
      </c>
      <c r="M1599" s="7">
        <v>2552</v>
      </c>
      <c r="N1599" s="12">
        <v>3186.93</v>
      </c>
      <c r="O1599" s="12">
        <f t="shared" si="74"/>
        <v>3186.93</v>
      </c>
      <c r="P1599" s="7">
        <v>378</v>
      </c>
      <c r="Q1599" s="7" t="b">
        <v>1</v>
      </c>
      <c r="R1599" s="7"/>
      <c r="S1599" s="15" t="s">
        <v>42</v>
      </c>
    </row>
    <row r="1600" spans="1:19">
      <c r="A1600" s="3" t="s">
        <v>3303</v>
      </c>
      <c r="B1600" s="4" t="s">
        <v>3304</v>
      </c>
      <c r="C1600" s="5" t="s">
        <v>4128</v>
      </c>
      <c r="D1600" s="5">
        <v>45030</v>
      </c>
      <c r="E1600" s="4">
        <v>4</v>
      </c>
      <c r="F1600" s="4">
        <v>14</v>
      </c>
      <c r="G1600" s="4">
        <v>2023</v>
      </c>
      <c r="H1600" s="5">
        <f t="shared" si="72"/>
        <v>45030</v>
      </c>
      <c r="I1600" s="9">
        <v>45058</v>
      </c>
      <c r="J1600" s="4">
        <f t="shared" si="73"/>
        <v>28</v>
      </c>
      <c r="K1600" s="4" t="s">
        <v>19</v>
      </c>
      <c r="L1600" s="4">
        <v>25574</v>
      </c>
      <c r="M1600" s="4">
        <v>670</v>
      </c>
      <c r="N1600" s="10">
        <v>552.66</v>
      </c>
      <c r="O1600" s="10">
        <f t="shared" si="74"/>
        <v>552.66</v>
      </c>
      <c r="P1600" s="4">
        <v>0</v>
      </c>
      <c r="Q1600" s="4" t="b">
        <v>1</v>
      </c>
      <c r="R1600" s="4"/>
      <c r="S1600" s="14" t="s">
        <v>20</v>
      </c>
    </row>
    <row r="1601" spans="1:19">
      <c r="A1601" s="6" t="s">
        <v>3305</v>
      </c>
      <c r="B1601" s="7" t="s">
        <v>3306</v>
      </c>
      <c r="C1601" s="8" t="s">
        <v>4127</v>
      </c>
      <c r="D1601" s="8">
        <v>45109</v>
      </c>
      <c r="E1601" s="7">
        <v>7</v>
      </c>
      <c r="F1601" s="7">
        <v>2</v>
      </c>
      <c r="G1601" s="7">
        <v>2023</v>
      </c>
      <c r="H1601" s="8">
        <f t="shared" si="72"/>
        <v>45109</v>
      </c>
      <c r="I1601" s="11">
        <v>45133</v>
      </c>
      <c r="J1601" s="7">
        <f t="shared" si="73"/>
        <v>24</v>
      </c>
      <c r="K1601" s="7" t="s">
        <v>23</v>
      </c>
      <c r="L1601" s="7">
        <v>4430</v>
      </c>
      <c r="M1601" s="7">
        <v>83</v>
      </c>
      <c r="N1601" s="12">
        <v>150.14</v>
      </c>
      <c r="O1601" s="12">
        <f t="shared" si="74"/>
        <v>150.14</v>
      </c>
      <c r="P1601" s="7">
        <v>7</v>
      </c>
      <c r="Q1601" s="7" t="b">
        <v>0</v>
      </c>
      <c r="R1601" s="7"/>
      <c r="S1601" s="15" t="s">
        <v>25</v>
      </c>
    </row>
    <row r="1602" spans="1:19">
      <c r="A1602" s="3" t="s">
        <v>3307</v>
      </c>
      <c r="B1602" s="4" t="s">
        <v>3308</v>
      </c>
      <c r="C1602" s="5" t="s">
        <v>4127</v>
      </c>
      <c r="D1602" s="5">
        <v>44967</v>
      </c>
      <c r="E1602" s="4">
        <v>2</v>
      </c>
      <c r="F1602" s="4">
        <v>10</v>
      </c>
      <c r="G1602" s="4">
        <v>2023</v>
      </c>
      <c r="H1602" s="5">
        <f t="shared" ref="H1602:H1665" si="75">IF(E1602&gt;12,DATE(G1602,F1602,E1602),D1602)</f>
        <v>44967</v>
      </c>
      <c r="I1602" s="9">
        <v>44973</v>
      </c>
      <c r="J1602" s="4">
        <f t="shared" ref="J1602:J1665" si="76">DATEDIF(H1602,I1602,"D")</f>
        <v>6</v>
      </c>
      <c r="K1602" s="4" t="s">
        <v>14</v>
      </c>
      <c r="L1602" s="4">
        <v>13676</v>
      </c>
      <c r="M1602" s="4">
        <v>553</v>
      </c>
      <c r="N1602" s="10">
        <v>348.76</v>
      </c>
      <c r="O1602" s="10">
        <f t="shared" si="74"/>
        <v>348.76</v>
      </c>
      <c r="P1602" s="4">
        <v>87</v>
      </c>
      <c r="Q1602" s="4" t="b">
        <v>0</v>
      </c>
      <c r="R1602" s="4"/>
      <c r="S1602" s="14" t="s">
        <v>16</v>
      </c>
    </row>
    <row r="1603" spans="1:19">
      <c r="A1603" s="6" t="s">
        <v>3309</v>
      </c>
      <c r="B1603" s="7" t="s">
        <v>3310</v>
      </c>
      <c r="C1603" s="8" t="s">
        <v>4129</v>
      </c>
      <c r="D1603" s="8">
        <v>45241</v>
      </c>
      <c r="E1603" s="7">
        <v>11</v>
      </c>
      <c r="F1603" s="7">
        <v>11</v>
      </c>
      <c r="G1603" s="7">
        <v>2023</v>
      </c>
      <c r="H1603" s="8">
        <f t="shared" si="75"/>
        <v>45241</v>
      </c>
      <c r="I1603" s="11">
        <v>45251</v>
      </c>
      <c r="J1603" s="7">
        <f t="shared" si="76"/>
        <v>10</v>
      </c>
      <c r="K1603" s="7" t="s">
        <v>41</v>
      </c>
      <c r="L1603" s="7">
        <v>11816</v>
      </c>
      <c r="M1603" s="7">
        <v>374</v>
      </c>
      <c r="N1603" s="12">
        <v>460.42</v>
      </c>
      <c r="O1603" s="12">
        <f t="shared" ref="O1603:O1666" si="77">IF(N1603&lt;$V$6,$V$6,IF(N1603&gt;$V$7,$V$7,N1603))</f>
        <v>460.42</v>
      </c>
      <c r="P1603" s="7">
        <v>67</v>
      </c>
      <c r="Q1603" s="7" t="b">
        <v>0</v>
      </c>
      <c r="R1603" s="7"/>
      <c r="S1603" s="15" t="s">
        <v>42</v>
      </c>
    </row>
    <row r="1604" spans="1:19">
      <c r="A1604" s="3" t="s">
        <v>3311</v>
      </c>
      <c r="B1604" s="4" t="s">
        <v>3312</v>
      </c>
      <c r="C1604" s="5" t="s">
        <v>4128</v>
      </c>
      <c r="D1604" s="5">
        <v>45204</v>
      </c>
      <c r="E1604" s="4">
        <v>10</v>
      </c>
      <c r="F1604" s="4">
        <v>5</v>
      </c>
      <c r="G1604" s="4">
        <v>2023</v>
      </c>
      <c r="H1604" s="5">
        <f t="shared" si="75"/>
        <v>45204</v>
      </c>
      <c r="I1604" s="9">
        <v>45222</v>
      </c>
      <c r="J1604" s="4">
        <f t="shared" si="76"/>
        <v>18</v>
      </c>
      <c r="K1604" s="4" t="s">
        <v>23</v>
      </c>
      <c r="L1604" s="4">
        <v>33733</v>
      </c>
      <c r="M1604" s="4">
        <v>539</v>
      </c>
      <c r="N1604" s="10">
        <v>828.51</v>
      </c>
      <c r="O1604" s="10">
        <f t="shared" si="77"/>
        <v>828.51</v>
      </c>
      <c r="P1604" s="4">
        <v>79</v>
      </c>
      <c r="Q1604" s="4" t="b">
        <v>1</v>
      </c>
      <c r="R1604" s="4"/>
      <c r="S1604" s="14" t="s">
        <v>25</v>
      </c>
    </row>
    <row r="1605" spans="1:19">
      <c r="A1605" s="6" t="s">
        <v>3313</v>
      </c>
      <c r="B1605" s="7" t="s">
        <v>3314</v>
      </c>
      <c r="C1605" s="8" t="s">
        <v>4127</v>
      </c>
      <c r="D1605" s="8">
        <v>45117</v>
      </c>
      <c r="E1605" s="7">
        <v>7</v>
      </c>
      <c r="F1605" s="7">
        <v>10</v>
      </c>
      <c r="G1605" s="7">
        <v>2023</v>
      </c>
      <c r="H1605" s="8">
        <f t="shared" si="75"/>
        <v>45117</v>
      </c>
      <c r="I1605" s="11">
        <v>45133</v>
      </c>
      <c r="J1605" s="7">
        <f t="shared" si="76"/>
        <v>16</v>
      </c>
      <c r="K1605" s="7" t="s">
        <v>23</v>
      </c>
      <c r="L1605" s="7">
        <v>86680</v>
      </c>
      <c r="M1605" s="7">
        <v>2186</v>
      </c>
      <c r="N1605" s="12">
        <v>1951.28</v>
      </c>
      <c r="O1605" s="12">
        <f t="shared" si="77"/>
        <v>1951.28</v>
      </c>
      <c r="P1605" s="7">
        <v>277</v>
      </c>
      <c r="Q1605" s="7" t="b">
        <v>0</v>
      </c>
      <c r="R1605" s="7"/>
      <c r="S1605" s="15" t="s">
        <v>25</v>
      </c>
    </row>
    <row r="1606" spans="1:19">
      <c r="A1606" s="3" t="s">
        <v>3315</v>
      </c>
      <c r="B1606" s="4" t="s">
        <v>3316</v>
      </c>
      <c r="C1606" s="5" t="s">
        <v>4128</v>
      </c>
      <c r="D1606" s="5">
        <v>45221</v>
      </c>
      <c r="E1606" s="4">
        <v>10</v>
      </c>
      <c r="F1606" s="4">
        <v>22</v>
      </c>
      <c r="G1606" s="4">
        <v>2023</v>
      </c>
      <c r="H1606" s="5">
        <f t="shared" si="75"/>
        <v>45221</v>
      </c>
      <c r="I1606" s="9">
        <v>45235</v>
      </c>
      <c r="J1606" s="4">
        <f t="shared" si="76"/>
        <v>14</v>
      </c>
      <c r="K1606" s="4" t="s">
        <v>41</v>
      </c>
      <c r="L1606" s="4">
        <v>3050</v>
      </c>
      <c r="M1606" s="4">
        <v>81</v>
      </c>
      <c r="N1606" s="10">
        <v>116.35</v>
      </c>
      <c r="O1606" s="10">
        <f t="shared" si="77"/>
        <v>116.35</v>
      </c>
      <c r="P1606" s="4">
        <v>0</v>
      </c>
      <c r="Q1606" s="4" t="b">
        <v>0</v>
      </c>
      <c r="R1606" s="4"/>
      <c r="S1606" s="14" t="s">
        <v>42</v>
      </c>
    </row>
    <row r="1607" spans="1:19">
      <c r="A1607" s="6" t="s">
        <v>3317</v>
      </c>
      <c r="B1607" s="7" t="s">
        <v>3318</v>
      </c>
      <c r="C1607" s="8" t="s">
        <v>4127</v>
      </c>
      <c r="D1607" s="8">
        <v>45188</v>
      </c>
      <c r="E1607" s="7">
        <v>9</v>
      </c>
      <c r="F1607" s="7">
        <v>19</v>
      </c>
      <c r="G1607" s="7">
        <v>2023</v>
      </c>
      <c r="H1607" s="8">
        <f t="shared" si="75"/>
        <v>45188</v>
      </c>
      <c r="I1607" s="11">
        <v>45217</v>
      </c>
      <c r="J1607" s="7">
        <f t="shared" si="76"/>
        <v>29</v>
      </c>
      <c r="K1607" s="7" t="s">
        <v>14</v>
      </c>
      <c r="L1607" s="7">
        <v>34933</v>
      </c>
      <c r="M1607" s="7">
        <v>1402</v>
      </c>
      <c r="N1607" s="12">
        <v>2445.2</v>
      </c>
      <c r="O1607" s="12">
        <f t="shared" si="77"/>
        <v>2445.2</v>
      </c>
      <c r="P1607" s="7">
        <v>81</v>
      </c>
      <c r="Q1607" s="7" t="b">
        <v>0</v>
      </c>
      <c r="R1607" s="7"/>
      <c r="S1607" s="15" t="s">
        <v>16</v>
      </c>
    </row>
    <row r="1608" spans="1:19">
      <c r="A1608" s="3" t="s">
        <v>3319</v>
      </c>
      <c r="B1608" s="4" t="s">
        <v>3320</v>
      </c>
      <c r="C1608" s="5" t="s">
        <v>4128</v>
      </c>
      <c r="D1608" s="5">
        <v>45222</v>
      </c>
      <c r="E1608" s="4">
        <v>10</v>
      </c>
      <c r="F1608" s="4">
        <v>23</v>
      </c>
      <c r="G1608" s="4">
        <v>2023</v>
      </c>
      <c r="H1608" s="5">
        <f t="shared" si="75"/>
        <v>45222</v>
      </c>
      <c r="I1608" s="9">
        <v>45228</v>
      </c>
      <c r="J1608" s="4">
        <f t="shared" si="76"/>
        <v>6</v>
      </c>
      <c r="K1608" s="4" t="s">
        <v>23</v>
      </c>
      <c r="L1608" s="4">
        <v>25951</v>
      </c>
      <c r="M1608" s="4">
        <v>280</v>
      </c>
      <c r="N1608" s="10">
        <v>219.94</v>
      </c>
      <c r="O1608" s="10">
        <f t="shared" si="77"/>
        <v>219.94</v>
      </c>
      <c r="P1608" s="4">
        <v>32</v>
      </c>
      <c r="Q1608" s="4" t="b">
        <v>1</v>
      </c>
      <c r="R1608" s="4"/>
      <c r="S1608" s="14" t="s">
        <v>25</v>
      </c>
    </row>
    <row r="1609" spans="1:19">
      <c r="A1609" s="6" t="s">
        <v>3321</v>
      </c>
      <c r="B1609" s="7" t="s">
        <v>3322</v>
      </c>
      <c r="C1609" s="8" t="s">
        <v>4129</v>
      </c>
      <c r="D1609" s="8">
        <v>45143</v>
      </c>
      <c r="E1609" s="7">
        <v>8</v>
      </c>
      <c r="F1609" s="7">
        <v>5</v>
      </c>
      <c r="G1609" s="7">
        <v>2023</v>
      </c>
      <c r="H1609" s="8">
        <f t="shared" si="75"/>
        <v>45143</v>
      </c>
      <c r="I1609" s="11">
        <v>45151</v>
      </c>
      <c r="J1609" s="7">
        <f t="shared" si="76"/>
        <v>8</v>
      </c>
      <c r="K1609" s="7" t="s">
        <v>14</v>
      </c>
      <c r="L1609" s="7">
        <v>33413</v>
      </c>
      <c r="M1609" s="7">
        <v>693</v>
      </c>
      <c r="N1609" s="12">
        <v>1299.95</v>
      </c>
      <c r="O1609" s="12">
        <f t="shared" si="77"/>
        <v>1299.95</v>
      </c>
      <c r="P1609" s="7">
        <v>39</v>
      </c>
      <c r="Q1609" s="7" t="b">
        <v>1</v>
      </c>
      <c r="R1609" s="7"/>
      <c r="S1609" s="15" t="s">
        <v>16</v>
      </c>
    </row>
    <row r="1610" spans="1:19">
      <c r="A1610" s="3" t="s">
        <v>3323</v>
      </c>
      <c r="B1610" s="4" t="s">
        <v>3324</v>
      </c>
      <c r="C1610" s="5" t="s">
        <v>4127</v>
      </c>
      <c r="D1610" s="5">
        <v>45184</v>
      </c>
      <c r="E1610" s="4">
        <v>9</v>
      </c>
      <c r="F1610" s="4">
        <v>15</v>
      </c>
      <c r="G1610" s="4">
        <v>2023</v>
      </c>
      <c r="H1610" s="5">
        <f t="shared" si="75"/>
        <v>45184</v>
      </c>
      <c r="I1610" s="9">
        <v>45185</v>
      </c>
      <c r="J1610" s="4">
        <f t="shared" si="76"/>
        <v>1</v>
      </c>
      <c r="K1610" s="4" t="s">
        <v>33</v>
      </c>
      <c r="L1610" s="4">
        <v>35801</v>
      </c>
      <c r="M1610" s="4">
        <v>1099</v>
      </c>
      <c r="N1610" s="10">
        <v>1462.04</v>
      </c>
      <c r="O1610" s="10">
        <f t="shared" si="77"/>
        <v>1462.04</v>
      </c>
      <c r="P1610" s="4">
        <v>148</v>
      </c>
      <c r="Q1610" s="4" t="b">
        <v>1</v>
      </c>
      <c r="R1610" s="4"/>
      <c r="S1610" s="14" t="s">
        <v>34</v>
      </c>
    </row>
    <row r="1611" spans="1:19">
      <c r="A1611" s="6" t="s">
        <v>3325</v>
      </c>
      <c r="B1611" s="7" t="s">
        <v>3326</v>
      </c>
      <c r="C1611" s="8" t="s">
        <v>4127</v>
      </c>
      <c r="D1611" s="8">
        <v>45016</v>
      </c>
      <c r="E1611" s="7">
        <v>3</v>
      </c>
      <c r="F1611" s="7">
        <v>31</v>
      </c>
      <c r="G1611" s="7">
        <v>2023</v>
      </c>
      <c r="H1611" s="8">
        <f t="shared" si="75"/>
        <v>45016</v>
      </c>
      <c r="I1611" s="11">
        <v>45042</v>
      </c>
      <c r="J1611" s="7">
        <f t="shared" si="76"/>
        <v>26</v>
      </c>
      <c r="K1611" s="7" t="s">
        <v>41</v>
      </c>
      <c r="L1611" s="7">
        <v>56619</v>
      </c>
      <c r="M1611" s="7">
        <v>1175</v>
      </c>
      <c r="N1611" s="12">
        <v>1114.9</v>
      </c>
      <c r="O1611" s="12">
        <f t="shared" si="77"/>
        <v>1114.9</v>
      </c>
      <c r="P1611" s="7">
        <v>126</v>
      </c>
      <c r="Q1611" s="7" t="b">
        <v>1</v>
      </c>
      <c r="R1611" s="7"/>
      <c r="S1611" s="15" t="s">
        <v>42</v>
      </c>
    </row>
    <row r="1612" spans="1:19">
      <c r="A1612" s="3" t="s">
        <v>3327</v>
      </c>
      <c r="B1612" s="4" t="s">
        <v>3328</v>
      </c>
      <c r="C1612" s="5" t="s">
        <v>4128</v>
      </c>
      <c r="D1612" s="5">
        <v>45192</v>
      </c>
      <c r="E1612" s="4">
        <v>9</v>
      </c>
      <c r="F1612" s="4">
        <v>23</v>
      </c>
      <c r="G1612" s="4">
        <v>2023</v>
      </c>
      <c r="H1612" s="5">
        <f t="shared" si="75"/>
        <v>45192</v>
      </c>
      <c r="I1612" s="9">
        <v>45199</v>
      </c>
      <c r="J1612" s="4">
        <f t="shared" si="76"/>
        <v>7</v>
      </c>
      <c r="K1612" s="4" t="s">
        <v>19</v>
      </c>
      <c r="L1612" s="4">
        <v>33913</v>
      </c>
      <c r="M1612" s="4">
        <v>1191</v>
      </c>
      <c r="N1612" s="10">
        <v>1365.23</v>
      </c>
      <c r="O1612" s="10">
        <f t="shared" si="77"/>
        <v>1365.23</v>
      </c>
      <c r="P1612" s="4">
        <v>194</v>
      </c>
      <c r="Q1612" s="4" t="b">
        <v>1</v>
      </c>
      <c r="R1612" s="4"/>
      <c r="S1612" s="14" t="s">
        <v>20</v>
      </c>
    </row>
    <row r="1613" spans="1:19">
      <c r="A1613" s="6" t="s">
        <v>3329</v>
      </c>
      <c r="B1613" s="7" t="s">
        <v>3330</v>
      </c>
      <c r="C1613" s="8" t="s">
        <v>4128</v>
      </c>
      <c r="D1613" s="8">
        <v>44933</v>
      </c>
      <c r="E1613" s="7">
        <v>1</v>
      </c>
      <c r="F1613" s="7">
        <v>7</v>
      </c>
      <c r="G1613" s="7">
        <v>2023</v>
      </c>
      <c r="H1613" s="8">
        <f t="shared" si="75"/>
        <v>44933</v>
      </c>
      <c r="I1613" s="11">
        <v>44953</v>
      </c>
      <c r="J1613" s="7">
        <f t="shared" si="76"/>
        <v>20</v>
      </c>
      <c r="K1613" s="7" t="s">
        <v>23</v>
      </c>
      <c r="L1613" s="7">
        <v>41600</v>
      </c>
      <c r="M1613" s="7">
        <v>1217</v>
      </c>
      <c r="N1613" s="12">
        <v>1178.41</v>
      </c>
      <c r="O1613" s="12">
        <f t="shared" si="77"/>
        <v>1178.41</v>
      </c>
      <c r="P1613" s="7">
        <v>116</v>
      </c>
      <c r="Q1613" s="7" t="b">
        <v>1</v>
      </c>
      <c r="R1613" s="7"/>
      <c r="S1613" s="15" t="s">
        <v>25</v>
      </c>
    </row>
    <row r="1614" spans="1:19">
      <c r="A1614" s="3" t="s">
        <v>3331</v>
      </c>
      <c r="B1614" s="4" t="s">
        <v>3332</v>
      </c>
      <c r="C1614" s="5" t="s">
        <v>4131</v>
      </c>
      <c r="D1614" s="5">
        <v>44978</v>
      </c>
      <c r="E1614" s="4">
        <v>2</v>
      </c>
      <c r="F1614" s="4">
        <v>21</v>
      </c>
      <c r="G1614" s="4">
        <v>2023</v>
      </c>
      <c r="H1614" s="5">
        <f t="shared" si="75"/>
        <v>44978</v>
      </c>
      <c r="I1614" s="9">
        <v>45001</v>
      </c>
      <c r="J1614" s="4">
        <f t="shared" si="76"/>
        <v>23</v>
      </c>
      <c r="K1614" s="4" t="s">
        <v>19</v>
      </c>
      <c r="L1614" s="4">
        <v>58775</v>
      </c>
      <c r="M1614" s="4">
        <v>1438</v>
      </c>
      <c r="N1614" s="10">
        <v>2283.06</v>
      </c>
      <c r="O1614" s="10">
        <f t="shared" si="77"/>
        <v>2283.06</v>
      </c>
      <c r="P1614" s="4">
        <v>199</v>
      </c>
      <c r="Q1614" s="4" t="b">
        <v>0</v>
      </c>
      <c r="R1614" s="4"/>
      <c r="S1614" s="14" t="s">
        <v>20</v>
      </c>
    </row>
    <row r="1615" spans="1:19">
      <c r="A1615" s="6" t="s">
        <v>3333</v>
      </c>
      <c r="B1615" s="7" t="s">
        <v>3334</v>
      </c>
      <c r="C1615" s="8" t="s">
        <v>4131</v>
      </c>
      <c r="D1615" s="8">
        <v>45059</v>
      </c>
      <c r="E1615" s="7">
        <v>5</v>
      </c>
      <c r="F1615" s="7">
        <v>13</v>
      </c>
      <c r="G1615" s="7">
        <v>2023</v>
      </c>
      <c r="H1615" s="8">
        <f t="shared" si="75"/>
        <v>45059</v>
      </c>
      <c r="I1615" s="11">
        <v>45062</v>
      </c>
      <c r="J1615" s="7">
        <f t="shared" si="76"/>
        <v>3</v>
      </c>
      <c r="K1615" s="7" t="s">
        <v>33</v>
      </c>
      <c r="L1615" s="7">
        <v>91816</v>
      </c>
      <c r="M1615" s="7">
        <v>4404</v>
      </c>
      <c r="N1615" s="12">
        <v>7462.36</v>
      </c>
      <c r="O1615" s="12">
        <f t="shared" si="77"/>
        <v>3632.575</v>
      </c>
      <c r="P1615" s="7">
        <v>575</v>
      </c>
      <c r="Q1615" s="7" t="b">
        <v>1</v>
      </c>
      <c r="R1615" s="7"/>
      <c r="S1615" s="15" t="s">
        <v>34</v>
      </c>
    </row>
    <row r="1616" spans="1:19">
      <c r="A1616" s="3" t="s">
        <v>3335</v>
      </c>
      <c r="B1616" s="4" t="s">
        <v>3336</v>
      </c>
      <c r="C1616" s="5" t="s">
        <v>4131</v>
      </c>
      <c r="D1616" s="5">
        <v>45064</v>
      </c>
      <c r="E1616" s="4">
        <v>5</v>
      </c>
      <c r="F1616" s="4">
        <v>18</v>
      </c>
      <c r="G1616" s="4">
        <v>2023</v>
      </c>
      <c r="H1616" s="5">
        <f t="shared" si="75"/>
        <v>45064</v>
      </c>
      <c r="I1616" s="9">
        <v>45067</v>
      </c>
      <c r="J1616" s="4">
        <f t="shared" si="76"/>
        <v>3</v>
      </c>
      <c r="K1616" s="4" t="s">
        <v>14</v>
      </c>
      <c r="L1616" s="4">
        <v>91093</v>
      </c>
      <c r="M1616" s="4">
        <v>3214</v>
      </c>
      <c r="N1616" s="10">
        <v>5622.59</v>
      </c>
      <c r="O1616" s="10">
        <f t="shared" si="77"/>
        <v>3632.575</v>
      </c>
      <c r="P1616" s="4">
        <v>162</v>
      </c>
      <c r="Q1616" s="4" t="b">
        <v>1</v>
      </c>
      <c r="R1616" s="4"/>
      <c r="S1616" s="14" t="s">
        <v>68</v>
      </c>
    </row>
    <row r="1617" spans="1:19">
      <c r="A1617" s="6" t="s">
        <v>3337</v>
      </c>
      <c r="B1617" s="7" t="s">
        <v>3338</v>
      </c>
      <c r="C1617" s="8" t="s">
        <v>4127</v>
      </c>
      <c r="D1617" s="8">
        <v>45114</v>
      </c>
      <c r="E1617" s="7">
        <v>7</v>
      </c>
      <c r="F1617" s="7">
        <v>7</v>
      </c>
      <c r="G1617" s="7">
        <v>2023</v>
      </c>
      <c r="H1617" s="8">
        <f t="shared" si="75"/>
        <v>45114</v>
      </c>
      <c r="I1617" s="11">
        <v>45139</v>
      </c>
      <c r="J1617" s="7">
        <f t="shared" si="76"/>
        <v>25</v>
      </c>
      <c r="K1617" s="7" t="s">
        <v>138</v>
      </c>
      <c r="L1617" s="7">
        <v>36400</v>
      </c>
      <c r="M1617" s="7">
        <v>553</v>
      </c>
      <c r="N1617" s="12">
        <v>1094.19</v>
      </c>
      <c r="O1617" s="12">
        <f t="shared" si="77"/>
        <v>1094.19</v>
      </c>
      <c r="P1617" s="7">
        <v>33</v>
      </c>
      <c r="Q1617" s="7" t="b">
        <v>0</v>
      </c>
      <c r="R1617" s="7"/>
      <c r="S1617" s="15" t="s">
        <v>139</v>
      </c>
    </row>
    <row r="1618" spans="1:19">
      <c r="A1618" s="3" t="s">
        <v>3339</v>
      </c>
      <c r="B1618" s="4" t="s">
        <v>3340</v>
      </c>
      <c r="C1618" s="5" t="s">
        <v>4128</v>
      </c>
      <c r="D1618" s="5">
        <v>45141</v>
      </c>
      <c r="E1618" s="4">
        <v>8</v>
      </c>
      <c r="F1618" s="4">
        <v>3</v>
      </c>
      <c r="G1618" s="4">
        <v>2023</v>
      </c>
      <c r="H1618" s="5">
        <f t="shared" si="75"/>
        <v>45141</v>
      </c>
      <c r="I1618" s="9">
        <v>45145</v>
      </c>
      <c r="J1618" s="4">
        <f t="shared" si="76"/>
        <v>4</v>
      </c>
      <c r="K1618" s="4" t="s">
        <v>23</v>
      </c>
      <c r="L1618" s="4">
        <v>5494</v>
      </c>
      <c r="M1618" s="4">
        <v>178</v>
      </c>
      <c r="N1618" s="10">
        <v>300.27</v>
      </c>
      <c r="O1618" s="10">
        <f t="shared" si="77"/>
        <v>300.27</v>
      </c>
      <c r="P1618" s="4">
        <v>16</v>
      </c>
      <c r="Q1618" s="4" t="b">
        <v>1</v>
      </c>
      <c r="R1618" s="4"/>
      <c r="S1618" s="14" t="s">
        <v>68</v>
      </c>
    </row>
    <row r="1619" spans="1:19">
      <c r="A1619" s="6" t="s">
        <v>3341</v>
      </c>
      <c r="B1619" s="7" t="s">
        <v>3342</v>
      </c>
      <c r="C1619" s="8" t="s">
        <v>4129</v>
      </c>
      <c r="D1619" s="8">
        <v>45132</v>
      </c>
      <c r="E1619" s="7">
        <v>7</v>
      </c>
      <c r="F1619" s="7">
        <v>25</v>
      </c>
      <c r="G1619" s="7">
        <v>2023</v>
      </c>
      <c r="H1619" s="8">
        <f t="shared" si="75"/>
        <v>45132</v>
      </c>
      <c r="I1619" s="11">
        <v>45141</v>
      </c>
      <c r="J1619" s="7">
        <f t="shared" si="76"/>
        <v>9</v>
      </c>
      <c r="K1619" s="7" t="s">
        <v>138</v>
      </c>
      <c r="L1619" s="7">
        <v>81688</v>
      </c>
      <c r="M1619" s="7">
        <v>3367</v>
      </c>
      <c r="N1619" s="12">
        <v>4720.79</v>
      </c>
      <c r="O1619" s="12">
        <f t="shared" si="77"/>
        <v>3632.575</v>
      </c>
      <c r="P1619" s="7">
        <v>613</v>
      </c>
      <c r="Q1619" s="7" t="b">
        <v>1</v>
      </c>
      <c r="R1619" s="7"/>
      <c r="S1619" s="15" t="s">
        <v>139</v>
      </c>
    </row>
    <row r="1620" spans="1:19">
      <c r="A1620" s="3" t="s">
        <v>3343</v>
      </c>
      <c r="B1620" s="4" t="s">
        <v>3344</v>
      </c>
      <c r="C1620" s="5" t="s">
        <v>4131</v>
      </c>
      <c r="D1620" s="5">
        <v>44994</v>
      </c>
      <c r="E1620" s="4">
        <v>3</v>
      </c>
      <c r="F1620" s="4">
        <v>9</v>
      </c>
      <c r="G1620" s="4">
        <v>2023</v>
      </c>
      <c r="H1620" s="5">
        <f t="shared" si="75"/>
        <v>44994</v>
      </c>
      <c r="I1620" s="9">
        <v>45021</v>
      </c>
      <c r="J1620" s="4">
        <f t="shared" si="76"/>
        <v>27</v>
      </c>
      <c r="K1620" s="4" t="s">
        <v>41</v>
      </c>
      <c r="L1620" s="4">
        <v>90431</v>
      </c>
      <c r="M1620" s="4">
        <v>3467</v>
      </c>
      <c r="N1620" s="10">
        <v>3497.62</v>
      </c>
      <c r="O1620" s="10">
        <f t="shared" si="77"/>
        <v>3497.62</v>
      </c>
      <c r="P1620" s="4">
        <v>249</v>
      </c>
      <c r="Q1620" s="4" t="b">
        <v>1</v>
      </c>
      <c r="R1620" s="4"/>
      <c r="S1620" s="14" t="s">
        <v>42</v>
      </c>
    </row>
    <row r="1621" spans="1:19">
      <c r="A1621" s="6" t="s">
        <v>3345</v>
      </c>
      <c r="B1621" s="7" t="s">
        <v>3346</v>
      </c>
      <c r="C1621" s="8" t="s">
        <v>4131</v>
      </c>
      <c r="D1621" s="8">
        <v>44978</v>
      </c>
      <c r="E1621" s="7">
        <v>2</v>
      </c>
      <c r="F1621" s="7">
        <v>21</v>
      </c>
      <c r="G1621" s="7">
        <v>2023</v>
      </c>
      <c r="H1621" s="8">
        <f t="shared" si="75"/>
        <v>44978</v>
      </c>
      <c r="I1621" s="11">
        <v>45004</v>
      </c>
      <c r="J1621" s="7">
        <f t="shared" si="76"/>
        <v>26</v>
      </c>
      <c r="K1621" s="7" t="s">
        <v>33</v>
      </c>
      <c r="L1621" s="7">
        <v>75691</v>
      </c>
      <c r="M1621" s="7">
        <v>1277</v>
      </c>
      <c r="N1621" s="12">
        <v>1681.67</v>
      </c>
      <c r="O1621" s="12">
        <f t="shared" si="77"/>
        <v>1681.67</v>
      </c>
      <c r="P1621" s="7">
        <v>200</v>
      </c>
      <c r="Q1621" s="7" t="b">
        <v>0</v>
      </c>
      <c r="R1621" s="7"/>
      <c r="S1621" s="15" t="s">
        <v>34</v>
      </c>
    </row>
    <row r="1622" spans="1:19">
      <c r="A1622" s="3" t="s">
        <v>3347</v>
      </c>
      <c r="B1622" s="4" t="s">
        <v>3348</v>
      </c>
      <c r="C1622" s="5" t="s">
        <v>4128</v>
      </c>
      <c r="D1622" s="5">
        <v>45211</v>
      </c>
      <c r="E1622" s="4">
        <v>10</v>
      </c>
      <c r="F1622" s="4">
        <v>12</v>
      </c>
      <c r="G1622" s="4">
        <v>2023</v>
      </c>
      <c r="H1622" s="5">
        <f t="shared" si="75"/>
        <v>45211</v>
      </c>
      <c r="I1622" s="9">
        <v>45217</v>
      </c>
      <c r="J1622" s="4">
        <f t="shared" si="76"/>
        <v>6</v>
      </c>
      <c r="K1622" s="4" t="s">
        <v>23</v>
      </c>
      <c r="L1622" s="4">
        <v>98419</v>
      </c>
      <c r="M1622" s="4">
        <v>4812</v>
      </c>
      <c r="N1622" s="10">
        <v>2702.43</v>
      </c>
      <c r="O1622" s="10">
        <f t="shared" si="77"/>
        <v>2702.43</v>
      </c>
      <c r="P1622" s="4">
        <v>943</v>
      </c>
      <c r="Q1622" s="4" t="b">
        <v>0</v>
      </c>
      <c r="R1622" s="4"/>
      <c r="S1622" s="14" t="s">
        <v>25</v>
      </c>
    </row>
    <row r="1623" spans="1:19">
      <c r="A1623" s="6" t="s">
        <v>3349</v>
      </c>
      <c r="B1623" s="7" t="s">
        <v>3350</v>
      </c>
      <c r="C1623" s="8" t="s">
        <v>4131</v>
      </c>
      <c r="D1623" s="8">
        <v>45001</v>
      </c>
      <c r="E1623" s="7">
        <v>3</v>
      </c>
      <c r="F1623" s="7">
        <v>16</v>
      </c>
      <c r="G1623" s="7">
        <v>2023</v>
      </c>
      <c r="H1623" s="8">
        <f t="shared" si="75"/>
        <v>45001</v>
      </c>
      <c r="I1623" s="11">
        <v>45019</v>
      </c>
      <c r="J1623" s="7">
        <f t="shared" si="76"/>
        <v>18</v>
      </c>
      <c r="K1623" s="7" t="s">
        <v>19</v>
      </c>
      <c r="L1623" s="7">
        <v>44001</v>
      </c>
      <c r="M1623" s="7">
        <v>1229</v>
      </c>
      <c r="N1623" s="12">
        <v>1987.59</v>
      </c>
      <c r="O1623" s="12">
        <f t="shared" si="77"/>
        <v>1987.59</v>
      </c>
      <c r="P1623" s="7">
        <v>207</v>
      </c>
      <c r="Q1623" s="7" t="b">
        <v>0</v>
      </c>
      <c r="R1623" s="7"/>
      <c r="S1623" s="15" t="s">
        <v>20</v>
      </c>
    </row>
    <row r="1624" spans="1:19">
      <c r="A1624" s="3" t="s">
        <v>3351</v>
      </c>
      <c r="B1624" s="4" t="s">
        <v>3352</v>
      </c>
      <c r="C1624" s="5" t="s">
        <v>4129</v>
      </c>
      <c r="D1624" s="5">
        <v>45169</v>
      </c>
      <c r="E1624" s="4">
        <v>8</v>
      </c>
      <c r="F1624" s="4">
        <v>31</v>
      </c>
      <c r="G1624" s="4">
        <v>2023</v>
      </c>
      <c r="H1624" s="5">
        <f t="shared" si="75"/>
        <v>45169</v>
      </c>
      <c r="I1624" s="9">
        <v>45173</v>
      </c>
      <c r="J1624" s="4">
        <f t="shared" si="76"/>
        <v>4</v>
      </c>
      <c r="K1624" s="4" t="s">
        <v>23</v>
      </c>
      <c r="L1624" s="4">
        <v>68364</v>
      </c>
      <c r="M1624" s="4">
        <v>1118</v>
      </c>
      <c r="N1624" s="10">
        <v>1306.87</v>
      </c>
      <c r="O1624" s="10">
        <f t="shared" si="77"/>
        <v>1306.87</v>
      </c>
      <c r="P1624" s="4">
        <v>96</v>
      </c>
      <c r="Q1624" s="4" t="b">
        <v>1</v>
      </c>
      <c r="R1624" s="4"/>
      <c r="S1624" s="14" t="s">
        <v>25</v>
      </c>
    </row>
    <row r="1625" spans="1:19">
      <c r="A1625" s="6" t="s">
        <v>3353</v>
      </c>
      <c r="B1625" s="7" t="s">
        <v>3354</v>
      </c>
      <c r="C1625" s="8" t="s">
        <v>4131</v>
      </c>
      <c r="D1625" s="8">
        <v>45182</v>
      </c>
      <c r="E1625" s="7">
        <v>9</v>
      </c>
      <c r="F1625" s="7">
        <v>13</v>
      </c>
      <c r="G1625" s="7">
        <v>2023</v>
      </c>
      <c r="H1625" s="8">
        <f t="shared" si="75"/>
        <v>45182</v>
      </c>
      <c r="I1625" s="11">
        <v>45207</v>
      </c>
      <c r="J1625" s="7">
        <f t="shared" si="76"/>
        <v>25</v>
      </c>
      <c r="K1625" s="7" t="s">
        <v>41</v>
      </c>
      <c r="L1625" s="7">
        <v>46028</v>
      </c>
      <c r="M1625" s="7">
        <v>792</v>
      </c>
      <c r="N1625" s="12">
        <v>419.79</v>
      </c>
      <c r="O1625" s="12">
        <f t="shared" si="77"/>
        <v>419.79</v>
      </c>
      <c r="P1625" s="7">
        <v>147</v>
      </c>
      <c r="Q1625" s="7" t="b">
        <v>1</v>
      </c>
      <c r="R1625" s="7"/>
      <c r="S1625" s="15" t="s">
        <v>42</v>
      </c>
    </row>
    <row r="1626" spans="1:19">
      <c r="A1626" s="3" t="s">
        <v>3355</v>
      </c>
      <c r="B1626" s="4" t="s">
        <v>3356</v>
      </c>
      <c r="C1626" s="5" t="s">
        <v>4127</v>
      </c>
      <c r="D1626" s="5">
        <v>45249</v>
      </c>
      <c r="E1626" s="4">
        <v>11</v>
      </c>
      <c r="F1626" s="4">
        <v>19</v>
      </c>
      <c r="G1626" s="4">
        <v>2023</v>
      </c>
      <c r="H1626" s="5">
        <f t="shared" si="75"/>
        <v>45249</v>
      </c>
      <c r="I1626" s="9">
        <v>45264</v>
      </c>
      <c r="J1626" s="4">
        <f t="shared" si="76"/>
        <v>15</v>
      </c>
      <c r="K1626" s="4" t="s">
        <v>41</v>
      </c>
      <c r="L1626" s="4">
        <v>98659</v>
      </c>
      <c r="M1626" s="4">
        <v>1374</v>
      </c>
      <c r="N1626" s="10">
        <v>815.83</v>
      </c>
      <c r="O1626" s="10">
        <f t="shared" si="77"/>
        <v>815.83</v>
      </c>
      <c r="P1626" s="4">
        <v>87</v>
      </c>
      <c r="Q1626" s="4" t="b">
        <v>1</v>
      </c>
      <c r="R1626" s="4"/>
      <c r="S1626" s="14" t="s">
        <v>42</v>
      </c>
    </row>
    <row r="1627" spans="1:19">
      <c r="A1627" s="6" t="s">
        <v>3357</v>
      </c>
      <c r="B1627" s="7" t="s">
        <v>3358</v>
      </c>
      <c r="C1627" s="8" t="s">
        <v>4131</v>
      </c>
      <c r="D1627" s="8">
        <v>45176</v>
      </c>
      <c r="E1627" s="7">
        <v>9</v>
      </c>
      <c r="F1627" s="7">
        <v>7</v>
      </c>
      <c r="G1627" s="7">
        <v>2023</v>
      </c>
      <c r="H1627" s="8">
        <f t="shared" si="75"/>
        <v>45176</v>
      </c>
      <c r="I1627" s="11">
        <v>45194</v>
      </c>
      <c r="J1627" s="7">
        <f t="shared" si="76"/>
        <v>18</v>
      </c>
      <c r="K1627" s="7" t="s">
        <v>14</v>
      </c>
      <c r="L1627" s="7">
        <v>38573</v>
      </c>
      <c r="M1627" s="7">
        <v>1625</v>
      </c>
      <c r="N1627" s="12">
        <v>1756.95</v>
      </c>
      <c r="O1627" s="12">
        <f t="shared" si="77"/>
        <v>1756.95</v>
      </c>
      <c r="P1627" s="7">
        <v>0</v>
      </c>
      <c r="Q1627" s="7" t="b">
        <v>0</v>
      </c>
      <c r="R1627" s="7"/>
      <c r="S1627" s="15" t="s">
        <v>16</v>
      </c>
    </row>
    <row r="1628" spans="1:19">
      <c r="A1628" s="3" t="s">
        <v>3359</v>
      </c>
      <c r="B1628" s="4" t="s">
        <v>3360</v>
      </c>
      <c r="C1628" s="5" t="s">
        <v>4129</v>
      </c>
      <c r="D1628" s="5" t="s">
        <v>2225</v>
      </c>
      <c r="E1628" s="4">
        <v>18</v>
      </c>
      <c r="F1628" s="4">
        <v>10</v>
      </c>
      <c r="G1628" s="4">
        <v>2023</v>
      </c>
      <c r="H1628" s="5">
        <f t="shared" si="75"/>
        <v>45217</v>
      </c>
      <c r="I1628" s="9">
        <v>45242</v>
      </c>
      <c r="J1628" s="4">
        <f t="shared" si="76"/>
        <v>25</v>
      </c>
      <c r="K1628" s="4" t="s">
        <v>33</v>
      </c>
      <c r="L1628" s="4">
        <v>1806</v>
      </c>
      <c r="M1628" s="4">
        <v>26</v>
      </c>
      <c r="N1628" s="10">
        <v>35.75</v>
      </c>
      <c r="O1628" s="10">
        <f t="shared" si="77"/>
        <v>35.75</v>
      </c>
      <c r="P1628" s="4">
        <v>4</v>
      </c>
      <c r="Q1628" s="4" t="b">
        <v>1</v>
      </c>
      <c r="R1628" s="4"/>
      <c r="S1628" s="14" t="s">
        <v>34</v>
      </c>
    </row>
    <row r="1629" spans="1:19">
      <c r="A1629" s="6" t="s">
        <v>3361</v>
      </c>
      <c r="B1629" s="7" t="s">
        <v>3362</v>
      </c>
      <c r="C1629" s="8" t="s">
        <v>4129</v>
      </c>
      <c r="D1629" s="8">
        <v>44977</v>
      </c>
      <c r="E1629" s="7">
        <v>2</v>
      </c>
      <c r="F1629" s="7">
        <v>20</v>
      </c>
      <c r="G1629" s="7">
        <v>2023</v>
      </c>
      <c r="H1629" s="8">
        <f t="shared" si="75"/>
        <v>44977</v>
      </c>
      <c r="I1629" s="11">
        <v>44989</v>
      </c>
      <c r="J1629" s="7">
        <f t="shared" si="76"/>
        <v>12</v>
      </c>
      <c r="K1629" s="7" t="s">
        <v>33</v>
      </c>
      <c r="L1629" s="7">
        <v>57638</v>
      </c>
      <c r="M1629" s="7">
        <v>864</v>
      </c>
      <c r="N1629" s="12">
        <v>1033.61</v>
      </c>
      <c r="O1629" s="12">
        <f t="shared" si="77"/>
        <v>1033.61</v>
      </c>
      <c r="P1629" s="7">
        <v>126</v>
      </c>
      <c r="Q1629" s="7" t="b">
        <v>0</v>
      </c>
      <c r="R1629" s="7"/>
      <c r="S1629" s="15" t="s">
        <v>34</v>
      </c>
    </row>
    <row r="1630" spans="1:19">
      <c r="A1630" s="3" t="s">
        <v>3363</v>
      </c>
      <c r="B1630" s="4" t="s">
        <v>3364</v>
      </c>
      <c r="C1630" s="5" t="s">
        <v>4128</v>
      </c>
      <c r="D1630" s="5">
        <v>45057</v>
      </c>
      <c r="E1630" s="4">
        <v>5</v>
      </c>
      <c r="F1630" s="4">
        <v>11</v>
      </c>
      <c r="G1630" s="4">
        <v>2023</v>
      </c>
      <c r="H1630" s="5">
        <f t="shared" si="75"/>
        <v>45057</v>
      </c>
      <c r="I1630" s="9">
        <v>45081</v>
      </c>
      <c r="J1630" s="4">
        <f t="shared" si="76"/>
        <v>24</v>
      </c>
      <c r="K1630" s="4" t="s">
        <v>19</v>
      </c>
      <c r="L1630" s="4">
        <v>30757</v>
      </c>
      <c r="M1630" s="4">
        <v>1353</v>
      </c>
      <c r="N1630" s="10">
        <v>1933.18</v>
      </c>
      <c r="O1630" s="10">
        <f t="shared" si="77"/>
        <v>1933.18</v>
      </c>
      <c r="P1630" s="4">
        <v>151</v>
      </c>
      <c r="Q1630" s="4" t="b">
        <v>1</v>
      </c>
      <c r="R1630" s="4">
        <v>30769</v>
      </c>
      <c r="S1630" s="14" t="s">
        <v>20</v>
      </c>
    </row>
    <row r="1631" spans="1:19">
      <c r="A1631" s="6" t="s">
        <v>3365</v>
      </c>
      <c r="B1631" s="7" t="s">
        <v>3366</v>
      </c>
      <c r="C1631" s="8" t="s">
        <v>4131</v>
      </c>
      <c r="D1631" s="8">
        <v>45157</v>
      </c>
      <c r="E1631" s="7">
        <v>8</v>
      </c>
      <c r="F1631" s="7">
        <v>19</v>
      </c>
      <c r="G1631" s="7">
        <v>2023</v>
      </c>
      <c r="H1631" s="8">
        <f t="shared" si="75"/>
        <v>45157</v>
      </c>
      <c r="I1631" s="11">
        <v>45163</v>
      </c>
      <c r="J1631" s="7">
        <f t="shared" si="76"/>
        <v>6</v>
      </c>
      <c r="K1631" s="7" t="s">
        <v>41</v>
      </c>
      <c r="L1631" s="7">
        <v>35636</v>
      </c>
      <c r="M1631" s="7">
        <v>847</v>
      </c>
      <c r="N1631" s="12">
        <v>1033.71</v>
      </c>
      <c r="O1631" s="12">
        <f t="shared" si="77"/>
        <v>1033.71</v>
      </c>
      <c r="P1631" s="7">
        <v>79</v>
      </c>
      <c r="Q1631" s="7" t="b">
        <v>1</v>
      </c>
      <c r="R1631" s="7"/>
      <c r="S1631" s="15" t="s">
        <v>42</v>
      </c>
    </row>
    <row r="1632" spans="1:19">
      <c r="A1632" s="3" t="s">
        <v>3367</v>
      </c>
      <c r="B1632" s="4" t="s">
        <v>3368</v>
      </c>
      <c r="C1632" s="5" t="s">
        <v>4131</v>
      </c>
      <c r="D1632" s="5">
        <v>45111</v>
      </c>
      <c r="E1632" s="4">
        <v>7</v>
      </c>
      <c r="F1632" s="4">
        <v>4</v>
      </c>
      <c r="G1632" s="4">
        <v>2023</v>
      </c>
      <c r="H1632" s="5">
        <f t="shared" si="75"/>
        <v>45111</v>
      </c>
      <c r="I1632" s="9">
        <v>45116</v>
      </c>
      <c r="J1632" s="4">
        <f t="shared" si="76"/>
        <v>5</v>
      </c>
      <c r="K1632" s="4" t="s">
        <v>19</v>
      </c>
      <c r="L1632" s="4">
        <v>81097</v>
      </c>
      <c r="M1632" s="4">
        <v>911</v>
      </c>
      <c r="N1632" s="10">
        <v>1359.72</v>
      </c>
      <c r="O1632" s="10">
        <f t="shared" si="77"/>
        <v>1359.72</v>
      </c>
      <c r="P1632" s="4">
        <v>96</v>
      </c>
      <c r="Q1632" s="4" t="b">
        <v>0</v>
      </c>
      <c r="R1632" s="4"/>
      <c r="S1632" s="14" t="s">
        <v>68</v>
      </c>
    </row>
    <row r="1633" spans="1:19">
      <c r="A1633" s="6" t="s">
        <v>3369</v>
      </c>
      <c r="B1633" s="7" t="s">
        <v>3370</v>
      </c>
      <c r="C1633" s="8" t="s">
        <v>4129</v>
      </c>
      <c r="D1633" s="8">
        <v>45058</v>
      </c>
      <c r="E1633" s="7">
        <v>5</v>
      </c>
      <c r="F1633" s="7">
        <v>12</v>
      </c>
      <c r="G1633" s="7">
        <v>2023</v>
      </c>
      <c r="H1633" s="8">
        <f t="shared" si="75"/>
        <v>45058</v>
      </c>
      <c r="I1633" s="11">
        <v>45076</v>
      </c>
      <c r="J1633" s="7">
        <f t="shared" si="76"/>
        <v>18</v>
      </c>
      <c r="K1633" s="7" t="s">
        <v>23</v>
      </c>
      <c r="L1633" s="7">
        <v>49280</v>
      </c>
      <c r="M1633" s="7">
        <v>595</v>
      </c>
      <c r="N1633" s="12">
        <v>493.07</v>
      </c>
      <c r="O1633" s="12">
        <f t="shared" si="77"/>
        <v>493.07</v>
      </c>
      <c r="P1633" s="7">
        <v>75</v>
      </c>
      <c r="Q1633" s="7" t="b">
        <v>0</v>
      </c>
      <c r="R1633" s="7"/>
      <c r="S1633" s="15" t="s">
        <v>25</v>
      </c>
    </row>
    <row r="1634" spans="1:19">
      <c r="A1634" s="3" t="s">
        <v>3371</v>
      </c>
      <c r="B1634" s="4" t="s">
        <v>3372</v>
      </c>
      <c r="C1634" s="5" t="s">
        <v>4127</v>
      </c>
      <c r="D1634" s="5">
        <v>45106</v>
      </c>
      <c r="E1634" s="4">
        <v>6</v>
      </c>
      <c r="F1634" s="4">
        <v>29</v>
      </c>
      <c r="G1634" s="4">
        <v>2023</v>
      </c>
      <c r="H1634" s="5">
        <f t="shared" si="75"/>
        <v>45106</v>
      </c>
      <c r="I1634" s="9">
        <v>45136</v>
      </c>
      <c r="J1634" s="4">
        <f t="shared" si="76"/>
        <v>30</v>
      </c>
      <c r="K1634" s="4" t="s">
        <v>33</v>
      </c>
      <c r="L1634" s="4">
        <v>25262</v>
      </c>
      <c r="M1634" s="4">
        <v>396</v>
      </c>
      <c r="N1634" s="10">
        <v>265.03</v>
      </c>
      <c r="O1634" s="10">
        <f t="shared" si="77"/>
        <v>265.03</v>
      </c>
      <c r="P1634" s="4">
        <v>38</v>
      </c>
      <c r="Q1634" s="4" t="b">
        <v>1</v>
      </c>
      <c r="R1634" s="4"/>
      <c r="S1634" s="14" t="s">
        <v>34</v>
      </c>
    </row>
    <row r="1635" spans="1:19">
      <c r="A1635" s="6" t="s">
        <v>3373</v>
      </c>
      <c r="B1635" s="7" t="s">
        <v>3374</v>
      </c>
      <c r="C1635" s="8" t="s">
        <v>4129</v>
      </c>
      <c r="D1635" s="8">
        <v>45028</v>
      </c>
      <c r="E1635" s="7">
        <v>4</v>
      </c>
      <c r="F1635" s="7">
        <v>12</v>
      </c>
      <c r="G1635" s="7">
        <v>2023</v>
      </c>
      <c r="H1635" s="8">
        <f t="shared" si="75"/>
        <v>45028</v>
      </c>
      <c r="I1635" s="11">
        <v>45023</v>
      </c>
      <c r="J1635" s="7">
        <f t="shared" si="76"/>
        <v>-5</v>
      </c>
      <c r="K1635" s="7" t="s">
        <v>138</v>
      </c>
      <c r="L1635" s="7">
        <v>81435</v>
      </c>
      <c r="M1635" s="7">
        <v>1509</v>
      </c>
      <c r="N1635" s="12">
        <v>2104.53</v>
      </c>
      <c r="O1635" s="12">
        <f t="shared" si="77"/>
        <v>2104.53</v>
      </c>
      <c r="P1635" s="7">
        <v>294</v>
      </c>
      <c r="Q1635" s="7" t="b">
        <v>0</v>
      </c>
      <c r="R1635" s="7"/>
      <c r="S1635" s="15" t="s">
        <v>139</v>
      </c>
    </row>
    <row r="1636" spans="1:19">
      <c r="A1636" s="3" t="s">
        <v>3375</v>
      </c>
      <c r="B1636" s="4" t="s">
        <v>3376</v>
      </c>
      <c r="C1636" s="5" t="s">
        <v>4131</v>
      </c>
      <c r="D1636" s="5">
        <v>45202</v>
      </c>
      <c r="E1636" s="4">
        <v>10</v>
      </c>
      <c r="F1636" s="4">
        <v>3</v>
      </c>
      <c r="G1636" s="4">
        <v>2023</v>
      </c>
      <c r="H1636" s="5">
        <f t="shared" si="75"/>
        <v>45202</v>
      </c>
      <c r="I1636" s="9">
        <v>45210</v>
      </c>
      <c r="J1636" s="4">
        <f t="shared" si="76"/>
        <v>8</v>
      </c>
      <c r="K1636" s="4" t="s">
        <v>41</v>
      </c>
      <c r="L1636" s="4">
        <v>63211</v>
      </c>
      <c r="M1636" s="4">
        <v>2313</v>
      </c>
      <c r="N1636" s="10">
        <v>2838.13</v>
      </c>
      <c r="O1636" s="10">
        <f t="shared" si="77"/>
        <v>2838.13</v>
      </c>
      <c r="P1636" s="4">
        <v>439</v>
      </c>
      <c r="Q1636" s="4" t="b">
        <v>1</v>
      </c>
      <c r="R1636" s="4"/>
      <c r="S1636" s="14" t="s">
        <v>42</v>
      </c>
    </row>
    <row r="1637" spans="1:19">
      <c r="A1637" s="6" t="s">
        <v>3377</v>
      </c>
      <c r="B1637" s="7" t="s">
        <v>3378</v>
      </c>
      <c r="C1637" s="8" t="s">
        <v>4128</v>
      </c>
      <c r="D1637" s="8">
        <v>45108</v>
      </c>
      <c r="E1637" s="7">
        <v>7</v>
      </c>
      <c r="F1637" s="7">
        <v>1</v>
      </c>
      <c r="G1637" s="7">
        <v>2023</v>
      </c>
      <c r="H1637" s="8">
        <f t="shared" si="75"/>
        <v>45108</v>
      </c>
      <c r="I1637" s="11">
        <v>45134</v>
      </c>
      <c r="J1637" s="7">
        <f t="shared" si="76"/>
        <v>26</v>
      </c>
      <c r="K1637" s="7" t="s">
        <v>33</v>
      </c>
      <c r="L1637" s="7">
        <v>55842</v>
      </c>
      <c r="M1637" s="7">
        <v>909</v>
      </c>
      <c r="N1637" s="12">
        <v>491.13</v>
      </c>
      <c r="O1637" s="12">
        <f t="shared" si="77"/>
        <v>491.13</v>
      </c>
      <c r="P1637" s="7">
        <v>164</v>
      </c>
      <c r="Q1637" s="7" t="b">
        <v>0</v>
      </c>
      <c r="R1637" s="7"/>
      <c r="S1637" s="15" t="s">
        <v>68</v>
      </c>
    </row>
    <row r="1638" spans="1:19">
      <c r="A1638" s="3" t="s">
        <v>3379</v>
      </c>
      <c r="B1638" s="4" t="s">
        <v>3380</v>
      </c>
      <c r="C1638" s="5" t="s">
        <v>4129</v>
      </c>
      <c r="D1638" s="5">
        <v>45155</v>
      </c>
      <c r="E1638" s="4">
        <v>8</v>
      </c>
      <c r="F1638" s="4">
        <v>17</v>
      </c>
      <c r="G1638" s="4">
        <v>2023</v>
      </c>
      <c r="H1638" s="5">
        <f t="shared" si="75"/>
        <v>45155</v>
      </c>
      <c r="I1638" s="9">
        <v>45156</v>
      </c>
      <c r="J1638" s="4">
        <f t="shared" si="76"/>
        <v>1</v>
      </c>
      <c r="K1638" s="4" t="s">
        <v>33</v>
      </c>
      <c r="L1638" s="4">
        <v>57979</v>
      </c>
      <c r="M1638" s="4">
        <v>855</v>
      </c>
      <c r="N1638" s="10">
        <v>915.47</v>
      </c>
      <c r="O1638" s="10">
        <f t="shared" si="77"/>
        <v>915.47</v>
      </c>
      <c r="P1638" s="4">
        <v>96</v>
      </c>
      <c r="Q1638" s="4" t="b">
        <v>1</v>
      </c>
      <c r="R1638" s="4"/>
      <c r="S1638" s="14" t="s">
        <v>34</v>
      </c>
    </row>
    <row r="1639" spans="1:19">
      <c r="A1639" s="6" t="s">
        <v>3381</v>
      </c>
      <c r="B1639" s="7" t="s">
        <v>3382</v>
      </c>
      <c r="C1639" s="8" t="s">
        <v>4127</v>
      </c>
      <c r="D1639" s="8">
        <v>45073</v>
      </c>
      <c r="E1639" s="7">
        <v>5</v>
      </c>
      <c r="F1639" s="7">
        <v>27</v>
      </c>
      <c r="G1639" s="7">
        <v>2023</v>
      </c>
      <c r="H1639" s="8">
        <f t="shared" si="75"/>
        <v>45073</v>
      </c>
      <c r="I1639" s="11">
        <v>45084</v>
      </c>
      <c r="J1639" s="7">
        <f t="shared" si="76"/>
        <v>11</v>
      </c>
      <c r="K1639" s="7" t="s">
        <v>138</v>
      </c>
      <c r="L1639" s="7">
        <v>82470</v>
      </c>
      <c r="M1639" s="7">
        <v>3347</v>
      </c>
      <c r="N1639" s="12">
        <v>2206.3</v>
      </c>
      <c r="O1639" s="12">
        <f t="shared" si="77"/>
        <v>2206.3</v>
      </c>
      <c r="P1639" s="7">
        <v>514</v>
      </c>
      <c r="Q1639" s="7" t="b">
        <v>1</v>
      </c>
      <c r="R1639" s="7"/>
      <c r="S1639" s="15" t="s">
        <v>139</v>
      </c>
    </row>
    <row r="1640" spans="1:19">
      <c r="A1640" s="3" t="s">
        <v>3383</v>
      </c>
      <c r="B1640" s="4" t="s">
        <v>3384</v>
      </c>
      <c r="C1640" s="5" t="s">
        <v>4131</v>
      </c>
      <c r="D1640" s="5">
        <v>45012</v>
      </c>
      <c r="E1640" s="4">
        <v>3</v>
      </c>
      <c r="F1640" s="4">
        <v>27</v>
      </c>
      <c r="G1640" s="4">
        <v>2023</v>
      </c>
      <c r="H1640" s="5">
        <f t="shared" si="75"/>
        <v>45012</v>
      </c>
      <c r="I1640" s="9">
        <v>45040</v>
      </c>
      <c r="J1640" s="4">
        <f t="shared" si="76"/>
        <v>28</v>
      </c>
      <c r="K1640" s="4" t="s">
        <v>33</v>
      </c>
      <c r="L1640" s="4">
        <v>39197</v>
      </c>
      <c r="M1640" s="4">
        <v>1444</v>
      </c>
      <c r="N1640" s="10">
        <v>1872.92</v>
      </c>
      <c r="O1640" s="10">
        <f t="shared" si="77"/>
        <v>1872.92</v>
      </c>
      <c r="P1640" s="4">
        <v>267</v>
      </c>
      <c r="Q1640" s="4" t="b">
        <v>0</v>
      </c>
      <c r="R1640" s="4"/>
      <c r="S1640" s="14" t="s">
        <v>68</v>
      </c>
    </row>
    <row r="1641" spans="1:19">
      <c r="A1641" s="6" t="s">
        <v>3385</v>
      </c>
      <c r="B1641" s="7" t="s">
        <v>3386</v>
      </c>
      <c r="C1641" s="8" t="s">
        <v>4131</v>
      </c>
      <c r="D1641" s="8">
        <v>45142</v>
      </c>
      <c r="E1641" s="7">
        <v>8</v>
      </c>
      <c r="F1641" s="7">
        <v>4</v>
      </c>
      <c r="G1641" s="7">
        <v>2023</v>
      </c>
      <c r="H1641" s="8">
        <f t="shared" si="75"/>
        <v>45142</v>
      </c>
      <c r="I1641" s="11">
        <v>45148</v>
      </c>
      <c r="J1641" s="7">
        <f t="shared" si="76"/>
        <v>6</v>
      </c>
      <c r="K1641" s="7" t="s">
        <v>14</v>
      </c>
      <c r="L1641" s="7">
        <v>42844</v>
      </c>
      <c r="M1641" s="7">
        <v>1174</v>
      </c>
      <c r="N1641" s="12">
        <v>1283.96</v>
      </c>
      <c r="O1641" s="12">
        <f t="shared" si="77"/>
        <v>1283.96</v>
      </c>
      <c r="P1641" s="7">
        <v>208</v>
      </c>
      <c r="Q1641" s="7" t="b">
        <v>0</v>
      </c>
      <c r="R1641" s="7"/>
      <c r="S1641" s="15" t="s">
        <v>16</v>
      </c>
    </row>
    <row r="1642" spans="1:19">
      <c r="A1642" s="3" t="s">
        <v>3387</v>
      </c>
      <c r="B1642" s="4" t="s">
        <v>3388</v>
      </c>
      <c r="C1642" s="5" t="s">
        <v>4128</v>
      </c>
      <c r="D1642" s="5">
        <v>45079</v>
      </c>
      <c r="E1642" s="4">
        <v>6</v>
      </c>
      <c r="F1642" s="4">
        <v>2</v>
      </c>
      <c r="G1642" s="4">
        <v>2023</v>
      </c>
      <c r="H1642" s="5">
        <f t="shared" si="75"/>
        <v>45079</v>
      </c>
      <c r="I1642" s="9">
        <v>44988</v>
      </c>
      <c r="J1642" s="4">
        <f t="shared" si="76"/>
        <v>-91</v>
      </c>
      <c r="K1642" s="4" t="s">
        <v>33</v>
      </c>
      <c r="L1642" s="4">
        <v>65754</v>
      </c>
      <c r="M1642" s="4">
        <v>2102</v>
      </c>
      <c r="N1642" s="10">
        <v>2984.27</v>
      </c>
      <c r="O1642" s="10">
        <f t="shared" si="77"/>
        <v>2984.27</v>
      </c>
      <c r="P1642" s="4">
        <v>235</v>
      </c>
      <c r="Q1642" s="4" t="b">
        <v>0</v>
      </c>
      <c r="R1642" s="4"/>
      <c r="S1642" s="14" t="s">
        <v>34</v>
      </c>
    </row>
    <row r="1643" spans="1:19">
      <c r="A1643" s="6" t="s">
        <v>3389</v>
      </c>
      <c r="B1643" s="7" t="s">
        <v>3390</v>
      </c>
      <c r="C1643" s="8" t="s">
        <v>4128</v>
      </c>
      <c r="D1643" s="8">
        <v>45102</v>
      </c>
      <c r="E1643" s="7">
        <v>6</v>
      </c>
      <c r="F1643" s="7">
        <v>25</v>
      </c>
      <c r="G1643" s="7">
        <v>2023</v>
      </c>
      <c r="H1643" s="8">
        <f t="shared" si="75"/>
        <v>45102</v>
      </c>
      <c r="I1643" s="11">
        <v>45111</v>
      </c>
      <c r="J1643" s="7">
        <f t="shared" si="76"/>
        <v>9</v>
      </c>
      <c r="K1643" s="7" t="s">
        <v>23</v>
      </c>
      <c r="L1643" s="7">
        <v>35157</v>
      </c>
      <c r="M1643" s="7">
        <v>790</v>
      </c>
      <c r="N1643" s="12">
        <v>1349.64</v>
      </c>
      <c r="O1643" s="12">
        <f t="shared" si="77"/>
        <v>1349.64</v>
      </c>
      <c r="P1643" s="7">
        <v>0</v>
      </c>
      <c r="Q1643" s="7" t="b">
        <v>1</v>
      </c>
      <c r="R1643" s="7"/>
      <c r="S1643" s="15" t="s">
        <v>68</v>
      </c>
    </row>
    <row r="1644" spans="1:19">
      <c r="A1644" s="3" t="s">
        <v>3391</v>
      </c>
      <c r="B1644" s="4" t="s">
        <v>3392</v>
      </c>
      <c r="C1644" s="5" t="s">
        <v>4131</v>
      </c>
      <c r="D1644" s="5">
        <v>45076</v>
      </c>
      <c r="E1644" s="4">
        <v>5</v>
      </c>
      <c r="F1644" s="4">
        <v>30</v>
      </c>
      <c r="G1644" s="4">
        <v>2023</v>
      </c>
      <c r="H1644" s="5">
        <f t="shared" si="75"/>
        <v>45076</v>
      </c>
      <c r="I1644" s="9">
        <v>45093</v>
      </c>
      <c r="J1644" s="4">
        <f t="shared" si="76"/>
        <v>17</v>
      </c>
      <c r="K1644" s="4" t="s">
        <v>14</v>
      </c>
      <c r="L1644" s="4">
        <v>78129</v>
      </c>
      <c r="M1644" s="4">
        <v>2289</v>
      </c>
      <c r="N1644" s="10">
        <v>2173.41</v>
      </c>
      <c r="O1644" s="10">
        <f t="shared" si="77"/>
        <v>2173.41</v>
      </c>
      <c r="P1644" s="4">
        <v>140</v>
      </c>
      <c r="Q1644" s="4" t="b">
        <v>1</v>
      </c>
      <c r="R1644" s="4"/>
      <c r="S1644" s="14" t="s">
        <v>16</v>
      </c>
    </row>
    <row r="1645" spans="1:19">
      <c r="A1645" s="6" t="s">
        <v>3393</v>
      </c>
      <c r="B1645" s="7" t="s">
        <v>3394</v>
      </c>
      <c r="C1645" s="8" t="s">
        <v>4131</v>
      </c>
      <c r="D1645" s="8">
        <v>45129</v>
      </c>
      <c r="E1645" s="7">
        <v>7</v>
      </c>
      <c r="F1645" s="7">
        <v>22</v>
      </c>
      <c r="G1645" s="7">
        <v>2023</v>
      </c>
      <c r="H1645" s="8">
        <f t="shared" si="75"/>
        <v>45129</v>
      </c>
      <c r="I1645" s="11">
        <v>45156</v>
      </c>
      <c r="J1645" s="7">
        <f t="shared" si="76"/>
        <v>27</v>
      </c>
      <c r="K1645" s="7" t="s">
        <v>41</v>
      </c>
      <c r="L1645" s="7">
        <v>41042</v>
      </c>
      <c r="M1645" s="7">
        <v>1242</v>
      </c>
      <c r="N1645" s="12">
        <v>2413.4</v>
      </c>
      <c r="O1645" s="12">
        <f t="shared" si="77"/>
        <v>2413.4</v>
      </c>
      <c r="P1645" s="7">
        <v>169</v>
      </c>
      <c r="Q1645" s="7" t="b">
        <v>1</v>
      </c>
      <c r="R1645" s="7"/>
      <c r="S1645" s="15" t="s">
        <v>42</v>
      </c>
    </row>
    <row r="1646" spans="1:19">
      <c r="A1646" s="3" t="s">
        <v>3395</v>
      </c>
      <c r="B1646" s="4" t="s">
        <v>3396</v>
      </c>
      <c r="C1646" s="5" t="s">
        <v>4128</v>
      </c>
      <c r="D1646" s="5">
        <v>45112</v>
      </c>
      <c r="E1646" s="4">
        <v>7</v>
      </c>
      <c r="F1646" s="4">
        <v>5</v>
      </c>
      <c r="G1646" s="4">
        <v>2023</v>
      </c>
      <c r="H1646" s="5">
        <f t="shared" si="75"/>
        <v>45112</v>
      </c>
      <c r="I1646" s="9">
        <v>45113</v>
      </c>
      <c r="J1646" s="4">
        <f t="shared" si="76"/>
        <v>1</v>
      </c>
      <c r="K1646" s="4" t="s">
        <v>14</v>
      </c>
      <c r="L1646" s="4">
        <v>62665</v>
      </c>
      <c r="M1646" s="4">
        <v>1597</v>
      </c>
      <c r="N1646" s="10">
        <v>2081.61</v>
      </c>
      <c r="O1646" s="10">
        <f t="shared" si="77"/>
        <v>2081.61</v>
      </c>
      <c r="P1646" s="4">
        <v>233</v>
      </c>
      <c r="Q1646" s="4" t="b">
        <v>1</v>
      </c>
      <c r="R1646" s="4"/>
      <c r="S1646" s="14" t="s">
        <v>16</v>
      </c>
    </row>
    <row r="1647" spans="1:19">
      <c r="A1647" s="6" t="s">
        <v>3397</v>
      </c>
      <c r="B1647" s="7" t="s">
        <v>3398</v>
      </c>
      <c r="C1647" s="8" t="s">
        <v>4129</v>
      </c>
      <c r="D1647" s="8">
        <v>45157</v>
      </c>
      <c r="E1647" s="7">
        <v>8</v>
      </c>
      <c r="F1647" s="7">
        <v>19</v>
      </c>
      <c r="G1647" s="7">
        <v>2023</v>
      </c>
      <c r="H1647" s="8">
        <f t="shared" si="75"/>
        <v>45157</v>
      </c>
      <c r="I1647" s="11">
        <v>45174</v>
      </c>
      <c r="J1647" s="7">
        <f t="shared" si="76"/>
        <v>17</v>
      </c>
      <c r="K1647" s="7" t="s">
        <v>41</v>
      </c>
      <c r="L1647" s="7">
        <v>83856</v>
      </c>
      <c r="M1647" s="7">
        <v>3879</v>
      </c>
      <c r="N1647" s="12">
        <v>5537.03</v>
      </c>
      <c r="O1647" s="12">
        <f t="shared" si="77"/>
        <v>3632.575</v>
      </c>
      <c r="P1647" s="7">
        <v>688</v>
      </c>
      <c r="Q1647" s="7" t="b">
        <v>0</v>
      </c>
      <c r="R1647" s="7"/>
      <c r="S1647" s="15" t="s">
        <v>68</v>
      </c>
    </row>
    <row r="1648" spans="1:19">
      <c r="A1648" s="3" t="s">
        <v>3399</v>
      </c>
      <c r="B1648" s="4" t="s">
        <v>3400</v>
      </c>
      <c r="C1648" s="5" t="s">
        <v>4131</v>
      </c>
      <c r="D1648" s="5">
        <v>44938</v>
      </c>
      <c r="E1648" s="4">
        <v>1</v>
      </c>
      <c r="F1648" s="4">
        <v>12</v>
      </c>
      <c r="G1648" s="4">
        <v>2023</v>
      </c>
      <c r="H1648" s="5">
        <f t="shared" si="75"/>
        <v>44938</v>
      </c>
      <c r="I1648" s="9">
        <v>44955</v>
      </c>
      <c r="J1648" s="4">
        <f t="shared" si="76"/>
        <v>17</v>
      </c>
      <c r="K1648" s="4" t="s">
        <v>33</v>
      </c>
      <c r="L1648" s="4">
        <v>28376</v>
      </c>
      <c r="M1648" s="4">
        <v>301</v>
      </c>
      <c r="N1648" s="10">
        <v>457.82</v>
      </c>
      <c r="O1648" s="10">
        <f t="shared" si="77"/>
        <v>457.82</v>
      </c>
      <c r="P1648" s="4">
        <v>28</v>
      </c>
      <c r="Q1648" s="4" t="b">
        <v>1</v>
      </c>
      <c r="R1648" s="4"/>
      <c r="S1648" s="14" t="s">
        <v>34</v>
      </c>
    </row>
    <row r="1649" spans="1:19">
      <c r="A1649" s="6" t="s">
        <v>3401</v>
      </c>
      <c r="B1649" s="7" t="s">
        <v>3402</v>
      </c>
      <c r="C1649" s="8" t="s">
        <v>4128</v>
      </c>
      <c r="D1649" s="8">
        <v>45055</v>
      </c>
      <c r="E1649" s="7">
        <v>5</v>
      </c>
      <c r="F1649" s="7">
        <v>9</v>
      </c>
      <c r="G1649" s="7">
        <v>2023</v>
      </c>
      <c r="H1649" s="8">
        <f t="shared" si="75"/>
        <v>45055</v>
      </c>
      <c r="I1649" s="11">
        <v>45084</v>
      </c>
      <c r="J1649" s="7">
        <f t="shared" si="76"/>
        <v>29</v>
      </c>
      <c r="K1649" s="7" t="s">
        <v>23</v>
      </c>
      <c r="L1649" s="7">
        <v>56554</v>
      </c>
      <c r="M1649" s="7">
        <v>2334</v>
      </c>
      <c r="N1649" s="12">
        <v>3501.23</v>
      </c>
      <c r="O1649" s="12">
        <f t="shared" si="77"/>
        <v>3501.23</v>
      </c>
      <c r="P1649" s="7">
        <v>175</v>
      </c>
      <c r="Q1649" s="7" t="b">
        <v>0</v>
      </c>
      <c r="R1649" s="7"/>
      <c r="S1649" s="15" t="s">
        <v>25</v>
      </c>
    </row>
    <row r="1650" spans="1:19">
      <c r="A1650" s="3" t="s">
        <v>3403</v>
      </c>
      <c r="B1650" s="4" t="s">
        <v>3404</v>
      </c>
      <c r="C1650" s="5" t="s">
        <v>4129</v>
      </c>
      <c r="D1650" s="5">
        <v>44967</v>
      </c>
      <c r="E1650" s="4">
        <v>2</v>
      </c>
      <c r="F1650" s="4">
        <v>10</v>
      </c>
      <c r="G1650" s="4">
        <v>2023</v>
      </c>
      <c r="H1650" s="5">
        <f t="shared" si="75"/>
        <v>44967</v>
      </c>
      <c r="I1650" s="9">
        <v>44969</v>
      </c>
      <c r="J1650" s="4">
        <f t="shared" si="76"/>
        <v>2</v>
      </c>
      <c r="K1650" s="4" t="s">
        <v>33</v>
      </c>
      <c r="L1650" s="4">
        <v>15199</v>
      </c>
      <c r="M1650" s="4">
        <v>227</v>
      </c>
      <c r="N1650" s="10">
        <v>287.49</v>
      </c>
      <c r="O1650" s="10">
        <f t="shared" si="77"/>
        <v>287.49</v>
      </c>
      <c r="P1650" s="4">
        <v>24</v>
      </c>
      <c r="Q1650" s="4" t="b">
        <v>0</v>
      </c>
      <c r="R1650" s="4"/>
      <c r="S1650" s="14" t="s">
        <v>34</v>
      </c>
    </row>
    <row r="1651" spans="1:19">
      <c r="A1651" s="6" t="s">
        <v>3405</v>
      </c>
      <c r="B1651" s="7" t="s">
        <v>3406</v>
      </c>
      <c r="C1651" s="8" t="s">
        <v>4129</v>
      </c>
      <c r="D1651" s="8" t="s">
        <v>3407</v>
      </c>
      <c r="E1651" s="7">
        <v>18</v>
      </c>
      <c r="F1651" s="7">
        <v>2</v>
      </c>
      <c r="G1651" s="7">
        <v>2023</v>
      </c>
      <c r="H1651" s="8">
        <f t="shared" si="75"/>
        <v>44975</v>
      </c>
      <c r="I1651" s="11">
        <v>44988</v>
      </c>
      <c r="J1651" s="7">
        <f t="shared" si="76"/>
        <v>13</v>
      </c>
      <c r="K1651" s="7" t="s">
        <v>23</v>
      </c>
      <c r="L1651" s="7">
        <v>82412</v>
      </c>
      <c r="M1651" s="7">
        <v>3453</v>
      </c>
      <c r="N1651" s="12">
        <v>3947.28</v>
      </c>
      <c r="O1651" s="12">
        <f t="shared" si="77"/>
        <v>3632.575</v>
      </c>
      <c r="P1651" s="7">
        <v>355</v>
      </c>
      <c r="Q1651" s="7" t="b">
        <v>0</v>
      </c>
      <c r="R1651" s="7"/>
      <c r="S1651" s="15" t="s">
        <v>25</v>
      </c>
    </row>
    <row r="1652" spans="1:19">
      <c r="A1652" s="3" t="s">
        <v>3408</v>
      </c>
      <c r="B1652" s="4" t="s">
        <v>3409</v>
      </c>
      <c r="C1652" s="5" t="s">
        <v>4129</v>
      </c>
      <c r="D1652" s="5">
        <v>45169</v>
      </c>
      <c r="E1652" s="4">
        <v>8</v>
      </c>
      <c r="F1652" s="4">
        <v>31</v>
      </c>
      <c r="G1652" s="4">
        <v>2023</v>
      </c>
      <c r="H1652" s="5">
        <f t="shared" si="75"/>
        <v>45169</v>
      </c>
      <c r="I1652" s="9">
        <v>45174</v>
      </c>
      <c r="J1652" s="4">
        <f t="shared" si="76"/>
        <v>5</v>
      </c>
      <c r="K1652" s="4" t="s">
        <v>19</v>
      </c>
      <c r="L1652" s="4">
        <v>51948</v>
      </c>
      <c r="M1652" s="4">
        <v>1799</v>
      </c>
      <c r="N1652" s="10">
        <v>1044.63</v>
      </c>
      <c r="O1652" s="10">
        <f t="shared" si="77"/>
        <v>1044.63</v>
      </c>
      <c r="P1652" s="4">
        <v>125</v>
      </c>
      <c r="Q1652" s="4" t="b">
        <v>1</v>
      </c>
      <c r="R1652" s="4"/>
      <c r="S1652" s="14" t="s">
        <v>20</v>
      </c>
    </row>
    <row r="1653" spans="1:19">
      <c r="A1653" s="6" t="s">
        <v>3410</v>
      </c>
      <c r="B1653" s="7" t="s">
        <v>3411</v>
      </c>
      <c r="C1653" s="8" t="s">
        <v>4127</v>
      </c>
      <c r="D1653" s="8">
        <v>45130</v>
      </c>
      <c r="E1653" s="7">
        <v>7</v>
      </c>
      <c r="F1653" s="7">
        <v>23</v>
      </c>
      <c r="G1653" s="7">
        <v>2023</v>
      </c>
      <c r="H1653" s="8">
        <f t="shared" si="75"/>
        <v>45130</v>
      </c>
      <c r="I1653" s="11">
        <v>45136</v>
      </c>
      <c r="J1653" s="7">
        <f t="shared" si="76"/>
        <v>6</v>
      </c>
      <c r="K1653" s="7" t="s">
        <v>41</v>
      </c>
      <c r="L1653" s="7">
        <v>74781</v>
      </c>
      <c r="M1653" s="7">
        <v>3270</v>
      </c>
      <c r="N1653" s="12">
        <v>1743.33</v>
      </c>
      <c r="O1653" s="12">
        <f t="shared" si="77"/>
        <v>1743.33</v>
      </c>
      <c r="P1653" s="7">
        <v>493</v>
      </c>
      <c r="Q1653" s="7" t="b">
        <v>0</v>
      </c>
      <c r="R1653" s="7"/>
      <c r="S1653" s="15" t="s">
        <v>42</v>
      </c>
    </row>
    <row r="1654" spans="1:19">
      <c r="A1654" s="3" t="s">
        <v>3412</v>
      </c>
      <c r="B1654" s="4" t="s">
        <v>3413</v>
      </c>
      <c r="C1654" s="5" t="s">
        <v>4129</v>
      </c>
      <c r="D1654" s="5">
        <v>44980</v>
      </c>
      <c r="E1654" s="4">
        <v>2</v>
      </c>
      <c r="F1654" s="4">
        <v>23</v>
      </c>
      <c r="G1654" s="4">
        <v>2023</v>
      </c>
      <c r="H1654" s="5">
        <f t="shared" si="75"/>
        <v>44980</v>
      </c>
      <c r="I1654" s="9">
        <v>44982</v>
      </c>
      <c r="J1654" s="4">
        <f t="shared" si="76"/>
        <v>2</v>
      </c>
      <c r="K1654" s="4" t="s">
        <v>33</v>
      </c>
      <c r="L1654" s="4">
        <v>73750</v>
      </c>
      <c r="M1654" s="4">
        <v>1025</v>
      </c>
      <c r="N1654" s="10">
        <v>1062.87</v>
      </c>
      <c r="O1654" s="10">
        <f t="shared" si="77"/>
        <v>1062.87</v>
      </c>
      <c r="P1654" s="4">
        <v>129</v>
      </c>
      <c r="Q1654" s="4" t="b">
        <v>1</v>
      </c>
      <c r="R1654" s="4"/>
      <c r="S1654" s="14" t="s">
        <v>34</v>
      </c>
    </row>
    <row r="1655" spans="1:19">
      <c r="A1655" s="6" t="s">
        <v>3414</v>
      </c>
      <c r="B1655" s="7" t="s">
        <v>3415</v>
      </c>
      <c r="C1655" s="8" t="s">
        <v>4128</v>
      </c>
      <c r="D1655" s="8">
        <v>45262</v>
      </c>
      <c r="E1655" s="7">
        <v>12</v>
      </c>
      <c r="F1655" s="7">
        <v>2</v>
      </c>
      <c r="G1655" s="7">
        <v>2023</v>
      </c>
      <c r="H1655" s="8">
        <f t="shared" si="75"/>
        <v>45262</v>
      </c>
      <c r="I1655" s="11">
        <v>45278</v>
      </c>
      <c r="J1655" s="7">
        <f t="shared" si="76"/>
        <v>16</v>
      </c>
      <c r="K1655" s="7" t="s">
        <v>14</v>
      </c>
      <c r="L1655" s="7">
        <v>67262</v>
      </c>
      <c r="M1655" s="7">
        <v>2176</v>
      </c>
      <c r="N1655" s="12">
        <v>2177.07</v>
      </c>
      <c r="O1655" s="12">
        <f t="shared" si="77"/>
        <v>2177.07</v>
      </c>
      <c r="P1655" s="7">
        <v>344</v>
      </c>
      <c r="Q1655" s="7" t="b">
        <v>0</v>
      </c>
      <c r="R1655" s="7"/>
      <c r="S1655" s="15" t="s">
        <v>16</v>
      </c>
    </row>
    <row r="1656" spans="1:19">
      <c r="A1656" s="3" t="s">
        <v>3416</v>
      </c>
      <c r="B1656" s="4" t="s">
        <v>3417</v>
      </c>
      <c r="C1656" s="5" t="s">
        <v>4128</v>
      </c>
      <c r="D1656" s="5">
        <v>45044</v>
      </c>
      <c r="E1656" s="4">
        <v>4</v>
      </c>
      <c r="F1656" s="4">
        <v>28</v>
      </c>
      <c r="G1656" s="4">
        <v>2023</v>
      </c>
      <c r="H1656" s="5">
        <f t="shared" si="75"/>
        <v>45044</v>
      </c>
      <c r="I1656" s="9">
        <v>45049</v>
      </c>
      <c r="J1656" s="4">
        <f t="shared" si="76"/>
        <v>5</v>
      </c>
      <c r="K1656" s="4" t="s">
        <v>41</v>
      </c>
      <c r="L1656" s="4">
        <v>47600</v>
      </c>
      <c r="M1656" s="4">
        <v>1430</v>
      </c>
      <c r="N1656" s="10">
        <v>1546.61</v>
      </c>
      <c r="O1656" s="10">
        <f t="shared" si="77"/>
        <v>1546.61</v>
      </c>
      <c r="P1656" s="4">
        <v>147</v>
      </c>
      <c r="Q1656" s="4" t="b">
        <v>1</v>
      </c>
      <c r="R1656" s="4"/>
      <c r="S1656" s="14" t="s">
        <v>68</v>
      </c>
    </row>
    <row r="1657" spans="1:19">
      <c r="A1657" s="6" t="s">
        <v>3418</v>
      </c>
      <c r="B1657" s="7" t="s">
        <v>3419</v>
      </c>
      <c r="C1657" s="8" t="s">
        <v>4128</v>
      </c>
      <c r="D1657" s="8">
        <v>45247</v>
      </c>
      <c r="E1657" s="7">
        <v>11</v>
      </c>
      <c r="F1657" s="7">
        <v>17</v>
      </c>
      <c r="G1657" s="7">
        <v>2023</v>
      </c>
      <c r="H1657" s="8">
        <f t="shared" si="75"/>
        <v>45247</v>
      </c>
      <c r="I1657" s="11">
        <v>45275</v>
      </c>
      <c r="J1657" s="7">
        <f t="shared" si="76"/>
        <v>28</v>
      </c>
      <c r="K1657" s="7" t="s">
        <v>33</v>
      </c>
      <c r="L1657" s="7">
        <v>77898</v>
      </c>
      <c r="M1657" s="7">
        <v>2979</v>
      </c>
      <c r="N1657" s="12">
        <v>2107.8</v>
      </c>
      <c r="O1657" s="12">
        <f t="shared" si="77"/>
        <v>2107.8</v>
      </c>
      <c r="P1657" s="7">
        <v>294</v>
      </c>
      <c r="Q1657" s="7" t="b">
        <v>1</v>
      </c>
      <c r="R1657" s="7"/>
      <c r="S1657" s="15" t="s">
        <v>34</v>
      </c>
    </row>
    <row r="1658" spans="1:19">
      <c r="A1658" s="3" t="s">
        <v>3420</v>
      </c>
      <c r="B1658" s="4" t="s">
        <v>3421</v>
      </c>
      <c r="C1658" s="5" t="s">
        <v>4128</v>
      </c>
      <c r="D1658" s="5" t="s">
        <v>1741</v>
      </c>
      <c r="E1658" s="4">
        <v>29</v>
      </c>
      <c r="F1658" s="4">
        <v>3</v>
      </c>
      <c r="G1658" s="4">
        <v>2023</v>
      </c>
      <c r="H1658" s="5">
        <f t="shared" si="75"/>
        <v>45014</v>
      </c>
      <c r="I1658" s="9">
        <v>45019</v>
      </c>
      <c r="J1658" s="4">
        <f t="shared" si="76"/>
        <v>5</v>
      </c>
      <c r="K1658" s="4" t="s">
        <v>33</v>
      </c>
      <c r="L1658" s="4">
        <v>63483</v>
      </c>
      <c r="M1658" s="4">
        <v>1991</v>
      </c>
      <c r="N1658" s="10">
        <v>3200.04</v>
      </c>
      <c r="O1658" s="10">
        <f t="shared" si="77"/>
        <v>3200.04</v>
      </c>
      <c r="P1658" s="4">
        <v>0</v>
      </c>
      <c r="Q1658" s="4" t="b">
        <v>1</v>
      </c>
      <c r="R1658" s="4"/>
      <c r="S1658" s="14" t="s">
        <v>34</v>
      </c>
    </row>
    <row r="1659" spans="1:19">
      <c r="A1659" s="6" t="s">
        <v>3422</v>
      </c>
      <c r="B1659" s="7" t="s">
        <v>3423</v>
      </c>
      <c r="C1659" s="8" t="s">
        <v>4131</v>
      </c>
      <c r="D1659" s="8">
        <v>45266</v>
      </c>
      <c r="E1659" s="7">
        <v>12</v>
      </c>
      <c r="F1659" s="7">
        <v>6</v>
      </c>
      <c r="G1659" s="7">
        <v>2023</v>
      </c>
      <c r="H1659" s="8">
        <f t="shared" si="75"/>
        <v>45266</v>
      </c>
      <c r="I1659" s="11">
        <v>45274</v>
      </c>
      <c r="J1659" s="7">
        <f t="shared" si="76"/>
        <v>8</v>
      </c>
      <c r="K1659" s="7" t="s">
        <v>19</v>
      </c>
      <c r="L1659" s="7">
        <v>19297</v>
      </c>
      <c r="M1659" s="7">
        <v>610</v>
      </c>
      <c r="N1659" s="12">
        <v>1089.12</v>
      </c>
      <c r="O1659" s="12">
        <f t="shared" si="77"/>
        <v>1089.12</v>
      </c>
      <c r="P1659" s="7">
        <v>0</v>
      </c>
      <c r="Q1659" s="7" t="b">
        <v>0</v>
      </c>
      <c r="R1659" s="7"/>
      <c r="S1659" s="15" t="s">
        <v>20</v>
      </c>
    </row>
    <row r="1660" spans="1:19">
      <c r="A1660" s="3" t="s">
        <v>3424</v>
      </c>
      <c r="B1660" s="4" t="s">
        <v>3425</v>
      </c>
      <c r="C1660" s="5" t="s">
        <v>4131</v>
      </c>
      <c r="D1660" s="5">
        <v>45170</v>
      </c>
      <c r="E1660" s="4">
        <v>9</v>
      </c>
      <c r="F1660" s="4">
        <v>1</v>
      </c>
      <c r="G1660" s="4">
        <v>2023</v>
      </c>
      <c r="H1660" s="5">
        <f t="shared" si="75"/>
        <v>45170</v>
      </c>
      <c r="I1660" s="9">
        <v>45198</v>
      </c>
      <c r="J1660" s="4">
        <f t="shared" si="76"/>
        <v>28</v>
      </c>
      <c r="K1660" s="4" t="s">
        <v>23</v>
      </c>
      <c r="L1660" s="4">
        <v>31448</v>
      </c>
      <c r="M1660" s="4">
        <v>854</v>
      </c>
      <c r="N1660" s="10">
        <v>1629.49</v>
      </c>
      <c r="O1660" s="10">
        <f t="shared" si="77"/>
        <v>1629.49</v>
      </c>
      <c r="P1660" s="4">
        <v>47</v>
      </c>
      <c r="Q1660" s="4" t="b">
        <v>1</v>
      </c>
      <c r="R1660" s="4"/>
      <c r="S1660" s="14" t="s">
        <v>25</v>
      </c>
    </row>
    <row r="1661" spans="1:19">
      <c r="A1661" s="6" t="s">
        <v>3426</v>
      </c>
      <c r="B1661" s="7" t="s">
        <v>3427</v>
      </c>
      <c r="C1661" s="8" t="s">
        <v>4131</v>
      </c>
      <c r="D1661" s="8">
        <v>45066</v>
      </c>
      <c r="E1661" s="7">
        <v>5</v>
      </c>
      <c r="F1661" s="7">
        <v>20</v>
      </c>
      <c r="G1661" s="7">
        <v>2023</v>
      </c>
      <c r="H1661" s="8">
        <f t="shared" si="75"/>
        <v>45066</v>
      </c>
      <c r="I1661" s="11">
        <v>45086</v>
      </c>
      <c r="J1661" s="7">
        <f t="shared" si="76"/>
        <v>20</v>
      </c>
      <c r="K1661" s="7" t="s">
        <v>138</v>
      </c>
      <c r="L1661" s="7">
        <v>27172</v>
      </c>
      <c r="M1661" s="7">
        <v>607</v>
      </c>
      <c r="N1661" s="12">
        <v>751.8</v>
      </c>
      <c r="O1661" s="12">
        <f t="shared" si="77"/>
        <v>751.8</v>
      </c>
      <c r="P1661" s="7">
        <v>103</v>
      </c>
      <c r="Q1661" s="7" t="b">
        <v>0</v>
      </c>
      <c r="R1661" s="7"/>
      <c r="S1661" s="15" t="s">
        <v>139</v>
      </c>
    </row>
    <row r="1662" spans="1:19">
      <c r="A1662" s="3" t="s">
        <v>3428</v>
      </c>
      <c r="B1662" s="4" t="s">
        <v>3429</v>
      </c>
      <c r="C1662" s="5" t="s">
        <v>4129</v>
      </c>
      <c r="D1662" s="5">
        <v>45284</v>
      </c>
      <c r="E1662" s="4">
        <v>12</v>
      </c>
      <c r="F1662" s="4">
        <v>24</v>
      </c>
      <c r="G1662" s="4">
        <v>2023</v>
      </c>
      <c r="H1662" s="5">
        <f t="shared" si="75"/>
        <v>45284</v>
      </c>
      <c r="I1662" s="9">
        <v>45311</v>
      </c>
      <c r="J1662" s="4">
        <f t="shared" si="76"/>
        <v>27</v>
      </c>
      <c r="K1662" s="4" t="s">
        <v>14</v>
      </c>
      <c r="L1662" s="4">
        <v>43874</v>
      </c>
      <c r="M1662" s="4">
        <v>1285</v>
      </c>
      <c r="N1662" s="10">
        <v>1993.42</v>
      </c>
      <c r="O1662" s="10">
        <f t="shared" si="77"/>
        <v>1993.42</v>
      </c>
      <c r="P1662" s="4">
        <v>135</v>
      </c>
      <c r="Q1662" s="4" t="b">
        <v>1</v>
      </c>
      <c r="R1662" s="4"/>
      <c r="S1662" s="14" t="s">
        <v>16</v>
      </c>
    </row>
    <row r="1663" spans="1:19">
      <c r="A1663" s="6" t="s">
        <v>3430</v>
      </c>
      <c r="B1663" s="7" t="s">
        <v>3431</v>
      </c>
      <c r="C1663" s="8" t="s">
        <v>4131</v>
      </c>
      <c r="D1663" s="8">
        <v>45160</v>
      </c>
      <c r="E1663" s="7">
        <v>8</v>
      </c>
      <c r="F1663" s="7">
        <v>22</v>
      </c>
      <c r="G1663" s="7">
        <v>2023</v>
      </c>
      <c r="H1663" s="8">
        <f t="shared" si="75"/>
        <v>45160</v>
      </c>
      <c r="I1663" s="11">
        <v>45172</v>
      </c>
      <c r="J1663" s="7">
        <f t="shared" si="76"/>
        <v>12</v>
      </c>
      <c r="K1663" s="7" t="s">
        <v>33</v>
      </c>
      <c r="L1663" s="7">
        <v>8657</v>
      </c>
      <c r="M1663" s="7">
        <v>127</v>
      </c>
      <c r="N1663" s="12">
        <v>226.48</v>
      </c>
      <c r="O1663" s="12">
        <f t="shared" si="77"/>
        <v>226.48</v>
      </c>
      <c r="P1663" s="7">
        <v>22</v>
      </c>
      <c r="Q1663" s="7" t="b">
        <v>1</v>
      </c>
      <c r="R1663" s="7"/>
      <c r="S1663" s="15" t="s">
        <v>34</v>
      </c>
    </row>
    <row r="1664" spans="1:19">
      <c r="A1664" s="3" t="s">
        <v>3432</v>
      </c>
      <c r="B1664" s="4" t="s">
        <v>3433</v>
      </c>
      <c r="C1664" s="5" t="s">
        <v>4129</v>
      </c>
      <c r="D1664" s="5">
        <v>45215</v>
      </c>
      <c r="E1664" s="4">
        <v>10</v>
      </c>
      <c r="F1664" s="4">
        <v>16</v>
      </c>
      <c r="G1664" s="4">
        <v>2023</v>
      </c>
      <c r="H1664" s="5">
        <f t="shared" si="75"/>
        <v>45215</v>
      </c>
      <c r="I1664" s="9">
        <v>45234</v>
      </c>
      <c r="J1664" s="4">
        <f t="shared" si="76"/>
        <v>19</v>
      </c>
      <c r="K1664" s="4" t="s">
        <v>19</v>
      </c>
      <c r="L1664" s="4">
        <v>85386</v>
      </c>
      <c r="M1664" s="4">
        <v>4137</v>
      </c>
      <c r="N1664" s="10">
        <v>4664.21</v>
      </c>
      <c r="O1664" s="10">
        <f t="shared" si="77"/>
        <v>3632.575</v>
      </c>
      <c r="P1664" s="4">
        <v>704</v>
      </c>
      <c r="Q1664" s="4" t="b">
        <v>1</v>
      </c>
      <c r="R1664" s="4"/>
      <c r="S1664" s="14" t="s">
        <v>20</v>
      </c>
    </row>
    <row r="1665" spans="1:19">
      <c r="A1665" s="6" t="s">
        <v>3434</v>
      </c>
      <c r="B1665" s="7" t="s">
        <v>3435</v>
      </c>
      <c r="C1665" s="8" t="s">
        <v>4129</v>
      </c>
      <c r="D1665" s="8">
        <v>45200</v>
      </c>
      <c r="E1665" s="7">
        <v>10</v>
      </c>
      <c r="F1665" s="7">
        <v>1</v>
      </c>
      <c r="G1665" s="7">
        <v>2023</v>
      </c>
      <c r="H1665" s="8">
        <f t="shared" si="75"/>
        <v>45200</v>
      </c>
      <c r="I1665" s="11">
        <v>45226</v>
      </c>
      <c r="J1665" s="7">
        <f t="shared" si="76"/>
        <v>26</v>
      </c>
      <c r="K1665" s="7" t="s">
        <v>14</v>
      </c>
      <c r="L1665" s="7">
        <v>26425</v>
      </c>
      <c r="M1665" s="7">
        <v>1019</v>
      </c>
      <c r="N1665" s="12">
        <v>982.44</v>
      </c>
      <c r="O1665" s="12">
        <f t="shared" si="77"/>
        <v>982.44</v>
      </c>
      <c r="P1665" s="7">
        <v>104</v>
      </c>
      <c r="Q1665" s="7" t="b">
        <v>1</v>
      </c>
      <c r="R1665" s="7"/>
      <c r="S1665" s="15" t="s">
        <v>16</v>
      </c>
    </row>
    <row r="1666" spans="1:19">
      <c r="A1666" s="3" t="s">
        <v>3436</v>
      </c>
      <c r="B1666" s="4" t="s">
        <v>3437</v>
      </c>
      <c r="C1666" s="5" t="s">
        <v>4127</v>
      </c>
      <c r="D1666" s="5">
        <v>45203</v>
      </c>
      <c r="E1666" s="4">
        <v>10</v>
      </c>
      <c r="F1666" s="4">
        <v>4</v>
      </c>
      <c r="G1666" s="4">
        <v>2023</v>
      </c>
      <c r="H1666" s="5">
        <f t="shared" ref="H1666:H1729" si="78">IF(E1666&gt;12,DATE(G1666,F1666,E1666),D1666)</f>
        <v>45203</v>
      </c>
      <c r="I1666" s="9">
        <v>45035</v>
      </c>
      <c r="J1666" s="4">
        <f t="shared" ref="J1666:J1729" si="79">DATEDIF(H1666,I1666,"D")</f>
        <v>-168</v>
      </c>
      <c r="K1666" s="4" t="s">
        <v>19</v>
      </c>
      <c r="L1666" s="4">
        <v>27685</v>
      </c>
      <c r="M1666" s="4">
        <v>1331</v>
      </c>
      <c r="N1666" s="10">
        <v>2535.67</v>
      </c>
      <c r="O1666" s="10">
        <f t="shared" si="77"/>
        <v>2535.67</v>
      </c>
      <c r="P1666" s="4">
        <v>205</v>
      </c>
      <c r="Q1666" s="4" t="b">
        <v>0</v>
      </c>
      <c r="R1666" s="4"/>
      <c r="S1666" s="14" t="s">
        <v>20</v>
      </c>
    </row>
    <row r="1667" spans="1:19">
      <c r="A1667" s="6" t="s">
        <v>3438</v>
      </c>
      <c r="B1667" s="7" t="s">
        <v>3439</v>
      </c>
      <c r="C1667" s="8" t="s">
        <v>4131</v>
      </c>
      <c r="D1667" s="8">
        <v>45084</v>
      </c>
      <c r="E1667" s="7">
        <v>6</v>
      </c>
      <c r="F1667" s="7">
        <v>7</v>
      </c>
      <c r="G1667" s="7">
        <v>2023</v>
      </c>
      <c r="H1667" s="8">
        <f t="shared" si="78"/>
        <v>45084</v>
      </c>
      <c r="I1667" s="11">
        <v>45099</v>
      </c>
      <c r="J1667" s="7">
        <f t="shared" si="79"/>
        <v>15</v>
      </c>
      <c r="K1667" s="7" t="s">
        <v>23</v>
      </c>
      <c r="L1667" s="7">
        <v>25578</v>
      </c>
      <c r="M1667" s="7">
        <v>487</v>
      </c>
      <c r="N1667" s="12">
        <v>620.2</v>
      </c>
      <c r="O1667" s="12">
        <f t="shared" ref="O1667:O1730" si="80">IF(N1667&lt;$V$6,$V$6,IF(N1667&gt;$V$7,$V$7,N1667))</f>
        <v>620.2</v>
      </c>
      <c r="P1667" s="7">
        <v>36</v>
      </c>
      <c r="Q1667" s="7" t="b">
        <v>1</v>
      </c>
      <c r="R1667" s="7"/>
      <c r="S1667" s="15" t="s">
        <v>25</v>
      </c>
    </row>
    <row r="1668" spans="1:19">
      <c r="A1668" s="3" t="s">
        <v>3440</v>
      </c>
      <c r="B1668" s="4" t="s">
        <v>3441</v>
      </c>
      <c r="C1668" s="5" t="s">
        <v>4129</v>
      </c>
      <c r="D1668" s="5">
        <v>45052</v>
      </c>
      <c r="E1668" s="4">
        <v>5</v>
      </c>
      <c r="F1668" s="4">
        <v>6</v>
      </c>
      <c r="G1668" s="4">
        <v>2023</v>
      </c>
      <c r="H1668" s="5">
        <f t="shared" si="78"/>
        <v>45052</v>
      </c>
      <c r="I1668" s="9">
        <v>45047</v>
      </c>
      <c r="J1668" s="4">
        <f t="shared" si="79"/>
        <v>-5</v>
      </c>
      <c r="K1668" s="4" t="s">
        <v>23</v>
      </c>
      <c r="L1668" s="4">
        <v>29831</v>
      </c>
      <c r="M1668" s="4">
        <v>1347</v>
      </c>
      <c r="N1668" s="10">
        <v>1678.2</v>
      </c>
      <c r="O1668" s="10">
        <f t="shared" si="80"/>
        <v>1678.2</v>
      </c>
      <c r="P1668" s="4">
        <v>248</v>
      </c>
      <c r="Q1668" s="4" t="b">
        <v>1</v>
      </c>
      <c r="R1668" s="4"/>
      <c r="S1668" s="14" t="s">
        <v>25</v>
      </c>
    </row>
    <row r="1669" spans="1:19">
      <c r="A1669" s="6" t="s">
        <v>3442</v>
      </c>
      <c r="B1669" s="7" t="s">
        <v>3443</v>
      </c>
      <c r="C1669" s="8" t="s">
        <v>4129</v>
      </c>
      <c r="D1669" s="8">
        <v>45194</v>
      </c>
      <c r="E1669" s="7">
        <v>9</v>
      </c>
      <c r="F1669" s="7">
        <v>25</v>
      </c>
      <c r="G1669" s="7">
        <v>2023</v>
      </c>
      <c r="H1669" s="8">
        <f t="shared" si="78"/>
        <v>45194</v>
      </c>
      <c r="I1669" s="11">
        <v>45209</v>
      </c>
      <c r="J1669" s="7">
        <f t="shared" si="79"/>
        <v>15</v>
      </c>
      <c r="K1669" s="7" t="s">
        <v>33</v>
      </c>
      <c r="L1669" s="7">
        <v>8906</v>
      </c>
      <c r="M1669" s="7">
        <v>377</v>
      </c>
      <c r="N1669" s="12">
        <v>289.39</v>
      </c>
      <c r="O1669" s="12">
        <f t="shared" si="80"/>
        <v>289.39</v>
      </c>
      <c r="P1669" s="7">
        <v>41</v>
      </c>
      <c r="Q1669" s="7" t="b">
        <v>0</v>
      </c>
      <c r="R1669" s="7"/>
      <c r="S1669" s="15" t="s">
        <v>34</v>
      </c>
    </row>
    <row r="1670" spans="1:19">
      <c r="A1670" s="3" t="s">
        <v>3444</v>
      </c>
      <c r="B1670" s="4" t="s">
        <v>3445</v>
      </c>
      <c r="C1670" s="5" t="s">
        <v>4131</v>
      </c>
      <c r="D1670" s="5">
        <v>45103</v>
      </c>
      <c r="E1670" s="4">
        <v>6</v>
      </c>
      <c r="F1670" s="4">
        <v>26</v>
      </c>
      <c r="G1670" s="4">
        <v>2023</v>
      </c>
      <c r="H1670" s="5">
        <f t="shared" si="78"/>
        <v>45103</v>
      </c>
      <c r="I1670" s="9">
        <v>45109</v>
      </c>
      <c r="J1670" s="4">
        <f t="shared" si="79"/>
        <v>6</v>
      </c>
      <c r="K1670" s="4" t="s">
        <v>14</v>
      </c>
      <c r="L1670" s="4">
        <v>62413</v>
      </c>
      <c r="M1670" s="4">
        <v>2314</v>
      </c>
      <c r="N1670" s="10">
        <v>1532.41</v>
      </c>
      <c r="O1670" s="10">
        <f t="shared" si="80"/>
        <v>1532.41</v>
      </c>
      <c r="P1670" s="4">
        <v>273</v>
      </c>
      <c r="Q1670" s="4" t="b">
        <v>1</v>
      </c>
      <c r="R1670" s="4"/>
      <c r="S1670" s="14" t="s">
        <v>16</v>
      </c>
    </row>
    <row r="1671" spans="1:19">
      <c r="A1671" s="6" t="s">
        <v>3446</v>
      </c>
      <c r="B1671" s="7" t="s">
        <v>3447</v>
      </c>
      <c r="C1671" s="8" t="s">
        <v>4128</v>
      </c>
      <c r="D1671" s="8">
        <v>45279</v>
      </c>
      <c r="E1671" s="7">
        <v>12</v>
      </c>
      <c r="F1671" s="7">
        <v>19</v>
      </c>
      <c r="G1671" s="7">
        <v>2023</v>
      </c>
      <c r="H1671" s="8">
        <f t="shared" si="78"/>
        <v>45279</v>
      </c>
      <c r="I1671" s="11">
        <v>45302</v>
      </c>
      <c r="J1671" s="7">
        <f t="shared" si="79"/>
        <v>23</v>
      </c>
      <c r="K1671" s="7" t="s">
        <v>19</v>
      </c>
      <c r="L1671" s="7">
        <v>55028</v>
      </c>
      <c r="M1671" s="7">
        <v>1926</v>
      </c>
      <c r="N1671" s="12">
        <v>3395.85</v>
      </c>
      <c r="O1671" s="12">
        <f t="shared" si="80"/>
        <v>3395.85</v>
      </c>
      <c r="P1671" s="7">
        <v>300</v>
      </c>
      <c r="Q1671" s="7" t="b">
        <v>0</v>
      </c>
      <c r="R1671" s="7"/>
      <c r="S1671" s="15" t="s">
        <v>20</v>
      </c>
    </row>
    <row r="1672" spans="1:19">
      <c r="A1672" s="3" t="s">
        <v>3448</v>
      </c>
      <c r="B1672" s="4" t="s">
        <v>3449</v>
      </c>
      <c r="C1672" s="5" t="s">
        <v>4128</v>
      </c>
      <c r="D1672" s="5">
        <v>45171</v>
      </c>
      <c r="E1672" s="4">
        <v>9</v>
      </c>
      <c r="F1672" s="4">
        <v>2</v>
      </c>
      <c r="G1672" s="4">
        <v>2023</v>
      </c>
      <c r="H1672" s="5">
        <f t="shared" si="78"/>
        <v>45171</v>
      </c>
      <c r="I1672" s="9">
        <v>45175</v>
      </c>
      <c r="J1672" s="4">
        <f t="shared" si="79"/>
        <v>4</v>
      </c>
      <c r="K1672" s="4" t="s">
        <v>14</v>
      </c>
      <c r="L1672" s="4">
        <v>8287</v>
      </c>
      <c r="M1672" s="4">
        <v>187</v>
      </c>
      <c r="N1672" s="10">
        <v>265.76</v>
      </c>
      <c r="O1672" s="10">
        <f t="shared" si="80"/>
        <v>265.76</v>
      </c>
      <c r="P1672" s="4">
        <v>32</v>
      </c>
      <c r="Q1672" s="4" t="b">
        <v>0</v>
      </c>
      <c r="R1672" s="4"/>
      <c r="S1672" s="14" t="s">
        <v>16</v>
      </c>
    </row>
    <row r="1673" spans="1:19">
      <c r="A1673" s="6" t="s">
        <v>3450</v>
      </c>
      <c r="B1673" s="7" t="s">
        <v>3451</v>
      </c>
      <c r="C1673" s="8" t="s">
        <v>4127</v>
      </c>
      <c r="D1673" s="8">
        <v>45076</v>
      </c>
      <c r="E1673" s="7">
        <v>5</v>
      </c>
      <c r="F1673" s="7">
        <v>30</v>
      </c>
      <c r="G1673" s="7">
        <v>2023</v>
      </c>
      <c r="H1673" s="8">
        <f t="shared" si="78"/>
        <v>45076</v>
      </c>
      <c r="I1673" s="11">
        <v>45099</v>
      </c>
      <c r="J1673" s="7">
        <f t="shared" si="79"/>
        <v>23</v>
      </c>
      <c r="K1673" s="7" t="s">
        <v>23</v>
      </c>
      <c r="L1673" s="7">
        <v>34660</v>
      </c>
      <c r="M1673" s="7">
        <v>1478</v>
      </c>
      <c r="N1673" s="12">
        <v>1461.35</v>
      </c>
      <c r="O1673" s="12">
        <f t="shared" si="80"/>
        <v>1461.35</v>
      </c>
      <c r="P1673" s="7">
        <v>126</v>
      </c>
      <c r="Q1673" s="7" t="b">
        <v>0</v>
      </c>
      <c r="R1673" s="7"/>
      <c r="S1673" s="15" t="s">
        <v>25</v>
      </c>
    </row>
    <row r="1674" spans="1:19">
      <c r="A1674" s="3" t="s">
        <v>3452</v>
      </c>
      <c r="B1674" s="4" t="s">
        <v>3453</v>
      </c>
      <c r="C1674" s="5" t="s">
        <v>4127</v>
      </c>
      <c r="D1674" s="5">
        <v>45207</v>
      </c>
      <c r="E1674" s="4">
        <v>10</v>
      </c>
      <c r="F1674" s="4">
        <v>8</v>
      </c>
      <c r="G1674" s="4">
        <v>2023</v>
      </c>
      <c r="H1674" s="5">
        <f t="shared" si="78"/>
        <v>45207</v>
      </c>
      <c r="I1674" s="9">
        <v>45215</v>
      </c>
      <c r="J1674" s="4">
        <f t="shared" si="79"/>
        <v>8</v>
      </c>
      <c r="K1674" s="4" t="s">
        <v>14</v>
      </c>
      <c r="L1674" s="4">
        <v>76758</v>
      </c>
      <c r="M1674" s="4">
        <v>2307</v>
      </c>
      <c r="N1674" s="10">
        <v>1817</v>
      </c>
      <c r="O1674" s="10">
        <f t="shared" si="80"/>
        <v>1817</v>
      </c>
      <c r="P1674" s="4">
        <v>344</v>
      </c>
      <c r="Q1674" s="4" t="b">
        <v>1</v>
      </c>
      <c r="R1674" s="4"/>
      <c r="S1674" s="14" t="s">
        <v>16</v>
      </c>
    </row>
    <row r="1675" spans="1:19">
      <c r="A1675" s="6" t="s">
        <v>3454</v>
      </c>
      <c r="B1675" s="7" t="s">
        <v>3455</v>
      </c>
      <c r="C1675" s="8" t="s">
        <v>4127</v>
      </c>
      <c r="D1675" s="8">
        <v>45214</v>
      </c>
      <c r="E1675" s="7">
        <v>10</v>
      </c>
      <c r="F1675" s="7">
        <v>15</v>
      </c>
      <c r="G1675" s="7">
        <v>2023</v>
      </c>
      <c r="H1675" s="8">
        <f t="shared" si="78"/>
        <v>45214</v>
      </c>
      <c r="I1675" s="11">
        <v>45220</v>
      </c>
      <c r="J1675" s="7">
        <f t="shared" si="79"/>
        <v>6</v>
      </c>
      <c r="K1675" s="7" t="s">
        <v>19</v>
      </c>
      <c r="L1675" s="7">
        <v>61504</v>
      </c>
      <c r="M1675" s="7">
        <v>789</v>
      </c>
      <c r="N1675" s="12">
        <v>1051.93</v>
      </c>
      <c r="O1675" s="12">
        <f t="shared" si="80"/>
        <v>1051.93</v>
      </c>
      <c r="P1675" s="7">
        <v>85</v>
      </c>
      <c r="Q1675" s="7" t="b">
        <v>1</v>
      </c>
      <c r="R1675" s="7"/>
      <c r="S1675" s="15" t="s">
        <v>68</v>
      </c>
    </row>
    <row r="1676" spans="1:19">
      <c r="A1676" s="3" t="s">
        <v>3456</v>
      </c>
      <c r="B1676" s="4" t="s">
        <v>3457</v>
      </c>
      <c r="C1676" s="5" t="s">
        <v>4128</v>
      </c>
      <c r="D1676" s="5">
        <v>45257</v>
      </c>
      <c r="E1676" s="4">
        <v>11</v>
      </c>
      <c r="F1676" s="4">
        <v>27</v>
      </c>
      <c r="G1676" s="4">
        <v>2023</v>
      </c>
      <c r="H1676" s="5">
        <f t="shared" si="78"/>
        <v>45257</v>
      </c>
      <c r="I1676" s="9">
        <v>45278</v>
      </c>
      <c r="J1676" s="4">
        <f t="shared" si="79"/>
        <v>21</v>
      </c>
      <c r="K1676" s="4" t="s">
        <v>14</v>
      </c>
      <c r="L1676" s="4">
        <v>60720</v>
      </c>
      <c r="M1676" s="4">
        <v>1367</v>
      </c>
      <c r="N1676" s="10">
        <v>1880.83</v>
      </c>
      <c r="O1676" s="10">
        <f t="shared" si="80"/>
        <v>1880.83</v>
      </c>
      <c r="P1676" s="4">
        <v>143</v>
      </c>
      <c r="Q1676" s="4" t="b">
        <v>1</v>
      </c>
      <c r="R1676" s="4"/>
      <c r="S1676" s="14" t="s">
        <v>16</v>
      </c>
    </row>
    <row r="1677" spans="1:19">
      <c r="A1677" s="6" t="s">
        <v>3458</v>
      </c>
      <c r="B1677" s="7" t="s">
        <v>3459</v>
      </c>
      <c r="C1677" s="8" t="s">
        <v>4127</v>
      </c>
      <c r="D1677" s="8" t="s">
        <v>3460</v>
      </c>
      <c r="E1677" s="7">
        <v>15</v>
      </c>
      <c r="F1677" s="7">
        <v>5</v>
      </c>
      <c r="G1677" s="7">
        <v>2023</v>
      </c>
      <c r="H1677" s="8">
        <f t="shared" si="78"/>
        <v>45061</v>
      </c>
      <c r="I1677" s="11">
        <v>45081</v>
      </c>
      <c r="J1677" s="7">
        <f t="shared" si="79"/>
        <v>20</v>
      </c>
      <c r="K1677" s="7" t="s">
        <v>14</v>
      </c>
      <c r="L1677" s="7">
        <v>35701</v>
      </c>
      <c r="M1677" s="7">
        <v>1692</v>
      </c>
      <c r="N1677" s="12">
        <v>1371.35</v>
      </c>
      <c r="O1677" s="12">
        <f t="shared" si="80"/>
        <v>1371.35</v>
      </c>
      <c r="P1677" s="7">
        <v>259</v>
      </c>
      <c r="Q1677" s="7" t="b">
        <v>1</v>
      </c>
      <c r="R1677" s="7"/>
      <c r="S1677" s="15" t="s">
        <v>16</v>
      </c>
    </row>
    <row r="1678" spans="1:19">
      <c r="A1678" s="3" t="s">
        <v>3461</v>
      </c>
      <c r="B1678" s="4" t="s">
        <v>3462</v>
      </c>
      <c r="C1678" s="5" t="s">
        <v>4127</v>
      </c>
      <c r="D1678" s="5">
        <v>45247</v>
      </c>
      <c r="E1678" s="4">
        <v>11</v>
      </c>
      <c r="F1678" s="4">
        <v>17</v>
      </c>
      <c r="G1678" s="4">
        <v>2023</v>
      </c>
      <c r="H1678" s="5">
        <f t="shared" si="78"/>
        <v>45247</v>
      </c>
      <c r="I1678" s="9">
        <v>45272</v>
      </c>
      <c r="J1678" s="4">
        <f t="shared" si="79"/>
        <v>25</v>
      </c>
      <c r="K1678" s="4" t="s">
        <v>19</v>
      </c>
      <c r="L1678" s="4">
        <v>84300</v>
      </c>
      <c r="M1678" s="4">
        <v>3711</v>
      </c>
      <c r="N1678" s="10">
        <v>6594.85</v>
      </c>
      <c r="O1678" s="10">
        <f t="shared" si="80"/>
        <v>3632.575</v>
      </c>
      <c r="P1678" s="4">
        <v>401</v>
      </c>
      <c r="Q1678" s="4" t="b">
        <v>1</v>
      </c>
      <c r="R1678" s="4"/>
      <c r="S1678" s="14" t="s">
        <v>20</v>
      </c>
    </row>
    <row r="1679" spans="1:19">
      <c r="A1679" s="6" t="s">
        <v>3463</v>
      </c>
      <c r="B1679" s="7" t="s">
        <v>3464</v>
      </c>
      <c r="C1679" s="8" t="s">
        <v>4131</v>
      </c>
      <c r="D1679" s="8">
        <v>45240</v>
      </c>
      <c r="E1679" s="7">
        <v>11</v>
      </c>
      <c r="F1679" s="7">
        <v>10</v>
      </c>
      <c r="G1679" s="7">
        <v>2023</v>
      </c>
      <c r="H1679" s="8">
        <f t="shared" si="78"/>
        <v>45240</v>
      </c>
      <c r="I1679" s="11">
        <v>45242</v>
      </c>
      <c r="J1679" s="7">
        <f t="shared" si="79"/>
        <v>2</v>
      </c>
      <c r="K1679" s="7" t="s">
        <v>19</v>
      </c>
      <c r="L1679" s="7">
        <v>18674</v>
      </c>
      <c r="M1679" s="7">
        <v>920</v>
      </c>
      <c r="N1679" s="12">
        <v>576.28</v>
      </c>
      <c r="O1679" s="12">
        <f t="shared" si="80"/>
        <v>576.28</v>
      </c>
      <c r="P1679" s="7">
        <v>93</v>
      </c>
      <c r="Q1679" s="7" t="b">
        <v>0</v>
      </c>
      <c r="R1679" s="7"/>
      <c r="S1679" s="15" t="s">
        <v>20</v>
      </c>
    </row>
    <row r="1680" spans="1:19">
      <c r="A1680" s="3" t="s">
        <v>3465</v>
      </c>
      <c r="B1680" s="4" t="s">
        <v>3466</v>
      </c>
      <c r="C1680" s="5" t="s">
        <v>4128</v>
      </c>
      <c r="D1680" s="5">
        <v>45072</v>
      </c>
      <c r="E1680" s="4">
        <v>5</v>
      </c>
      <c r="F1680" s="4">
        <v>26</v>
      </c>
      <c r="G1680" s="4">
        <v>2023</v>
      </c>
      <c r="H1680" s="5">
        <f t="shared" si="78"/>
        <v>45072</v>
      </c>
      <c r="I1680" s="9">
        <v>45075</v>
      </c>
      <c r="J1680" s="4">
        <f t="shared" si="79"/>
        <v>3</v>
      </c>
      <c r="K1680" s="4" t="s">
        <v>23</v>
      </c>
      <c r="L1680" s="4">
        <v>84560</v>
      </c>
      <c r="M1680" s="4">
        <v>2969</v>
      </c>
      <c r="N1680" s="10">
        <v>3070.36</v>
      </c>
      <c r="O1680" s="10">
        <f t="shared" si="80"/>
        <v>3070.36</v>
      </c>
      <c r="P1680" s="4">
        <v>520</v>
      </c>
      <c r="Q1680" s="4" t="b">
        <v>0</v>
      </c>
      <c r="R1680" s="4"/>
      <c r="S1680" s="14" t="s">
        <v>25</v>
      </c>
    </row>
    <row r="1681" spans="1:19">
      <c r="A1681" s="6" t="s">
        <v>3467</v>
      </c>
      <c r="B1681" s="7" t="s">
        <v>3468</v>
      </c>
      <c r="C1681" s="8" t="s">
        <v>4129</v>
      </c>
      <c r="D1681" s="8">
        <v>45064</v>
      </c>
      <c r="E1681" s="7">
        <v>5</v>
      </c>
      <c r="F1681" s="7">
        <v>18</v>
      </c>
      <c r="G1681" s="7">
        <v>2023</v>
      </c>
      <c r="H1681" s="8">
        <f t="shared" si="78"/>
        <v>45064</v>
      </c>
      <c r="I1681" s="11">
        <v>45077</v>
      </c>
      <c r="J1681" s="7">
        <f t="shared" si="79"/>
        <v>13</v>
      </c>
      <c r="K1681" s="7" t="s">
        <v>23</v>
      </c>
      <c r="L1681" s="7">
        <v>24874</v>
      </c>
      <c r="M1681" s="7">
        <v>495</v>
      </c>
      <c r="N1681" s="12">
        <v>752.69</v>
      </c>
      <c r="O1681" s="12">
        <f t="shared" si="80"/>
        <v>752.69</v>
      </c>
      <c r="P1681" s="7">
        <v>32</v>
      </c>
      <c r="Q1681" s="7" t="b">
        <v>1</v>
      </c>
      <c r="R1681" s="7"/>
      <c r="S1681" s="15" t="s">
        <v>25</v>
      </c>
    </row>
    <row r="1682" spans="1:19">
      <c r="A1682" s="3" t="s">
        <v>3469</v>
      </c>
      <c r="B1682" s="4" t="s">
        <v>3470</v>
      </c>
      <c r="C1682" s="5" t="s">
        <v>4129</v>
      </c>
      <c r="D1682" s="5">
        <v>45020</v>
      </c>
      <c r="E1682" s="4">
        <v>4</v>
      </c>
      <c r="F1682" s="4">
        <v>4</v>
      </c>
      <c r="G1682" s="4">
        <v>2023</v>
      </c>
      <c r="H1682" s="5">
        <f t="shared" si="78"/>
        <v>45020</v>
      </c>
      <c r="I1682" s="9">
        <v>45025</v>
      </c>
      <c r="J1682" s="4">
        <f t="shared" si="79"/>
        <v>5</v>
      </c>
      <c r="K1682" s="4" t="s">
        <v>23</v>
      </c>
      <c r="L1682" s="4">
        <v>44642</v>
      </c>
      <c r="M1682" s="4">
        <v>737</v>
      </c>
      <c r="N1682" s="10">
        <v>671.54</v>
      </c>
      <c r="O1682" s="10">
        <f t="shared" si="80"/>
        <v>671.54</v>
      </c>
      <c r="P1682" s="4">
        <v>111</v>
      </c>
      <c r="Q1682" s="4" t="b">
        <v>1</v>
      </c>
      <c r="R1682" s="4"/>
      <c r="S1682" s="14" t="s">
        <v>25</v>
      </c>
    </row>
    <row r="1683" spans="1:19">
      <c r="A1683" s="6" t="s">
        <v>3471</v>
      </c>
      <c r="B1683" s="7" t="s">
        <v>3472</v>
      </c>
      <c r="C1683" s="8" t="s">
        <v>4131</v>
      </c>
      <c r="D1683" s="8">
        <v>45160</v>
      </c>
      <c r="E1683" s="7">
        <v>8</v>
      </c>
      <c r="F1683" s="7">
        <v>22</v>
      </c>
      <c r="G1683" s="7">
        <v>2023</v>
      </c>
      <c r="H1683" s="8">
        <f t="shared" si="78"/>
        <v>45160</v>
      </c>
      <c r="I1683" s="11">
        <v>45161</v>
      </c>
      <c r="J1683" s="7">
        <f t="shared" si="79"/>
        <v>1</v>
      </c>
      <c r="K1683" s="7" t="s">
        <v>19</v>
      </c>
      <c r="L1683" s="7">
        <v>98820</v>
      </c>
      <c r="M1683" s="7">
        <v>1727</v>
      </c>
      <c r="N1683" s="12">
        <v>3007.59</v>
      </c>
      <c r="O1683" s="12">
        <f t="shared" si="80"/>
        <v>3007.59</v>
      </c>
      <c r="P1683" s="7">
        <v>150</v>
      </c>
      <c r="Q1683" s="7" t="b">
        <v>0</v>
      </c>
      <c r="R1683" s="7"/>
      <c r="S1683" s="15" t="s">
        <v>20</v>
      </c>
    </row>
    <row r="1684" spans="1:19">
      <c r="A1684" s="3" t="s">
        <v>3473</v>
      </c>
      <c r="B1684" s="4" t="s">
        <v>3474</v>
      </c>
      <c r="C1684" s="5" t="s">
        <v>4131</v>
      </c>
      <c r="D1684" s="5">
        <v>45245</v>
      </c>
      <c r="E1684" s="4">
        <v>11</v>
      </c>
      <c r="F1684" s="4">
        <v>15</v>
      </c>
      <c r="G1684" s="4">
        <v>2023</v>
      </c>
      <c r="H1684" s="5">
        <f t="shared" si="78"/>
        <v>45245</v>
      </c>
      <c r="I1684" s="9">
        <v>45255</v>
      </c>
      <c r="J1684" s="4">
        <f t="shared" si="79"/>
        <v>10</v>
      </c>
      <c r="K1684" s="4" t="s">
        <v>33</v>
      </c>
      <c r="L1684" s="4">
        <v>66160</v>
      </c>
      <c r="M1684" s="4">
        <v>713</v>
      </c>
      <c r="N1684" s="10">
        <v>1147.79</v>
      </c>
      <c r="O1684" s="10">
        <f t="shared" si="80"/>
        <v>1147.79</v>
      </c>
      <c r="P1684" s="4">
        <v>37</v>
      </c>
      <c r="Q1684" s="4" t="b">
        <v>1</v>
      </c>
      <c r="R1684" s="4"/>
      <c r="S1684" s="14" t="s">
        <v>34</v>
      </c>
    </row>
    <row r="1685" spans="1:19">
      <c r="A1685" s="6" t="s">
        <v>3475</v>
      </c>
      <c r="B1685" s="7" t="s">
        <v>3476</v>
      </c>
      <c r="C1685" s="8" t="s">
        <v>4128</v>
      </c>
      <c r="D1685" s="8" t="s">
        <v>1700</v>
      </c>
      <c r="E1685" s="7">
        <v>19</v>
      </c>
      <c r="F1685" s="7">
        <v>3</v>
      </c>
      <c r="G1685" s="7">
        <v>2023</v>
      </c>
      <c r="H1685" s="8">
        <f t="shared" si="78"/>
        <v>45004</v>
      </c>
      <c r="I1685" s="11">
        <v>45019</v>
      </c>
      <c r="J1685" s="7">
        <f t="shared" si="79"/>
        <v>15</v>
      </c>
      <c r="K1685" s="7" t="s">
        <v>14</v>
      </c>
      <c r="L1685" s="7">
        <v>18602</v>
      </c>
      <c r="M1685" s="7">
        <v>476</v>
      </c>
      <c r="N1685" s="12">
        <v>801.36</v>
      </c>
      <c r="O1685" s="12">
        <f t="shared" si="80"/>
        <v>801.36</v>
      </c>
      <c r="P1685" s="7">
        <v>35</v>
      </c>
      <c r="Q1685" s="7" t="b">
        <v>0</v>
      </c>
      <c r="R1685" s="7"/>
      <c r="S1685" s="15" t="s">
        <v>16</v>
      </c>
    </row>
    <row r="1686" spans="1:19">
      <c r="A1686" s="3" t="s">
        <v>3477</v>
      </c>
      <c r="B1686" s="4" t="s">
        <v>3478</v>
      </c>
      <c r="C1686" s="5" t="s">
        <v>4131</v>
      </c>
      <c r="D1686" s="5">
        <v>44936</v>
      </c>
      <c r="E1686" s="4">
        <v>1</v>
      </c>
      <c r="F1686" s="4">
        <v>10</v>
      </c>
      <c r="G1686" s="4">
        <v>2023</v>
      </c>
      <c r="H1686" s="5">
        <f t="shared" si="78"/>
        <v>44936</v>
      </c>
      <c r="I1686" s="9">
        <v>45217</v>
      </c>
      <c r="J1686" s="4">
        <f t="shared" si="79"/>
        <v>281</v>
      </c>
      <c r="K1686" s="4" t="s">
        <v>33</v>
      </c>
      <c r="L1686" s="4">
        <v>89801</v>
      </c>
      <c r="M1686" s="4">
        <v>1585</v>
      </c>
      <c r="N1686" s="10">
        <v>1075.68</v>
      </c>
      <c r="O1686" s="10">
        <f t="shared" si="80"/>
        <v>1075.68</v>
      </c>
      <c r="P1686" s="4">
        <v>223</v>
      </c>
      <c r="Q1686" s="4" t="b">
        <v>1</v>
      </c>
      <c r="R1686" s="4"/>
      <c r="S1686" s="14" t="s">
        <v>34</v>
      </c>
    </row>
    <row r="1687" spans="1:19">
      <c r="A1687" s="6" t="s">
        <v>3479</v>
      </c>
      <c r="B1687" s="7" t="s">
        <v>3480</v>
      </c>
      <c r="C1687" s="8" t="s">
        <v>4127</v>
      </c>
      <c r="D1687" s="8">
        <v>44979</v>
      </c>
      <c r="E1687" s="7">
        <v>2</v>
      </c>
      <c r="F1687" s="7">
        <v>22</v>
      </c>
      <c r="G1687" s="7">
        <v>2023</v>
      </c>
      <c r="H1687" s="8">
        <f t="shared" si="78"/>
        <v>44979</v>
      </c>
      <c r="I1687" s="11">
        <v>45005</v>
      </c>
      <c r="J1687" s="7">
        <f t="shared" si="79"/>
        <v>26</v>
      </c>
      <c r="K1687" s="7" t="s">
        <v>19</v>
      </c>
      <c r="L1687" s="7">
        <v>26931</v>
      </c>
      <c r="M1687" s="7">
        <v>712</v>
      </c>
      <c r="N1687" s="12">
        <v>506.1</v>
      </c>
      <c r="O1687" s="12">
        <f t="shared" si="80"/>
        <v>506.1</v>
      </c>
      <c r="P1687" s="7">
        <v>0</v>
      </c>
      <c r="Q1687" s="7" t="b">
        <v>0</v>
      </c>
      <c r="R1687" s="7"/>
      <c r="S1687" s="15" t="s">
        <v>20</v>
      </c>
    </row>
    <row r="1688" spans="1:19">
      <c r="A1688" s="3" t="s">
        <v>3481</v>
      </c>
      <c r="B1688" s="4" t="s">
        <v>3482</v>
      </c>
      <c r="C1688" s="5" t="s">
        <v>4127</v>
      </c>
      <c r="D1688" s="5">
        <v>45151</v>
      </c>
      <c r="E1688" s="4">
        <v>8</v>
      </c>
      <c r="F1688" s="4">
        <v>13</v>
      </c>
      <c r="G1688" s="4">
        <v>2023</v>
      </c>
      <c r="H1688" s="5">
        <f t="shared" si="78"/>
        <v>45151</v>
      </c>
      <c r="I1688" s="9">
        <v>45167</v>
      </c>
      <c r="J1688" s="4">
        <f t="shared" si="79"/>
        <v>16</v>
      </c>
      <c r="K1688" s="4" t="s">
        <v>23</v>
      </c>
      <c r="L1688" s="4">
        <v>95377</v>
      </c>
      <c r="M1688" s="4">
        <v>4520</v>
      </c>
      <c r="N1688" s="10">
        <v>4202.29</v>
      </c>
      <c r="O1688" s="10">
        <f t="shared" si="80"/>
        <v>3632.575</v>
      </c>
      <c r="P1688" s="4">
        <v>240</v>
      </c>
      <c r="Q1688" s="4" t="b">
        <v>1</v>
      </c>
      <c r="R1688" s="4"/>
      <c r="S1688" s="14" t="s">
        <v>68</v>
      </c>
    </row>
    <row r="1689" spans="1:19">
      <c r="A1689" s="6" t="s">
        <v>3483</v>
      </c>
      <c r="B1689" s="7" t="s">
        <v>3484</v>
      </c>
      <c r="C1689" s="8" t="s">
        <v>4127</v>
      </c>
      <c r="D1689" s="8" t="s">
        <v>1700</v>
      </c>
      <c r="E1689" s="7">
        <v>19</v>
      </c>
      <c r="F1689" s="7">
        <v>3</v>
      </c>
      <c r="G1689" s="7">
        <v>2023</v>
      </c>
      <c r="H1689" s="8">
        <f t="shared" si="78"/>
        <v>45004</v>
      </c>
      <c r="I1689" s="11">
        <v>45026</v>
      </c>
      <c r="J1689" s="7">
        <f t="shared" si="79"/>
        <v>22</v>
      </c>
      <c r="K1689" s="7" t="s">
        <v>19</v>
      </c>
      <c r="L1689" s="7">
        <v>30192</v>
      </c>
      <c r="M1689" s="7">
        <v>821</v>
      </c>
      <c r="N1689" s="12">
        <v>1048.51</v>
      </c>
      <c r="O1689" s="12">
        <f t="shared" si="80"/>
        <v>1048.51</v>
      </c>
      <c r="P1689" s="7">
        <v>45</v>
      </c>
      <c r="Q1689" s="7" t="b">
        <v>1</v>
      </c>
      <c r="R1689" s="7"/>
      <c r="S1689" s="15" t="s">
        <v>20</v>
      </c>
    </row>
    <row r="1690" spans="1:19">
      <c r="A1690" s="3" t="s">
        <v>3485</v>
      </c>
      <c r="B1690" s="4" t="s">
        <v>3486</v>
      </c>
      <c r="C1690" s="5" t="s">
        <v>4129</v>
      </c>
      <c r="D1690" s="5">
        <v>45038</v>
      </c>
      <c r="E1690" s="4">
        <v>4</v>
      </c>
      <c r="F1690" s="4">
        <v>22</v>
      </c>
      <c r="G1690" s="4">
        <v>2023</v>
      </c>
      <c r="H1690" s="5">
        <f t="shared" si="78"/>
        <v>45038</v>
      </c>
      <c r="I1690" s="9">
        <v>45063</v>
      </c>
      <c r="J1690" s="4">
        <f t="shared" si="79"/>
        <v>25</v>
      </c>
      <c r="K1690" s="4" t="s">
        <v>23</v>
      </c>
      <c r="L1690" s="4">
        <v>47542</v>
      </c>
      <c r="M1690" s="4">
        <v>2145</v>
      </c>
      <c r="N1690" s="10">
        <v>3479.24</v>
      </c>
      <c r="O1690" s="10">
        <f t="shared" si="80"/>
        <v>3479.24</v>
      </c>
      <c r="P1690" s="4">
        <v>397</v>
      </c>
      <c r="Q1690" s="4" t="b">
        <v>1</v>
      </c>
      <c r="R1690" s="4"/>
      <c r="S1690" s="14" t="s">
        <v>25</v>
      </c>
    </row>
    <row r="1691" spans="1:19">
      <c r="A1691" s="6" t="s">
        <v>3487</v>
      </c>
      <c r="B1691" s="7" t="s">
        <v>3488</v>
      </c>
      <c r="C1691" s="8" t="s">
        <v>4129</v>
      </c>
      <c r="D1691" s="8">
        <v>45182</v>
      </c>
      <c r="E1691" s="7">
        <v>9</v>
      </c>
      <c r="F1691" s="7">
        <v>13</v>
      </c>
      <c r="G1691" s="7">
        <v>2023</v>
      </c>
      <c r="H1691" s="8">
        <f t="shared" si="78"/>
        <v>45182</v>
      </c>
      <c r="I1691" s="11">
        <v>45195</v>
      </c>
      <c r="J1691" s="7">
        <f t="shared" si="79"/>
        <v>13</v>
      </c>
      <c r="K1691" s="7" t="s">
        <v>23</v>
      </c>
      <c r="L1691" s="7">
        <v>43520</v>
      </c>
      <c r="M1691" s="7">
        <v>1489</v>
      </c>
      <c r="N1691" s="12">
        <v>2612.89</v>
      </c>
      <c r="O1691" s="12">
        <f t="shared" si="80"/>
        <v>2612.89</v>
      </c>
      <c r="P1691" s="7">
        <v>90</v>
      </c>
      <c r="Q1691" s="7" t="b">
        <v>1</v>
      </c>
      <c r="R1691" s="7"/>
      <c r="S1691" s="15" t="s">
        <v>25</v>
      </c>
    </row>
    <row r="1692" spans="1:19">
      <c r="A1692" s="3" t="s">
        <v>3489</v>
      </c>
      <c r="B1692" s="4" t="s">
        <v>3490</v>
      </c>
      <c r="C1692" s="5" t="s">
        <v>4129</v>
      </c>
      <c r="D1692" s="5">
        <v>44943</v>
      </c>
      <c r="E1692" s="4">
        <v>1</v>
      </c>
      <c r="F1692" s="4">
        <v>17</v>
      </c>
      <c r="G1692" s="4">
        <v>2023</v>
      </c>
      <c r="H1692" s="5">
        <f t="shared" si="78"/>
        <v>44943</v>
      </c>
      <c r="I1692" s="9">
        <v>44961</v>
      </c>
      <c r="J1692" s="4">
        <f t="shared" si="79"/>
        <v>18</v>
      </c>
      <c r="K1692" s="4" t="s">
        <v>23</v>
      </c>
      <c r="L1692" s="4">
        <v>65772</v>
      </c>
      <c r="M1692" s="4">
        <v>1307</v>
      </c>
      <c r="N1692" s="10">
        <v>2034.35</v>
      </c>
      <c r="O1692" s="10">
        <f t="shared" si="80"/>
        <v>2034.35</v>
      </c>
      <c r="P1692" s="4">
        <v>240</v>
      </c>
      <c r="Q1692" s="4" t="b">
        <v>1</v>
      </c>
      <c r="R1692" s="4"/>
      <c r="S1692" s="14" t="s">
        <v>25</v>
      </c>
    </row>
    <row r="1693" spans="1:19">
      <c r="A1693" s="6" t="s">
        <v>3491</v>
      </c>
      <c r="B1693" s="7" t="s">
        <v>3492</v>
      </c>
      <c r="C1693" s="8" t="s">
        <v>4128</v>
      </c>
      <c r="D1693" s="8" t="s">
        <v>2879</v>
      </c>
      <c r="E1693" s="7">
        <v>16</v>
      </c>
      <c r="F1693" s="7">
        <v>3</v>
      </c>
      <c r="G1693" s="7">
        <v>2023</v>
      </c>
      <c r="H1693" s="8">
        <f t="shared" si="78"/>
        <v>45001</v>
      </c>
      <c r="I1693" s="11">
        <v>45019</v>
      </c>
      <c r="J1693" s="7">
        <f t="shared" si="79"/>
        <v>18</v>
      </c>
      <c r="K1693" s="7" t="s">
        <v>23</v>
      </c>
      <c r="L1693" s="7">
        <v>59762</v>
      </c>
      <c r="M1693" s="7">
        <v>1448</v>
      </c>
      <c r="N1693" s="12">
        <v>2740.91</v>
      </c>
      <c r="O1693" s="12">
        <f t="shared" si="80"/>
        <v>2740.91</v>
      </c>
      <c r="P1693" s="7">
        <v>0</v>
      </c>
      <c r="Q1693" s="7" t="b">
        <v>1</v>
      </c>
      <c r="R1693" s="7"/>
      <c r="S1693" s="15" t="s">
        <v>25</v>
      </c>
    </row>
    <row r="1694" spans="1:19">
      <c r="A1694" s="3" t="s">
        <v>3493</v>
      </c>
      <c r="B1694" s="4" t="s">
        <v>3494</v>
      </c>
      <c r="C1694" s="5" t="s">
        <v>4131</v>
      </c>
      <c r="D1694" s="5" t="s">
        <v>3495</v>
      </c>
      <c r="E1694" s="4">
        <v>20</v>
      </c>
      <c r="F1694" s="4">
        <v>7</v>
      </c>
      <c r="G1694" s="4">
        <v>2023</v>
      </c>
      <c r="H1694" s="5">
        <f t="shared" si="78"/>
        <v>45127</v>
      </c>
      <c r="I1694" s="9">
        <v>45151</v>
      </c>
      <c r="J1694" s="4">
        <f t="shared" si="79"/>
        <v>24</v>
      </c>
      <c r="K1694" s="4" t="s">
        <v>19</v>
      </c>
      <c r="L1694" s="4">
        <v>51106</v>
      </c>
      <c r="M1694" s="4">
        <v>682</v>
      </c>
      <c r="N1694" s="10">
        <v>1096.73</v>
      </c>
      <c r="O1694" s="10">
        <f t="shared" si="80"/>
        <v>1096.73</v>
      </c>
      <c r="P1694" s="4">
        <v>109</v>
      </c>
      <c r="Q1694" s="4" t="b">
        <v>1</v>
      </c>
      <c r="R1694" s="4"/>
      <c r="S1694" s="14" t="s">
        <v>20</v>
      </c>
    </row>
    <row r="1695" spans="1:19">
      <c r="A1695" s="6" t="s">
        <v>3496</v>
      </c>
      <c r="B1695" s="7" t="s">
        <v>3497</v>
      </c>
      <c r="C1695" s="8" t="s">
        <v>4127</v>
      </c>
      <c r="D1695" s="8">
        <v>45167</v>
      </c>
      <c r="E1695" s="7">
        <v>8</v>
      </c>
      <c r="F1695" s="7">
        <v>29</v>
      </c>
      <c r="G1695" s="7">
        <v>2023</v>
      </c>
      <c r="H1695" s="8">
        <f t="shared" si="78"/>
        <v>45167</v>
      </c>
      <c r="I1695" s="11">
        <v>45180</v>
      </c>
      <c r="J1695" s="7">
        <f t="shared" si="79"/>
        <v>13</v>
      </c>
      <c r="K1695" s="7" t="s">
        <v>33</v>
      </c>
      <c r="L1695" s="7">
        <v>82121</v>
      </c>
      <c r="M1695" s="7">
        <v>1916</v>
      </c>
      <c r="N1695" s="12">
        <v>1838.21</v>
      </c>
      <c r="O1695" s="12">
        <f t="shared" si="80"/>
        <v>1838.21</v>
      </c>
      <c r="P1695" s="7">
        <v>184</v>
      </c>
      <c r="Q1695" s="7" t="b">
        <v>0</v>
      </c>
      <c r="R1695" s="7"/>
      <c r="S1695" s="15" t="s">
        <v>34</v>
      </c>
    </row>
    <row r="1696" spans="1:19">
      <c r="A1696" s="3" t="s">
        <v>3498</v>
      </c>
      <c r="B1696" s="4" t="s">
        <v>3499</v>
      </c>
      <c r="C1696" s="5" t="s">
        <v>4128</v>
      </c>
      <c r="D1696" s="5">
        <v>45055</v>
      </c>
      <c r="E1696" s="4">
        <v>5</v>
      </c>
      <c r="F1696" s="4">
        <v>9</v>
      </c>
      <c r="G1696" s="4">
        <v>2023</v>
      </c>
      <c r="H1696" s="5">
        <f t="shared" si="78"/>
        <v>45055</v>
      </c>
      <c r="I1696" s="9">
        <v>45084</v>
      </c>
      <c r="J1696" s="4">
        <f t="shared" si="79"/>
        <v>29</v>
      </c>
      <c r="K1696" s="4" t="s">
        <v>19</v>
      </c>
      <c r="L1696" s="4">
        <v>26559</v>
      </c>
      <c r="M1696" s="4">
        <v>985</v>
      </c>
      <c r="N1696" s="10">
        <v>884.16</v>
      </c>
      <c r="O1696" s="10">
        <f t="shared" si="80"/>
        <v>884.16</v>
      </c>
      <c r="P1696" s="4">
        <v>176</v>
      </c>
      <c r="Q1696" s="4" t="b">
        <v>1</v>
      </c>
      <c r="R1696" s="4"/>
      <c r="S1696" s="14" t="s">
        <v>20</v>
      </c>
    </row>
    <row r="1697" spans="1:19">
      <c r="A1697" s="6" t="s">
        <v>3500</v>
      </c>
      <c r="B1697" s="7" t="s">
        <v>3501</v>
      </c>
      <c r="C1697" s="8" t="s">
        <v>4128</v>
      </c>
      <c r="D1697" s="8">
        <v>44989</v>
      </c>
      <c r="E1697" s="7">
        <v>3</v>
      </c>
      <c r="F1697" s="7">
        <v>4</v>
      </c>
      <c r="G1697" s="7">
        <v>2023</v>
      </c>
      <c r="H1697" s="8">
        <f t="shared" si="78"/>
        <v>44989</v>
      </c>
      <c r="I1697" s="11">
        <v>45006</v>
      </c>
      <c r="J1697" s="7">
        <f t="shared" si="79"/>
        <v>17</v>
      </c>
      <c r="K1697" s="7" t="s">
        <v>23</v>
      </c>
      <c r="L1697" s="7">
        <v>34742</v>
      </c>
      <c r="M1697" s="7">
        <v>447</v>
      </c>
      <c r="N1697" s="12">
        <v>690.3</v>
      </c>
      <c r="O1697" s="12">
        <f t="shared" si="80"/>
        <v>690.3</v>
      </c>
      <c r="P1697" s="7">
        <v>69</v>
      </c>
      <c r="Q1697" s="7" t="b">
        <v>1</v>
      </c>
      <c r="R1697" s="7"/>
      <c r="S1697" s="15" t="s">
        <v>68</v>
      </c>
    </row>
    <row r="1698" spans="1:19">
      <c r="A1698" s="3" t="s">
        <v>3502</v>
      </c>
      <c r="B1698" s="4" t="s">
        <v>3503</v>
      </c>
      <c r="C1698" s="5" t="s">
        <v>4129</v>
      </c>
      <c r="D1698" s="5">
        <v>45124</v>
      </c>
      <c r="E1698" s="4">
        <v>7</v>
      </c>
      <c r="F1698" s="4">
        <v>17</v>
      </c>
      <c r="G1698" s="4">
        <v>2023</v>
      </c>
      <c r="H1698" s="5">
        <f t="shared" si="78"/>
        <v>45124</v>
      </c>
      <c r="I1698" s="9">
        <v>45139</v>
      </c>
      <c r="J1698" s="4">
        <f t="shared" si="79"/>
        <v>15</v>
      </c>
      <c r="K1698" s="4" t="s">
        <v>19</v>
      </c>
      <c r="L1698" s="4">
        <v>70669</v>
      </c>
      <c r="M1698" s="4">
        <v>1287</v>
      </c>
      <c r="N1698" s="10">
        <v>1015.84</v>
      </c>
      <c r="O1698" s="10">
        <f t="shared" si="80"/>
        <v>1015.84</v>
      </c>
      <c r="P1698" s="4">
        <v>141</v>
      </c>
      <c r="Q1698" s="4" t="b">
        <v>0</v>
      </c>
      <c r="R1698" s="4"/>
      <c r="S1698" s="14" t="s">
        <v>20</v>
      </c>
    </row>
    <row r="1699" spans="1:19">
      <c r="A1699" s="6" t="s">
        <v>3504</v>
      </c>
      <c r="B1699" s="7" t="s">
        <v>3505</v>
      </c>
      <c r="C1699" s="8" t="s">
        <v>4129</v>
      </c>
      <c r="D1699" s="8">
        <v>44944</v>
      </c>
      <c r="E1699" s="7">
        <v>1</v>
      </c>
      <c r="F1699" s="7">
        <v>18</v>
      </c>
      <c r="G1699" s="7">
        <v>2023</v>
      </c>
      <c r="H1699" s="8">
        <f t="shared" si="78"/>
        <v>44944</v>
      </c>
      <c r="I1699" s="11">
        <v>44965</v>
      </c>
      <c r="J1699" s="7">
        <f t="shared" si="79"/>
        <v>21</v>
      </c>
      <c r="K1699" s="7" t="s">
        <v>41</v>
      </c>
      <c r="L1699" s="7">
        <v>81199</v>
      </c>
      <c r="M1699" s="7">
        <v>2050</v>
      </c>
      <c r="N1699" s="12">
        <v>1310.1</v>
      </c>
      <c r="O1699" s="12">
        <f t="shared" si="80"/>
        <v>1310.1</v>
      </c>
      <c r="P1699" s="7">
        <v>125</v>
      </c>
      <c r="Q1699" s="7" t="b">
        <v>0</v>
      </c>
      <c r="R1699" s="7"/>
      <c r="S1699" s="15" t="s">
        <v>42</v>
      </c>
    </row>
    <row r="1700" spans="1:19">
      <c r="A1700" s="3" t="s">
        <v>3506</v>
      </c>
      <c r="B1700" s="4" t="s">
        <v>3507</v>
      </c>
      <c r="C1700" s="5" t="s">
        <v>4131</v>
      </c>
      <c r="D1700" s="5">
        <v>44975</v>
      </c>
      <c r="E1700" s="4">
        <v>2</v>
      </c>
      <c r="F1700" s="4">
        <v>18</v>
      </c>
      <c r="G1700" s="4">
        <v>2023</v>
      </c>
      <c r="H1700" s="5">
        <f t="shared" si="78"/>
        <v>44975</v>
      </c>
      <c r="I1700" s="9">
        <v>44992</v>
      </c>
      <c r="J1700" s="4">
        <f t="shared" si="79"/>
        <v>17</v>
      </c>
      <c r="K1700" s="4" t="s">
        <v>33</v>
      </c>
      <c r="L1700" s="4">
        <v>22754</v>
      </c>
      <c r="M1700" s="4">
        <v>1121</v>
      </c>
      <c r="N1700" s="10">
        <v>1455.43</v>
      </c>
      <c r="O1700" s="10">
        <f t="shared" si="80"/>
        <v>1455.43</v>
      </c>
      <c r="P1700" s="4">
        <v>179</v>
      </c>
      <c r="Q1700" s="4" t="b">
        <v>0</v>
      </c>
      <c r="R1700" s="4"/>
      <c r="S1700" s="14" t="s">
        <v>34</v>
      </c>
    </row>
    <row r="1701" spans="1:19">
      <c r="A1701" s="6" t="s">
        <v>3508</v>
      </c>
      <c r="B1701" s="7" t="s">
        <v>3509</v>
      </c>
      <c r="C1701" s="8" t="s">
        <v>4129</v>
      </c>
      <c r="D1701" s="8">
        <v>45169</v>
      </c>
      <c r="E1701" s="7">
        <v>8</v>
      </c>
      <c r="F1701" s="7">
        <v>31</v>
      </c>
      <c r="G1701" s="7">
        <v>2023</v>
      </c>
      <c r="H1701" s="8">
        <f t="shared" si="78"/>
        <v>45169</v>
      </c>
      <c r="I1701" s="11">
        <v>45181</v>
      </c>
      <c r="J1701" s="7">
        <f t="shared" si="79"/>
        <v>12</v>
      </c>
      <c r="K1701" s="7" t="s">
        <v>33</v>
      </c>
      <c r="L1701" s="7">
        <v>4972</v>
      </c>
      <c r="M1701" s="7">
        <v>205</v>
      </c>
      <c r="N1701" s="12">
        <v>355.15</v>
      </c>
      <c r="O1701" s="12">
        <f t="shared" si="80"/>
        <v>355.15</v>
      </c>
      <c r="P1701" s="7">
        <v>29</v>
      </c>
      <c r="Q1701" s="7" t="b">
        <v>1</v>
      </c>
      <c r="R1701" s="7"/>
      <c r="S1701" s="15" t="s">
        <v>34</v>
      </c>
    </row>
    <row r="1702" spans="1:19">
      <c r="A1702" s="3" t="s">
        <v>3510</v>
      </c>
      <c r="B1702" s="4" t="s">
        <v>3511</v>
      </c>
      <c r="C1702" s="5" t="s">
        <v>4131</v>
      </c>
      <c r="D1702" s="5">
        <v>45092</v>
      </c>
      <c r="E1702" s="4">
        <v>6</v>
      </c>
      <c r="F1702" s="4">
        <v>15</v>
      </c>
      <c r="G1702" s="4">
        <v>2023</v>
      </c>
      <c r="H1702" s="5">
        <f t="shared" si="78"/>
        <v>45092</v>
      </c>
      <c r="I1702" s="9">
        <v>45118</v>
      </c>
      <c r="J1702" s="4">
        <f t="shared" si="79"/>
        <v>26</v>
      </c>
      <c r="K1702" s="4" t="s">
        <v>41</v>
      </c>
      <c r="L1702" s="4">
        <v>71831</v>
      </c>
      <c r="M1702" s="4">
        <v>2825</v>
      </c>
      <c r="N1702" s="10">
        <v>1842.1</v>
      </c>
      <c r="O1702" s="10">
        <f t="shared" si="80"/>
        <v>1842.1</v>
      </c>
      <c r="P1702" s="4">
        <v>142</v>
      </c>
      <c r="Q1702" s="4" t="b">
        <v>1</v>
      </c>
      <c r="R1702" s="4"/>
      <c r="S1702" s="14" t="s">
        <v>42</v>
      </c>
    </row>
    <row r="1703" spans="1:19">
      <c r="A1703" s="6" t="s">
        <v>3512</v>
      </c>
      <c r="B1703" s="7" t="s">
        <v>3513</v>
      </c>
      <c r="C1703" s="8" t="s">
        <v>4127</v>
      </c>
      <c r="D1703" s="8">
        <v>45208</v>
      </c>
      <c r="E1703" s="7">
        <v>10</v>
      </c>
      <c r="F1703" s="7">
        <v>9</v>
      </c>
      <c r="G1703" s="7">
        <v>2023</v>
      </c>
      <c r="H1703" s="8">
        <f t="shared" si="78"/>
        <v>45208</v>
      </c>
      <c r="I1703" s="11">
        <v>45228</v>
      </c>
      <c r="J1703" s="7">
        <f t="shared" si="79"/>
        <v>20</v>
      </c>
      <c r="K1703" s="7" t="s">
        <v>19</v>
      </c>
      <c r="L1703" s="7">
        <v>42873</v>
      </c>
      <c r="M1703" s="7">
        <v>627</v>
      </c>
      <c r="N1703" s="12">
        <v>-1058.27</v>
      </c>
      <c r="O1703" s="12">
        <f t="shared" si="80"/>
        <v>-344.195</v>
      </c>
      <c r="P1703" s="7">
        <v>32</v>
      </c>
      <c r="Q1703" s="7" t="b">
        <v>0</v>
      </c>
      <c r="R1703" s="7"/>
      <c r="S1703" s="15" t="s">
        <v>20</v>
      </c>
    </row>
    <row r="1704" spans="1:19">
      <c r="A1704" s="3" t="s">
        <v>3514</v>
      </c>
      <c r="B1704" s="4" t="s">
        <v>3515</v>
      </c>
      <c r="C1704" s="5" t="s">
        <v>4131</v>
      </c>
      <c r="D1704" s="5">
        <v>45253</v>
      </c>
      <c r="E1704" s="4">
        <v>11</v>
      </c>
      <c r="F1704" s="4">
        <v>23</v>
      </c>
      <c r="G1704" s="4">
        <v>2023</v>
      </c>
      <c r="H1704" s="5">
        <f t="shared" si="78"/>
        <v>45253</v>
      </c>
      <c r="I1704" s="9">
        <v>45272</v>
      </c>
      <c r="J1704" s="4">
        <f t="shared" si="79"/>
        <v>19</v>
      </c>
      <c r="K1704" s="4" t="s">
        <v>19</v>
      </c>
      <c r="L1704" s="4">
        <v>95661</v>
      </c>
      <c r="M1704" s="4">
        <v>3945</v>
      </c>
      <c r="N1704" s="10">
        <v>6774.98</v>
      </c>
      <c r="O1704" s="10">
        <f t="shared" si="80"/>
        <v>3632.575</v>
      </c>
      <c r="P1704" s="4">
        <v>675</v>
      </c>
      <c r="Q1704" s="4" t="b">
        <v>0</v>
      </c>
      <c r="R1704" s="4"/>
      <c r="S1704" s="14" t="s">
        <v>20</v>
      </c>
    </row>
    <row r="1705" spans="1:19">
      <c r="A1705" s="6" t="s">
        <v>3516</v>
      </c>
      <c r="B1705" s="7" t="s">
        <v>3517</v>
      </c>
      <c r="C1705" s="8" t="s">
        <v>4129</v>
      </c>
      <c r="D1705" s="8">
        <v>44953</v>
      </c>
      <c r="E1705" s="7">
        <v>1</v>
      </c>
      <c r="F1705" s="7">
        <v>27</v>
      </c>
      <c r="G1705" s="7">
        <v>2023</v>
      </c>
      <c r="H1705" s="8">
        <f t="shared" si="78"/>
        <v>44953</v>
      </c>
      <c r="I1705" s="11">
        <v>44976</v>
      </c>
      <c r="J1705" s="7">
        <f t="shared" si="79"/>
        <v>23</v>
      </c>
      <c r="K1705" s="7" t="s">
        <v>41</v>
      </c>
      <c r="L1705" s="7">
        <v>10903</v>
      </c>
      <c r="M1705" s="7">
        <v>451</v>
      </c>
      <c r="N1705" s="12">
        <v>551.76</v>
      </c>
      <c r="O1705" s="12">
        <f t="shared" si="80"/>
        <v>551.76</v>
      </c>
      <c r="P1705" s="7">
        <v>40</v>
      </c>
      <c r="Q1705" s="7" t="b">
        <v>1</v>
      </c>
      <c r="R1705" s="7"/>
      <c r="S1705" s="15" t="s">
        <v>42</v>
      </c>
    </row>
    <row r="1706" spans="1:19">
      <c r="A1706" s="3" t="s">
        <v>3518</v>
      </c>
      <c r="B1706" s="4" t="s">
        <v>3519</v>
      </c>
      <c r="C1706" s="5" t="s">
        <v>4131</v>
      </c>
      <c r="D1706" s="5">
        <v>44984</v>
      </c>
      <c r="E1706" s="4">
        <v>2</v>
      </c>
      <c r="F1706" s="4">
        <v>27</v>
      </c>
      <c r="G1706" s="4">
        <v>2023</v>
      </c>
      <c r="H1706" s="5">
        <f t="shared" si="78"/>
        <v>44984</v>
      </c>
      <c r="I1706" s="9">
        <v>45011</v>
      </c>
      <c r="J1706" s="4">
        <f t="shared" si="79"/>
        <v>27</v>
      </c>
      <c r="K1706" s="4" t="s">
        <v>33</v>
      </c>
      <c r="L1706" s="4">
        <v>4020</v>
      </c>
      <c r="M1706" s="4">
        <v>136</v>
      </c>
      <c r="N1706" s="10">
        <v>79.69</v>
      </c>
      <c r="O1706" s="10">
        <f t="shared" si="80"/>
        <v>79.69</v>
      </c>
      <c r="P1706" s="4">
        <v>19</v>
      </c>
      <c r="Q1706" s="4" t="b">
        <v>0</v>
      </c>
      <c r="R1706" s="4"/>
      <c r="S1706" s="14" t="s">
        <v>34</v>
      </c>
    </row>
    <row r="1707" spans="1:19">
      <c r="A1707" s="6" t="s">
        <v>3520</v>
      </c>
      <c r="B1707" s="7" t="s">
        <v>3521</v>
      </c>
      <c r="C1707" s="8" t="s">
        <v>4131</v>
      </c>
      <c r="D1707" s="8">
        <v>44934</v>
      </c>
      <c r="E1707" s="7">
        <v>1</v>
      </c>
      <c r="F1707" s="7">
        <v>8</v>
      </c>
      <c r="G1707" s="7">
        <v>2023</v>
      </c>
      <c r="H1707" s="8">
        <f t="shared" si="78"/>
        <v>44934</v>
      </c>
      <c r="I1707" s="11">
        <v>44958</v>
      </c>
      <c r="J1707" s="7">
        <f t="shared" si="79"/>
        <v>24</v>
      </c>
      <c r="K1707" s="7" t="s">
        <v>19</v>
      </c>
      <c r="L1707" s="7">
        <v>42755</v>
      </c>
      <c r="M1707" s="7">
        <v>2121</v>
      </c>
      <c r="N1707" s="12">
        <v>1615.96</v>
      </c>
      <c r="O1707" s="12">
        <f t="shared" si="80"/>
        <v>1615.96</v>
      </c>
      <c r="P1707" s="7">
        <v>250</v>
      </c>
      <c r="Q1707" s="7" t="b">
        <v>0</v>
      </c>
      <c r="R1707" s="7"/>
      <c r="S1707" s="15" t="s">
        <v>20</v>
      </c>
    </row>
    <row r="1708" spans="1:19">
      <c r="A1708" s="3" t="s">
        <v>3522</v>
      </c>
      <c r="B1708" s="4" t="s">
        <v>3523</v>
      </c>
      <c r="C1708" s="5" t="s">
        <v>4127</v>
      </c>
      <c r="D1708" s="5">
        <v>44988</v>
      </c>
      <c r="E1708" s="4">
        <v>3</v>
      </c>
      <c r="F1708" s="4">
        <v>3</v>
      </c>
      <c r="G1708" s="4">
        <v>2023</v>
      </c>
      <c r="H1708" s="5">
        <f t="shared" si="78"/>
        <v>44988</v>
      </c>
      <c r="I1708" s="9">
        <v>45001</v>
      </c>
      <c r="J1708" s="4">
        <f t="shared" si="79"/>
        <v>13</v>
      </c>
      <c r="K1708" s="4" t="s">
        <v>19</v>
      </c>
      <c r="L1708" s="4">
        <v>86956</v>
      </c>
      <c r="M1708" s="4">
        <v>2000</v>
      </c>
      <c r="N1708" s="10">
        <v>3122.28</v>
      </c>
      <c r="O1708" s="10">
        <f t="shared" si="80"/>
        <v>3122.28</v>
      </c>
      <c r="P1708" s="4">
        <v>359</v>
      </c>
      <c r="Q1708" s="4" t="b">
        <v>0</v>
      </c>
      <c r="R1708" s="4"/>
      <c r="S1708" s="14" t="s">
        <v>20</v>
      </c>
    </row>
    <row r="1709" spans="1:19">
      <c r="A1709" s="6" t="s">
        <v>3524</v>
      </c>
      <c r="B1709" s="7" t="s">
        <v>3525</v>
      </c>
      <c r="C1709" s="8" t="s">
        <v>4127</v>
      </c>
      <c r="D1709" s="8">
        <v>44948</v>
      </c>
      <c r="E1709" s="7">
        <v>1</v>
      </c>
      <c r="F1709" s="7">
        <v>22</v>
      </c>
      <c r="G1709" s="7">
        <v>2023</v>
      </c>
      <c r="H1709" s="8">
        <f t="shared" si="78"/>
        <v>44948</v>
      </c>
      <c r="I1709" s="11">
        <v>44973</v>
      </c>
      <c r="J1709" s="7">
        <f t="shared" si="79"/>
        <v>25</v>
      </c>
      <c r="K1709" s="7" t="s">
        <v>23</v>
      </c>
      <c r="L1709" s="7">
        <v>87988</v>
      </c>
      <c r="M1709" s="7">
        <v>4192</v>
      </c>
      <c r="N1709" s="12">
        <v>6571.66</v>
      </c>
      <c r="O1709" s="12">
        <f t="shared" si="80"/>
        <v>3632.575</v>
      </c>
      <c r="P1709" s="7">
        <v>786</v>
      </c>
      <c r="Q1709" s="7" t="b">
        <v>1</v>
      </c>
      <c r="R1709" s="7"/>
      <c r="S1709" s="15" t="s">
        <v>25</v>
      </c>
    </row>
    <row r="1710" spans="1:19">
      <c r="A1710" s="3" t="s">
        <v>3526</v>
      </c>
      <c r="B1710" s="4" t="s">
        <v>3527</v>
      </c>
      <c r="C1710" s="5" t="s">
        <v>4127</v>
      </c>
      <c r="D1710" s="5">
        <v>45279</v>
      </c>
      <c r="E1710" s="4">
        <v>12</v>
      </c>
      <c r="F1710" s="4">
        <v>19</v>
      </c>
      <c r="G1710" s="4">
        <v>2023</v>
      </c>
      <c r="H1710" s="5">
        <f t="shared" si="78"/>
        <v>45279</v>
      </c>
      <c r="I1710" s="9">
        <v>45288</v>
      </c>
      <c r="J1710" s="4">
        <f t="shared" si="79"/>
        <v>9</v>
      </c>
      <c r="K1710" s="4" t="s">
        <v>41</v>
      </c>
      <c r="L1710" s="4">
        <v>46648</v>
      </c>
      <c r="M1710" s="4">
        <v>2173</v>
      </c>
      <c r="N1710" s="10">
        <v>4014.69</v>
      </c>
      <c r="O1710" s="10">
        <f t="shared" si="80"/>
        <v>3632.575</v>
      </c>
      <c r="P1710" s="4">
        <v>433</v>
      </c>
      <c r="Q1710" s="4" t="b">
        <v>1</v>
      </c>
      <c r="R1710" s="4"/>
      <c r="S1710" s="14" t="s">
        <v>42</v>
      </c>
    </row>
    <row r="1711" spans="1:19">
      <c r="A1711" s="6" t="s">
        <v>3528</v>
      </c>
      <c r="B1711" s="7" t="s">
        <v>3529</v>
      </c>
      <c r="C1711" s="8" t="s">
        <v>4127</v>
      </c>
      <c r="D1711" s="8">
        <v>44972</v>
      </c>
      <c r="E1711" s="7">
        <v>2</v>
      </c>
      <c r="F1711" s="7">
        <v>15</v>
      </c>
      <c r="G1711" s="7">
        <v>2023</v>
      </c>
      <c r="H1711" s="8">
        <f t="shared" si="78"/>
        <v>44972</v>
      </c>
      <c r="I1711" s="11">
        <v>44989</v>
      </c>
      <c r="J1711" s="7">
        <f t="shared" si="79"/>
        <v>17</v>
      </c>
      <c r="K1711" s="7" t="s">
        <v>14</v>
      </c>
      <c r="L1711" s="7">
        <v>10516</v>
      </c>
      <c r="M1711" s="7">
        <v>109</v>
      </c>
      <c r="N1711" s="12">
        <v>149.77</v>
      </c>
      <c r="O1711" s="12">
        <f t="shared" si="80"/>
        <v>149.77</v>
      </c>
      <c r="P1711" s="7">
        <v>7</v>
      </c>
      <c r="Q1711" s="7" t="b">
        <v>1</v>
      </c>
      <c r="R1711" s="7"/>
      <c r="S1711" s="15" t="s">
        <v>16</v>
      </c>
    </row>
    <row r="1712" spans="1:19">
      <c r="A1712" s="3" t="s">
        <v>3530</v>
      </c>
      <c r="B1712" s="4" t="s">
        <v>3531</v>
      </c>
      <c r="C1712" s="5" t="s">
        <v>4127</v>
      </c>
      <c r="D1712" s="5">
        <v>45278</v>
      </c>
      <c r="E1712" s="4">
        <v>12</v>
      </c>
      <c r="F1712" s="4">
        <v>18</v>
      </c>
      <c r="G1712" s="4">
        <v>2023</v>
      </c>
      <c r="H1712" s="5">
        <f t="shared" si="78"/>
        <v>45278</v>
      </c>
      <c r="I1712" s="9">
        <v>45308</v>
      </c>
      <c r="J1712" s="4">
        <f t="shared" si="79"/>
        <v>30</v>
      </c>
      <c r="K1712" s="4" t="s">
        <v>14</v>
      </c>
      <c r="L1712" s="4">
        <v>3396</v>
      </c>
      <c r="M1712" s="4">
        <v>95</v>
      </c>
      <c r="N1712" s="10">
        <v>-65.19</v>
      </c>
      <c r="O1712" s="10">
        <f t="shared" si="80"/>
        <v>-65.19</v>
      </c>
      <c r="P1712" s="4">
        <v>17</v>
      </c>
      <c r="Q1712" s="4" t="b">
        <v>1</v>
      </c>
      <c r="R1712" s="4"/>
      <c r="S1712" s="14" t="s">
        <v>68</v>
      </c>
    </row>
    <row r="1713" spans="1:19">
      <c r="A1713" s="6" t="s">
        <v>3532</v>
      </c>
      <c r="B1713" s="7" t="s">
        <v>3533</v>
      </c>
      <c r="C1713" s="8" t="s">
        <v>4127</v>
      </c>
      <c r="D1713" s="8" t="s">
        <v>3064</v>
      </c>
      <c r="E1713" s="7">
        <v>17</v>
      </c>
      <c r="F1713" s="7">
        <v>11</v>
      </c>
      <c r="G1713" s="7">
        <v>2023</v>
      </c>
      <c r="H1713" s="8">
        <f t="shared" si="78"/>
        <v>45247</v>
      </c>
      <c r="I1713" s="11">
        <v>45261</v>
      </c>
      <c r="J1713" s="7">
        <f t="shared" si="79"/>
        <v>14</v>
      </c>
      <c r="K1713" s="7" t="s">
        <v>23</v>
      </c>
      <c r="L1713" s="7">
        <v>85082</v>
      </c>
      <c r="M1713" s="7">
        <v>4176</v>
      </c>
      <c r="N1713" s="12">
        <v>2848.54</v>
      </c>
      <c r="O1713" s="12">
        <f t="shared" si="80"/>
        <v>2848.54</v>
      </c>
      <c r="P1713" s="7">
        <v>0</v>
      </c>
      <c r="Q1713" s="7" t="b">
        <v>0</v>
      </c>
      <c r="R1713" s="7"/>
      <c r="S1713" s="15" t="s">
        <v>25</v>
      </c>
    </row>
    <row r="1714" spans="1:19">
      <c r="A1714" s="3" t="s">
        <v>3534</v>
      </c>
      <c r="B1714" s="4" t="s">
        <v>3535</v>
      </c>
      <c r="C1714" s="5" t="s">
        <v>4128</v>
      </c>
      <c r="D1714" s="5">
        <v>45109</v>
      </c>
      <c r="E1714" s="4">
        <v>7</v>
      </c>
      <c r="F1714" s="4">
        <v>2</v>
      </c>
      <c r="G1714" s="4">
        <v>2023</v>
      </c>
      <c r="H1714" s="5">
        <f t="shared" si="78"/>
        <v>45109</v>
      </c>
      <c r="I1714" s="9">
        <v>45115</v>
      </c>
      <c r="J1714" s="4">
        <f t="shared" si="79"/>
        <v>6</v>
      </c>
      <c r="K1714" s="4" t="s">
        <v>41</v>
      </c>
      <c r="L1714" s="4">
        <v>20129</v>
      </c>
      <c r="M1714" s="4">
        <v>284</v>
      </c>
      <c r="N1714" s="10">
        <v>449.2</v>
      </c>
      <c r="O1714" s="10">
        <f t="shared" si="80"/>
        <v>449.2</v>
      </c>
      <c r="P1714" s="4">
        <v>39</v>
      </c>
      <c r="Q1714" s="4" t="b">
        <v>0</v>
      </c>
      <c r="R1714" s="4"/>
      <c r="S1714" s="14" t="s">
        <v>42</v>
      </c>
    </row>
    <row r="1715" spans="1:19">
      <c r="A1715" s="6" t="s">
        <v>3536</v>
      </c>
      <c r="B1715" s="7" t="s">
        <v>3537</v>
      </c>
      <c r="C1715" s="8" t="s">
        <v>4127</v>
      </c>
      <c r="D1715" s="8">
        <v>44981</v>
      </c>
      <c r="E1715" s="7">
        <v>2</v>
      </c>
      <c r="F1715" s="7">
        <v>24</v>
      </c>
      <c r="G1715" s="7">
        <v>2023</v>
      </c>
      <c r="H1715" s="8">
        <f t="shared" si="78"/>
        <v>44981</v>
      </c>
      <c r="I1715" s="11">
        <v>44998</v>
      </c>
      <c r="J1715" s="7">
        <f t="shared" si="79"/>
        <v>17</v>
      </c>
      <c r="K1715" s="7" t="s">
        <v>23</v>
      </c>
      <c r="L1715" s="7">
        <v>2591</v>
      </c>
      <c r="M1715" s="7">
        <v>82</v>
      </c>
      <c r="N1715" s="12">
        <v>63.61</v>
      </c>
      <c r="O1715" s="12">
        <f t="shared" si="80"/>
        <v>63.61</v>
      </c>
      <c r="P1715" s="7">
        <v>10</v>
      </c>
      <c r="Q1715" s="7" t="b">
        <v>1</v>
      </c>
      <c r="R1715" s="7"/>
      <c r="S1715" s="15" t="s">
        <v>25</v>
      </c>
    </row>
    <row r="1716" spans="1:19">
      <c r="A1716" s="3" t="s">
        <v>3538</v>
      </c>
      <c r="B1716" s="4" t="s">
        <v>3539</v>
      </c>
      <c r="C1716" s="5" t="s">
        <v>4127</v>
      </c>
      <c r="D1716" s="5">
        <v>45212</v>
      </c>
      <c r="E1716" s="4">
        <v>10</v>
      </c>
      <c r="F1716" s="4">
        <v>13</v>
      </c>
      <c r="G1716" s="4">
        <v>2023</v>
      </c>
      <c r="H1716" s="5">
        <f t="shared" si="78"/>
        <v>45212</v>
      </c>
      <c r="I1716" s="9">
        <v>45240</v>
      </c>
      <c r="J1716" s="4">
        <f t="shared" si="79"/>
        <v>28</v>
      </c>
      <c r="K1716" s="4" t="s">
        <v>19</v>
      </c>
      <c r="L1716" s="4">
        <v>12303</v>
      </c>
      <c r="M1716" s="4">
        <v>604</v>
      </c>
      <c r="N1716" s="10">
        <v>599.52</v>
      </c>
      <c r="O1716" s="10">
        <f t="shared" si="80"/>
        <v>599.52</v>
      </c>
      <c r="P1716" s="4">
        <v>31</v>
      </c>
      <c r="Q1716" s="4" t="b">
        <v>1</v>
      </c>
      <c r="R1716" s="4"/>
      <c r="S1716" s="14" t="s">
        <v>20</v>
      </c>
    </row>
    <row r="1717" spans="1:19">
      <c r="A1717" s="6" t="s">
        <v>3540</v>
      </c>
      <c r="B1717" s="7" t="s">
        <v>3541</v>
      </c>
      <c r="C1717" s="8" t="s">
        <v>4129</v>
      </c>
      <c r="D1717" s="8">
        <v>45151</v>
      </c>
      <c r="E1717" s="7">
        <v>8</v>
      </c>
      <c r="F1717" s="7">
        <v>13</v>
      </c>
      <c r="G1717" s="7">
        <v>2023</v>
      </c>
      <c r="H1717" s="8">
        <f t="shared" si="78"/>
        <v>45151</v>
      </c>
      <c r="I1717" s="11">
        <v>45167</v>
      </c>
      <c r="J1717" s="7">
        <f t="shared" si="79"/>
        <v>16</v>
      </c>
      <c r="K1717" s="7" t="s">
        <v>19</v>
      </c>
      <c r="L1717" s="7">
        <v>31561</v>
      </c>
      <c r="M1717" s="7">
        <v>1016</v>
      </c>
      <c r="N1717" s="12">
        <v>1250.51</v>
      </c>
      <c r="O1717" s="12">
        <f t="shared" si="80"/>
        <v>1250.51</v>
      </c>
      <c r="P1717" s="7">
        <v>0</v>
      </c>
      <c r="Q1717" s="7" t="b">
        <v>0</v>
      </c>
      <c r="R1717" s="7"/>
      <c r="S1717" s="15" t="s">
        <v>20</v>
      </c>
    </row>
    <row r="1718" spans="1:19">
      <c r="A1718" s="3" t="s">
        <v>3542</v>
      </c>
      <c r="B1718" s="4" t="s">
        <v>3543</v>
      </c>
      <c r="C1718" s="5" t="s">
        <v>4129</v>
      </c>
      <c r="D1718" s="5">
        <v>45120</v>
      </c>
      <c r="E1718" s="4">
        <v>7</v>
      </c>
      <c r="F1718" s="4">
        <v>13</v>
      </c>
      <c r="G1718" s="4">
        <v>2023</v>
      </c>
      <c r="H1718" s="5">
        <f t="shared" si="78"/>
        <v>45120</v>
      </c>
      <c r="I1718" s="9">
        <v>45125</v>
      </c>
      <c r="J1718" s="4">
        <f t="shared" si="79"/>
        <v>5</v>
      </c>
      <c r="K1718" s="4" t="s">
        <v>33</v>
      </c>
      <c r="L1718" s="4">
        <v>72719</v>
      </c>
      <c r="M1718" s="4">
        <v>1279</v>
      </c>
      <c r="N1718" s="10">
        <v>687.01</v>
      </c>
      <c r="O1718" s="10">
        <f t="shared" si="80"/>
        <v>687.01</v>
      </c>
      <c r="P1718" s="4">
        <v>78</v>
      </c>
      <c r="Q1718" s="4" t="b">
        <v>1</v>
      </c>
      <c r="R1718" s="4"/>
      <c r="S1718" s="14" t="s">
        <v>34</v>
      </c>
    </row>
    <row r="1719" spans="1:19">
      <c r="A1719" s="6" t="s">
        <v>3544</v>
      </c>
      <c r="B1719" s="7" t="s">
        <v>3545</v>
      </c>
      <c r="C1719" s="8" t="s">
        <v>4131</v>
      </c>
      <c r="D1719" s="8">
        <v>44947</v>
      </c>
      <c r="E1719" s="7">
        <v>1</v>
      </c>
      <c r="F1719" s="7">
        <v>21</v>
      </c>
      <c r="G1719" s="7">
        <v>2023</v>
      </c>
      <c r="H1719" s="8">
        <f t="shared" si="78"/>
        <v>44947</v>
      </c>
      <c r="I1719" s="11">
        <v>44973</v>
      </c>
      <c r="J1719" s="7">
        <f t="shared" si="79"/>
        <v>26</v>
      </c>
      <c r="K1719" s="7" t="s">
        <v>33</v>
      </c>
      <c r="L1719" s="7">
        <v>93108</v>
      </c>
      <c r="M1719" s="7">
        <v>3099</v>
      </c>
      <c r="N1719" s="12">
        <v>2706.14</v>
      </c>
      <c r="O1719" s="12">
        <f t="shared" si="80"/>
        <v>2706.14</v>
      </c>
      <c r="P1719" s="7">
        <v>474</v>
      </c>
      <c r="Q1719" s="7" t="b">
        <v>1</v>
      </c>
      <c r="R1719" s="7"/>
      <c r="S1719" s="15" t="s">
        <v>34</v>
      </c>
    </row>
    <row r="1720" spans="1:19">
      <c r="A1720" s="3" t="s">
        <v>3546</v>
      </c>
      <c r="B1720" s="4" t="s">
        <v>3547</v>
      </c>
      <c r="C1720" s="5" t="s">
        <v>4129</v>
      </c>
      <c r="D1720" s="5">
        <v>45077</v>
      </c>
      <c r="E1720" s="4">
        <v>5</v>
      </c>
      <c r="F1720" s="4">
        <v>31</v>
      </c>
      <c r="G1720" s="4">
        <v>2023</v>
      </c>
      <c r="H1720" s="5">
        <f t="shared" si="78"/>
        <v>45077</v>
      </c>
      <c r="I1720" s="9">
        <v>45079</v>
      </c>
      <c r="J1720" s="4">
        <f t="shared" si="79"/>
        <v>2</v>
      </c>
      <c r="K1720" s="4" t="s">
        <v>23</v>
      </c>
      <c r="L1720" s="4">
        <v>87231</v>
      </c>
      <c r="M1720" s="4">
        <v>1585</v>
      </c>
      <c r="N1720" s="10">
        <v>500000</v>
      </c>
      <c r="O1720" s="10">
        <f t="shared" si="80"/>
        <v>3632.575</v>
      </c>
      <c r="P1720" s="4">
        <v>265</v>
      </c>
      <c r="Q1720" s="4" t="b">
        <v>0</v>
      </c>
      <c r="R1720" s="4"/>
      <c r="S1720" s="14" t="s">
        <v>25</v>
      </c>
    </row>
    <row r="1721" spans="1:19">
      <c r="A1721" s="6" t="s">
        <v>3548</v>
      </c>
      <c r="B1721" s="7" t="s">
        <v>3549</v>
      </c>
      <c r="C1721" s="8" t="s">
        <v>4129</v>
      </c>
      <c r="D1721" s="8">
        <v>45217</v>
      </c>
      <c r="E1721" s="7">
        <v>10</v>
      </c>
      <c r="F1721" s="7">
        <v>18</v>
      </c>
      <c r="G1721" s="7">
        <v>2023</v>
      </c>
      <c r="H1721" s="8">
        <f t="shared" si="78"/>
        <v>45217</v>
      </c>
      <c r="I1721" s="11">
        <v>45224</v>
      </c>
      <c r="J1721" s="7">
        <f t="shared" si="79"/>
        <v>7</v>
      </c>
      <c r="K1721" s="7" t="s">
        <v>23</v>
      </c>
      <c r="L1721" s="7">
        <v>8314</v>
      </c>
      <c r="M1721" s="7">
        <v>255</v>
      </c>
      <c r="N1721" s="12">
        <v>234.46</v>
      </c>
      <c r="O1721" s="12">
        <f t="shared" si="80"/>
        <v>234.46</v>
      </c>
      <c r="P1721" s="7">
        <v>43</v>
      </c>
      <c r="Q1721" s="7" t="b">
        <v>0</v>
      </c>
      <c r="R1721" s="7"/>
      <c r="S1721" s="15" t="s">
        <v>25</v>
      </c>
    </row>
    <row r="1722" spans="1:19">
      <c r="A1722" s="3" t="s">
        <v>3550</v>
      </c>
      <c r="B1722" s="4" t="s">
        <v>3551</v>
      </c>
      <c r="C1722" s="5" t="s">
        <v>4129</v>
      </c>
      <c r="D1722" s="5">
        <v>45166</v>
      </c>
      <c r="E1722" s="4">
        <v>8</v>
      </c>
      <c r="F1722" s="4">
        <v>28</v>
      </c>
      <c r="G1722" s="4">
        <v>2023</v>
      </c>
      <c r="H1722" s="5">
        <f t="shared" si="78"/>
        <v>45166</v>
      </c>
      <c r="I1722" s="9">
        <v>45169</v>
      </c>
      <c r="J1722" s="4">
        <f t="shared" si="79"/>
        <v>3</v>
      </c>
      <c r="K1722" s="4" t="s">
        <v>33</v>
      </c>
      <c r="L1722" s="4">
        <v>20623</v>
      </c>
      <c r="M1722" s="4">
        <v>267</v>
      </c>
      <c r="N1722" s="10">
        <v>188.12</v>
      </c>
      <c r="O1722" s="10">
        <f t="shared" si="80"/>
        <v>188.12</v>
      </c>
      <c r="P1722" s="4">
        <v>18</v>
      </c>
      <c r="Q1722" s="4" t="b">
        <v>1</v>
      </c>
      <c r="R1722" s="4"/>
      <c r="S1722" s="14" t="s">
        <v>34</v>
      </c>
    </row>
    <row r="1723" spans="1:19">
      <c r="A1723" s="6" t="s">
        <v>3552</v>
      </c>
      <c r="B1723" s="7" t="s">
        <v>3553</v>
      </c>
      <c r="C1723" s="8" t="s">
        <v>4128</v>
      </c>
      <c r="D1723" s="8">
        <v>45210</v>
      </c>
      <c r="E1723" s="7">
        <v>10</v>
      </c>
      <c r="F1723" s="7">
        <v>11</v>
      </c>
      <c r="G1723" s="7">
        <v>2023</v>
      </c>
      <c r="H1723" s="8">
        <f t="shared" si="78"/>
        <v>45210</v>
      </c>
      <c r="I1723" s="11">
        <v>45230</v>
      </c>
      <c r="J1723" s="7">
        <f t="shared" si="79"/>
        <v>20</v>
      </c>
      <c r="K1723" s="7" t="s">
        <v>14</v>
      </c>
      <c r="L1723" s="7">
        <v>68675</v>
      </c>
      <c r="M1723" s="7">
        <v>2350</v>
      </c>
      <c r="N1723" s="12">
        <v>3741.24</v>
      </c>
      <c r="O1723" s="12">
        <f t="shared" si="80"/>
        <v>3632.575</v>
      </c>
      <c r="P1723" s="7">
        <v>275</v>
      </c>
      <c r="Q1723" s="7" t="b">
        <v>0</v>
      </c>
      <c r="R1723" s="7"/>
      <c r="S1723" s="15" t="s">
        <v>16</v>
      </c>
    </row>
    <row r="1724" spans="1:19">
      <c r="A1724" s="3" t="s">
        <v>3554</v>
      </c>
      <c r="B1724" s="4" t="s">
        <v>3555</v>
      </c>
      <c r="C1724" s="5" t="s">
        <v>4127</v>
      </c>
      <c r="D1724" s="5">
        <v>45157</v>
      </c>
      <c r="E1724" s="4">
        <v>8</v>
      </c>
      <c r="F1724" s="4">
        <v>19</v>
      </c>
      <c r="G1724" s="4">
        <v>2023</v>
      </c>
      <c r="H1724" s="5">
        <f t="shared" si="78"/>
        <v>45157</v>
      </c>
      <c r="I1724" s="9">
        <v>45169</v>
      </c>
      <c r="J1724" s="4">
        <f t="shared" si="79"/>
        <v>12</v>
      </c>
      <c r="K1724" s="4" t="s">
        <v>41</v>
      </c>
      <c r="L1724" s="4">
        <v>97826</v>
      </c>
      <c r="M1724" s="4">
        <v>3000</v>
      </c>
      <c r="N1724" s="10">
        <v>5159.16</v>
      </c>
      <c r="O1724" s="10">
        <f t="shared" si="80"/>
        <v>3632.575</v>
      </c>
      <c r="P1724" s="4">
        <v>523</v>
      </c>
      <c r="Q1724" s="4" t="b">
        <v>0</v>
      </c>
      <c r="R1724" s="4"/>
      <c r="S1724" s="14" t="s">
        <v>42</v>
      </c>
    </row>
    <row r="1725" spans="1:19">
      <c r="A1725" s="6" t="s">
        <v>3556</v>
      </c>
      <c r="B1725" s="7" t="s">
        <v>3557</v>
      </c>
      <c r="C1725" s="8" t="s">
        <v>4131</v>
      </c>
      <c r="D1725" s="8">
        <v>45114</v>
      </c>
      <c r="E1725" s="7">
        <v>7</v>
      </c>
      <c r="F1725" s="7">
        <v>7</v>
      </c>
      <c r="G1725" s="7">
        <v>2023</v>
      </c>
      <c r="H1725" s="8">
        <f t="shared" si="78"/>
        <v>45114</v>
      </c>
      <c r="I1725" s="11">
        <v>45141</v>
      </c>
      <c r="J1725" s="7">
        <f t="shared" si="79"/>
        <v>27</v>
      </c>
      <c r="K1725" s="7" t="s">
        <v>33</v>
      </c>
      <c r="L1725" s="7">
        <v>66082</v>
      </c>
      <c r="M1725" s="7">
        <v>2617</v>
      </c>
      <c r="N1725" s="12">
        <v>2319.23</v>
      </c>
      <c r="O1725" s="12">
        <f t="shared" si="80"/>
        <v>2319.23</v>
      </c>
      <c r="P1725" s="7">
        <v>249</v>
      </c>
      <c r="Q1725" s="7" t="b">
        <v>1</v>
      </c>
      <c r="R1725" s="7"/>
      <c r="S1725" s="15" t="s">
        <v>34</v>
      </c>
    </row>
    <row r="1726" spans="1:19">
      <c r="A1726" s="3" t="s">
        <v>3558</v>
      </c>
      <c r="B1726" s="4" t="s">
        <v>3559</v>
      </c>
      <c r="C1726" s="5" t="s">
        <v>4127</v>
      </c>
      <c r="D1726" s="5">
        <v>45186</v>
      </c>
      <c r="E1726" s="4">
        <v>9</v>
      </c>
      <c r="F1726" s="4">
        <v>17</v>
      </c>
      <c r="G1726" s="4">
        <v>2023</v>
      </c>
      <c r="H1726" s="5">
        <f t="shared" si="78"/>
        <v>45186</v>
      </c>
      <c r="I1726" s="9">
        <v>45196</v>
      </c>
      <c r="J1726" s="4">
        <f t="shared" si="79"/>
        <v>10</v>
      </c>
      <c r="K1726" s="4" t="s">
        <v>19</v>
      </c>
      <c r="L1726" s="4">
        <v>84624</v>
      </c>
      <c r="M1726" s="4">
        <v>2981</v>
      </c>
      <c r="N1726" s="10">
        <v>4953.32</v>
      </c>
      <c r="O1726" s="10">
        <f t="shared" si="80"/>
        <v>3632.575</v>
      </c>
      <c r="P1726" s="4">
        <v>358</v>
      </c>
      <c r="Q1726" s="4" t="b">
        <v>0</v>
      </c>
      <c r="R1726" s="4"/>
      <c r="S1726" s="14" t="s">
        <v>20</v>
      </c>
    </row>
    <row r="1727" spans="1:19">
      <c r="A1727" s="6" t="s">
        <v>3560</v>
      </c>
      <c r="B1727" s="7" t="s">
        <v>3561</v>
      </c>
      <c r="C1727" s="8" t="s">
        <v>4129</v>
      </c>
      <c r="D1727" s="8">
        <v>44936</v>
      </c>
      <c r="E1727" s="7">
        <v>1</v>
      </c>
      <c r="F1727" s="7">
        <v>10</v>
      </c>
      <c r="G1727" s="7">
        <v>2023</v>
      </c>
      <c r="H1727" s="8">
        <f t="shared" si="78"/>
        <v>44936</v>
      </c>
      <c r="I1727" s="11">
        <v>44940</v>
      </c>
      <c r="J1727" s="7">
        <f t="shared" si="79"/>
        <v>4</v>
      </c>
      <c r="K1727" s="7" t="s">
        <v>14</v>
      </c>
      <c r="L1727" s="7">
        <v>34130</v>
      </c>
      <c r="M1727" s="7">
        <v>1091</v>
      </c>
      <c r="N1727" s="12">
        <v>1176.46</v>
      </c>
      <c r="O1727" s="12">
        <f t="shared" si="80"/>
        <v>1176.46</v>
      </c>
      <c r="P1727" s="7">
        <v>99</v>
      </c>
      <c r="Q1727" s="7" t="b">
        <v>0</v>
      </c>
      <c r="R1727" s="7"/>
      <c r="S1727" s="15" t="s">
        <v>16</v>
      </c>
    </row>
    <row r="1728" spans="1:19">
      <c r="A1728" s="3" t="s">
        <v>3562</v>
      </c>
      <c r="B1728" s="4" t="s">
        <v>3563</v>
      </c>
      <c r="C1728" s="5" t="s">
        <v>4127</v>
      </c>
      <c r="D1728" s="5">
        <v>45244</v>
      </c>
      <c r="E1728" s="4">
        <v>11</v>
      </c>
      <c r="F1728" s="4">
        <v>14</v>
      </c>
      <c r="G1728" s="4">
        <v>2023</v>
      </c>
      <c r="H1728" s="5">
        <f t="shared" si="78"/>
        <v>45244</v>
      </c>
      <c r="I1728" s="9">
        <v>45264</v>
      </c>
      <c r="J1728" s="4">
        <f t="shared" si="79"/>
        <v>20</v>
      </c>
      <c r="K1728" s="4" t="s">
        <v>33</v>
      </c>
      <c r="L1728" s="4">
        <v>52756</v>
      </c>
      <c r="M1728" s="4">
        <v>1983</v>
      </c>
      <c r="N1728" s="10">
        <v>2498.64</v>
      </c>
      <c r="O1728" s="10">
        <f t="shared" si="80"/>
        <v>2498.64</v>
      </c>
      <c r="P1728" s="4">
        <v>237</v>
      </c>
      <c r="Q1728" s="4" t="b">
        <v>1</v>
      </c>
      <c r="R1728" s="4"/>
      <c r="S1728" s="14" t="s">
        <v>34</v>
      </c>
    </row>
    <row r="1729" spans="1:19">
      <c r="A1729" s="6" t="s">
        <v>3564</v>
      </c>
      <c r="B1729" s="7" t="s">
        <v>3565</v>
      </c>
      <c r="C1729" s="8" t="s">
        <v>4129</v>
      </c>
      <c r="D1729" s="8">
        <v>45264</v>
      </c>
      <c r="E1729" s="7">
        <v>12</v>
      </c>
      <c r="F1729" s="7">
        <v>4</v>
      </c>
      <c r="G1729" s="7">
        <v>2023</v>
      </c>
      <c r="H1729" s="8">
        <f t="shared" si="78"/>
        <v>45264</v>
      </c>
      <c r="I1729" s="11">
        <v>45293</v>
      </c>
      <c r="J1729" s="7">
        <f t="shared" si="79"/>
        <v>29</v>
      </c>
      <c r="K1729" s="7" t="s">
        <v>19</v>
      </c>
      <c r="L1729" s="7">
        <v>98624</v>
      </c>
      <c r="M1729" s="7">
        <v>1554</v>
      </c>
      <c r="N1729" s="12">
        <v>2772.34</v>
      </c>
      <c r="O1729" s="12">
        <f t="shared" si="80"/>
        <v>2772.34</v>
      </c>
      <c r="P1729" s="7">
        <v>284</v>
      </c>
      <c r="Q1729" s="7" t="b">
        <v>0</v>
      </c>
      <c r="R1729" s="7"/>
      <c r="S1729" s="15" t="s">
        <v>20</v>
      </c>
    </row>
    <row r="1730" spans="1:19">
      <c r="A1730" s="3" t="s">
        <v>3566</v>
      </c>
      <c r="B1730" s="4" t="s">
        <v>3567</v>
      </c>
      <c r="C1730" s="5" t="s">
        <v>4131</v>
      </c>
      <c r="D1730" s="5">
        <v>45024</v>
      </c>
      <c r="E1730" s="4">
        <v>4</v>
      </c>
      <c r="F1730" s="4">
        <v>8</v>
      </c>
      <c r="G1730" s="4">
        <v>2023</v>
      </c>
      <c r="H1730" s="5">
        <f t="shared" ref="H1730:H1793" si="81">IF(E1730&gt;12,DATE(G1730,F1730,E1730),D1730)</f>
        <v>45024</v>
      </c>
      <c r="I1730" s="9">
        <v>45038</v>
      </c>
      <c r="J1730" s="4">
        <f t="shared" ref="J1730:J1793" si="82">DATEDIF(H1730,I1730,"D")</f>
        <v>14</v>
      </c>
      <c r="K1730" s="4" t="s">
        <v>41</v>
      </c>
      <c r="L1730" s="4">
        <v>27292</v>
      </c>
      <c r="M1730" s="4">
        <v>922</v>
      </c>
      <c r="N1730" s="10">
        <v>1498.19</v>
      </c>
      <c r="O1730" s="10">
        <f t="shared" si="80"/>
        <v>1498.19</v>
      </c>
      <c r="P1730" s="4">
        <v>109</v>
      </c>
      <c r="Q1730" s="4" t="b">
        <v>1</v>
      </c>
      <c r="R1730" s="4"/>
      <c r="S1730" s="14" t="s">
        <v>42</v>
      </c>
    </row>
    <row r="1731" spans="1:19">
      <c r="A1731" s="6" t="s">
        <v>3568</v>
      </c>
      <c r="B1731" s="7" t="s">
        <v>3569</v>
      </c>
      <c r="C1731" s="8" t="s">
        <v>4128</v>
      </c>
      <c r="D1731" s="8">
        <v>45209</v>
      </c>
      <c r="E1731" s="7">
        <v>10</v>
      </c>
      <c r="F1731" s="7">
        <v>10</v>
      </c>
      <c r="G1731" s="7">
        <v>2023</v>
      </c>
      <c r="H1731" s="8">
        <f t="shared" si="81"/>
        <v>45209</v>
      </c>
      <c r="I1731" s="11">
        <v>45222</v>
      </c>
      <c r="J1731" s="7">
        <f t="shared" si="82"/>
        <v>13</v>
      </c>
      <c r="K1731" s="7" t="s">
        <v>33</v>
      </c>
      <c r="L1731" s="7">
        <v>87206</v>
      </c>
      <c r="M1731" s="7">
        <v>1472</v>
      </c>
      <c r="N1731" s="12">
        <v>2513.7</v>
      </c>
      <c r="O1731" s="12">
        <f t="shared" ref="O1731:O1794" si="83">IF(N1731&lt;$V$6,$V$6,IF(N1731&gt;$V$7,$V$7,N1731))</f>
        <v>2513.7</v>
      </c>
      <c r="P1731" s="7">
        <v>196</v>
      </c>
      <c r="Q1731" s="7" t="b">
        <v>0</v>
      </c>
      <c r="R1731" s="7"/>
      <c r="S1731" s="15" t="s">
        <v>34</v>
      </c>
    </row>
    <row r="1732" spans="1:19">
      <c r="A1732" s="3" t="s">
        <v>3570</v>
      </c>
      <c r="B1732" s="4" t="s">
        <v>3571</v>
      </c>
      <c r="C1732" s="5" t="s">
        <v>4127</v>
      </c>
      <c r="D1732" s="5">
        <v>45136</v>
      </c>
      <c r="E1732" s="4">
        <v>7</v>
      </c>
      <c r="F1732" s="4">
        <v>29</v>
      </c>
      <c r="G1732" s="4">
        <v>2023</v>
      </c>
      <c r="H1732" s="5">
        <f t="shared" si="81"/>
        <v>45136</v>
      </c>
      <c r="I1732" s="9">
        <v>45149</v>
      </c>
      <c r="J1732" s="4">
        <f t="shared" si="82"/>
        <v>13</v>
      </c>
      <c r="K1732" s="4" t="s">
        <v>23</v>
      </c>
      <c r="L1732" s="4">
        <v>70274</v>
      </c>
      <c r="M1732" s="4">
        <v>3304</v>
      </c>
      <c r="N1732" s="10">
        <v>2330.2</v>
      </c>
      <c r="O1732" s="10">
        <f t="shared" si="83"/>
        <v>2330.2</v>
      </c>
      <c r="P1732" s="4">
        <v>365</v>
      </c>
      <c r="Q1732" s="4" t="b">
        <v>1</v>
      </c>
      <c r="R1732" s="4"/>
      <c r="S1732" s="14" t="s">
        <v>25</v>
      </c>
    </row>
    <row r="1733" spans="1:19">
      <c r="A1733" s="6" t="s">
        <v>3572</v>
      </c>
      <c r="B1733" s="7" t="s">
        <v>3573</v>
      </c>
      <c r="C1733" s="8" t="s">
        <v>4131</v>
      </c>
      <c r="D1733" s="8">
        <v>45194</v>
      </c>
      <c r="E1733" s="7">
        <v>9</v>
      </c>
      <c r="F1733" s="7">
        <v>25</v>
      </c>
      <c r="G1733" s="7">
        <v>2023</v>
      </c>
      <c r="H1733" s="8">
        <f t="shared" si="81"/>
        <v>45194</v>
      </c>
      <c r="I1733" s="11">
        <v>45204</v>
      </c>
      <c r="J1733" s="7">
        <f t="shared" si="82"/>
        <v>10</v>
      </c>
      <c r="K1733" s="7" t="s">
        <v>23</v>
      </c>
      <c r="L1733" s="7">
        <v>3469</v>
      </c>
      <c r="M1733" s="7">
        <v>44</v>
      </c>
      <c r="N1733" s="12">
        <v>26.6</v>
      </c>
      <c r="O1733" s="12">
        <f t="shared" si="83"/>
        <v>26.6</v>
      </c>
      <c r="P1733" s="7">
        <v>5</v>
      </c>
      <c r="Q1733" s="7" t="b">
        <v>0</v>
      </c>
      <c r="R1733" s="7"/>
      <c r="S1733" s="15" t="s">
        <v>25</v>
      </c>
    </row>
    <row r="1734" spans="1:19">
      <c r="A1734" s="3" t="s">
        <v>3574</v>
      </c>
      <c r="B1734" s="4" t="s">
        <v>3575</v>
      </c>
      <c r="C1734" s="5" t="s">
        <v>4131</v>
      </c>
      <c r="D1734" s="5">
        <v>44993</v>
      </c>
      <c r="E1734" s="4">
        <v>3</v>
      </c>
      <c r="F1734" s="4">
        <v>8</v>
      </c>
      <c r="G1734" s="4">
        <v>2023</v>
      </c>
      <c r="H1734" s="5">
        <f t="shared" si="81"/>
        <v>44993</v>
      </c>
      <c r="I1734" s="9">
        <v>45153</v>
      </c>
      <c r="J1734" s="4">
        <f t="shared" si="82"/>
        <v>160</v>
      </c>
      <c r="K1734" s="4" t="s">
        <v>14</v>
      </c>
      <c r="L1734" s="4">
        <v>54947</v>
      </c>
      <c r="M1734" s="4">
        <v>1495</v>
      </c>
      <c r="N1734" s="10">
        <v>2750.96</v>
      </c>
      <c r="O1734" s="10">
        <f t="shared" si="83"/>
        <v>2750.96</v>
      </c>
      <c r="P1734" s="4">
        <v>78</v>
      </c>
      <c r="Q1734" s="4" t="b">
        <v>1</v>
      </c>
      <c r="R1734" s="4"/>
      <c r="S1734" s="14" t="s">
        <v>16</v>
      </c>
    </row>
    <row r="1735" spans="1:19">
      <c r="A1735" s="6" t="s">
        <v>3576</v>
      </c>
      <c r="B1735" s="7" t="s">
        <v>3577</v>
      </c>
      <c r="C1735" s="8" t="s">
        <v>4129</v>
      </c>
      <c r="D1735" s="8">
        <v>44981</v>
      </c>
      <c r="E1735" s="7">
        <v>2</v>
      </c>
      <c r="F1735" s="7">
        <v>24</v>
      </c>
      <c r="G1735" s="7">
        <v>2023</v>
      </c>
      <c r="H1735" s="8">
        <f t="shared" si="81"/>
        <v>44981</v>
      </c>
      <c r="I1735" s="11">
        <v>44982</v>
      </c>
      <c r="J1735" s="7">
        <f t="shared" si="82"/>
        <v>1</v>
      </c>
      <c r="K1735" s="7" t="s">
        <v>41</v>
      </c>
      <c r="L1735" s="7">
        <v>23534</v>
      </c>
      <c r="M1735" s="7">
        <v>890</v>
      </c>
      <c r="N1735" s="12">
        <v>962.76</v>
      </c>
      <c r="O1735" s="12">
        <f t="shared" si="83"/>
        <v>962.76</v>
      </c>
      <c r="P1735" s="7">
        <v>82</v>
      </c>
      <c r="Q1735" s="7" t="b">
        <v>1</v>
      </c>
      <c r="R1735" s="7"/>
      <c r="S1735" s="15" t="s">
        <v>42</v>
      </c>
    </row>
    <row r="1736" spans="1:19">
      <c r="A1736" s="3" t="s">
        <v>3578</v>
      </c>
      <c r="B1736" s="4" t="s">
        <v>3579</v>
      </c>
      <c r="C1736" s="5" t="s">
        <v>4129</v>
      </c>
      <c r="D1736" s="5">
        <v>45219</v>
      </c>
      <c r="E1736" s="4">
        <v>10</v>
      </c>
      <c r="F1736" s="4">
        <v>20</v>
      </c>
      <c r="G1736" s="4">
        <v>2023</v>
      </c>
      <c r="H1736" s="5">
        <f t="shared" si="81"/>
        <v>45219</v>
      </c>
      <c r="I1736" s="9">
        <v>45230</v>
      </c>
      <c r="J1736" s="4">
        <f t="shared" si="82"/>
        <v>11</v>
      </c>
      <c r="K1736" s="4" t="s">
        <v>14</v>
      </c>
      <c r="L1736" s="4">
        <v>64620</v>
      </c>
      <c r="M1736" s="4">
        <v>1830</v>
      </c>
      <c r="N1736" s="10">
        <v>1705.23</v>
      </c>
      <c r="O1736" s="10">
        <f t="shared" si="83"/>
        <v>1705.23</v>
      </c>
      <c r="P1736" s="4">
        <v>211</v>
      </c>
      <c r="Q1736" s="4" t="b">
        <v>0</v>
      </c>
      <c r="R1736" s="4"/>
      <c r="S1736" s="14" t="s">
        <v>16</v>
      </c>
    </row>
    <row r="1737" spans="1:19">
      <c r="A1737" s="6" t="s">
        <v>3580</v>
      </c>
      <c r="B1737" s="7" t="s">
        <v>3581</v>
      </c>
      <c r="C1737" s="8" t="s">
        <v>4127</v>
      </c>
      <c r="D1737" s="8">
        <v>45177</v>
      </c>
      <c r="E1737" s="7">
        <v>9</v>
      </c>
      <c r="F1737" s="7">
        <v>8</v>
      </c>
      <c r="G1737" s="7">
        <v>2023</v>
      </c>
      <c r="H1737" s="8">
        <f t="shared" si="81"/>
        <v>45177</v>
      </c>
      <c r="I1737" s="11">
        <v>45193</v>
      </c>
      <c r="J1737" s="7">
        <f t="shared" si="82"/>
        <v>16</v>
      </c>
      <c r="K1737" s="7" t="s">
        <v>23</v>
      </c>
      <c r="L1737" s="7">
        <v>49874</v>
      </c>
      <c r="M1737" s="7">
        <v>682</v>
      </c>
      <c r="N1737" s="12">
        <v>1082.36</v>
      </c>
      <c r="O1737" s="12">
        <f t="shared" si="83"/>
        <v>1082.36</v>
      </c>
      <c r="P1737" s="7">
        <v>98</v>
      </c>
      <c r="Q1737" s="7" t="b">
        <v>1</v>
      </c>
      <c r="R1737" s="7"/>
      <c r="S1737" s="15" t="s">
        <v>25</v>
      </c>
    </row>
    <row r="1738" spans="1:19">
      <c r="A1738" s="3" t="s">
        <v>3582</v>
      </c>
      <c r="B1738" s="4" t="s">
        <v>3583</v>
      </c>
      <c r="C1738" s="5" t="s">
        <v>4127</v>
      </c>
      <c r="D1738" s="5">
        <v>45265</v>
      </c>
      <c r="E1738" s="4">
        <v>12</v>
      </c>
      <c r="F1738" s="4">
        <v>5</v>
      </c>
      <c r="G1738" s="4">
        <v>2023</v>
      </c>
      <c r="H1738" s="5">
        <f t="shared" si="81"/>
        <v>45265</v>
      </c>
      <c r="I1738" s="9">
        <v>45065</v>
      </c>
      <c r="J1738" s="4">
        <f t="shared" si="82"/>
        <v>-200</v>
      </c>
      <c r="K1738" s="4" t="s">
        <v>41</v>
      </c>
      <c r="L1738" s="4">
        <v>50708</v>
      </c>
      <c r="M1738" s="4">
        <v>1629</v>
      </c>
      <c r="N1738" s="10">
        <v>2858.28</v>
      </c>
      <c r="O1738" s="10">
        <f t="shared" si="83"/>
        <v>2858.28</v>
      </c>
      <c r="P1738" s="4">
        <v>191</v>
      </c>
      <c r="Q1738" s="4" t="b">
        <v>0</v>
      </c>
      <c r="R1738" s="4"/>
      <c r="S1738" s="14" t="s">
        <v>42</v>
      </c>
    </row>
    <row r="1739" spans="1:19">
      <c r="A1739" s="6" t="s">
        <v>3584</v>
      </c>
      <c r="B1739" s="7" t="s">
        <v>3585</v>
      </c>
      <c r="C1739" s="8" t="s">
        <v>4127</v>
      </c>
      <c r="D1739" s="8">
        <v>45040</v>
      </c>
      <c r="E1739" s="7">
        <v>4</v>
      </c>
      <c r="F1739" s="7">
        <v>24</v>
      </c>
      <c r="G1739" s="7">
        <v>2023</v>
      </c>
      <c r="H1739" s="8">
        <f t="shared" si="81"/>
        <v>45040</v>
      </c>
      <c r="I1739" s="11">
        <v>45065</v>
      </c>
      <c r="J1739" s="7">
        <f t="shared" si="82"/>
        <v>25</v>
      </c>
      <c r="K1739" s="7" t="s">
        <v>19</v>
      </c>
      <c r="L1739" s="7">
        <v>75553</v>
      </c>
      <c r="M1739" s="7">
        <v>2694</v>
      </c>
      <c r="N1739" s="12">
        <v>4832.32</v>
      </c>
      <c r="O1739" s="12">
        <f t="shared" si="83"/>
        <v>3632.575</v>
      </c>
      <c r="P1739" s="7">
        <v>271</v>
      </c>
      <c r="Q1739" s="7" t="b">
        <v>1</v>
      </c>
      <c r="R1739" s="7"/>
      <c r="S1739" s="15" t="s">
        <v>68</v>
      </c>
    </row>
    <row r="1740" spans="1:19">
      <c r="A1740" s="3" t="s">
        <v>3586</v>
      </c>
      <c r="B1740" s="4" t="s">
        <v>3587</v>
      </c>
      <c r="C1740" s="5" t="s">
        <v>4131</v>
      </c>
      <c r="D1740" s="5">
        <v>45033</v>
      </c>
      <c r="E1740" s="4">
        <v>4</v>
      </c>
      <c r="F1740" s="4">
        <v>17</v>
      </c>
      <c r="G1740" s="4">
        <v>2023</v>
      </c>
      <c r="H1740" s="5">
        <f t="shared" si="81"/>
        <v>45033</v>
      </c>
      <c r="I1740" s="9">
        <v>45034</v>
      </c>
      <c r="J1740" s="4">
        <f t="shared" si="82"/>
        <v>1</v>
      </c>
      <c r="K1740" s="4" t="s">
        <v>14</v>
      </c>
      <c r="L1740" s="4">
        <v>69344</v>
      </c>
      <c r="M1740" s="4">
        <v>2645</v>
      </c>
      <c r="N1740" s="10">
        <v>2576.22</v>
      </c>
      <c r="O1740" s="10">
        <f t="shared" si="83"/>
        <v>2576.22</v>
      </c>
      <c r="P1740" s="4">
        <v>286</v>
      </c>
      <c r="Q1740" s="4" t="b">
        <v>1</v>
      </c>
      <c r="R1740" s="4"/>
      <c r="S1740" s="14" t="s">
        <v>16</v>
      </c>
    </row>
    <row r="1741" spans="1:19">
      <c r="A1741" s="6" t="s">
        <v>3588</v>
      </c>
      <c r="B1741" s="7" t="s">
        <v>3589</v>
      </c>
      <c r="C1741" s="8" t="s">
        <v>4129</v>
      </c>
      <c r="D1741" s="8">
        <v>44967</v>
      </c>
      <c r="E1741" s="7">
        <v>2</v>
      </c>
      <c r="F1741" s="7">
        <v>10</v>
      </c>
      <c r="G1741" s="7">
        <v>2023</v>
      </c>
      <c r="H1741" s="8">
        <f t="shared" si="81"/>
        <v>44967</v>
      </c>
      <c r="I1741" s="11">
        <v>44974</v>
      </c>
      <c r="J1741" s="7">
        <f t="shared" si="82"/>
        <v>7</v>
      </c>
      <c r="K1741" s="7" t="s">
        <v>19</v>
      </c>
      <c r="L1741" s="7">
        <v>50138</v>
      </c>
      <c r="M1741" s="7">
        <v>1249</v>
      </c>
      <c r="N1741" s="12">
        <v>2221.12</v>
      </c>
      <c r="O1741" s="12">
        <f t="shared" si="83"/>
        <v>2221.12</v>
      </c>
      <c r="P1741" s="7">
        <v>107</v>
      </c>
      <c r="Q1741" s="7" t="b">
        <v>0</v>
      </c>
      <c r="R1741" s="7"/>
      <c r="S1741" s="15" t="s">
        <v>20</v>
      </c>
    </row>
    <row r="1742" spans="1:19">
      <c r="A1742" s="3" t="s">
        <v>3590</v>
      </c>
      <c r="B1742" s="4" t="s">
        <v>3591</v>
      </c>
      <c r="C1742" s="5" t="s">
        <v>4131</v>
      </c>
      <c r="D1742" s="5">
        <v>45111</v>
      </c>
      <c r="E1742" s="4">
        <v>7</v>
      </c>
      <c r="F1742" s="4">
        <v>4</v>
      </c>
      <c r="G1742" s="4">
        <v>2023</v>
      </c>
      <c r="H1742" s="5">
        <f t="shared" si="81"/>
        <v>45111</v>
      </c>
      <c r="I1742" s="9">
        <v>45125</v>
      </c>
      <c r="J1742" s="4">
        <f t="shared" si="82"/>
        <v>14</v>
      </c>
      <c r="K1742" s="4" t="s">
        <v>138</v>
      </c>
      <c r="L1742" s="4">
        <v>55302</v>
      </c>
      <c r="M1742" s="4">
        <v>1799</v>
      </c>
      <c r="N1742" s="10">
        <v>1009.96</v>
      </c>
      <c r="O1742" s="10">
        <f t="shared" si="83"/>
        <v>1009.96</v>
      </c>
      <c r="P1742" s="4">
        <v>339</v>
      </c>
      <c r="Q1742" s="4" t="b">
        <v>1</v>
      </c>
      <c r="R1742" s="4"/>
      <c r="S1742" s="14" t="s">
        <v>139</v>
      </c>
    </row>
    <row r="1743" spans="1:19">
      <c r="A1743" s="6" t="s">
        <v>3592</v>
      </c>
      <c r="B1743" s="7" t="s">
        <v>3593</v>
      </c>
      <c r="C1743" s="8" t="s">
        <v>4128</v>
      </c>
      <c r="D1743" s="8">
        <v>45139</v>
      </c>
      <c r="E1743" s="7">
        <v>8</v>
      </c>
      <c r="F1743" s="7">
        <v>1</v>
      </c>
      <c r="G1743" s="7">
        <v>2023</v>
      </c>
      <c r="H1743" s="8">
        <f t="shared" si="81"/>
        <v>45139</v>
      </c>
      <c r="I1743" s="11">
        <v>45164</v>
      </c>
      <c r="J1743" s="7">
        <f t="shared" si="82"/>
        <v>25</v>
      </c>
      <c r="K1743" s="7" t="s">
        <v>33</v>
      </c>
      <c r="L1743" s="7">
        <v>48638</v>
      </c>
      <c r="M1743" s="7">
        <v>1363</v>
      </c>
      <c r="N1743" s="12">
        <v>783.03</v>
      </c>
      <c r="O1743" s="12">
        <f t="shared" si="83"/>
        <v>783.03</v>
      </c>
      <c r="P1743" s="7">
        <v>0</v>
      </c>
      <c r="Q1743" s="7" t="b">
        <v>0</v>
      </c>
      <c r="R1743" s="7"/>
      <c r="S1743" s="15" t="s">
        <v>34</v>
      </c>
    </row>
    <row r="1744" spans="1:19">
      <c r="A1744" s="3" t="s">
        <v>3594</v>
      </c>
      <c r="B1744" s="4" t="s">
        <v>3595</v>
      </c>
      <c r="C1744" s="5" t="s">
        <v>4131</v>
      </c>
      <c r="D1744" s="5">
        <v>44956</v>
      </c>
      <c r="E1744" s="4">
        <v>1</v>
      </c>
      <c r="F1744" s="4">
        <v>30</v>
      </c>
      <c r="G1744" s="4">
        <v>2023</v>
      </c>
      <c r="H1744" s="5">
        <f t="shared" si="81"/>
        <v>44956</v>
      </c>
      <c r="I1744" s="9">
        <v>44977</v>
      </c>
      <c r="J1744" s="4">
        <f t="shared" si="82"/>
        <v>21</v>
      </c>
      <c r="K1744" s="4" t="s">
        <v>33</v>
      </c>
      <c r="L1744" s="4">
        <v>79249</v>
      </c>
      <c r="M1744" s="4">
        <v>2922</v>
      </c>
      <c r="N1744" s="10">
        <v>4193.88</v>
      </c>
      <c r="O1744" s="10">
        <f t="shared" si="83"/>
        <v>3632.575</v>
      </c>
      <c r="P1744" s="4">
        <v>151</v>
      </c>
      <c r="Q1744" s="4" t="b">
        <v>1</v>
      </c>
      <c r="R1744" s="4"/>
      <c r="S1744" s="14" t="s">
        <v>34</v>
      </c>
    </row>
    <row r="1745" spans="1:19">
      <c r="A1745" s="6" t="s">
        <v>3596</v>
      </c>
      <c r="B1745" s="7" t="s">
        <v>3597</v>
      </c>
      <c r="C1745" s="8" t="s">
        <v>4128</v>
      </c>
      <c r="D1745" s="8">
        <v>44947</v>
      </c>
      <c r="E1745" s="7">
        <v>1</v>
      </c>
      <c r="F1745" s="7">
        <v>21</v>
      </c>
      <c r="G1745" s="7">
        <v>2023</v>
      </c>
      <c r="H1745" s="8">
        <f t="shared" si="81"/>
        <v>44947</v>
      </c>
      <c r="I1745" s="11">
        <v>44972</v>
      </c>
      <c r="J1745" s="7">
        <f t="shared" si="82"/>
        <v>25</v>
      </c>
      <c r="K1745" s="7" t="s">
        <v>19</v>
      </c>
      <c r="L1745" s="7">
        <v>3719</v>
      </c>
      <c r="M1745" s="7">
        <v>123</v>
      </c>
      <c r="N1745" s="12">
        <v>73.14</v>
      </c>
      <c r="O1745" s="12">
        <f t="shared" si="83"/>
        <v>73.14</v>
      </c>
      <c r="P1745" s="7">
        <v>6</v>
      </c>
      <c r="Q1745" s="7" t="b">
        <v>0</v>
      </c>
      <c r="R1745" s="7"/>
      <c r="S1745" s="15" t="s">
        <v>20</v>
      </c>
    </row>
    <row r="1746" spans="1:19">
      <c r="A1746" s="3" t="s">
        <v>3598</v>
      </c>
      <c r="B1746" s="4" t="s">
        <v>3599</v>
      </c>
      <c r="C1746" s="5" t="s">
        <v>4128</v>
      </c>
      <c r="D1746" s="5">
        <v>44966</v>
      </c>
      <c r="E1746" s="4">
        <v>2</v>
      </c>
      <c r="F1746" s="4">
        <v>9</v>
      </c>
      <c r="G1746" s="4">
        <v>2023</v>
      </c>
      <c r="H1746" s="5">
        <f t="shared" si="81"/>
        <v>44966</v>
      </c>
      <c r="I1746" s="9">
        <v>44971</v>
      </c>
      <c r="J1746" s="4">
        <f t="shared" si="82"/>
        <v>5</v>
      </c>
      <c r="K1746" s="4" t="s">
        <v>138</v>
      </c>
      <c r="L1746" s="4">
        <v>23890</v>
      </c>
      <c r="M1746" s="4">
        <v>741</v>
      </c>
      <c r="N1746" s="10">
        <v>731.3</v>
      </c>
      <c r="O1746" s="10">
        <f t="shared" si="83"/>
        <v>731.3</v>
      </c>
      <c r="P1746" s="4">
        <v>145</v>
      </c>
      <c r="Q1746" s="4" t="b">
        <v>1</v>
      </c>
      <c r="R1746" s="4"/>
      <c r="S1746" s="14" t="s">
        <v>68</v>
      </c>
    </row>
    <row r="1747" spans="1:19">
      <c r="A1747" s="6" t="s">
        <v>3600</v>
      </c>
      <c r="B1747" s="7" t="s">
        <v>3601</v>
      </c>
      <c r="C1747" s="8" t="s">
        <v>4128</v>
      </c>
      <c r="D1747" s="8">
        <v>44976</v>
      </c>
      <c r="E1747" s="7">
        <v>2</v>
      </c>
      <c r="F1747" s="7">
        <v>19</v>
      </c>
      <c r="G1747" s="7">
        <v>2023</v>
      </c>
      <c r="H1747" s="8">
        <f t="shared" si="81"/>
        <v>44976</v>
      </c>
      <c r="I1747" s="11">
        <v>44991</v>
      </c>
      <c r="J1747" s="7">
        <f t="shared" si="82"/>
        <v>15</v>
      </c>
      <c r="K1747" s="7" t="s">
        <v>19</v>
      </c>
      <c r="L1747" s="7">
        <v>78236</v>
      </c>
      <c r="M1747" s="7">
        <v>1563</v>
      </c>
      <c r="N1747" s="12">
        <v>2358.78</v>
      </c>
      <c r="O1747" s="12">
        <f t="shared" si="83"/>
        <v>2358.78</v>
      </c>
      <c r="P1747" s="7">
        <v>130</v>
      </c>
      <c r="Q1747" s="7" t="b">
        <v>0</v>
      </c>
      <c r="R1747" s="7"/>
      <c r="S1747" s="15" t="s">
        <v>20</v>
      </c>
    </row>
    <row r="1748" spans="1:19">
      <c r="A1748" s="3" t="s">
        <v>3602</v>
      </c>
      <c r="B1748" s="4" t="s">
        <v>3603</v>
      </c>
      <c r="C1748" s="5" t="s">
        <v>4128</v>
      </c>
      <c r="D1748" s="5">
        <v>45124</v>
      </c>
      <c r="E1748" s="4">
        <v>7</v>
      </c>
      <c r="F1748" s="4">
        <v>17</v>
      </c>
      <c r="G1748" s="4">
        <v>2023</v>
      </c>
      <c r="H1748" s="5">
        <f t="shared" si="81"/>
        <v>45124</v>
      </c>
      <c r="I1748" s="9">
        <v>45152</v>
      </c>
      <c r="J1748" s="4">
        <f t="shared" si="82"/>
        <v>28</v>
      </c>
      <c r="K1748" s="4" t="s">
        <v>19</v>
      </c>
      <c r="L1748" s="4">
        <v>37509</v>
      </c>
      <c r="M1748" s="4">
        <v>378</v>
      </c>
      <c r="N1748" s="10">
        <v>380.23</v>
      </c>
      <c r="O1748" s="10">
        <f t="shared" si="83"/>
        <v>380.23</v>
      </c>
      <c r="P1748" s="4">
        <v>64</v>
      </c>
      <c r="Q1748" s="4" t="b">
        <v>1</v>
      </c>
      <c r="R1748" s="4"/>
      <c r="S1748" s="14" t="s">
        <v>20</v>
      </c>
    </row>
    <row r="1749" spans="1:19">
      <c r="A1749" s="6" t="s">
        <v>3604</v>
      </c>
      <c r="B1749" s="7" t="s">
        <v>3605</v>
      </c>
      <c r="C1749" s="8" t="s">
        <v>4131</v>
      </c>
      <c r="D1749" s="8">
        <v>45054</v>
      </c>
      <c r="E1749" s="7">
        <v>5</v>
      </c>
      <c r="F1749" s="7">
        <v>8</v>
      </c>
      <c r="G1749" s="7">
        <v>2023</v>
      </c>
      <c r="H1749" s="8">
        <f t="shared" si="81"/>
        <v>45054</v>
      </c>
      <c r="I1749" s="11">
        <v>45073</v>
      </c>
      <c r="J1749" s="7">
        <f t="shared" si="82"/>
        <v>19</v>
      </c>
      <c r="K1749" s="7" t="s">
        <v>41</v>
      </c>
      <c r="L1749" s="7">
        <v>43534</v>
      </c>
      <c r="M1749" s="7">
        <v>738</v>
      </c>
      <c r="N1749" s="12">
        <v>567.82</v>
      </c>
      <c r="O1749" s="12">
        <f t="shared" si="83"/>
        <v>567.82</v>
      </c>
      <c r="P1749" s="7">
        <v>43</v>
      </c>
      <c r="Q1749" s="7" t="b">
        <v>1</v>
      </c>
      <c r="R1749" s="7"/>
      <c r="S1749" s="15" t="s">
        <v>42</v>
      </c>
    </row>
    <row r="1750" spans="1:19">
      <c r="A1750" s="3" t="s">
        <v>3606</v>
      </c>
      <c r="B1750" s="4" t="s">
        <v>3607</v>
      </c>
      <c r="C1750" s="5" t="s">
        <v>4128</v>
      </c>
      <c r="D1750" s="5">
        <v>45212</v>
      </c>
      <c r="E1750" s="4">
        <v>10</v>
      </c>
      <c r="F1750" s="4">
        <v>13</v>
      </c>
      <c r="G1750" s="4">
        <v>2023</v>
      </c>
      <c r="H1750" s="5">
        <f t="shared" si="81"/>
        <v>45212</v>
      </c>
      <c r="I1750" s="9">
        <v>45238</v>
      </c>
      <c r="J1750" s="4">
        <f t="shared" si="82"/>
        <v>26</v>
      </c>
      <c r="K1750" s="4" t="s">
        <v>14</v>
      </c>
      <c r="L1750" s="4">
        <v>93241</v>
      </c>
      <c r="M1750" s="4">
        <v>1369</v>
      </c>
      <c r="N1750" s="10">
        <v>1262.25</v>
      </c>
      <c r="O1750" s="10">
        <f t="shared" si="83"/>
        <v>1262.25</v>
      </c>
      <c r="P1750" s="4">
        <v>257</v>
      </c>
      <c r="Q1750" s="4" t="b">
        <v>1</v>
      </c>
      <c r="R1750" s="4"/>
      <c r="S1750" s="14" t="s">
        <v>16</v>
      </c>
    </row>
    <row r="1751" spans="1:19">
      <c r="A1751" s="6" t="s">
        <v>3608</v>
      </c>
      <c r="B1751" s="7" t="s">
        <v>3609</v>
      </c>
      <c r="C1751" s="8" t="s">
        <v>4128</v>
      </c>
      <c r="D1751" s="8">
        <v>44981</v>
      </c>
      <c r="E1751" s="7">
        <v>2</v>
      </c>
      <c r="F1751" s="7">
        <v>24</v>
      </c>
      <c r="G1751" s="7">
        <v>2023</v>
      </c>
      <c r="H1751" s="8">
        <f t="shared" si="81"/>
        <v>44981</v>
      </c>
      <c r="I1751" s="11">
        <v>45006</v>
      </c>
      <c r="J1751" s="7">
        <f t="shared" si="82"/>
        <v>25</v>
      </c>
      <c r="K1751" s="7" t="s">
        <v>41</v>
      </c>
      <c r="L1751" s="7">
        <v>19787</v>
      </c>
      <c r="M1751" s="7">
        <v>553</v>
      </c>
      <c r="N1751" s="12">
        <v>656.06</v>
      </c>
      <c r="O1751" s="12">
        <f t="shared" si="83"/>
        <v>656.06</v>
      </c>
      <c r="P1751" s="7">
        <v>100</v>
      </c>
      <c r="Q1751" s="7" t="b">
        <v>1</v>
      </c>
      <c r="R1751" s="7"/>
      <c r="S1751" s="15" t="s">
        <v>42</v>
      </c>
    </row>
    <row r="1752" spans="1:19">
      <c r="A1752" s="3" t="s">
        <v>3610</v>
      </c>
      <c r="B1752" s="4" t="s">
        <v>3611</v>
      </c>
      <c r="C1752" s="5" t="s">
        <v>4127</v>
      </c>
      <c r="D1752" s="5">
        <v>45272</v>
      </c>
      <c r="E1752" s="4">
        <v>12</v>
      </c>
      <c r="F1752" s="4">
        <v>12</v>
      </c>
      <c r="G1752" s="4">
        <v>2023</v>
      </c>
      <c r="H1752" s="5">
        <f t="shared" si="81"/>
        <v>45272</v>
      </c>
      <c r="I1752" s="9">
        <v>45296</v>
      </c>
      <c r="J1752" s="4">
        <f t="shared" si="82"/>
        <v>24</v>
      </c>
      <c r="K1752" s="4" t="s">
        <v>41</v>
      </c>
      <c r="L1752" s="4">
        <v>49845</v>
      </c>
      <c r="M1752" s="4">
        <v>1719</v>
      </c>
      <c r="N1752" s="10">
        <v>2085.28</v>
      </c>
      <c r="O1752" s="10">
        <f t="shared" si="83"/>
        <v>2085.28</v>
      </c>
      <c r="P1752" s="4">
        <v>0</v>
      </c>
      <c r="Q1752" s="4" t="b">
        <v>1</v>
      </c>
      <c r="R1752" s="4"/>
      <c r="S1752" s="14" t="s">
        <v>42</v>
      </c>
    </row>
    <row r="1753" spans="1:19">
      <c r="A1753" s="6" t="s">
        <v>3612</v>
      </c>
      <c r="B1753" s="7" t="s">
        <v>3613</v>
      </c>
      <c r="C1753" s="8" t="s">
        <v>4129</v>
      </c>
      <c r="D1753" s="8">
        <v>44980</v>
      </c>
      <c r="E1753" s="7">
        <v>2</v>
      </c>
      <c r="F1753" s="7">
        <v>23</v>
      </c>
      <c r="G1753" s="7">
        <v>2023</v>
      </c>
      <c r="H1753" s="8">
        <f t="shared" si="81"/>
        <v>44980</v>
      </c>
      <c r="I1753" s="11">
        <v>44985</v>
      </c>
      <c r="J1753" s="7">
        <f t="shared" si="82"/>
        <v>5</v>
      </c>
      <c r="K1753" s="7" t="s">
        <v>23</v>
      </c>
      <c r="L1753" s="7">
        <v>58932</v>
      </c>
      <c r="M1753" s="7">
        <v>1091</v>
      </c>
      <c r="N1753" s="12">
        <v>1826.88</v>
      </c>
      <c r="O1753" s="12">
        <f t="shared" si="83"/>
        <v>1826.88</v>
      </c>
      <c r="P1753" s="7">
        <v>56</v>
      </c>
      <c r="Q1753" s="7" t="b">
        <v>1</v>
      </c>
      <c r="R1753" s="7">
        <v>58956</v>
      </c>
      <c r="S1753" s="15" t="s">
        <v>25</v>
      </c>
    </row>
    <row r="1754" spans="1:19">
      <c r="A1754" s="3" t="s">
        <v>3614</v>
      </c>
      <c r="B1754" s="4" t="s">
        <v>3615</v>
      </c>
      <c r="C1754" s="5" t="s">
        <v>4131</v>
      </c>
      <c r="D1754" s="5">
        <v>45132</v>
      </c>
      <c r="E1754" s="4">
        <v>7</v>
      </c>
      <c r="F1754" s="4">
        <v>25</v>
      </c>
      <c r="G1754" s="4">
        <v>2023</v>
      </c>
      <c r="H1754" s="5">
        <f t="shared" si="81"/>
        <v>45132</v>
      </c>
      <c r="I1754" s="9">
        <v>45153</v>
      </c>
      <c r="J1754" s="4">
        <f t="shared" si="82"/>
        <v>21</v>
      </c>
      <c r="K1754" s="4" t="s">
        <v>19</v>
      </c>
      <c r="L1754" s="4">
        <v>93124</v>
      </c>
      <c r="M1754" s="4">
        <v>4429</v>
      </c>
      <c r="N1754" s="10">
        <v>7198.14</v>
      </c>
      <c r="O1754" s="10">
        <f t="shared" si="83"/>
        <v>3632.575</v>
      </c>
      <c r="P1754" s="4">
        <v>0</v>
      </c>
      <c r="Q1754" s="4" t="b">
        <v>0</v>
      </c>
      <c r="R1754" s="4"/>
      <c r="S1754" s="14" t="s">
        <v>20</v>
      </c>
    </row>
    <row r="1755" spans="1:19">
      <c r="A1755" s="6" t="s">
        <v>3616</v>
      </c>
      <c r="B1755" s="7" t="s">
        <v>3617</v>
      </c>
      <c r="C1755" s="8" t="s">
        <v>4131</v>
      </c>
      <c r="D1755" s="8">
        <v>45200</v>
      </c>
      <c r="E1755" s="7">
        <v>10</v>
      </c>
      <c r="F1755" s="7">
        <v>1</v>
      </c>
      <c r="G1755" s="7">
        <v>2023</v>
      </c>
      <c r="H1755" s="8">
        <f t="shared" si="81"/>
        <v>45200</v>
      </c>
      <c r="I1755" s="11">
        <v>45226</v>
      </c>
      <c r="J1755" s="7">
        <f t="shared" si="82"/>
        <v>26</v>
      </c>
      <c r="K1755" s="7" t="s">
        <v>14</v>
      </c>
      <c r="L1755" s="7">
        <v>92659</v>
      </c>
      <c r="M1755" s="7">
        <v>951</v>
      </c>
      <c r="N1755" s="12">
        <v>1127.15</v>
      </c>
      <c r="O1755" s="12">
        <f t="shared" si="83"/>
        <v>1127.15</v>
      </c>
      <c r="P1755" s="7">
        <v>105</v>
      </c>
      <c r="Q1755" s="7" t="b">
        <v>0</v>
      </c>
      <c r="R1755" s="7"/>
      <c r="S1755" s="15" t="s">
        <v>16</v>
      </c>
    </row>
    <row r="1756" spans="1:19">
      <c r="A1756" s="3" t="s">
        <v>3618</v>
      </c>
      <c r="B1756" s="4" t="s">
        <v>3619</v>
      </c>
      <c r="C1756" s="5" t="s">
        <v>4127</v>
      </c>
      <c r="D1756" s="5">
        <v>45107</v>
      </c>
      <c r="E1756" s="4">
        <v>6</v>
      </c>
      <c r="F1756" s="4">
        <v>30</v>
      </c>
      <c r="G1756" s="4">
        <v>2023</v>
      </c>
      <c r="H1756" s="5">
        <f t="shared" si="81"/>
        <v>45107</v>
      </c>
      <c r="I1756" s="9">
        <v>45117</v>
      </c>
      <c r="J1756" s="4">
        <f t="shared" si="82"/>
        <v>10</v>
      </c>
      <c r="K1756" s="4" t="s">
        <v>23</v>
      </c>
      <c r="L1756" s="4">
        <v>34062</v>
      </c>
      <c r="M1756" s="4">
        <v>1392</v>
      </c>
      <c r="N1756" s="10">
        <v>500000</v>
      </c>
      <c r="O1756" s="10">
        <f t="shared" si="83"/>
        <v>3632.575</v>
      </c>
      <c r="P1756" s="4">
        <v>165</v>
      </c>
      <c r="Q1756" s="4" t="b">
        <v>0</v>
      </c>
      <c r="R1756" s="4"/>
      <c r="S1756" s="14" t="s">
        <v>68</v>
      </c>
    </row>
    <row r="1757" spans="1:19">
      <c r="A1757" s="6" t="s">
        <v>3620</v>
      </c>
      <c r="B1757" s="7" t="s">
        <v>3621</v>
      </c>
      <c r="C1757" s="8" t="s">
        <v>4131</v>
      </c>
      <c r="D1757" s="8">
        <v>45093</v>
      </c>
      <c r="E1757" s="7">
        <v>6</v>
      </c>
      <c r="F1757" s="7">
        <v>16</v>
      </c>
      <c r="G1757" s="7">
        <v>2023</v>
      </c>
      <c r="H1757" s="8">
        <f t="shared" si="81"/>
        <v>45093</v>
      </c>
      <c r="I1757" s="11">
        <v>45106</v>
      </c>
      <c r="J1757" s="7">
        <f t="shared" si="82"/>
        <v>13</v>
      </c>
      <c r="K1757" s="7" t="s">
        <v>14</v>
      </c>
      <c r="L1757" s="7">
        <v>76713</v>
      </c>
      <c r="M1757" s="7">
        <v>2685</v>
      </c>
      <c r="N1757" s="12">
        <v>1802.59</v>
      </c>
      <c r="O1757" s="12">
        <f t="shared" si="83"/>
        <v>1802.59</v>
      </c>
      <c r="P1757" s="7">
        <v>254</v>
      </c>
      <c r="Q1757" s="7" t="b">
        <v>0</v>
      </c>
      <c r="R1757" s="7"/>
      <c r="S1757" s="15" t="s">
        <v>16</v>
      </c>
    </row>
    <row r="1758" spans="1:19">
      <c r="A1758" s="3" t="s">
        <v>3622</v>
      </c>
      <c r="B1758" s="4" t="s">
        <v>3623</v>
      </c>
      <c r="C1758" s="5" t="s">
        <v>4129</v>
      </c>
      <c r="D1758" s="5">
        <v>45251</v>
      </c>
      <c r="E1758" s="4">
        <v>11</v>
      </c>
      <c r="F1758" s="4">
        <v>21</v>
      </c>
      <c r="G1758" s="4">
        <v>2023</v>
      </c>
      <c r="H1758" s="5">
        <f t="shared" si="81"/>
        <v>45251</v>
      </c>
      <c r="I1758" s="9">
        <v>45259</v>
      </c>
      <c r="J1758" s="4">
        <f t="shared" si="82"/>
        <v>8</v>
      </c>
      <c r="K1758" s="4" t="s">
        <v>33</v>
      </c>
      <c r="L1758" s="4">
        <v>88263</v>
      </c>
      <c r="M1758" s="4">
        <v>2201</v>
      </c>
      <c r="N1758" s="10">
        <v>1943.55</v>
      </c>
      <c r="O1758" s="10">
        <f t="shared" si="83"/>
        <v>1943.55</v>
      </c>
      <c r="P1758" s="4">
        <v>0</v>
      </c>
      <c r="Q1758" s="4" t="b">
        <v>0</v>
      </c>
      <c r="R1758" s="4"/>
      <c r="S1758" s="14" t="s">
        <v>34</v>
      </c>
    </row>
    <row r="1759" spans="1:19">
      <c r="A1759" s="6" t="s">
        <v>3624</v>
      </c>
      <c r="B1759" s="7" t="s">
        <v>3625</v>
      </c>
      <c r="C1759" s="8" t="s">
        <v>4127</v>
      </c>
      <c r="D1759" s="8">
        <v>45238</v>
      </c>
      <c r="E1759" s="7">
        <v>11</v>
      </c>
      <c r="F1759" s="7">
        <v>8</v>
      </c>
      <c r="G1759" s="7">
        <v>2023</v>
      </c>
      <c r="H1759" s="8">
        <f t="shared" si="81"/>
        <v>45238</v>
      </c>
      <c r="I1759" s="11">
        <v>45243</v>
      </c>
      <c r="J1759" s="7">
        <f t="shared" si="82"/>
        <v>5</v>
      </c>
      <c r="K1759" s="7" t="s">
        <v>23</v>
      </c>
      <c r="L1759" s="7">
        <v>96756</v>
      </c>
      <c r="M1759" s="7">
        <v>1162</v>
      </c>
      <c r="N1759" s="12">
        <v>2024.16</v>
      </c>
      <c r="O1759" s="12">
        <f t="shared" si="83"/>
        <v>2024.16</v>
      </c>
      <c r="P1759" s="7">
        <v>160</v>
      </c>
      <c r="Q1759" s="7" t="b">
        <v>1</v>
      </c>
      <c r="R1759" s="7"/>
      <c r="S1759" s="15" t="s">
        <v>25</v>
      </c>
    </row>
    <row r="1760" spans="1:19">
      <c r="A1760" s="3" t="s">
        <v>3626</v>
      </c>
      <c r="B1760" s="4" t="s">
        <v>3627</v>
      </c>
      <c r="C1760" s="5" t="s">
        <v>4129</v>
      </c>
      <c r="D1760" s="5">
        <v>45119</v>
      </c>
      <c r="E1760" s="4">
        <v>7</v>
      </c>
      <c r="F1760" s="4">
        <v>12</v>
      </c>
      <c r="G1760" s="4">
        <v>2023</v>
      </c>
      <c r="H1760" s="5">
        <f t="shared" si="81"/>
        <v>45119</v>
      </c>
      <c r="I1760" s="9">
        <v>45120</v>
      </c>
      <c r="J1760" s="4">
        <f t="shared" si="82"/>
        <v>1</v>
      </c>
      <c r="K1760" s="4" t="s">
        <v>33</v>
      </c>
      <c r="L1760" s="4">
        <v>61461</v>
      </c>
      <c r="M1760" s="4">
        <v>2157</v>
      </c>
      <c r="N1760" s="10">
        <v>2301.5</v>
      </c>
      <c r="O1760" s="10">
        <f t="shared" si="83"/>
        <v>2301.5</v>
      </c>
      <c r="P1760" s="4">
        <v>0</v>
      </c>
      <c r="Q1760" s="4" t="b">
        <v>0</v>
      </c>
      <c r="R1760" s="4"/>
      <c r="S1760" s="14" t="s">
        <v>34</v>
      </c>
    </row>
    <row r="1761" spans="1:19">
      <c r="A1761" s="6" t="s">
        <v>3628</v>
      </c>
      <c r="B1761" s="7" t="s">
        <v>3629</v>
      </c>
      <c r="C1761" s="8" t="s">
        <v>4127</v>
      </c>
      <c r="D1761" s="8">
        <v>45057</v>
      </c>
      <c r="E1761" s="7">
        <v>5</v>
      </c>
      <c r="F1761" s="7">
        <v>11</v>
      </c>
      <c r="G1761" s="7">
        <v>2023</v>
      </c>
      <c r="H1761" s="8">
        <f t="shared" si="81"/>
        <v>45057</v>
      </c>
      <c r="I1761" s="11">
        <v>45052</v>
      </c>
      <c r="J1761" s="7">
        <f t="shared" si="82"/>
        <v>-5</v>
      </c>
      <c r="K1761" s="7" t="s">
        <v>23</v>
      </c>
      <c r="L1761" s="7">
        <v>76418</v>
      </c>
      <c r="M1761" s="7">
        <v>1942</v>
      </c>
      <c r="N1761" s="12">
        <v>3829.18</v>
      </c>
      <c r="O1761" s="12">
        <f t="shared" si="83"/>
        <v>3632.575</v>
      </c>
      <c r="P1761" s="7">
        <v>179</v>
      </c>
      <c r="Q1761" s="7" t="b">
        <v>1</v>
      </c>
      <c r="R1761" s="7"/>
      <c r="S1761" s="15" t="s">
        <v>25</v>
      </c>
    </row>
    <row r="1762" spans="1:19">
      <c r="A1762" s="3" t="s">
        <v>3630</v>
      </c>
      <c r="B1762" s="4" t="s">
        <v>3631</v>
      </c>
      <c r="C1762" s="5" t="s">
        <v>4127</v>
      </c>
      <c r="D1762" s="5" t="s">
        <v>1724</v>
      </c>
      <c r="E1762" s="4">
        <v>23</v>
      </c>
      <c r="F1762" s="4">
        <v>7</v>
      </c>
      <c r="G1762" s="4">
        <v>2023</v>
      </c>
      <c r="H1762" s="5">
        <f t="shared" si="81"/>
        <v>45130</v>
      </c>
      <c r="I1762" s="9">
        <v>45138</v>
      </c>
      <c r="J1762" s="4">
        <f t="shared" si="82"/>
        <v>8</v>
      </c>
      <c r="K1762" s="4" t="s">
        <v>19</v>
      </c>
      <c r="L1762" s="4">
        <v>67672</v>
      </c>
      <c r="M1762" s="4">
        <v>3211</v>
      </c>
      <c r="N1762" s="10">
        <v>3851.21</v>
      </c>
      <c r="O1762" s="10">
        <f t="shared" si="83"/>
        <v>3632.575</v>
      </c>
      <c r="P1762" s="4">
        <v>178</v>
      </c>
      <c r="Q1762" s="4" t="b">
        <v>1</v>
      </c>
      <c r="R1762" s="4"/>
      <c r="S1762" s="14" t="s">
        <v>20</v>
      </c>
    </row>
    <row r="1763" spans="1:19">
      <c r="A1763" s="6" t="s">
        <v>3632</v>
      </c>
      <c r="B1763" s="7" t="s">
        <v>3633</v>
      </c>
      <c r="C1763" s="8" t="s">
        <v>4129</v>
      </c>
      <c r="D1763" s="8">
        <v>44944</v>
      </c>
      <c r="E1763" s="7">
        <v>1</v>
      </c>
      <c r="F1763" s="7">
        <v>18</v>
      </c>
      <c r="G1763" s="7">
        <v>2023</v>
      </c>
      <c r="H1763" s="8">
        <f t="shared" si="81"/>
        <v>44944</v>
      </c>
      <c r="I1763" s="11">
        <v>44973</v>
      </c>
      <c r="J1763" s="7">
        <f t="shared" si="82"/>
        <v>29</v>
      </c>
      <c r="K1763" s="7" t="s">
        <v>41</v>
      </c>
      <c r="L1763" s="7">
        <v>35832</v>
      </c>
      <c r="M1763" s="7">
        <v>1135</v>
      </c>
      <c r="N1763" s="12">
        <v>1915.77</v>
      </c>
      <c r="O1763" s="12">
        <f t="shared" si="83"/>
        <v>1915.77</v>
      </c>
      <c r="P1763" s="7">
        <v>226</v>
      </c>
      <c r="Q1763" s="7" t="b">
        <v>0</v>
      </c>
      <c r="R1763" s="7"/>
      <c r="S1763" s="15" t="s">
        <v>42</v>
      </c>
    </row>
    <row r="1764" spans="1:19">
      <c r="A1764" s="3" t="s">
        <v>3634</v>
      </c>
      <c r="B1764" s="4" t="s">
        <v>3635</v>
      </c>
      <c r="C1764" s="5" t="s">
        <v>4131</v>
      </c>
      <c r="D1764" s="5">
        <v>45192</v>
      </c>
      <c r="E1764" s="4">
        <v>9</v>
      </c>
      <c r="F1764" s="4">
        <v>23</v>
      </c>
      <c r="G1764" s="4">
        <v>2023</v>
      </c>
      <c r="H1764" s="5">
        <f t="shared" si="81"/>
        <v>45192</v>
      </c>
      <c r="I1764" s="9">
        <v>45207</v>
      </c>
      <c r="J1764" s="4">
        <f t="shared" si="82"/>
        <v>15</v>
      </c>
      <c r="K1764" s="4" t="s">
        <v>33</v>
      </c>
      <c r="L1764" s="4">
        <v>32966</v>
      </c>
      <c r="M1764" s="4">
        <v>1568</v>
      </c>
      <c r="N1764" s="10">
        <v>1730.23</v>
      </c>
      <c r="O1764" s="10">
        <f t="shared" si="83"/>
        <v>1730.23</v>
      </c>
      <c r="P1764" s="4">
        <v>191</v>
      </c>
      <c r="Q1764" s="4" t="b">
        <v>0</v>
      </c>
      <c r="R1764" s="4"/>
      <c r="S1764" s="14" t="s">
        <v>34</v>
      </c>
    </row>
    <row r="1765" spans="1:19">
      <c r="A1765" s="6" t="s">
        <v>3636</v>
      </c>
      <c r="B1765" s="7" t="s">
        <v>3637</v>
      </c>
      <c r="C1765" s="8" t="s">
        <v>4129</v>
      </c>
      <c r="D1765" s="8">
        <v>44930</v>
      </c>
      <c r="E1765" s="7">
        <v>1</v>
      </c>
      <c r="F1765" s="7">
        <v>4</v>
      </c>
      <c r="G1765" s="7">
        <v>2023</v>
      </c>
      <c r="H1765" s="8">
        <f t="shared" si="81"/>
        <v>44930</v>
      </c>
      <c r="I1765" s="11">
        <v>44939</v>
      </c>
      <c r="J1765" s="7">
        <f t="shared" si="82"/>
        <v>9</v>
      </c>
      <c r="K1765" s="7" t="s">
        <v>14</v>
      </c>
      <c r="L1765" s="7">
        <v>73545</v>
      </c>
      <c r="M1765" s="7">
        <v>1384</v>
      </c>
      <c r="N1765" s="12">
        <v>1574.2</v>
      </c>
      <c r="O1765" s="12">
        <f t="shared" si="83"/>
        <v>1574.2</v>
      </c>
      <c r="P1765" s="7">
        <v>226</v>
      </c>
      <c r="Q1765" s="7" t="b">
        <v>1</v>
      </c>
      <c r="R1765" s="7"/>
      <c r="S1765" s="15" t="s">
        <v>16</v>
      </c>
    </row>
    <row r="1766" spans="1:19">
      <c r="A1766" s="3" t="s">
        <v>3638</v>
      </c>
      <c r="B1766" s="4" t="s">
        <v>3639</v>
      </c>
      <c r="C1766" s="5" t="s">
        <v>4129</v>
      </c>
      <c r="D1766" s="5">
        <v>45236</v>
      </c>
      <c r="E1766" s="4">
        <v>11</v>
      </c>
      <c r="F1766" s="4">
        <v>6</v>
      </c>
      <c r="G1766" s="4">
        <v>2023</v>
      </c>
      <c r="H1766" s="5">
        <f t="shared" si="81"/>
        <v>45236</v>
      </c>
      <c r="I1766" s="9">
        <v>45104</v>
      </c>
      <c r="J1766" s="4">
        <f t="shared" si="82"/>
        <v>-132</v>
      </c>
      <c r="K1766" s="4" t="s">
        <v>33</v>
      </c>
      <c r="L1766" s="4">
        <v>13987</v>
      </c>
      <c r="M1766" s="4">
        <v>545</v>
      </c>
      <c r="N1766" s="10">
        <v>585.51</v>
      </c>
      <c r="O1766" s="10">
        <f t="shared" si="83"/>
        <v>585.51</v>
      </c>
      <c r="P1766" s="4">
        <v>64</v>
      </c>
      <c r="Q1766" s="4" t="b">
        <v>0</v>
      </c>
      <c r="R1766" s="4"/>
      <c r="S1766" s="14" t="s">
        <v>34</v>
      </c>
    </row>
    <row r="1767" spans="1:19">
      <c r="A1767" s="6" t="s">
        <v>3640</v>
      </c>
      <c r="B1767" s="7" t="s">
        <v>3641</v>
      </c>
      <c r="C1767" s="8" t="s">
        <v>4127</v>
      </c>
      <c r="D1767" s="8">
        <v>45280</v>
      </c>
      <c r="E1767" s="7">
        <v>12</v>
      </c>
      <c r="F1767" s="7">
        <v>20</v>
      </c>
      <c r="G1767" s="7">
        <v>2023</v>
      </c>
      <c r="H1767" s="8">
        <f t="shared" si="81"/>
        <v>45280</v>
      </c>
      <c r="I1767" s="11">
        <v>45293</v>
      </c>
      <c r="J1767" s="7">
        <f t="shared" si="82"/>
        <v>13</v>
      </c>
      <c r="K1767" s="7" t="s">
        <v>41</v>
      </c>
      <c r="L1767" s="7">
        <v>38311</v>
      </c>
      <c r="M1767" s="7">
        <v>1329</v>
      </c>
      <c r="N1767" s="12">
        <v>2097.98</v>
      </c>
      <c r="O1767" s="12">
        <f t="shared" si="83"/>
        <v>2097.98</v>
      </c>
      <c r="P1767" s="7">
        <v>75</v>
      </c>
      <c r="Q1767" s="7" t="b">
        <v>1</v>
      </c>
      <c r="R1767" s="7"/>
      <c r="S1767" s="15" t="s">
        <v>42</v>
      </c>
    </row>
    <row r="1768" spans="1:19">
      <c r="A1768" s="3" t="s">
        <v>3642</v>
      </c>
      <c r="B1768" s="4" t="s">
        <v>3643</v>
      </c>
      <c r="C1768" s="5" t="s">
        <v>4129</v>
      </c>
      <c r="D1768" s="5">
        <v>45188</v>
      </c>
      <c r="E1768" s="4">
        <v>9</v>
      </c>
      <c r="F1768" s="4">
        <v>19</v>
      </c>
      <c r="G1768" s="4">
        <v>2023</v>
      </c>
      <c r="H1768" s="5">
        <f t="shared" si="81"/>
        <v>45188</v>
      </c>
      <c r="I1768" s="9">
        <v>45203</v>
      </c>
      <c r="J1768" s="4">
        <f t="shared" si="82"/>
        <v>15</v>
      </c>
      <c r="K1768" s="4" t="s">
        <v>23</v>
      </c>
      <c r="L1768" s="4">
        <v>32575</v>
      </c>
      <c r="M1768" s="4">
        <v>1289</v>
      </c>
      <c r="N1768" s="10">
        <v>1703.13</v>
      </c>
      <c r="O1768" s="10">
        <f t="shared" si="83"/>
        <v>1703.13</v>
      </c>
      <c r="P1768" s="4">
        <v>124</v>
      </c>
      <c r="Q1768" s="4" t="b">
        <v>1</v>
      </c>
      <c r="R1768" s="4"/>
      <c r="S1768" s="14" t="s">
        <v>25</v>
      </c>
    </row>
    <row r="1769" spans="1:19">
      <c r="A1769" s="6" t="s">
        <v>3644</v>
      </c>
      <c r="B1769" s="7" t="s">
        <v>3645</v>
      </c>
      <c r="C1769" s="8" t="s">
        <v>4131</v>
      </c>
      <c r="D1769" s="8" t="s">
        <v>682</v>
      </c>
      <c r="E1769" s="7">
        <v>21</v>
      </c>
      <c r="F1769" s="7">
        <v>3</v>
      </c>
      <c r="G1769" s="7">
        <v>2023</v>
      </c>
      <c r="H1769" s="8">
        <f t="shared" si="81"/>
        <v>45006</v>
      </c>
      <c r="I1769" s="11">
        <v>45001</v>
      </c>
      <c r="J1769" s="7">
        <f t="shared" si="82"/>
        <v>-5</v>
      </c>
      <c r="K1769" s="7" t="s">
        <v>14</v>
      </c>
      <c r="L1769" s="7">
        <v>64852</v>
      </c>
      <c r="M1769" s="7">
        <v>1205</v>
      </c>
      <c r="N1769" s="12">
        <v>2308.38</v>
      </c>
      <c r="O1769" s="12">
        <f t="shared" si="83"/>
        <v>2308.38</v>
      </c>
      <c r="P1769" s="7">
        <v>118</v>
      </c>
      <c r="Q1769" s="7" t="b">
        <v>1</v>
      </c>
      <c r="R1769" s="7"/>
      <c r="S1769" s="15" t="s">
        <v>16</v>
      </c>
    </row>
    <row r="1770" spans="1:19">
      <c r="A1770" s="3" t="s">
        <v>3646</v>
      </c>
      <c r="B1770" s="4" t="s">
        <v>3647</v>
      </c>
      <c r="C1770" s="5" t="s">
        <v>4129</v>
      </c>
      <c r="D1770" s="5">
        <v>45162</v>
      </c>
      <c r="E1770" s="4">
        <v>8</v>
      </c>
      <c r="F1770" s="4">
        <v>24</v>
      </c>
      <c r="G1770" s="4">
        <v>2023</v>
      </c>
      <c r="H1770" s="5">
        <f t="shared" si="81"/>
        <v>45162</v>
      </c>
      <c r="I1770" s="9">
        <v>45177</v>
      </c>
      <c r="J1770" s="4">
        <f t="shared" si="82"/>
        <v>15</v>
      </c>
      <c r="K1770" s="4" t="s">
        <v>33</v>
      </c>
      <c r="L1770" s="4">
        <v>2007</v>
      </c>
      <c r="M1770" s="4">
        <v>73</v>
      </c>
      <c r="N1770" s="10">
        <v>63.97</v>
      </c>
      <c r="O1770" s="10">
        <f t="shared" si="83"/>
        <v>63.97</v>
      </c>
      <c r="P1770" s="4">
        <v>12</v>
      </c>
      <c r="Q1770" s="4" t="b">
        <v>0</v>
      </c>
      <c r="R1770" s="4"/>
      <c r="S1770" s="14" t="s">
        <v>34</v>
      </c>
    </row>
    <row r="1771" spans="1:19">
      <c r="A1771" s="6" t="s">
        <v>3648</v>
      </c>
      <c r="B1771" s="7" t="s">
        <v>3649</v>
      </c>
      <c r="C1771" s="8" t="s">
        <v>4129</v>
      </c>
      <c r="D1771" s="8">
        <v>45114</v>
      </c>
      <c r="E1771" s="7">
        <v>7</v>
      </c>
      <c r="F1771" s="7">
        <v>7</v>
      </c>
      <c r="G1771" s="7">
        <v>2023</v>
      </c>
      <c r="H1771" s="8">
        <f t="shared" si="81"/>
        <v>45114</v>
      </c>
      <c r="I1771" s="11">
        <v>45126</v>
      </c>
      <c r="J1771" s="7">
        <f t="shared" si="82"/>
        <v>12</v>
      </c>
      <c r="K1771" s="7" t="s">
        <v>19</v>
      </c>
      <c r="L1771" s="7">
        <v>71981</v>
      </c>
      <c r="M1771" s="7">
        <v>2153</v>
      </c>
      <c r="N1771" s="12">
        <v>1401.27</v>
      </c>
      <c r="O1771" s="12">
        <f t="shared" si="83"/>
        <v>1401.27</v>
      </c>
      <c r="P1771" s="7">
        <v>318</v>
      </c>
      <c r="Q1771" s="7" t="b">
        <v>1</v>
      </c>
      <c r="R1771" s="7"/>
      <c r="S1771" s="15" t="s">
        <v>68</v>
      </c>
    </row>
    <row r="1772" spans="1:19">
      <c r="A1772" s="3" t="s">
        <v>3650</v>
      </c>
      <c r="B1772" s="4" t="s">
        <v>3651</v>
      </c>
      <c r="C1772" s="5" t="s">
        <v>4129</v>
      </c>
      <c r="D1772" s="5">
        <v>45058</v>
      </c>
      <c r="E1772" s="4">
        <v>5</v>
      </c>
      <c r="F1772" s="4">
        <v>12</v>
      </c>
      <c r="G1772" s="4">
        <v>2023</v>
      </c>
      <c r="H1772" s="5">
        <f t="shared" si="81"/>
        <v>45058</v>
      </c>
      <c r="I1772" s="9">
        <v>45294</v>
      </c>
      <c r="J1772" s="4">
        <f t="shared" si="82"/>
        <v>236</v>
      </c>
      <c r="K1772" s="4" t="s">
        <v>14</v>
      </c>
      <c r="L1772" s="4">
        <v>77242</v>
      </c>
      <c r="M1772" s="4">
        <v>3067</v>
      </c>
      <c r="N1772" s="10">
        <v>3342.7</v>
      </c>
      <c r="O1772" s="10">
        <f t="shared" si="83"/>
        <v>3342.7</v>
      </c>
      <c r="P1772" s="4">
        <v>280</v>
      </c>
      <c r="Q1772" s="4" t="b">
        <v>1</v>
      </c>
      <c r="R1772" s="4"/>
      <c r="S1772" s="14" t="s">
        <v>16</v>
      </c>
    </row>
    <row r="1773" spans="1:19">
      <c r="A1773" s="6" t="s">
        <v>3652</v>
      </c>
      <c r="B1773" s="7" t="s">
        <v>3653</v>
      </c>
      <c r="C1773" s="8" t="s">
        <v>4128</v>
      </c>
      <c r="D1773" s="8">
        <v>45131</v>
      </c>
      <c r="E1773" s="7">
        <v>7</v>
      </c>
      <c r="F1773" s="7">
        <v>24</v>
      </c>
      <c r="G1773" s="7">
        <v>2023</v>
      </c>
      <c r="H1773" s="8">
        <f t="shared" si="81"/>
        <v>45131</v>
      </c>
      <c r="I1773" s="11">
        <v>45138</v>
      </c>
      <c r="J1773" s="7">
        <f t="shared" si="82"/>
        <v>7</v>
      </c>
      <c r="K1773" s="7" t="s">
        <v>19</v>
      </c>
      <c r="L1773" s="7">
        <v>48517</v>
      </c>
      <c r="M1773" s="7">
        <v>1119</v>
      </c>
      <c r="N1773" s="12">
        <v>1594.65</v>
      </c>
      <c r="O1773" s="12">
        <f t="shared" si="83"/>
        <v>1594.65</v>
      </c>
      <c r="P1773" s="7">
        <v>0</v>
      </c>
      <c r="Q1773" s="7" t="b">
        <v>0</v>
      </c>
      <c r="R1773" s="7"/>
      <c r="S1773" s="15" t="s">
        <v>20</v>
      </c>
    </row>
    <row r="1774" spans="1:19">
      <c r="A1774" s="3" t="s">
        <v>3654</v>
      </c>
      <c r="B1774" s="4" t="s">
        <v>3655</v>
      </c>
      <c r="C1774" s="5" t="s">
        <v>4129</v>
      </c>
      <c r="D1774" s="5">
        <v>44966</v>
      </c>
      <c r="E1774" s="4">
        <v>2</v>
      </c>
      <c r="F1774" s="4">
        <v>9</v>
      </c>
      <c r="G1774" s="4">
        <v>2023</v>
      </c>
      <c r="H1774" s="5">
        <f t="shared" si="81"/>
        <v>44966</v>
      </c>
      <c r="I1774" s="9">
        <v>44981</v>
      </c>
      <c r="J1774" s="4">
        <f t="shared" si="82"/>
        <v>15</v>
      </c>
      <c r="K1774" s="4" t="s">
        <v>19</v>
      </c>
      <c r="L1774" s="4">
        <v>30257</v>
      </c>
      <c r="M1774" s="4">
        <v>1379</v>
      </c>
      <c r="N1774" s="10">
        <v>2470.06</v>
      </c>
      <c r="O1774" s="10">
        <f t="shared" si="83"/>
        <v>2470.06</v>
      </c>
      <c r="P1774" s="4">
        <v>0</v>
      </c>
      <c r="Q1774" s="4" t="b">
        <v>1</v>
      </c>
      <c r="R1774" s="4"/>
      <c r="S1774" s="14" t="s">
        <v>20</v>
      </c>
    </row>
    <row r="1775" spans="1:19">
      <c r="A1775" s="6" t="s">
        <v>3656</v>
      </c>
      <c r="B1775" s="7" t="s">
        <v>3657</v>
      </c>
      <c r="C1775" s="8" t="s">
        <v>4129</v>
      </c>
      <c r="D1775" s="8">
        <v>45015</v>
      </c>
      <c r="E1775" s="7">
        <v>3</v>
      </c>
      <c r="F1775" s="7">
        <v>30</v>
      </c>
      <c r="G1775" s="7">
        <v>2023</v>
      </c>
      <c r="H1775" s="8">
        <f t="shared" si="81"/>
        <v>45015</v>
      </c>
      <c r="I1775" s="11">
        <v>45020</v>
      </c>
      <c r="J1775" s="7">
        <f t="shared" si="82"/>
        <v>5</v>
      </c>
      <c r="K1775" s="7" t="s">
        <v>19</v>
      </c>
      <c r="L1775" s="7">
        <v>88272</v>
      </c>
      <c r="M1775" s="7">
        <v>1180</v>
      </c>
      <c r="N1775" s="12">
        <v>1202.77</v>
      </c>
      <c r="O1775" s="12">
        <f t="shared" si="83"/>
        <v>1202.77</v>
      </c>
      <c r="P1775" s="7">
        <v>235</v>
      </c>
      <c r="Q1775" s="7" t="b">
        <v>1</v>
      </c>
      <c r="R1775" s="7">
        <v>88308</v>
      </c>
      <c r="S1775" s="15" t="s">
        <v>20</v>
      </c>
    </row>
    <row r="1776" spans="1:19">
      <c r="A1776" s="3" t="s">
        <v>3658</v>
      </c>
      <c r="B1776" s="4" t="s">
        <v>3659</v>
      </c>
      <c r="C1776" s="5" t="s">
        <v>4128</v>
      </c>
      <c r="D1776" s="5">
        <v>45286</v>
      </c>
      <c r="E1776" s="4">
        <v>12</v>
      </c>
      <c r="F1776" s="4">
        <v>26</v>
      </c>
      <c r="G1776" s="4">
        <v>2023</v>
      </c>
      <c r="H1776" s="5">
        <f t="shared" si="81"/>
        <v>45286</v>
      </c>
      <c r="I1776" s="9">
        <v>45300</v>
      </c>
      <c r="J1776" s="4">
        <f t="shared" si="82"/>
        <v>14</v>
      </c>
      <c r="K1776" s="4" t="s">
        <v>19</v>
      </c>
      <c r="L1776" s="4">
        <v>43207</v>
      </c>
      <c r="M1776" s="4">
        <v>1827</v>
      </c>
      <c r="N1776" s="10">
        <v>2705.2</v>
      </c>
      <c r="O1776" s="10">
        <f t="shared" si="83"/>
        <v>2705.2</v>
      </c>
      <c r="P1776" s="4">
        <v>364</v>
      </c>
      <c r="Q1776" s="4" t="b">
        <v>1</v>
      </c>
      <c r="R1776" s="4"/>
      <c r="S1776" s="14" t="s">
        <v>20</v>
      </c>
    </row>
    <row r="1777" spans="1:19">
      <c r="A1777" s="6" t="s">
        <v>3660</v>
      </c>
      <c r="B1777" s="7" t="s">
        <v>3661</v>
      </c>
      <c r="C1777" s="8" t="s">
        <v>4129</v>
      </c>
      <c r="D1777" s="8">
        <v>45231</v>
      </c>
      <c r="E1777" s="7">
        <v>11</v>
      </c>
      <c r="F1777" s="7">
        <v>1</v>
      </c>
      <c r="G1777" s="7">
        <v>2023</v>
      </c>
      <c r="H1777" s="8">
        <f t="shared" si="81"/>
        <v>45231</v>
      </c>
      <c r="I1777" s="11">
        <v>44939</v>
      </c>
      <c r="J1777" s="7">
        <f t="shared" si="82"/>
        <v>-292</v>
      </c>
      <c r="K1777" s="7" t="s">
        <v>41</v>
      </c>
      <c r="L1777" s="7">
        <v>14281</v>
      </c>
      <c r="M1777" s="7">
        <v>634</v>
      </c>
      <c r="N1777" s="12">
        <v>650.04</v>
      </c>
      <c r="O1777" s="12">
        <f t="shared" si="83"/>
        <v>650.04</v>
      </c>
      <c r="P1777" s="7">
        <v>49</v>
      </c>
      <c r="Q1777" s="7" t="b">
        <v>1</v>
      </c>
      <c r="R1777" s="7"/>
      <c r="S1777" s="15" t="s">
        <v>42</v>
      </c>
    </row>
    <row r="1778" spans="1:19">
      <c r="A1778" s="3" t="s">
        <v>3662</v>
      </c>
      <c r="B1778" s="4" t="s">
        <v>3663</v>
      </c>
      <c r="C1778" s="5" t="s">
        <v>4128</v>
      </c>
      <c r="D1778" s="5">
        <v>45222</v>
      </c>
      <c r="E1778" s="4">
        <v>10</v>
      </c>
      <c r="F1778" s="4">
        <v>23</v>
      </c>
      <c r="G1778" s="4">
        <v>2023</v>
      </c>
      <c r="H1778" s="5">
        <f t="shared" si="81"/>
        <v>45222</v>
      </c>
      <c r="I1778" s="9">
        <v>45230</v>
      </c>
      <c r="J1778" s="4">
        <f t="shared" si="82"/>
        <v>8</v>
      </c>
      <c r="K1778" s="4" t="s">
        <v>14</v>
      </c>
      <c r="L1778" s="4">
        <v>62246</v>
      </c>
      <c r="M1778" s="4">
        <v>2657</v>
      </c>
      <c r="N1778" s="10">
        <v>3788.43</v>
      </c>
      <c r="O1778" s="10">
        <f t="shared" si="83"/>
        <v>3632.575</v>
      </c>
      <c r="P1778" s="4">
        <v>257</v>
      </c>
      <c r="Q1778" s="4" t="b">
        <v>0</v>
      </c>
      <c r="R1778" s="4"/>
      <c r="S1778" s="14" t="s">
        <v>16</v>
      </c>
    </row>
    <row r="1779" spans="1:19">
      <c r="A1779" s="6" t="s">
        <v>3664</v>
      </c>
      <c r="B1779" s="7" t="s">
        <v>3665</v>
      </c>
      <c r="C1779" s="8" t="s">
        <v>4128</v>
      </c>
      <c r="D1779" s="8">
        <v>45098</v>
      </c>
      <c r="E1779" s="7">
        <v>6</v>
      </c>
      <c r="F1779" s="7">
        <v>21</v>
      </c>
      <c r="G1779" s="7">
        <v>2023</v>
      </c>
      <c r="H1779" s="8">
        <f t="shared" si="81"/>
        <v>45098</v>
      </c>
      <c r="I1779" s="11">
        <v>45103</v>
      </c>
      <c r="J1779" s="7">
        <f t="shared" si="82"/>
        <v>5</v>
      </c>
      <c r="K1779" s="7" t="s">
        <v>19</v>
      </c>
      <c r="L1779" s="7">
        <v>2435</v>
      </c>
      <c r="M1779" s="7">
        <v>74</v>
      </c>
      <c r="N1779" s="12">
        <v>135.21</v>
      </c>
      <c r="O1779" s="12">
        <f t="shared" si="83"/>
        <v>135.21</v>
      </c>
      <c r="P1779" s="7">
        <v>9</v>
      </c>
      <c r="Q1779" s="7" t="b">
        <v>0</v>
      </c>
      <c r="R1779" s="7">
        <v>2508</v>
      </c>
      <c r="S1779" s="15" t="s">
        <v>20</v>
      </c>
    </row>
    <row r="1780" spans="1:19">
      <c r="A1780" s="3" t="s">
        <v>3666</v>
      </c>
      <c r="B1780" s="4" t="s">
        <v>3667</v>
      </c>
      <c r="C1780" s="5" t="s">
        <v>4128</v>
      </c>
      <c r="D1780" s="5">
        <v>45140</v>
      </c>
      <c r="E1780" s="4">
        <v>8</v>
      </c>
      <c r="F1780" s="4">
        <v>2</v>
      </c>
      <c r="G1780" s="4">
        <v>2023</v>
      </c>
      <c r="H1780" s="5">
        <f t="shared" si="81"/>
        <v>45140</v>
      </c>
      <c r="I1780" s="9">
        <v>45169</v>
      </c>
      <c r="J1780" s="4">
        <f t="shared" si="82"/>
        <v>29</v>
      </c>
      <c r="K1780" s="4" t="s">
        <v>14</v>
      </c>
      <c r="L1780" s="4">
        <v>99875</v>
      </c>
      <c r="M1780" s="4">
        <v>2750</v>
      </c>
      <c r="N1780" s="10">
        <v>2329.35</v>
      </c>
      <c r="O1780" s="10">
        <f t="shared" si="83"/>
        <v>2329.35</v>
      </c>
      <c r="P1780" s="4">
        <v>0</v>
      </c>
      <c r="Q1780" s="4" t="b">
        <v>1</v>
      </c>
      <c r="R1780" s="4"/>
      <c r="S1780" s="14" t="s">
        <v>16</v>
      </c>
    </row>
    <row r="1781" spans="1:19">
      <c r="A1781" s="6" t="s">
        <v>3668</v>
      </c>
      <c r="B1781" s="7" t="s">
        <v>3669</v>
      </c>
      <c r="C1781" s="8" t="s">
        <v>4129</v>
      </c>
      <c r="D1781" s="8">
        <v>45043</v>
      </c>
      <c r="E1781" s="7">
        <v>4</v>
      </c>
      <c r="F1781" s="7">
        <v>27</v>
      </c>
      <c r="G1781" s="7">
        <v>2023</v>
      </c>
      <c r="H1781" s="8">
        <f t="shared" si="81"/>
        <v>45043</v>
      </c>
      <c r="I1781" s="11">
        <v>45064</v>
      </c>
      <c r="J1781" s="7">
        <f t="shared" si="82"/>
        <v>21</v>
      </c>
      <c r="K1781" s="7" t="s">
        <v>138</v>
      </c>
      <c r="L1781" s="7">
        <v>92357</v>
      </c>
      <c r="M1781" s="7">
        <v>4604</v>
      </c>
      <c r="N1781" s="12">
        <v>5093.69</v>
      </c>
      <c r="O1781" s="12">
        <f t="shared" si="83"/>
        <v>3632.575</v>
      </c>
      <c r="P1781" s="7">
        <v>594</v>
      </c>
      <c r="Q1781" s="7" t="b">
        <v>1</v>
      </c>
      <c r="R1781" s="7"/>
      <c r="S1781" s="15" t="s">
        <v>139</v>
      </c>
    </row>
    <row r="1782" spans="1:19">
      <c r="A1782" s="3" t="s">
        <v>3670</v>
      </c>
      <c r="B1782" s="4" t="s">
        <v>3671</v>
      </c>
      <c r="C1782" s="5" t="s">
        <v>4131</v>
      </c>
      <c r="D1782" s="5">
        <v>44932</v>
      </c>
      <c r="E1782" s="4">
        <v>1</v>
      </c>
      <c r="F1782" s="4">
        <v>6</v>
      </c>
      <c r="G1782" s="4">
        <v>2023</v>
      </c>
      <c r="H1782" s="5">
        <f t="shared" si="81"/>
        <v>44932</v>
      </c>
      <c r="I1782" s="9">
        <v>44962</v>
      </c>
      <c r="J1782" s="4">
        <f t="shared" si="82"/>
        <v>30</v>
      </c>
      <c r="K1782" s="4" t="s">
        <v>23</v>
      </c>
      <c r="L1782" s="4">
        <v>27660</v>
      </c>
      <c r="M1782" s="4">
        <v>530</v>
      </c>
      <c r="N1782" s="10">
        <v>1054.65</v>
      </c>
      <c r="O1782" s="10">
        <f t="shared" si="83"/>
        <v>1054.65</v>
      </c>
      <c r="P1782" s="4">
        <v>103</v>
      </c>
      <c r="Q1782" s="4" t="b">
        <v>0</v>
      </c>
      <c r="R1782" s="4"/>
      <c r="S1782" s="14" t="s">
        <v>25</v>
      </c>
    </row>
    <row r="1783" spans="1:19">
      <c r="A1783" s="6" t="s">
        <v>3672</v>
      </c>
      <c r="B1783" s="7" t="s">
        <v>3673</v>
      </c>
      <c r="C1783" s="8" t="s">
        <v>4128</v>
      </c>
      <c r="D1783" s="8">
        <v>44954</v>
      </c>
      <c r="E1783" s="7">
        <v>1</v>
      </c>
      <c r="F1783" s="7">
        <v>28</v>
      </c>
      <c r="G1783" s="7">
        <v>2023</v>
      </c>
      <c r="H1783" s="8">
        <f t="shared" si="81"/>
        <v>44954</v>
      </c>
      <c r="I1783" s="11">
        <v>44958</v>
      </c>
      <c r="J1783" s="7">
        <f t="shared" si="82"/>
        <v>4</v>
      </c>
      <c r="K1783" s="7" t="s">
        <v>23</v>
      </c>
      <c r="L1783" s="7">
        <v>6084</v>
      </c>
      <c r="M1783" s="7">
        <v>193</v>
      </c>
      <c r="N1783" s="12">
        <v>500000</v>
      </c>
      <c r="O1783" s="12">
        <f t="shared" si="83"/>
        <v>3632.575</v>
      </c>
      <c r="P1783" s="7">
        <v>0</v>
      </c>
      <c r="Q1783" s="7" t="b">
        <v>0</v>
      </c>
      <c r="R1783" s="7"/>
      <c r="S1783" s="15" t="s">
        <v>25</v>
      </c>
    </row>
    <row r="1784" spans="1:19">
      <c r="A1784" s="3" t="s">
        <v>3674</v>
      </c>
      <c r="B1784" s="4" t="s">
        <v>3675</v>
      </c>
      <c r="C1784" s="5" t="s">
        <v>4128</v>
      </c>
      <c r="D1784" s="5">
        <v>45203</v>
      </c>
      <c r="E1784" s="4">
        <v>10</v>
      </c>
      <c r="F1784" s="4">
        <v>4</v>
      </c>
      <c r="G1784" s="4">
        <v>2023</v>
      </c>
      <c r="H1784" s="5">
        <f t="shared" si="81"/>
        <v>45203</v>
      </c>
      <c r="I1784" s="9">
        <v>45213</v>
      </c>
      <c r="J1784" s="4">
        <f t="shared" si="82"/>
        <v>10</v>
      </c>
      <c r="K1784" s="4" t="s">
        <v>234</v>
      </c>
      <c r="L1784" s="4">
        <v>83197</v>
      </c>
      <c r="M1784" s="4">
        <v>3063</v>
      </c>
      <c r="N1784" s="10">
        <v>4125.74</v>
      </c>
      <c r="O1784" s="10">
        <f t="shared" si="83"/>
        <v>3632.575</v>
      </c>
      <c r="P1784" s="4">
        <v>250</v>
      </c>
      <c r="Q1784" s="4" t="b">
        <v>0</v>
      </c>
      <c r="R1784" s="4"/>
      <c r="S1784" s="14" t="s">
        <v>16</v>
      </c>
    </row>
    <row r="1785" spans="1:19">
      <c r="A1785" s="6" t="s">
        <v>3676</v>
      </c>
      <c r="B1785" s="7" t="s">
        <v>3677</v>
      </c>
      <c r="C1785" s="8" t="s">
        <v>4129</v>
      </c>
      <c r="D1785" s="8">
        <v>45284</v>
      </c>
      <c r="E1785" s="7">
        <v>12</v>
      </c>
      <c r="F1785" s="7">
        <v>24</v>
      </c>
      <c r="G1785" s="7">
        <v>2023</v>
      </c>
      <c r="H1785" s="8">
        <f t="shared" si="81"/>
        <v>45284</v>
      </c>
      <c r="I1785" s="11">
        <v>45296</v>
      </c>
      <c r="J1785" s="7">
        <f t="shared" si="82"/>
        <v>12</v>
      </c>
      <c r="K1785" s="7" t="s">
        <v>33</v>
      </c>
      <c r="L1785" s="7">
        <v>14507</v>
      </c>
      <c r="M1785" s="7">
        <v>551</v>
      </c>
      <c r="N1785" s="12">
        <v>702.49</v>
      </c>
      <c r="O1785" s="12">
        <f t="shared" si="83"/>
        <v>702.49</v>
      </c>
      <c r="P1785" s="7">
        <v>36</v>
      </c>
      <c r="Q1785" s="7" t="b">
        <v>1</v>
      </c>
      <c r="R1785" s="7"/>
      <c r="S1785" s="15" t="s">
        <v>34</v>
      </c>
    </row>
    <row r="1786" spans="1:19">
      <c r="A1786" s="3" t="s">
        <v>3678</v>
      </c>
      <c r="B1786" s="4" t="s">
        <v>3679</v>
      </c>
      <c r="C1786" s="5" t="s">
        <v>4127</v>
      </c>
      <c r="D1786" s="5">
        <v>45128</v>
      </c>
      <c r="E1786" s="4">
        <v>7</v>
      </c>
      <c r="F1786" s="4">
        <v>21</v>
      </c>
      <c r="G1786" s="4">
        <v>2023</v>
      </c>
      <c r="H1786" s="5">
        <f t="shared" si="81"/>
        <v>45128</v>
      </c>
      <c r="I1786" s="9">
        <v>45130</v>
      </c>
      <c r="J1786" s="4">
        <f t="shared" si="82"/>
        <v>2</v>
      </c>
      <c r="K1786" s="4" t="s">
        <v>19</v>
      </c>
      <c r="L1786" s="4">
        <v>73595</v>
      </c>
      <c r="M1786" s="4">
        <v>1336</v>
      </c>
      <c r="N1786" s="10">
        <v>1238.34</v>
      </c>
      <c r="O1786" s="10">
        <f t="shared" si="83"/>
        <v>1238.34</v>
      </c>
      <c r="P1786" s="4">
        <v>204</v>
      </c>
      <c r="Q1786" s="4" t="b">
        <v>0</v>
      </c>
      <c r="R1786" s="4"/>
      <c r="S1786" s="14" t="s">
        <v>20</v>
      </c>
    </row>
    <row r="1787" spans="1:19">
      <c r="A1787" s="6" t="s">
        <v>3680</v>
      </c>
      <c r="B1787" s="7" t="s">
        <v>3681</v>
      </c>
      <c r="C1787" s="8" t="s">
        <v>4129</v>
      </c>
      <c r="D1787" s="8">
        <v>45221</v>
      </c>
      <c r="E1787" s="7">
        <v>10</v>
      </c>
      <c r="F1787" s="7">
        <v>22</v>
      </c>
      <c r="G1787" s="7">
        <v>2023</v>
      </c>
      <c r="H1787" s="8">
        <f t="shared" si="81"/>
        <v>45221</v>
      </c>
      <c r="I1787" s="11">
        <v>45233</v>
      </c>
      <c r="J1787" s="7">
        <f t="shared" si="82"/>
        <v>12</v>
      </c>
      <c r="K1787" s="7" t="s">
        <v>23</v>
      </c>
      <c r="L1787" s="7">
        <v>84807</v>
      </c>
      <c r="M1787" s="7">
        <v>3066</v>
      </c>
      <c r="N1787" s="12">
        <v>3911.65</v>
      </c>
      <c r="O1787" s="12">
        <f t="shared" si="83"/>
        <v>3632.575</v>
      </c>
      <c r="P1787" s="7">
        <v>226</v>
      </c>
      <c r="Q1787" s="7" t="b">
        <v>0</v>
      </c>
      <c r="R1787" s="7"/>
      <c r="S1787" s="15" t="s">
        <v>25</v>
      </c>
    </row>
    <row r="1788" spans="1:19">
      <c r="A1788" s="3" t="s">
        <v>3682</v>
      </c>
      <c r="B1788" s="4" t="s">
        <v>3683</v>
      </c>
      <c r="C1788" s="5" t="s">
        <v>4127</v>
      </c>
      <c r="D1788" s="5">
        <v>45075</v>
      </c>
      <c r="E1788" s="4">
        <v>5</v>
      </c>
      <c r="F1788" s="4">
        <v>29</v>
      </c>
      <c r="G1788" s="4">
        <v>2023</v>
      </c>
      <c r="H1788" s="5">
        <f t="shared" si="81"/>
        <v>45075</v>
      </c>
      <c r="I1788" s="9">
        <v>45090</v>
      </c>
      <c r="J1788" s="4">
        <f t="shared" si="82"/>
        <v>15</v>
      </c>
      <c r="K1788" s="4" t="s">
        <v>33</v>
      </c>
      <c r="L1788" s="4">
        <v>46539</v>
      </c>
      <c r="M1788" s="4">
        <v>1988</v>
      </c>
      <c r="N1788" s="10">
        <v>3523.28</v>
      </c>
      <c r="O1788" s="10">
        <f t="shared" si="83"/>
        <v>3523.28</v>
      </c>
      <c r="P1788" s="4">
        <v>334</v>
      </c>
      <c r="Q1788" s="4" t="b">
        <v>1</v>
      </c>
      <c r="R1788" s="4"/>
      <c r="S1788" s="14" t="s">
        <v>34</v>
      </c>
    </row>
    <row r="1789" spans="1:19">
      <c r="A1789" s="6" t="s">
        <v>3684</v>
      </c>
      <c r="B1789" s="7" t="s">
        <v>3685</v>
      </c>
      <c r="C1789" s="8" t="s">
        <v>4131</v>
      </c>
      <c r="D1789" s="8" t="s">
        <v>485</v>
      </c>
      <c r="E1789" s="7">
        <v>22</v>
      </c>
      <c r="F1789" s="7">
        <v>6</v>
      </c>
      <c r="G1789" s="7">
        <v>2023</v>
      </c>
      <c r="H1789" s="8">
        <f t="shared" si="81"/>
        <v>45099</v>
      </c>
      <c r="I1789" s="11">
        <v>45129</v>
      </c>
      <c r="J1789" s="7">
        <f t="shared" si="82"/>
        <v>30</v>
      </c>
      <c r="K1789" s="7" t="s">
        <v>23</v>
      </c>
      <c r="L1789" s="7">
        <v>8491</v>
      </c>
      <c r="M1789" s="7">
        <v>101</v>
      </c>
      <c r="N1789" s="12">
        <v>154.3</v>
      </c>
      <c r="O1789" s="12">
        <f t="shared" si="83"/>
        <v>154.3</v>
      </c>
      <c r="P1789" s="7">
        <v>9</v>
      </c>
      <c r="Q1789" s="7" t="b">
        <v>1</v>
      </c>
      <c r="R1789" s="7"/>
      <c r="S1789" s="15" t="s">
        <v>25</v>
      </c>
    </row>
    <row r="1790" spans="1:19">
      <c r="A1790" s="3" t="s">
        <v>3686</v>
      </c>
      <c r="B1790" s="4" t="s">
        <v>3687</v>
      </c>
      <c r="C1790" s="5" t="s">
        <v>4131</v>
      </c>
      <c r="D1790" s="5">
        <v>45219</v>
      </c>
      <c r="E1790" s="4">
        <v>10</v>
      </c>
      <c r="F1790" s="4">
        <v>20</v>
      </c>
      <c r="G1790" s="4">
        <v>2023</v>
      </c>
      <c r="H1790" s="5">
        <f t="shared" si="81"/>
        <v>45219</v>
      </c>
      <c r="I1790" s="9">
        <v>45232</v>
      </c>
      <c r="J1790" s="4">
        <f t="shared" si="82"/>
        <v>13</v>
      </c>
      <c r="K1790" s="4" t="s">
        <v>19</v>
      </c>
      <c r="L1790" s="4">
        <v>51192</v>
      </c>
      <c r="M1790" s="4">
        <v>2378</v>
      </c>
      <c r="N1790" s="10">
        <v>2223.59</v>
      </c>
      <c r="O1790" s="10">
        <f t="shared" si="83"/>
        <v>2223.59</v>
      </c>
      <c r="P1790" s="4">
        <v>235</v>
      </c>
      <c r="Q1790" s="4" t="b">
        <v>0</v>
      </c>
      <c r="R1790" s="4"/>
      <c r="S1790" s="14" t="s">
        <v>20</v>
      </c>
    </row>
    <row r="1791" spans="1:19">
      <c r="A1791" s="6" t="s">
        <v>3688</v>
      </c>
      <c r="B1791" s="7" t="s">
        <v>3689</v>
      </c>
      <c r="C1791" s="8" t="s">
        <v>4131</v>
      </c>
      <c r="D1791" s="8" t="s">
        <v>3460</v>
      </c>
      <c r="E1791" s="7">
        <v>15</v>
      </c>
      <c r="F1791" s="7">
        <v>5</v>
      </c>
      <c r="G1791" s="7">
        <v>2023</v>
      </c>
      <c r="H1791" s="8">
        <f t="shared" si="81"/>
        <v>45061</v>
      </c>
      <c r="I1791" s="11">
        <v>45090</v>
      </c>
      <c r="J1791" s="7">
        <f t="shared" si="82"/>
        <v>29</v>
      </c>
      <c r="K1791" s="7" t="s">
        <v>33</v>
      </c>
      <c r="L1791" s="7">
        <v>81395</v>
      </c>
      <c r="M1791" s="7">
        <v>910</v>
      </c>
      <c r="N1791" s="12">
        <v>730</v>
      </c>
      <c r="O1791" s="12">
        <f t="shared" si="83"/>
        <v>730</v>
      </c>
      <c r="P1791" s="7">
        <v>46</v>
      </c>
      <c r="Q1791" s="7" t="b">
        <v>1</v>
      </c>
      <c r="R1791" s="7"/>
      <c r="S1791" s="15" t="s">
        <v>34</v>
      </c>
    </row>
    <row r="1792" spans="1:19">
      <c r="A1792" s="3" t="s">
        <v>3690</v>
      </c>
      <c r="B1792" s="4" t="s">
        <v>3691</v>
      </c>
      <c r="C1792" s="5" t="s">
        <v>4131</v>
      </c>
      <c r="D1792" s="5">
        <v>45183</v>
      </c>
      <c r="E1792" s="4">
        <v>9</v>
      </c>
      <c r="F1792" s="4">
        <v>14</v>
      </c>
      <c r="G1792" s="4">
        <v>2023</v>
      </c>
      <c r="H1792" s="5">
        <f t="shared" si="81"/>
        <v>45183</v>
      </c>
      <c r="I1792" s="9">
        <v>45204</v>
      </c>
      <c r="J1792" s="4">
        <f t="shared" si="82"/>
        <v>21</v>
      </c>
      <c r="K1792" s="4" t="s">
        <v>23</v>
      </c>
      <c r="L1792" s="4">
        <v>64888</v>
      </c>
      <c r="M1792" s="4">
        <v>1572</v>
      </c>
      <c r="N1792" s="10">
        <v>1411.36</v>
      </c>
      <c r="O1792" s="10">
        <f t="shared" si="83"/>
        <v>1411.36</v>
      </c>
      <c r="P1792" s="4">
        <v>243</v>
      </c>
      <c r="Q1792" s="4" t="b">
        <v>1</v>
      </c>
      <c r="R1792" s="4"/>
      <c r="S1792" s="14" t="s">
        <v>25</v>
      </c>
    </row>
    <row r="1793" spans="1:19">
      <c r="A1793" s="6" t="s">
        <v>3692</v>
      </c>
      <c r="B1793" s="7" t="s">
        <v>3693</v>
      </c>
      <c r="C1793" s="8" t="s">
        <v>4127</v>
      </c>
      <c r="D1793" s="8">
        <v>44996</v>
      </c>
      <c r="E1793" s="7">
        <v>3</v>
      </c>
      <c r="F1793" s="7">
        <v>11</v>
      </c>
      <c r="G1793" s="7">
        <v>2023</v>
      </c>
      <c r="H1793" s="8">
        <f t="shared" si="81"/>
        <v>44996</v>
      </c>
      <c r="I1793" s="11">
        <v>45024</v>
      </c>
      <c r="J1793" s="7">
        <f t="shared" si="82"/>
        <v>28</v>
      </c>
      <c r="K1793" s="7" t="s">
        <v>33</v>
      </c>
      <c r="L1793" s="7">
        <v>74609</v>
      </c>
      <c r="M1793" s="7">
        <v>793</v>
      </c>
      <c r="N1793" s="12">
        <v>598.43</v>
      </c>
      <c r="O1793" s="12">
        <f t="shared" si="83"/>
        <v>598.43</v>
      </c>
      <c r="P1793" s="7">
        <v>53</v>
      </c>
      <c r="Q1793" s="7" t="b">
        <v>1</v>
      </c>
      <c r="R1793" s="7"/>
      <c r="S1793" s="15" t="s">
        <v>34</v>
      </c>
    </row>
    <row r="1794" spans="1:19">
      <c r="A1794" s="3" t="s">
        <v>3694</v>
      </c>
      <c r="B1794" s="4" t="s">
        <v>3695</v>
      </c>
      <c r="C1794" s="5" t="s">
        <v>4128</v>
      </c>
      <c r="D1794" s="5">
        <v>45129</v>
      </c>
      <c r="E1794" s="4">
        <v>7</v>
      </c>
      <c r="F1794" s="4">
        <v>22</v>
      </c>
      <c r="G1794" s="4">
        <v>2023</v>
      </c>
      <c r="H1794" s="5">
        <f t="shared" ref="H1794:H1857" si="84">IF(E1794&gt;12,DATE(G1794,F1794,E1794),D1794)</f>
        <v>45129</v>
      </c>
      <c r="I1794" s="9">
        <v>45143</v>
      </c>
      <c r="J1794" s="4">
        <f t="shared" ref="J1794:J1857" si="85">DATEDIF(H1794,I1794,"D")</f>
        <v>14</v>
      </c>
      <c r="K1794" s="4" t="s">
        <v>138</v>
      </c>
      <c r="L1794" s="4">
        <v>10077</v>
      </c>
      <c r="M1794" s="4">
        <v>131</v>
      </c>
      <c r="N1794" s="10">
        <v>84.29</v>
      </c>
      <c r="O1794" s="10">
        <f t="shared" si="83"/>
        <v>84.29</v>
      </c>
      <c r="P1794" s="4">
        <v>21</v>
      </c>
      <c r="Q1794" s="4" t="b">
        <v>0</v>
      </c>
      <c r="R1794" s="4"/>
      <c r="S1794" s="14" t="s">
        <v>139</v>
      </c>
    </row>
    <row r="1795" spans="1:19">
      <c r="A1795" s="6" t="s">
        <v>3696</v>
      </c>
      <c r="B1795" s="7" t="s">
        <v>3697</v>
      </c>
      <c r="C1795" s="8" t="s">
        <v>4127</v>
      </c>
      <c r="D1795" s="8">
        <v>45242</v>
      </c>
      <c r="E1795" s="7">
        <v>11</v>
      </c>
      <c r="F1795" s="7">
        <v>12</v>
      </c>
      <c r="G1795" s="7">
        <v>2023</v>
      </c>
      <c r="H1795" s="8">
        <f t="shared" si="84"/>
        <v>45242</v>
      </c>
      <c r="I1795" s="11">
        <v>45245</v>
      </c>
      <c r="J1795" s="7">
        <f t="shared" si="85"/>
        <v>3</v>
      </c>
      <c r="K1795" s="7" t="s">
        <v>19</v>
      </c>
      <c r="L1795" s="7">
        <v>21953</v>
      </c>
      <c r="M1795" s="7">
        <v>1019</v>
      </c>
      <c r="N1795" s="12">
        <v>1150.15</v>
      </c>
      <c r="O1795" s="12">
        <f t="shared" ref="O1795:O1858" si="86">IF(N1795&lt;$V$6,$V$6,IF(N1795&gt;$V$7,$V$7,N1795))</f>
        <v>1150.15</v>
      </c>
      <c r="P1795" s="7">
        <v>126</v>
      </c>
      <c r="Q1795" s="7" t="b">
        <v>1</v>
      </c>
      <c r="R1795" s="7"/>
      <c r="S1795" s="15" t="s">
        <v>20</v>
      </c>
    </row>
    <row r="1796" spans="1:19">
      <c r="A1796" s="3" t="s">
        <v>3698</v>
      </c>
      <c r="B1796" s="4" t="s">
        <v>3699</v>
      </c>
      <c r="C1796" s="5" t="s">
        <v>4129</v>
      </c>
      <c r="D1796" s="5">
        <v>45051</v>
      </c>
      <c r="E1796" s="4">
        <v>5</v>
      </c>
      <c r="F1796" s="4">
        <v>5</v>
      </c>
      <c r="G1796" s="4">
        <v>2023</v>
      </c>
      <c r="H1796" s="5">
        <f t="shared" si="84"/>
        <v>45051</v>
      </c>
      <c r="I1796" s="9">
        <v>45071</v>
      </c>
      <c r="J1796" s="4">
        <f t="shared" si="85"/>
        <v>20</v>
      </c>
      <c r="K1796" s="4" t="s">
        <v>14</v>
      </c>
      <c r="L1796" s="4">
        <v>77919</v>
      </c>
      <c r="M1796" s="4">
        <v>1885</v>
      </c>
      <c r="N1796" s="10">
        <v>1262.85</v>
      </c>
      <c r="O1796" s="10">
        <f t="shared" si="86"/>
        <v>1262.85</v>
      </c>
      <c r="P1796" s="4">
        <v>316</v>
      </c>
      <c r="Q1796" s="4" t="b">
        <v>1</v>
      </c>
      <c r="R1796" s="4"/>
      <c r="S1796" s="14" t="s">
        <v>16</v>
      </c>
    </row>
    <row r="1797" spans="1:19">
      <c r="A1797" s="6" t="s">
        <v>3700</v>
      </c>
      <c r="B1797" s="7" t="s">
        <v>3701</v>
      </c>
      <c r="C1797" s="8" t="s">
        <v>4127</v>
      </c>
      <c r="D1797" s="8">
        <v>45147</v>
      </c>
      <c r="E1797" s="7">
        <v>8</v>
      </c>
      <c r="F1797" s="7">
        <v>9</v>
      </c>
      <c r="G1797" s="7">
        <v>2023</v>
      </c>
      <c r="H1797" s="8">
        <f t="shared" si="84"/>
        <v>45147</v>
      </c>
      <c r="I1797" s="11">
        <v>45157</v>
      </c>
      <c r="J1797" s="7">
        <f t="shared" si="85"/>
        <v>10</v>
      </c>
      <c r="K1797" s="7" t="s">
        <v>19</v>
      </c>
      <c r="L1797" s="7">
        <v>68889</v>
      </c>
      <c r="M1797" s="7">
        <v>1859</v>
      </c>
      <c r="N1797" s="12">
        <v>1408.88</v>
      </c>
      <c r="O1797" s="12">
        <f t="shared" si="86"/>
        <v>1408.88</v>
      </c>
      <c r="P1797" s="7">
        <v>255</v>
      </c>
      <c r="Q1797" s="7" t="b">
        <v>0</v>
      </c>
      <c r="R1797" s="7"/>
      <c r="S1797" s="15" t="s">
        <v>20</v>
      </c>
    </row>
    <row r="1798" spans="1:19">
      <c r="A1798" s="3" t="s">
        <v>3702</v>
      </c>
      <c r="B1798" s="4" t="s">
        <v>3703</v>
      </c>
      <c r="C1798" s="5" t="s">
        <v>4128</v>
      </c>
      <c r="D1798" s="5">
        <v>44972</v>
      </c>
      <c r="E1798" s="4">
        <v>2</v>
      </c>
      <c r="F1798" s="4">
        <v>15</v>
      </c>
      <c r="G1798" s="4">
        <v>2023</v>
      </c>
      <c r="H1798" s="5">
        <f t="shared" si="84"/>
        <v>44972</v>
      </c>
      <c r="I1798" s="9">
        <v>44984</v>
      </c>
      <c r="J1798" s="4">
        <f t="shared" si="85"/>
        <v>12</v>
      </c>
      <c r="K1798" s="4" t="s">
        <v>33</v>
      </c>
      <c r="L1798" s="4">
        <v>24821</v>
      </c>
      <c r="M1798" s="4">
        <v>462</v>
      </c>
      <c r="N1798" s="10">
        <v>610.3</v>
      </c>
      <c r="O1798" s="10">
        <f t="shared" si="86"/>
        <v>610.3</v>
      </c>
      <c r="P1798" s="4">
        <v>0</v>
      </c>
      <c r="Q1798" s="4" t="b">
        <v>1</v>
      </c>
      <c r="R1798" s="4"/>
      <c r="S1798" s="14" t="s">
        <v>34</v>
      </c>
    </row>
    <row r="1799" spans="1:19">
      <c r="A1799" s="6" t="s">
        <v>3704</v>
      </c>
      <c r="B1799" s="7" t="s">
        <v>3705</v>
      </c>
      <c r="C1799" s="8" t="s">
        <v>4127</v>
      </c>
      <c r="D1799" s="8">
        <v>45114</v>
      </c>
      <c r="E1799" s="7">
        <v>7</v>
      </c>
      <c r="F1799" s="7">
        <v>7</v>
      </c>
      <c r="G1799" s="7">
        <v>2023</v>
      </c>
      <c r="H1799" s="8">
        <f t="shared" si="84"/>
        <v>45114</v>
      </c>
      <c r="I1799" s="11">
        <v>45141</v>
      </c>
      <c r="J1799" s="7">
        <f t="shared" si="85"/>
        <v>27</v>
      </c>
      <c r="K1799" s="7" t="s">
        <v>19</v>
      </c>
      <c r="L1799" s="7">
        <v>38567</v>
      </c>
      <c r="M1799" s="7">
        <v>1306</v>
      </c>
      <c r="N1799" s="12">
        <v>975.45</v>
      </c>
      <c r="O1799" s="12">
        <f t="shared" si="86"/>
        <v>975.45</v>
      </c>
      <c r="P1799" s="7">
        <v>215</v>
      </c>
      <c r="Q1799" s="7" t="b">
        <v>1</v>
      </c>
      <c r="R1799" s="7"/>
      <c r="S1799" s="15" t="s">
        <v>20</v>
      </c>
    </row>
    <row r="1800" spans="1:19">
      <c r="A1800" s="3" t="s">
        <v>3706</v>
      </c>
      <c r="B1800" s="4" t="s">
        <v>3707</v>
      </c>
      <c r="C1800" s="5" t="s">
        <v>4127</v>
      </c>
      <c r="D1800" s="5">
        <v>45231</v>
      </c>
      <c r="E1800" s="4">
        <v>11</v>
      </c>
      <c r="F1800" s="4">
        <v>1</v>
      </c>
      <c r="G1800" s="4">
        <v>2023</v>
      </c>
      <c r="H1800" s="5">
        <f t="shared" si="84"/>
        <v>45231</v>
      </c>
      <c r="I1800" s="9">
        <v>45248</v>
      </c>
      <c r="J1800" s="4">
        <f t="shared" si="85"/>
        <v>17</v>
      </c>
      <c r="K1800" s="4" t="s">
        <v>14</v>
      </c>
      <c r="L1800" s="4">
        <v>25860</v>
      </c>
      <c r="M1800" s="4">
        <v>873</v>
      </c>
      <c r="N1800" s="10">
        <v>520.15</v>
      </c>
      <c r="O1800" s="10">
        <f t="shared" si="86"/>
        <v>520.15</v>
      </c>
      <c r="P1800" s="4">
        <v>52</v>
      </c>
      <c r="Q1800" s="4" t="b">
        <v>1</v>
      </c>
      <c r="R1800" s="4"/>
      <c r="S1800" s="14" t="s">
        <v>16</v>
      </c>
    </row>
    <row r="1801" spans="1:19">
      <c r="A1801" s="6" t="s">
        <v>3708</v>
      </c>
      <c r="B1801" s="7" t="s">
        <v>3709</v>
      </c>
      <c r="C1801" s="8" t="s">
        <v>4129</v>
      </c>
      <c r="D1801" s="8">
        <v>45013</v>
      </c>
      <c r="E1801" s="7">
        <v>3</v>
      </c>
      <c r="F1801" s="7">
        <v>28</v>
      </c>
      <c r="G1801" s="7">
        <v>2023</v>
      </c>
      <c r="H1801" s="8">
        <f t="shared" si="84"/>
        <v>45013</v>
      </c>
      <c r="I1801" s="11">
        <v>45031</v>
      </c>
      <c r="J1801" s="7">
        <f t="shared" si="85"/>
        <v>18</v>
      </c>
      <c r="K1801" s="7" t="s">
        <v>415</v>
      </c>
      <c r="L1801" s="7">
        <v>22195</v>
      </c>
      <c r="M1801" s="7">
        <v>552</v>
      </c>
      <c r="N1801" s="12">
        <v>538.8</v>
      </c>
      <c r="O1801" s="12">
        <f t="shared" si="86"/>
        <v>538.8</v>
      </c>
      <c r="P1801" s="7">
        <v>0</v>
      </c>
      <c r="Q1801" s="7" t="b">
        <v>1</v>
      </c>
      <c r="R1801" s="7"/>
      <c r="S1801" s="15" t="s">
        <v>34</v>
      </c>
    </row>
    <row r="1802" spans="1:19">
      <c r="A1802" s="3" t="s">
        <v>3710</v>
      </c>
      <c r="B1802" s="4" t="s">
        <v>3711</v>
      </c>
      <c r="C1802" s="5" t="s">
        <v>4127</v>
      </c>
      <c r="D1802" s="5">
        <v>45153</v>
      </c>
      <c r="E1802" s="4">
        <v>8</v>
      </c>
      <c r="F1802" s="4">
        <v>15</v>
      </c>
      <c r="G1802" s="4">
        <v>2023</v>
      </c>
      <c r="H1802" s="5">
        <f t="shared" si="84"/>
        <v>45153</v>
      </c>
      <c r="I1802" s="9">
        <v>45169</v>
      </c>
      <c r="J1802" s="4">
        <f t="shared" si="85"/>
        <v>16</v>
      </c>
      <c r="K1802" s="4" t="s">
        <v>23</v>
      </c>
      <c r="L1802" s="4">
        <v>78475</v>
      </c>
      <c r="M1802" s="4">
        <v>1830</v>
      </c>
      <c r="N1802" s="10">
        <v>1519.78</v>
      </c>
      <c r="O1802" s="10">
        <f t="shared" si="86"/>
        <v>1519.78</v>
      </c>
      <c r="P1802" s="4">
        <v>138</v>
      </c>
      <c r="Q1802" s="4" t="b">
        <v>1</v>
      </c>
      <c r="R1802" s="4"/>
      <c r="S1802" s="14" t="s">
        <v>25</v>
      </c>
    </row>
    <row r="1803" spans="1:19">
      <c r="A1803" s="6" t="s">
        <v>3712</v>
      </c>
      <c r="B1803" s="7" t="s">
        <v>3713</v>
      </c>
      <c r="C1803" s="8" t="s">
        <v>4128</v>
      </c>
      <c r="D1803" s="8">
        <v>45046</v>
      </c>
      <c r="E1803" s="7">
        <v>4</v>
      </c>
      <c r="F1803" s="7">
        <v>30</v>
      </c>
      <c r="G1803" s="7">
        <v>2023</v>
      </c>
      <c r="H1803" s="8">
        <f t="shared" si="84"/>
        <v>45046</v>
      </c>
      <c r="I1803" s="11">
        <v>45041</v>
      </c>
      <c r="J1803" s="7">
        <f t="shared" si="85"/>
        <v>-5</v>
      </c>
      <c r="K1803" s="7" t="s">
        <v>41</v>
      </c>
      <c r="L1803" s="7">
        <v>91874</v>
      </c>
      <c r="M1803" s="7">
        <v>4170</v>
      </c>
      <c r="N1803" s="12">
        <v>5308.23</v>
      </c>
      <c r="O1803" s="12">
        <f t="shared" si="86"/>
        <v>3632.575</v>
      </c>
      <c r="P1803" s="7">
        <v>679</v>
      </c>
      <c r="Q1803" s="7" t="b">
        <v>0</v>
      </c>
      <c r="R1803" s="7">
        <v>91898</v>
      </c>
      <c r="S1803" s="15" t="s">
        <v>42</v>
      </c>
    </row>
    <row r="1804" spans="1:19">
      <c r="A1804" s="3" t="s">
        <v>3714</v>
      </c>
      <c r="B1804" s="4" t="s">
        <v>3715</v>
      </c>
      <c r="C1804" s="5" t="s">
        <v>4128</v>
      </c>
      <c r="D1804" s="5">
        <v>44970</v>
      </c>
      <c r="E1804" s="4">
        <v>2</v>
      </c>
      <c r="F1804" s="4">
        <v>13</v>
      </c>
      <c r="G1804" s="4">
        <v>2023</v>
      </c>
      <c r="H1804" s="5">
        <f t="shared" si="84"/>
        <v>44970</v>
      </c>
      <c r="I1804" s="9">
        <v>45000</v>
      </c>
      <c r="J1804" s="4">
        <f t="shared" si="85"/>
        <v>30</v>
      </c>
      <c r="K1804" s="4" t="s">
        <v>23</v>
      </c>
      <c r="L1804" s="4">
        <v>88266</v>
      </c>
      <c r="M1804" s="4">
        <v>2235</v>
      </c>
      <c r="N1804" s="10">
        <v>1460.69</v>
      </c>
      <c r="O1804" s="10">
        <f t="shared" si="86"/>
        <v>1460.69</v>
      </c>
      <c r="P1804" s="4">
        <v>417</v>
      </c>
      <c r="Q1804" s="4" t="b">
        <v>1</v>
      </c>
      <c r="R1804" s="4"/>
      <c r="S1804" s="14" t="s">
        <v>25</v>
      </c>
    </row>
    <row r="1805" spans="1:19">
      <c r="A1805" s="6" t="s">
        <v>3716</v>
      </c>
      <c r="B1805" s="7" t="s">
        <v>3717</v>
      </c>
      <c r="C1805" s="8" t="s">
        <v>4128</v>
      </c>
      <c r="D1805" s="8">
        <v>45244</v>
      </c>
      <c r="E1805" s="7">
        <v>11</v>
      </c>
      <c r="F1805" s="7">
        <v>14</v>
      </c>
      <c r="G1805" s="7">
        <v>2023</v>
      </c>
      <c r="H1805" s="8">
        <f t="shared" si="84"/>
        <v>45244</v>
      </c>
      <c r="I1805" s="11">
        <v>45272</v>
      </c>
      <c r="J1805" s="7">
        <f t="shared" si="85"/>
        <v>28</v>
      </c>
      <c r="K1805" s="7" t="s">
        <v>19</v>
      </c>
      <c r="L1805" s="7">
        <v>22427</v>
      </c>
      <c r="M1805" s="7">
        <v>666</v>
      </c>
      <c r="N1805" s="12">
        <v>1084.02</v>
      </c>
      <c r="O1805" s="12">
        <f t="shared" si="86"/>
        <v>1084.02</v>
      </c>
      <c r="P1805" s="7">
        <v>88</v>
      </c>
      <c r="Q1805" s="7" t="b">
        <v>1</v>
      </c>
      <c r="R1805" s="7"/>
      <c r="S1805" s="15" t="s">
        <v>20</v>
      </c>
    </row>
    <row r="1806" spans="1:19">
      <c r="A1806" s="3" t="s">
        <v>3718</v>
      </c>
      <c r="B1806" s="4" t="s">
        <v>3719</v>
      </c>
      <c r="C1806" s="5" t="s">
        <v>4129</v>
      </c>
      <c r="D1806" s="5" t="s">
        <v>3720</v>
      </c>
      <c r="E1806" s="4">
        <v>28</v>
      </c>
      <c r="F1806" s="4">
        <v>5</v>
      </c>
      <c r="G1806" s="4">
        <v>2023</v>
      </c>
      <c r="H1806" s="5">
        <f t="shared" si="84"/>
        <v>45074</v>
      </c>
      <c r="I1806" s="9">
        <v>45102</v>
      </c>
      <c r="J1806" s="4">
        <f t="shared" si="85"/>
        <v>28</v>
      </c>
      <c r="K1806" s="4" t="s">
        <v>23</v>
      </c>
      <c r="L1806" s="4">
        <v>28083</v>
      </c>
      <c r="M1806" s="4">
        <v>599</v>
      </c>
      <c r="N1806" s="10">
        <v>1113.75</v>
      </c>
      <c r="O1806" s="10">
        <f t="shared" si="86"/>
        <v>1113.75</v>
      </c>
      <c r="P1806" s="4">
        <v>77</v>
      </c>
      <c r="Q1806" s="4" t="b">
        <v>1</v>
      </c>
      <c r="R1806" s="4"/>
      <c r="S1806" s="14" t="s">
        <v>25</v>
      </c>
    </row>
    <row r="1807" spans="1:19">
      <c r="A1807" s="6" t="s">
        <v>3721</v>
      </c>
      <c r="B1807" s="7" t="s">
        <v>3722</v>
      </c>
      <c r="C1807" s="8" t="s">
        <v>4131</v>
      </c>
      <c r="D1807" s="8">
        <v>45282</v>
      </c>
      <c r="E1807" s="7">
        <v>12</v>
      </c>
      <c r="F1807" s="7">
        <v>22</v>
      </c>
      <c r="G1807" s="7">
        <v>2023</v>
      </c>
      <c r="H1807" s="8">
        <f t="shared" si="84"/>
        <v>45282</v>
      </c>
      <c r="I1807" s="11">
        <v>45298</v>
      </c>
      <c r="J1807" s="7">
        <f t="shared" si="85"/>
        <v>16</v>
      </c>
      <c r="K1807" s="7" t="s">
        <v>19</v>
      </c>
      <c r="L1807" s="7">
        <v>88046</v>
      </c>
      <c r="M1807" s="7">
        <v>3651</v>
      </c>
      <c r="N1807" s="12">
        <v>5896.92</v>
      </c>
      <c r="O1807" s="12">
        <f t="shared" si="86"/>
        <v>3632.575</v>
      </c>
      <c r="P1807" s="7">
        <v>0</v>
      </c>
      <c r="Q1807" s="7" t="b">
        <v>1</v>
      </c>
      <c r="R1807" s="7"/>
      <c r="S1807" s="15" t="s">
        <v>20</v>
      </c>
    </row>
    <row r="1808" spans="1:19">
      <c r="A1808" s="3" t="s">
        <v>3723</v>
      </c>
      <c r="B1808" s="4" t="s">
        <v>3724</v>
      </c>
      <c r="C1808" s="5" t="s">
        <v>4127</v>
      </c>
      <c r="D1808" s="5" t="s">
        <v>3725</v>
      </c>
      <c r="E1808" s="4">
        <v>30</v>
      </c>
      <c r="F1808" s="4">
        <v>8</v>
      </c>
      <c r="G1808" s="4">
        <v>2023</v>
      </c>
      <c r="H1808" s="5">
        <f t="shared" si="84"/>
        <v>45168</v>
      </c>
      <c r="I1808" s="9">
        <v>45171</v>
      </c>
      <c r="J1808" s="4">
        <f t="shared" si="85"/>
        <v>3</v>
      </c>
      <c r="K1808" s="4" t="s">
        <v>138</v>
      </c>
      <c r="L1808" s="4">
        <v>58372</v>
      </c>
      <c r="M1808" s="4">
        <v>1511</v>
      </c>
      <c r="N1808" s="10">
        <v>1963.15</v>
      </c>
      <c r="O1808" s="10">
        <f t="shared" si="86"/>
        <v>1963.15</v>
      </c>
      <c r="P1808" s="4">
        <v>76</v>
      </c>
      <c r="Q1808" s="4" t="b">
        <v>1</v>
      </c>
      <c r="R1808" s="4"/>
      <c r="S1808" s="14" t="s">
        <v>139</v>
      </c>
    </row>
    <row r="1809" spans="1:19">
      <c r="A1809" s="6" t="s">
        <v>3726</v>
      </c>
      <c r="B1809" s="7" t="s">
        <v>3727</v>
      </c>
      <c r="C1809" s="8" t="s">
        <v>4131</v>
      </c>
      <c r="D1809" s="8">
        <v>45034</v>
      </c>
      <c r="E1809" s="7">
        <v>4</v>
      </c>
      <c r="F1809" s="7">
        <v>18</v>
      </c>
      <c r="G1809" s="7">
        <v>2023</v>
      </c>
      <c r="H1809" s="8">
        <f t="shared" si="84"/>
        <v>45034</v>
      </c>
      <c r="I1809" s="11">
        <v>45046</v>
      </c>
      <c r="J1809" s="7">
        <f t="shared" si="85"/>
        <v>12</v>
      </c>
      <c r="K1809" s="7" t="s">
        <v>41</v>
      </c>
      <c r="L1809" s="7">
        <v>45064</v>
      </c>
      <c r="M1809" s="7">
        <v>1376</v>
      </c>
      <c r="N1809" s="12">
        <v>2464.42</v>
      </c>
      <c r="O1809" s="12">
        <f t="shared" si="86"/>
        <v>2464.42</v>
      </c>
      <c r="P1809" s="7">
        <v>258</v>
      </c>
      <c r="Q1809" s="7" t="b">
        <v>0</v>
      </c>
      <c r="R1809" s="7"/>
      <c r="S1809" s="15" t="s">
        <v>42</v>
      </c>
    </row>
    <row r="1810" spans="1:19">
      <c r="A1810" s="3" t="s">
        <v>3728</v>
      </c>
      <c r="B1810" s="4" t="s">
        <v>3729</v>
      </c>
      <c r="C1810" s="5" t="s">
        <v>4129</v>
      </c>
      <c r="D1810" s="5">
        <v>45206</v>
      </c>
      <c r="E1810" s="4">
        <v>10</v>
      </c>
      <c r="F1810" s="4">
        <v>7</v>
      </c>
      <c r="G1810" s="4">
        <v>2023</v>
      </c>
      <c r="H1810" s="5">
        <f t="shared" si="84"/>
        <v>45206</v>
      </c>
      <c r="I1810" s="9">
        <v>45217</v>
      </c>
      <c r="J1810" s="4">
        <f t="shared" si="85"/>
        <v>11</v>
      </c>
      <c r="K1810" s="4" t="s">
        <v>19</v>
      </c>
      <c r="L1810" s="4">
        <v>8813</v>
      </c>
      <c r="M1810" s="4">
        <v>177</v>
      </c>
      <c r="N1810" s="10">
        <v>273</v>
      </c>
      <c r="O1810" s="10">
        <f t="shared" si="86"/>
        <v>273</v>
      </c>
      <c r="P1810" s="4">
        <v>14</v>
      </c>
      <c r="Q1810" s="4" t="b">
        <v>1</v>
      </c>
      <c r="R1810" s="4"/>
      <c r="S1810" s="14" t="s">
        <v>20</v>
      </c>
    </row>
    <row r="1811" spans="1:19">
      <c r="A1811" s="6" t="s">
        <v>3730</v>
      </c>
      <c r="B1811" s="7" t="s">
        <v>3731</v>
      </c>
      <c r="C1811" s="8" t="s">
        <v>4128</v>
      </c>
      <c r="D1811" s="8">
        <v>45174</v>
      </c>
      <c r="E1811" s="7">
        <v>9</v>
      </c>
      <c r="F1811" s="7">
        <v>5</v>
      </c>
      <c r="G1811" s="7">
        <v>2023</v>
      </c>
      <c r="H1811" s="8">
        <f t="shared" si="84"/>
        <v>45174</v>
      </c>
      <c r="I1811" s="11">
        <v>45181</v>
      </c>
      <c r="J1811" s="7">
        <f t="shared" si="85"/>
        <v>7</v>
      </c>
      <c r="K1811" s="7" t="s">
        <v>33</v>
      </c>
      <c r="L1811" s="7">
        <v>32598</v>
      </c>
      <c r="M1811" s="7">
        <v>1613</v>
      </c>
      <c r="N1811" s="12">
        <v>832.03</v>
      </c>
      <c r="O1811" s="12">
        <f t="shared" si="86"/>
        <v>832.03</v>
      </c>
      <c r="P1811" s="7">
        <v>318</v>
      </c>
      <c r="Q1811" s="7" t="b">
        <v>1</v>
      </c>
      <c r="R1811" s="7"/>
      <c r="S1811" s="15" t="s">
        <v>34</v>
      </c>
    </row>
    <row r="1812" spans="1:19">
      <c r="A1812" s="3" t="s">
        <v>3732</v>
      </c>
      <c r="B1812" s="4" t="s">
        <v>3733</v>
      </c>
      <c r="C1812" s="5" t="s">
        <v>4127</v>
      </c>
      <c r="D1812" s="5">
        <v>45282</v>
      </c>
      <c r="E1812" s="4">
        <v>12</v>
      </c>
      <c r="F1812" s="4">
        <v>22</v>
      </c>
      <c r="G1812" s="4">
        <v>2023</v>
      </c>
      <c r="H1812" s="5">
        <f t="shared" si="84"/>
        <v>45282</v>
      </c>
      <c r="I1812" s="9">
        <v>45292</v>
      </c>
      <c r="J1812" s="4">
        <f t="shared" si="85"/>
        <v>10</v>
      </c>
      <c r="K1812" s="4" t="s">
        <v>19</v>
      </c>
      <c r="L1812" s="4">
        <v>94106</v>
      </c>
      <c r="M1812" s="4">
        <v>2038</v>
      </c>
      <c r="N1812" s="10">
        <v>2223.73</v>
      </c>
      <c r="O1812" s="10">
        <f t="shared" si="86"/>
        <v>2223.73</v>
      </c>
      <c r="P1812" s="4">
        <v>326</v>
      </c>
      <c r="Q1812" s="4" t="b">
        <v>1</v>
      </c>
      <c r="R1812" s="4"/>
      <c r="S1812" s="14" t="s">
        <v>20</v>
      </c>
    </row>
    <row r="1813" spans="1:19">
      <c r="A1813" s="6" t="s">
        <v>3734</v>
      </c>
      <c r="B1813" s="7" t="s">
        <v>3735</v>
      </c>
      <c r="C1813" s="8" t="s">
        <v>4128</v>
      </c>
      <c r="D1813" s="8">
        <v>45225</v>
      </c>
      <c r="E1813" s="7">
        <v>10</v>
      </c>
      <c r="F1813" s="7">
        <v>26</v>
      </c>
      <c r="G1813" s="7">
        <v>2023</v>
      </c>
      <c r="H1813" s="8">
        <f t="shared" si="84"/>
        <v>45225</v>
      </c>
      <c r="I1813" s="11">
        <v>45255</v>
      </c>
      <c r="J1813" s="7">
        <f t="shared" si="85"/>
        <v>30</v>
      </c>
      <c r="K1813" s="7" t="s">
        <v>14</v>
      </c>
      <c r="L1813" s="7">
        <v>28082</v>
      </c>
      <c r="M1813" s="7">
        <v>1146</v>
      </c>
      <c r="N1813" s="12">
        <v>2035.79</v>
      </c>
      <c r="O1813" s="12">
        <f t="shared" si="86"/>
        <v>2035.79</v>
      </c>
      <c r="P1813" s="7">
        <v>190</v>
      </c>
      <c r="Q1813" s="7" t="b">
        <v>0</v>
      </c>
      <c r="R1813" s="7"/>
      <c r="S1813" s="15" t="s">
        <v>16</v>
      </c>
    </row>
    <row r="1814" spans="1:19">
      <c r="A1814" s="3" t="s">
        <v>3736</v>
      </c>
      <c r="B1814" s="4" t="s">
        <v>3737</v>
      </c>
      <c r="C1814" s="5" t="s">
        <v>4131</v>
      </c>
      <c r="D1814" s="5">
        <v>45057</v>
      </c>
      <c r="E1814" s="4">
        <v>5</v>
      </c>
      <c r="F1814" s="4">
        <v>11</v>
      </c>
      <c r="G1814" s="4">
        <v>2023</v>
      </c>
      <c r="H1814" s="5">
        <f t="shared" si="84"/>
        <v>45057</v>
      </c>
      <c r="I1814" s="9">
        <v>45074</v>
      </c>
      <c r="J1814" s="4">
        <f t="shared" si="85"/>
        <v>17</v>
      </c>
      <c r="K1814" s="4" t="s">
        <v>23</v>
      </c>
      <c r="L1814" s="4">
        <v>30241</v>
      </c>
      <c r="M1814" s="4">
        <v>819</v>
      </c>
      <c r="N1814" s="10">
        <v>834.39</v>
      </c>
      <c r="O1814" s="10">
        <f t="shared" si="86"/>
        <v>834.39</v>
      </c>
      <c r="P1814" s="4">
        <v>121</v>
      </c>
      <c r="Q1814" s="4" t="b">
        <v>1</v>
      </c>
      <c r="R1814" s="4"/>
      <c r="S1814" s="14" t="s">
        <v>25</v>
      </c>
    </row>
    <row r="1815" spans="1:19">
      <c r="A1815" s="6" t="s">
        <v>3738</v>
      </c>
      <c r="B1815" s="7" t="s">
        <v>3739</v>
      </c>
      <c r="C1815" s="8" t="s">
        <v>4129</v>
      </c>
      <c r="D1815" s="8">
        <v>45283</v>
      </c>
      <c r="E1815" s="7">
        <v>12</v>
      </c>
      <c r="F1815" s="7">
        <v>23</v>
      </c>
      <c r="G1815" s="7">
        <v>2023</v>
      </c>
      <c r="H1815" s="8">
        <f t="shared" si="84"/>
        <v>45283</v>
      </c>
      <c r="I1815" s="11">
        <v>45289</v>
      </c>
      <c r="J1815" s="7">
        <f t="shared" si="85"/>
        <v>6</v>
      </c>
      <c r="K1815" s="7" t="s">
        <v>33</v>
      </c>
      <c r="L1815" s="7">
        <v>97214</v>
      </c>
      <c r="M1815" s="7">
        <v>1774</v>
      </c>
      <c r="N1815" s="12">
        <v>980.71</v>
      </c>
      <c r="O1815" s="12">
        <f t="shared" si="86"/>
        <v>980.71</v>
      </c>
      <c r="P1815" s="7">
        <v>214</v>
      </c>
      <c r="Q1815" s="7" t="b">
        <v>0</v>
      </c>
      <c r="R1815" s="7"/>
      <c r="S1815" s="15" t="s">
        <v>68</v>
      </c>
    </row>
    <row r="1816" spans="1:19">
      <c r="A1816" s="3" t="s">
        <v>3740</v>
      </c>
      <c r="B1816" s="4" t="s">
        <v>3741</v>
      </c>
      <c r="C1816" s="5" t="s">
        <v>4129</v>
      </c>
      <c r="D1816" s="5">
        <v>45262</v>
      </c>
      <c r="E1816" s="4">
        <v>12</v>
      </c>
      <c r="F1816" s="4">
        <v>2</v>
      </c>
      <c r="G1816" s="4">
        <v>2023</v>
      </c>
      <c r="H1816" s="5">
        <f t="shared" si="84"/>
        <v>45262</v>
      </c>
      <c r="I1816" s="9">
        <v>44970</v>
      </c>
      <c r="J1816" s="4">
        <f t="shared" si="85"/>
        <v>-292</v>
      </c>
      <c r="K1816" s="4" t="s">
        <v>234</v>
      </c>
      <c r="L1816" s="4">
        <v>45569</v>
      </c>
      <c r="M1816" s="4">
        <v>1913</v>
      </c>
      <c r="N1816" s="10">
        <v>3097.66</v>
      </c>
      <c r="O1816" s="10">
        <f t="shared" si="86"/>
        <v>3097.66</v>
      </c>
      <c r="P1816" s="4">
        <v>259</v>
      </c>
      <c r="Q1816" s="4" t="b">
        <v>1</v>
      </c>
      <c r="R1816" s="4"/>
      <c r="S1816" s="14" t="s">
        <v>16</v>
      </c>
    </row>
    <row r="1817" spans="1:19">
      <c r="A1817" s="6" t="s">
        <v>3742</v>
      </c>
      <c r="B1817" s="7" t="s">
        <v>3743</v>
      </c>
      <c r="C1817" s="8" t="s">
        <v>4128</v>
      </c>
      <c r="D1817" s="8">
        <v>45265</v>
      </c>
      <c r="E1817" s="7">
        <v>12</v>
      </c>
      <c r="F1817" s="7">
        <v>5</v>
      </c>
      <c r="G1817" s="7">
        <v>2023</v>
      </c>
      <c r="H1817" s="8">
        <f t="shared" si="84"/>
        <v>45265</v>
      </c>
      <c r="I1817" s="11">
        <v>45269</v>
      </c>
      <c r="J1817" s="7">
        <f t="shared" si="85"/>
        <v>4</v>
      </c>
      <c r="K1817" s="7" t="s">
        <v>41</v>
      </c>
      <c r="L1817" s="7">
        <v>12745</v>
      </c>
      <c r="M1817" s="7">
        <v>297</v>
      </c>
      <c r="N1817" s="12">
        <v>505.81</v>
      </c>
      <c r="O1817" s="12">
        <f t="shared" si="86"/>
        <v>505.81</v>
      </c>
      <c r="P1817" s="7">
        <v>16</v>
      </c>
      <c r="Q1817" s="7" t="b">
        <v>1</v>
      </c>
      <c r="R1817" s="7"/>
      <c r="S1817" s="15" t="s">
        <v>42</v>
      </c>
    </row>
    <row r="1818" spans="1:19">
      <c r="A1818" s="3" t="s">
        <v>3744</v>
      </c>
      <c r="B1818" s="4" t="s">
        <v>3745</v>
      </c>
      <c r="C1818" s="5" t="s">
        <v>4128</v>
      </c>
      <c r="D1818" s="5">
        <v>45264</v>
      </c>
      <c r="E1818" s="4">
        <v>12</v>
      </c>
      <c r="F1818" s="4">
        <v>4</v>
      </c>
      <c r="G1818" s="4">
        <v>2023</v>
      </c>
      <c r="H1818" s="5">
        <f t="shared" si="84"/>
        <v>45264</v>
      </c>
      <c r="I1818" s="9">
        <v>45269</v>
      </c>
      <c r="J1818" s="4">
        <f t="shared" si="85"/>
        <v>5</v>
      </c>
      <c r="K1818" s="4" t="s">
        <v>14</v>
      </c>
      <c r="L1818" s="4">
        <v>27029</v>
      </c>
      <c r="M1818" s="4">
        <v>1205</v>
      </c>
      <c r="N1818" s="10">
        <v>892.77</v>
      </c>
      <c r="O1818" s="10">
        <f t="shared" si="86"/>
        <v>892.77</v>
      </c>
      <c r="P1818" s="4">
        <v>173</v>
      </c>
      <c r="Q1818" s="4" t="b">
        <v>1</v>
      </c>
      <c r="R1818" s="4"/>
      <c r="S1818" s="14" t="s">
        <v>16</v>
      </c>
    </row>
    <row r="1819" spans="1:19">
      <c r="A1819" s="6" t="s">
        <v>3746</v>
      </c>
      <c r="B1819" s="7" t="s">
        <v>3747</v>
      </c>
      <c r="C1819" s="8" t="s">
        <v>4129</v>
      </c>
      <c r="D1819" s="8">
        <v>45076</v>
      </c>
      <c r="E1819" s="7">
        <v>5</v>
      </c>
      <c r="F1819" s="7">
        <v>30</v>
      </c>
      <c r="G1819" s="7">
        <v>2023</v>
      </c>
      <c r="H1819" s="8">
        <f t="shared" si="84"/>
        <v>45076</v>
      </c>
      <c r="I1819" s="11">
        <v>45100</v>
      </c>
      <c r="J1819" s="7">
        <f t="shared" si="85"/>
        <v>24</v>
      </c>
      <c r="K1819" s="7" t="s">
        <v>41</v>
      </c>
      <c r="L1819" s="7">
        <v>14025</v>
      </c>
      <c r="M1819" s="7">
        <v>653</v>
      </c>
      <c r="N1819" s="12">
        <v>852.83</v>
      </c>
      <c r="O1819" s="12">
        <f t="shared" si="86"/>
        <v>852.83</v>
      </c>
      <c r="P1819" s="7">
        <v>93</v>
      </c>
      <c r="Q1819" s="7" t="b">
        <v>0</v>
      </c>
      <c r="R1819" s="7"/>
      <c r="S1819" s="15" t="s">
        <v>42</v>
      </c>
    </row>
    <row r="1820" spans="1:19">
      <c r="A1820" s="3" t="s">
        <v>3748</v>
      </c>
      <c r="B1820" s="4" t="s">
        <v>3749</v>
      </c>
      <c r="C1820" s="5" t="s">
        <v>4129</v>
      </c>
      <c r="D1820" s="5">
        <v>45045</v>
      </c>
      <c r="E1820" s="4">
        <v>4</v>
      </c>
      <c r="F1820" s="4">
        <v>29</v>
      </c>
      <c r="G1820" s="4">
        <v>2023</v>
      </c>
      <c r="H1820" s="5">
        <f t="shared" si="84"/>
        <v>45045</v>
      </c>
      <c r="I1820" s="9">
        <v>45068</v>
      </c>
      <c r="J1820" s="4">
        <f t="shared" si="85"/>
        <v>23</v>
      </c>
      <c r="K1820" s="4" t="s">
        <v>33</v>
      </c>
      <c r="L1820" s="4">
        <v>15288</v>
      </c>
      <c r="M1820" s="4">
        <v>678</v>
      </c>
      <c r="N1820" s="10">
        <v>534.22</v>
      </c>
      <c r="O1820" s="10">
        <f t="shared" si="86"/>
        <v>534.22</v>
      </c>
      <c r="P1820" s="4">
        <v>124</v>
      </c>
      <c r="Q1820" s="4" t="b">
        <v>0</v>
      </c>
      <c r="R1820" s="4"/>
      <c r="S1820" s="14" t="s">
        <v>34</v>
      </c>
    </row>
    <row r="1821" spans="1:19">
      <c r="A1821" s="6" t="s">
        <v>3750</v>
      </c>
      <c r="B1821" s="7" t="s">
        <v>3751</v>
      </c>
      <c r="C1821" s="8" t="s">
        <v>4131</v>
      </c>
      <c r="D1821" s="8" t="s">
        <v>3752</v>
      </c>
      <c r="E1821" s="7">
        <v>30</v>
      </c>
      <c r="F1821" s="7">
        <v>12</v>
      </c>
      <c r="G1821" s="7">
        <v>2023</v>
      </c>
      <c r="H1821" s="8">
        <f t="shared" si="84"/>
        <v>45290</v>
      </c>
      <c r="I1821" s="11">
        <v>45308</v>
      </c>
      <c r="J1821" s="7">
        <f t="shared" si="85"/>
        <v>18</v>
      </c>
      <c r="K1821" s="7" t="s">
        <v>41</v>
      </c>
      <c r="L1821" s="7">
        <v>90186</v>
      </c>
      <c r="M1821" s="7">
        <v>1028</v>
      </c>
      <c r="N1821" s="12">
        <v>1623.06</v>
      </c>
      <c r="O1821" s="12">
        <f t="shared" si="86"/>
        <v>1623.06</v>
      </c>
      <c r="P1821" s="7">
        <v>129</v>
      </c>
      <c r="Q1821" s="7" t="b">
        <v>0</v>
      </c>
      <c r="R1821" s="7">
        <v>90254</v>
      </c>
      <c r="S1821" s="15" t="s">
        <v>42</v>
      </c>
    </row>
    <row r="1822" spans="1:19">
      <c r="A1822" s="3" t="s">
        <v>3753</v>
      </c>
      <c r="B1822" s="4" t="s">
        <v>3754</v>
      </c>
      <c r="C1822" s="5" t="s">
        <v>4127</v>
      </c>
      <c r="D1822" s="5">
        <v>45088</v>
      </c>
      <c r="E1822" s="4">
        <v>6</v>
      </c>
      <c r="F1822" s="4">
        <v>11</v>
      </c>
      <c r="G1822" s="4">
        <v>2023</v>
      </c>
      <c r="H1822" s="5">
        <f t="shared" si="84"/>
        <v>45088</v>
      </c>
      <c r="I1822" s="9">
        <v>45097</v>
      </c>
      <c r="J1822" s="4">
        <f t="shared" si="85"/>
        <v>9</v>
      </c>
      <c r="K1822" s="4" t="s">
        <v>14</v>
      </c>
      <c r="L1822" s="4">
        <v>7540</v>
      </c>
      <c r="M1822" s="4">
        <v>312</v>
      </c>
      <c r="N1822" s="10">
        <v>283.09</v>
      </c>
      <c r="O1822" s="10">
        <f t="shared" si="86"/>
        <v>283.09</v>
      </c>
      <c r="P1822" s="4">
        <v>0</v>
      </c>
      <c r="Q1822" s="4" t="b">
        <v>1</v>
      </c>
      <c r="R1822" s="4"/>
      <c r="S1822" s="14" t="s">
        <v>16</v>
      </c>
    </row>
    <row r="1823" spans="1:19">
      <c r="A1823" s="6" t="s">
        <v>3755</v>
      </c>
      <c r="B1823" s="7" t="s">
        <v>3756</v>
      </c>
      <c r="C1823" s="8" t="s">
        <v>4128</v>
      </c>
      <c r="D1823" s="8">
        <v>44972</v>
      </c>
      <c r="E1823" s="7">
        <v>2</v>
      </c>
      <c r="F1823" s="7">
        <v>15</v>
      </c>
      <c r="G1823" s="7">
        <v>2023</v>
      </c>
      <c r="H1823" s="8">
        <f t="shared" si="84"/>
        <v>44972</v>
      </c>
      <c r="I1823" s="11">
        <v>44974</v>
      </c>
      <c r="J1823" s="7">
        <f t="shared" si="85"/>
        <v>2</v>
      </c>
      <c r="K1823" s="7" t="s">
        <v>14</v>
      </c>
      <c r="L1823" s="7">
        <v>98768</v>
      </c>
      <c r="M1823" s="7">
        <v>2612</v>
      </c>
      <c r="N1823" s="12">
        <v>2544.93</v>
      </c>
      <c r="O1823" s="12">
        <f t="shared" si="86"/>
        <v>2544.93</v>
      </c>
      <c r="P1823" s="7">
        <v>250</v>
      </c>
      <c r="Q1823" s="7" t="b">
        <v>1</v>
      </c>
      <c r="R1823" s="7"/>
      <c r="S1823" s="15" t="s">
        <v>16</v>
      </c>
    </row>
    <row r="1824" spans="1:19">
      <c r="A1824" s="3" t="s">
        <v>3757</v>
      </c>
      <c r="B1824" s="4" t="s">
        <v>3758</v>
      </c>
      <c r="C1824" s="5" t="s">
        <v>4129</v>
      </c>
      <c r="D1824" s="5">
        <v>45161</v>
      </c>
      <c r="E1824" s="4">
        <v>8</v>
      </c>
      <c r="F1824" s="4">
        <v>23</v>
      </c>
      <c r="G1824" s="4">
        <v>2023</v>
      </c>
      <c r="H1824" s="5">
        <f t="shared" si="84"/>
        <v>45161</v>
      </c>
      <c r="I1824" s="9">
        <v>45162</v>
      </c>
      <c r="J1824" s="4">
        <f t="shared" si="85"/>
        <v>1</v>
      </c>
      <c r="K1824" s="4" t="s">
        <v>41</v>
      </c>
      <c r="L1824" s="4">
        <v>82958</v>
      </c>
      <c r="M1824" s="4">
        <v>3728</v>
      </c>
      <c r="N1824" s="10">
        <v>6589.08</v>
      </c>
      <c r="O1824" s="10">
        <f t="shared" si="86"/>
        <v>3632.575</v>
      </c>
      <c r="P1824" s="4">
        <v>553</v>
      </c>
      <c r="Q1824" s="4" t="b">
        <v>1</v>
      </c>
      <c r="R1824" s="4"/>
      <c r="S1824" s="14" t="s">
        <v>42</v>
      </c>
    </row>
    <row r="1825" spans="1:19">
      <c r="A1825" s="6" t="s">
        <v>3759</v>
      </c>
      <c r="B1825" s="7" t="s">
        <v>3760</v>
      </c>
      <c r="C1825" s="8" t="s">
        <v>4131</v>
      </c>
      <c r="D1825" s="8">
        <v>44947</v>
      </c>
      <c r="E1825" s="7">
        <v>1</v>
      </c>
      <c r="F1825" s="7">
        <v>21</v>
      </c>
      <c r="G1825" s="7">
        <v>2023</v>
      </c>
      <c r="H1825" s="8">
        <f t="shared" si="84"/>
        <v>44947</v>
      </c>
      <c r="I1825" s="11">
        <v>44964</v>
      </c>
      <c r="J1825" s="7">
        <f t="shared" si="85"/>
        <v>17</v>
      </c>
      <c r="K1825" s="7" t="s">
        <v>19</v>
      </c>
      <c r="L1825" s="7">
        <v>69878</v>
      </c>
      <c r="M1825" s="7">
        <v>2481</v>
      </c>
      <c r="N1825" s="12">
        <v>3013.13</v>
      </c>
      <c r="O1825" s="12">
        <f t="shared" si="86"/>
        <v>3013.13</v>
      </c>
      <c r="P1825" s="7">
        <v>213</v>
      </c>
      <c r="Q1825" s="7" t="b">
        <v>1</v>
      </c>
      <c r="R1825" s="7"/>
      <c r="S1825" s="15" t="s">
        <v>20</v>
      </c>
    </row>
    <row r="1826" spans="1:19">
      <c r="A1826" s="3" t="s">
        <v>3761</v>
      </c>
      <c r="B1826" s="4" t="s">
        <v>3762</v>
      </c>
      <c r="C1826" s="5" t="s">
        <v>4129</v>
      </c>
      <c r="D1826" s="5">
        <v>45097</v>
      </c>
      <c r="E1826" s="4">
        <v>6</v>
      </c>
      <c r="F1826" s="4">
        <v>20</v>
      </c>
      <c r="G1826" s="4">
        <v>2023</v>
      </c>
      <c r="H1826" s="5">
        <f t="shared" si="84"/>
        <v>45097</v>
      </c>
      <c r="I1826" s="9">
        <v>45104</v>
      </c>
      <c r="J1826" s="4">
        <f t="shared" si="85"/>
        <v>7</v>
      </c>
      <c r="K1826" s="4" t="s">
        <v>33</v>
      </c>
      <c r="L1826" s="4">
        <v>42846</v>
      </c>
      <c r="M1826" s="4">
        <v>1857</v>
      </c>
      <c r="N1826" s="10">
        <v>2794.1</v>
      </c>
      <c r="O1826" s="10">
        <f t="shared" si="86"/>
        <v>2794.1</v>
      </c>
      <c r="P1826" s="4">
        <v>170</v>
      </c>
      <c r="Q1826" s="4" t="b">
        <v>0</v>
      </c>
      <c r="R1826" s="4"/>
      <c r="S1826" s="14" t="s">
        <v>34</v>
      </c>
    </row>
    <row r="1827" spans="1:19">
      <c r="A1827" s="6" t="s">
        <v>3763</v>
      </c>
      <c r="B1827" s="7" t="s">
        <v>3764</v>
      </c>
      <c r="C1827" s="8" t="s">
        <v>4129</v>
      </c>
      <c r="D1827" s="8">
        <v>44936</v>
      </c>
      <c r="E1827" s="7">
        <v>1</v>
      </c>
      <c r="F1827" s="7">
        <v>10</v>
      </c>
      <c r="G1827" s="7">
        <v>2023</v>
      </c>
      <c r="H1827" s="8">
        <f t="shared" si="84"/>
        <v>44936</v>
      </c>
      <c r="I1827" s="11">
        <v>44957</v>
      </c>
      <c r="J1827" s="7">
        <f t="shared" si="85"/>
        <v>21</v>
      </c>
      <c r="K1827" s="7" t="s">
        <v>191</v>
      </c>
      <c r="L1827" s="7">
        <v>76932</v>
      </c>
      <c r="M1827" s="7">
        <v>2306</v>
      </c>
      <c r="N1827" s="12">
        <v>2544.81</v>
      </c>
      <c r="O1827" s="12">
        <f t="shared" si="86"/>
        <v>2544.81</v>
      </c>
      <c r="P1827" s="7">
        <v>399</v>
      </c>
      <c r="Q1827" s="7" t="b">
        <v>0</v>
      </c>
      <c r="R1827" s="7"/>
      <c r="S1827" s="15" t="s">
        <v>42</v>
      </c>
    </row>
    <row r="1828" spans="1:19">
      <c r="A1828" s="3" t="s">
        <v>3765</v>
      </c>
      <c r="B1828" s="4" t="s">
        <v>3766</v>
      </c>
      <c r="C1828" s="5" t="s">
        <v>4128</v>
      </c>
      <c r="D1828" s="5">
        <v>45247</v>
      </c>
      <c r="E1828" s="4">
        <v>11</v>
      </c>
      <c r="F1828" s="4">
        <v>17</v>
      </c>
      <c r="G1828" s="4">
        <v>2023</v>
      </c>
      <c r="H1828" s="5">
        <f t="shared" si="84"/>
        <v>45247</v>
      </c>
      <c r="I1828" s="9">
        <v>45264</v>
      </c>
      <c r="J1828" s="4">
        <f t="shared" si="85"/>
        <v>17</v>
      </c>
      <c r="K1828" s="4" t="s">
        <v>14</v>
      </c>
      <c r="L1828" s="4">
        <v>18482</v>
      </c>
      <c r="M1828" s="4">
        <v>580</v>
      </c>
      <c r="N1828" s="10">
        <v>549.27</v>
      </c>
      <c r="O1828" s="10">
        <f t="shared" si="86"/>
        <v>549.27</v>
      </c>
      <c r="P1828" s="4">
        <v>79</v>
      </c>
      <c r="Q1828" s="4" t="b">
        <v>1</v>
      </c>
      <c r="R1828" s="4"/>
      <c r="S1828" s="14" t="s">
        <v>16</v>
      </c>
    </row>
    <row r="1829" spans="1:19">
      <c r="A1829" s="6" t="s">
        <v>3767</v>
      </c>
      <c r="B1829" s="7" t="s">
        <v>3768</v>
      </c>
      <c r="C1829" s="8" t="s">
        <v>4127</v>
      </c>
      <c r="D1829" s="8">
        <v>45183</v>
      </c>
      <c r="E1829" s="7">
        <v>9</v>
      </c>
      <c r="F1829" s="7">
        <v>14</v>
      </c>
      <c r="G1829" s="7">
        <v>2023</v>
      </c>
      <c r="H1829" s="8">
        <f t="shared" si="84"/>
        <v>45183</v>
      </c>
      <c r="I1829" s="11">
        <v>45195</v>
      </c>
      <c r="J1829" s="7">
        <f t="shared" si="85"/>
        <v>12</v>
      </c>
      <c r="K1829" s="7" t="s">
        <v>41</v>
      </c>
      <c r="L1829" s="7">
        <v>24411</v>
      </c>
      <c r="M1829" s="7">
        <v>385</v>
      </c>
      <c r="N1829" s="12">
        <v>553.71</v>
      </c>
      <c r="O1829" s="12">
        <f t="shared" si="86"/>
        <v>553.71</v>
      </c>
      <c r="P1829" s="7">
        <v>48</v>
      </c>
      <c r="Q1829" s="7" t="b">
        <v>0</v>
      </c>
      <c r="R1829" s="7"/>
      <c r="S1829" s="15" t="s">
        <v>42</v>
      </c>
    </row>
    <row r="1830" spans="1:19">
      <c r="A1830" s="3" t="s">
        <v>3769</v>
      </c>
      <c r="B1830" s="4" t="s">
        <v>3770</v>
      </c>
      <c r="C1830" s="5" t="s">
        <v>4127</v>
      </c>
      <c r="D1830" s="5">
        <v>45058</v>
      </c>
      <c r="E1830" s="4">
        <v>5</v>
      </c>
      <c r="F1830" s="4">
        <v>12</v>
      </c>
      <c r="G1830" s="4">
        <v>2023</v>
      </c>
      <c r="H1830" s="5">
        <f t="shared" si="84"/>
        <v>45058</v>
      </c>
      <c r="I1830" s="9">
        <v>45059</v>
      </c>
      <c r="J1830" s="4">
        <f t="shared" si="85"/>
        <v>1</v>
      </c>
      <c r="K1830" s="4" t="s">
        <v>33</v>
      </c>
      <c r="L1830" s="4">
        <v>51975</v>
      </c>
      <c r="M1830" s="4">
        <v>2149</v>
      </c>
      <c r="N1830" s="10">
        <v>1573.68</v>
      </c>
      <c r="O1830" s="10">
        <f t="shared" si="86"/>
        <v>1573.68</v>
      </c>
      <c r="P1830" s="4">
        <v>210</v>
      </c>
      <c r="Q1830" s="4" t="b">
        <v>0</v>
      </c>
      <c r="R1830" s="4"/>
      <c r="S1830" s="14" t="s">
        <v>34</v>
      </c>
    </row>
    <row r="1831" spans="1:19">
      <c r="A1831" s="6" t="s">
        <v>3771</v>
      </c>
      <c r="B1831" s="7" t="s">
        <v>3772</v>
      </c>
      <c r="C1831" s="8" t="s">
        <v>4127</v>
      </c>
      <c r="D1831" s="8">
        <v>44942</v>
      </c>
      <c r="E1831" s="7">
        <v>1</v>
      </c>
      <c r="F1831" s="7">
        <v>16</v>
      </c>
      <c r="G1831" s="7">
        <v>2023</v>
      </c>
      <c r="H1831" s="8">
        <f t="shared" si="84"/>
        <v>44942</v>
      </c>
      <c r="I1831" s="11">
        <v>44957</v>
      </c>
      <c r="J1831" s="7">
        <f t="shared" si="85"/>
        <v>15</v>
      </c>
      <c r="K1831" s="7" t="s">
        <v>14</v>
      </c>
      <c r="L1831" s="7">
        <v>61545</v>
      </c>
      <c r="M1831" s="7">
        <v>1647</v>
      </c>
      <c r="N1831" s="12">
        <v>1745</v>
      </c>
      <c r="O1831" s="12">
        <f t="shared" si="86"/>
        <v>1745</v>
      </c>
      <c r="P1831" s="7">
        <v>262</v>
      </c>
      <c r="Q1831" s="7" t="b">
        <v>1</v>
      </c>
      <c r="R1831" s="7"/>
      <c r="S1831" s="15" t="s">
        <v>68</v>
      </c>
    </row>
    <row r="1832" spans="1:19">
      <c r="A1832" s="3" t="s">
        <v>3773</v>
      </c>
      <c r="B1832" s="4" t="s">
        <v>3774</v>
      </c>
      <c r="C1832" s="5" t="s">
        <v>4127</v>
      </c>
      <c r="D1832" s="5">
        <v>45042</v>
      </c>
      <c r="E1832" s="4">
        <v>4</v>
      </c>
      <c r="F1832" s="4">
        <v>26</v>
      </c>
      <c r="G1832" s="4">
        <v>2023</v>
      </c>
      <c r="H1832" s="5">
        <f t="shared" si="84"/>
        <v>45042</v>
      </c>
      <c r="I1832" s="9">
        <v>45055</v>
      </c>
      <c r="J1832" s="4">
        <f t="shared" si="85"/>
        <v>13</v>
      </c>
      <c r="K1832" s="4" t="s">
        <v>41</v>
      </c>
      <c r="L1832" s="4">
        <v>79797</v>
      </c>
      <c r="M1832" s="4">
        <v>2394</v>
      </c>
      <c r="N1832" s="10">
        <v>1947.65</v>
      </c>
      <c r="O1832" s="10">
        <f t="shared" si="86"/>
        <v>1947.65</v>
      </c>
      <c r="P1832" s="4">
        <v>0</v>
      </c>
      <c r="Q1832" s="4" t="b">
        <v>0</v>
      </c>
      <c r="R1832" s="4"/>
      <c r="S1832" s="14" t="s">
        <v>42</v>
      </c>
    </row>
    <row r="1833" spans="1:19">
      <c r="A1833" s="6" t="s">
        <v>3775</v>
      </c>
      <c r="B1833" s="7" t="s">
        <v>3776</v>
      </c>
      <c r="C1833" s="8" t="s">
        <v>4128</v>
      </c>
      <c r="D1833" s="8">
        <v>45263</v>
      </c>
      <c r="E1833" s="7">
        <v>12</v>
      </c>
      <c r="F1833" s="7">
        <v>3</v>
      </c>
      <c r="G1833" s="7">
        <v>2023</v>
      </c>
      <c r="H1833" s="8">
        <f t="shared" si="84"/>
        <v>45263</v>
      </c>
      <c r="I1833" s="11">
        <v>45274</v>
      </c>
      <c r="J1833" s="7">
        <f t="shared" si="85"/>
        <v>11</v>
      </c>
      <c r="K1833" s="7" t="s">
        <v>14</v>
      </c>
      <c r="L1833" s="7">
        <v>53307</v>
      </c>
      <c r="M1833" s="7">
        <v>2207</v>
      </c>
      <c r="N1833" s="12">
        <v>3406.93</v>
      </c>
      <c r="O1833" s="12">
        <f t="shared" si="86"/>
        <v>3406.93</v>
      </c>
      <c r="P1833" s="7">
        <v>354</v>
      </c>
      <c r="Q1833" s="7" t="b">
        <v>0</v>
      </c>
      <c r="R1833" s="7"/>
      <c r="S1833" s="15" t="s">
        <v>16</v>
      </c>
    </row>
    <row r="1834" spans="1:19">
      <c r="A1834" s="3" t="s">
        <v>3777</v>
      </c>
      <c r="B1834" s="4" t="s">
        <v>3778</v>
      </c>
      <c r="C1834" s="5" t="s">
        <v>4128</v>
      </c>
      <c r="D1834" s="5">
        <v>45193</v>
      </c>
      <c r="E1834" s="4">
        <v>9</v>
      </c>
      <c r="F1834" s="4">
        <v>24</v>
      </c>
      <c r="G1834" s="4">
        <v>2023</v>
      </c>
      <c r="H1834" s="5">
        <f t="shared" si="84"/>
        <v>45193</v>
      </c>
      <c r="I1834" s="9">
        <v>45219</v>
      </c>
      <c r="J1834" s="4">
        <f t="shared" si="85"/>
        <v>26</v>
      </c>
      <c r="K1834" s="4" t="s">
        <v>33</v>
      </c>
      <c r="L1834" s="4">
        <v>4093</v>
      </c>
      <c r="M1834" s="4">
        <v>138</v>
      </c>
      <c r="N1834" s="10">
        <v>264.45</v>
      </c>
      <c r="O1834" s="10">
        <f t="shared" si="86"/>
        <v>264.45</v>
      </c>
      <c r="P1834" s="4">
        <v>8</v>
      </c>
      <c r="Q1834" s="4" t="b">
        <v>0</v>
      </c>
      <c r="R1834" s="4"/>
      <c r="S1834" s="14" t="s">
        <v>34</v>
      </c>
    </row>
    <row r="1835" spans="1:19">
      <c r="A1835" s="6" t="s">
        <v>3779</v>
      </c>
      <c r="B1835" s="7" t="s">
        <v>3780</v>
      </c>
      <c r="C1835" s="8" t="s">
        <v>4129</v>
      </c>
      <c r="D1835" s="8">
        <v>45247</v>
      </c>
      <c r="E1835" s="7">
        <v>11</v>
      </c>
      <c r="F1835" s="7">
        <v>17</v>
      </c>
      <c r="G1835" s="7">
        <v>2023</v>
      </c>
      <c r="H1835" s="8">
        <f t="shared" si="84"/>
        <v>45247</v>
      </c>
      <c r="I1835" s="11">
        <v>45267</v>
      </c>
      <c r="J1835" s="7">
        <f t="shared" si="85"/>
        <v>20</v>
      </c>
      <c r="K1835" s="7" t="s">
        <v>14</v>
      </c>
      <c r="L1835" s="7">
        <v>78258</v>
      </c>
      <c r="M1835" s="7">
        <v>1412</v>
      </c>
      <c r="N1835" s="12">
        <v>2814.49</v>
      </c>
      <c r="O1835" s="12">
        <f t="shared" si="86"/>
        <v>2814.49</v>
      </c>
      <c r="P1835" s="7">
        <v>253</v>
      </c>
      <c r="Q1835" s="7" t="b">
        <v>0</v>
      </c>
      <c r="R1835" s="7"/>
      <c r="S1835" s="15" t="s">
        <v>16</v>
      </c>
    </row>
    <row r="1836" spans="1:19">
      <c r="A1836" s="3" t="s">
        <v>3781</v>
      </c>
      <c r="B1836" s="4" t="s">
        <v>3782</v>
      </c>
      <c r="C1836" s="5" t="s">
        <v>4131</v>
      </c>
      <c r="D1836" s="5">
        <v>45220</v>
      </c>
      <c r="E1836" s="4">
        <v>10</v>
      </c>
      <c r="F1836" s="4">
        <v>21</v>
      </c>
      <c r="G1836" s="4">
        <v>2023</v>
      </c>
      <c r="H1836" s="5">
        <f t="shared" si="84"/>
        <v>45220</v>
      </c>
      <c r="I1836" s="9">
        <v>45235</v>
      </c>
      <c r="J1836" s="4">
        <f t="shared" si="85"/>
        <v>15</v>
      </c>
      <c r="K1836" s="4" t="s">
        <v>14</v>
      </c>
      <c r="L1836" s="4">
        <v>23042</v>
      </c>
      <c r="M1836" s="4">
        <v>774</v>
      </c>
      <c r="N1836" s="10">
        <v>909.77</v>
      </c>
      <c r="O1836" s="10">
        <f t="shared" si="86"/>
        <v>909.77</v>
      </c>
      <c r="P1836" s="4">
        <v>0</v>
      </c>
      <c r="Q1836" s="4" t="b">
        <v>1</v>
      </c>
      <c r="R1836" s="4"/>
      <c r="S1836" s="14" t="s">
        <v>16</v>
      </c>
    </row>
    <row r="1837" spans="1:19">
      <c r="A1837" s="6" t="s">
        <v>3783</v>
      </c>
      <c r="B1837" s="7" t="s">
        <v>3784</v>
      </c>
      <c r="C1837" s="8" t="s">
        <v>4128</v>
      </c>
      <c r="D1837" s="8">
        <v>45236</v>
      </c>
      <c r="E1837" s="7">
        <v>11</v>
      </c>
      <c r="F1837" s="7">
        <v>6</v>
      </c>
      <c r="G1837" s="7">
        <v>2023</v>
      </c>
      <c r="H1837" s="8">
        <f t="shared" si="84"/>
        <v>45236</v>
      </c>
      <c r="I1837" s="11">
        <v>45248</v>
      </c>
      <c r="J1837" s="7">
        <f t="shared" si="85"/>
        <v>12</v>
      </c>
      <c r="K1837" s="7" t="s">
        <v>19</v>
      </c>
      <c r="L1837" s="7">
        <v>53930</v>
      </c>
      <c r="M1837" s="7">
        <v>1418</v>
      </c>
      <c r="N1837" s="12">
        <v>1246.13</v>
      </c>
      <c r="O1837" s="12">
        <f t="shared" si="86"/>
        <v>1246.13</v>
      </c>
      <c r="P1837" s="7">
        <v>164</v>
      </c>
      <c r="Q1837" s="7" t="b">
        <v>1</v>
      </c>
      <c r="R1837" s="7"/>
      <c r="S1837" s="15" t="s">
        <v>20</v>
      </c>
    </row>
    <row r="1838" spans="1:19">
      <c r="A1838" s="3" t="s">
        <v>3785</v>
      </c>
      <c r="B1838" s="4" t="s">
        <v>3786</v>
      </c>
      <c r="C1838" s="5" t="s">
        <v>4129</v>
      </c>
      <c r="D1838" s="5">
        <v>45032</v>
      </c>
      <c r="E1838" s="4">
        <v>4</v>
      </c>
      <c r="F1838" s="4">
        <v>16</v>
      </c>
      <c r="G1838" s="4">
        <v>2023</v>
      </c>
      <c r="H1838" s="5">
        <f t="shared" si="84"/>
        <v>45032</v>
      </c>
      <c r="I1838" s="9">
        <v>45052</v>
      </c>
      <c r="J1838" s="4">
        <f t="shared" si="85"/>
        <v>20</v>
      </c>
      <c r="K1838" s="4" t="s">
        <v>33</v>
      </c>
      <c r="L1838" s="4">
        <v>45413</v>
      </c>
      <c r="M1838" s="4">
        <v>1307</v>
      </c>
      <c r="N1838" s="10">
        <v>1521.67</v>
      </c>
      <c r="O1838" s="10">
        <f t="shared" si="86"/>
        <v>1521.67</v>
      </c>
      <c r="P1838" s="4">
        <v>185</v>
      </c>
      <c r="Q1838" s="4" t="b">
        <v>1</v>
      </c>
      <c r="R1838" s="4"/>
      <c r="S1838" s="14" t="s">
        <v>34</v>
      </c>
    </row>
    <row r="1839" spans="1:19">
      <c r="A1839" s="6" t="s">
        <v>3787</v>
      </c>
      <c r="B1839" s="7" t="s">
        <v>3788</v>
      </c>
      <c r="C1839" s="8" t="s">
        <v>4131</v>
      </c>
      <c r="D1839" s="8">
        <v>45277</v>
      </c>
      <c r="E1839" s="7">
        <v>12</v>
      </c>
      <c r="F1839" s="7">
        <v>17</v>
      </c>
      <c r="G1839" s="7">
        <v>2023</v>
      </c>
      <c r="H1839" s="8">
        <f t="shared" si="84"/>
        <v>45277</v>
      </c>
      <c r="I1839" s="11">
        <v>45288</v>
      </c>
      <c r="J1839" s="7">
        <f t="shared" si="85"/>
        <v>11</v>
      </c>
      <c r="K1839" s="7" t="s">
        <v>23</v>
      </c>
      <c r="L1839" s="7">
        <v>94623</v>
      </c>
      <c r="M1839" s="7">
        <v>1053</v>
      </c>
      <c r="N1839" s="12">
        <v>1864.76</v>
      </c>
      <c r="O1839" s="12">
        <f t="shared" si="86"/>
        <v>1864.76</v>
      </c>
      <c r="P1839" s="7">
        <v>151</v>
      </c>
      <c r="Q1839" s="7" t="b">
        <v>0</v>
      </c>
      <c r="R1839" s="7"/>
      <c r="S1839" s="15" t="s">
        <v>59</v>
      </c>
    </row>
    <row r="1840" spans="1:19">
      <c r="A1840" s="3" t="s">
        <v>3789</v>
      </c>
      <c r="B1840" s="4" t="s">
        <v>3790</v>
      </c>
      <c r="C1840" s="5" t="s">
        <v>4129</v>
      </c>
      <c r="D1840" s="5">
        <v>45085</v>
      </c>
      <c r="E1840" s="4">
        <v>6</v>
      </c>
      <c r="F1840" s="4">
        <v>8</v>
      </c>
      <c r="G1840" s="4">
        <v>2023</v>
      </c>
      <c r="H1840" s="5">
        <f t="shared" si="84"/>
        <v>45085</v>
      </c>
      <c r="I1840" s="9">
        <v>45095</v>
      </c>
      <c r="J1840" s="4">
        <f t="shared" si="85"/>
        <v>10</v>
      </c>
      <c r="K1840" s="4" t="s">
        <v>33</v>
      </c>
      <c r="L1840" s="4">
        <v>98883</v>
      </c>
      <c r="M1840" s="4">
        <v>1819</v>
      </c>
      <c r="N1840" s="10">
        <v>1471.59</v>
      </c>
      <c r="O1840" s="10">
        <f t="shared" si="86"/>
        <v>1471.59</v>
      </c>
      <c r="P1840" s="4">
        <v>126</v>
      </c>
      <c r="Q1840" s="4" t="b">
        <v>1</v>
      </c>
      <c r="R1840" s="4"/>
      <c r="S1840" s="14" t="s">
        <v>34</v>
      </c>
    </row>
    <row r="1841" spans="1:19">
      <c r="A1841" s="6" t="s">
        <v>3791</v>
      </c>
      <c r="B1841" s="7" t="s">
        <v>3792</v>
      </c>
      <c r="C1841" s="8" t="s">
        <v>4129</v>
      </c>
      <c r="D1841" s="8">
        <v>44996</v>
      </c>
      <c r="E1841" s="7">
        <v>3</v>
      </c>
      <c r="F1841" s="7">
        <v>11</v>
      </c>
      <c r="G1841" s="7">
        <v>2023</v>
      </c>
      <c r="H1841" s="8">
        <f t="shared" si="84"/>
        <v>44996</v>
      </c>
      <c r="I1841" s="11">
        <v>45008</v>
      </c>
      <c r="J1841" s="7">
        <f t="shared" si="85"/>
        <v>12</v>
      </c>
      <c r="K1841" s="7" t="s">
        <v>41</v>
      </c>
      <c r="L1841" s="7">
        <v>34756</v>
      </c>
      <c r="M1841" s="7">
        <v>738</v>
      </c>
      <c r="N1841" s="12">
        <v>1422.97</v>
      </c>
      <c r="O1841" s="12">
        <f t="shared" si="86"/>
        <v>1422.97</v>
      </c>
      <c r="P1841" s="7">
        <v>120</v>
      </c>
      <c r="Q1841" s="7" t="b">
        <v>0</v>
      </c>
      <c r="R1841" s="7"/>
      <c r="S1841" s="15" t="s">
        <v>42</v>
      </c>
    </row>
    <row r="1842" spans="1:19">
      <c r="A1842" s="3" t="s">
        <v>3793</v>
      </c>
      <c r="B1842" s="4" t="s">
        <v>3794</v>
      </c>
      <c r="C1842" s="5" t="s">
        <v>4131</v>
      </c>
      <c r="D1842" s="5">
        <v>45001</v>
      </c>
      <c r="E1842" s="4">
        <v>3</v>
      </c>
      <c r="F1842" s="4">
        <v>16</v>
      </c>
      <c r="G1842" s="4">
        <v>2023</v>
      </c>
      <c r="H1842" s="5">
        <f t="shared" si="84"/>
        <v>45001</v>
      </c>
      <c r="I1842" s="9">
        <v>45003</v>
      </c>
      <c r="J1842" s="4">
        <f t="shared" si="85"/>
        <v>2</v>
      </c>
      <c r="K1842" s="4" t="s">
        <v>138</v>
      </c>
      <c r="L1842" s="4">
        <v>54268</v>
      </c>
      <c r="M1842" s="4">
        <v>2090</v>
      </c>
      <c r="N1842" s="10">
        <v>2116.75</v>
      </c>
      <c r="O1842" s="10">
        <f t="shared" si="86"/>
        <v>2116.75</v>
      </c>
      <c r="P1842" s="4">
        <v>191</v>
      </c>
      <c r="Q1842" s="4" t="b">
        <v>1</v>
      </c>
      <c r="R1842" s="4"/>
      <c r="S1842" s="14" t="s">
        <v>139</v>
      </c>
    </row>
    <row r="1843" spans="1:19">
      <c r="A1843" s="6" t="s">
        <v>3795</v>
      </c>
      <c r="B1843" s="7" t="s">
        <v>3796</v>
      </c>
      <c r="C1843" s="8" t="s">
        <v>4131</v>
      </c>
      <c r="D1843" s="8">
        <v>45007</v>
      </c>
      <c r="E1843" s="7">
        <v>3</v>
      </c>
      <c r="F1843" s="7">
        <v>22</v>
      </c>
      <c r="G1843" s="7">
        <v>2023</v>
      </c>
      <c r="H1843" s="8">
        <f t="shared" si="84"/>
        <v>45007</v>
      </c>
      <c r="I1843" s="11">
        <v>45033</v>
      </c>
      <c r="J1843" s="7">
        <f t="shared" si="85"/>
        <v>26</v>
      </c>
      <c r="K1843" s="7" t="s">
        <v>14</v>
      </c>
      <c r="L1843" s="7">
        <v>40214</v>
      </c>
      <c r="M1843" s="7">
        <v>420</v>
      </c>
      <c r="N1843" s="12">
        <v>831.06</v>
      </c>
      <c r="O1843" s="12">
        <f t="shared" si="86"/>
        <v>831.06</v>
      </c>
      <c r="P1843" s="7">
        <v>78</v>
      </c>
      <c r="Q1843" s="7" t="b">
        <v>1</v>
      </c>
      <c r="R1843" s="7"/>
      <c r="S1843" s="15" t="s">
        <v>16</v>
      </c>
    </row>
    <row r="1844" spans="1:19">
      <c r="A1844" s="3" t="s">
        <v>3797</v>
      </c>
      <c r="B1844" s="4" t="s">
        <v>3798</v>
      </c>
      <c r="C1844" s="5" t="s">
        <v>4128</v>
      </c>
      <c r="D1844" s="5">
        <v>44987</v>
      </c>
      <c r="E1844" s="4">
        <v>3</v>
      </c>
      <c r="F1844" s="4">
        <v>2</v>
      </c>
      <c r="G1844" s="4">
        <v>2023</v>
      </c>
      <c r="H1844" s="5">
        <f t="shared" si="84"/>
        <v>44987</v>
      </c>
      <c r="I1844" s="9">
        <v>45004</v>
      </c>
      <c r="J1844" s="4">
        <f t="shared" si="85"/>
        <v>17</v>
      </c>
      <c r="K1844" s="4" t="s">
        <v>41</v>
      </c>
      <c r="L1844" s="4">
        <v>82871</v>
      </c>
      <c r="M1844" s="4">
        <v>2183</v>
      </c>
      <c r="N1844" s="10">
        <v>3837.52</v>
      </c>
      <c r="O1844" s="10">
        <f t="shared" si="86"/>
        <v>3632.575</v>
      </c>
      <c r="P1844" s="4">
        <v>376</v>
      </c>
      <c r="Q1844" s="4" t="b">
        <v>1</v>
      </c>
      <c r="R1844" s="4"/>
      <c r="S1844" s="14" t="s">
        <v>42</v>
      </c>
    </row>
    <row r="1845" spans="1:19">
      <c r="A1845" s="6" t="s">
        <v>3799</v>
      </c>
      <c r="B1845" s="7" t="s">
        <v>3800</v>
      </c>
      <c r="C1845" s="8" t="s">
        <v>4129</v>
      </c>
      <c r="D1845" s="8">
        <v>45001</v>
      </c>
      <c r="E1845" s="7">
        <v>3</v>
      </c>
      <c r="F1845" s="7">
        <v>16</v>
      </c>
      <c r="G1845" s="7">
        <v>2023</v>
      </c>
      <c r="H1845" s="8">
        <f t="shared" si="84"/>
        <v>45001</v>
      </c>
      <c r="I1845" s="11">
        <v>45020</v>
      </c>
      <c r="J1845" s="7">
        <f t="shared" si="85"/>
        <v>19</v>
      </c>
      <c r="K1845" s="7" t="s">
        <v>14</v>
      </c>
      <c r="L1845" s="7">
        <v>29602</v>
      </c>
      <c r="M1845" s="7">
        <v>1390</v>
      </c>
      <c r="N1845" s="12">
        <v>2380.87</v>
      </c>
      <c r="O1845" s="12">
        <f t="shared" si="86"/>
        <v>2380.87</v>
      </c>
      <c r="P1845" s="7">
        <v>141</v>
      </c>
      <c r="Q1845" s="7" t="b">
        <v>0</v>
      </c>
      <c r="R1845" s="7"/>
      <c r="S1845" s="15" t="s">
        <v>16</v>
      </c>
    </row>
    <row r="1846" spans="1:19">
      <c r="A1846" s="3" t="s">
        <v>3801</v>
      </c>
      <c r="B1846" s="4" t="s">
        <v>3802</v>
      </c>
      <c r="C1846" s="5" t="s">
        <v>4128</v>
      </c>
      <c r="D1846" s="5">
        <v>45138</v>
      </c>
      <c r="E1846" s="4">
        <v>7</v>
      </c>
      <c r="F1846" s="4">
        <v>31</v>
      </c>
      <c r="G1846" s="4">
        <v>2023</v>
      </c>
      <c r="H1846" s="5">
        <f t="shared" si="84"/>
        <v>45138</v>
      </c>
      <c r="I1846" s="9">
        <v>45142</v>
      </c>
      <c r="J1846" s="4">
        <f t="shared" si="85"/>
        <v>4</v>
      </c>
      <c r="K1846" s="4" t="s">
        <v>33</v>
      </c>
      <c r="L1846" s="4">
        <v>54331</v>
      </c>
      <c r="M1846" s="4">
        <v>786</v>
      </c>
      <c r="N1846" s="10">
        <v>767.81</v>
      </c>
      <c r="O1846" s="10">
        <f t="shared" si="86"/>
        <v>767.81</v>
      </c>
      <c r="P1846" s="4">
        <v>134</v>
      </c>
      <c r="Q1846" s="4" t="b">
        <v>1</v>
      </c>
      <c r="R1846" s="4"/>
      <c r="S1846" s="14" t="s">
        <v>34</v>
      </c>
    </row>
    <row r="1847" spans="1:19">
      <c r="A1847" s="6" t="s">
        <v>3803</v>
      </c>
      <c r="B1847" s="7" t="s">
        <v>3804</v>
      </c>
      <c r="C1847" s="8" t="s">
        <v>4129</v>
      </c>
      <c r="D1847" s="8">
        <v>45253</v>
      </c>
      <c r="E1847" s="7">
        <v>11</v>
      </c>
      <c r="F1847" s="7">
        <v>23</v>
      </c>
      <c r="G1847" s="7">
        <v>2023</v>
      </c>
      <c r="H1847" s="8">
        <f t="shared" si="84"/>
        <v>45253</v>
      </c>
      <c r="I1847" s="11">
        <v>45282</v>
      </c>
      <c r="J1847" s="7">
        <f t="shared" si="85"/>
        <v>29</v>
      </c>
      <c r="K1847" s="7" t="s">
        <v>33</v>
      </c>
      <c r="L1847" s="7">
        <v>49901</v>
      </c>
      <c r="M1847" s="7">
        <v>1529</v>
      </c>
      <c r="N1847" s="12">
        <v>784.63</v>
      </c>
      <c r="O1847" s="12">
        <f t="shared" si="86"/>
        <v>784.63</v>
      </c>
      <c r="P1847" s="7">
        <v>158</v>
      </c>
      <c r="Q1847" s="7" t="b">
        <v>1</v>
      </c>
      <c r="R1847" s="7"/>
      <c r="S1847" s="15" t="s">
        <v>34</v>
      </c>
    </row>
    <row r="1848" spans="1:19">
      <c r="A1848" s="3" t="s">
        <v>3805</v>
      </c>
      <c r="B1848" s="4" t="s">
        <v>3806</v>
      </c>
      <c r="C1848" s="5" t="s">
        <v>4129</v>
      </c>
      <c r="D1848" s="5">
        <v>45023</v>
      </c>
      <c r="E1848" s="4">
        <v>4</v>
      </c>
      <c r="F1848" s="4">
        <v>7</v>
      </c>
      <c r="G1848" s="4">
        <v>2023</v>
      </c>
      <c r="H1848" s="5">
        <f t="shared" si="84"/>
        <v>45023</v>
      </c>
      <c r="I1848" s="9">
        <v>45038</v>
      </c>
      <c r="J1848" s="4">
        <f t="shared" si="85"/>
        <v>15</v>
      </c>
      <c r="K1848" s="4" t="s">
        <v>19</v>
      </c>
      <c r="L1848" s="4">
        <v>64416</v>
      </c>
      <c r="M1848" s="4">
        <v>2670</v>
      </c>
      <c r="N1848" s="10">
        <v>2865.44</v>
      </c>
      <c r="O1848" s="10">
        <f t="shared" si="86"/>
        <v>2865.44</v>
      </c>
      <c r="P1848" s="4">
        <v>173</v>
      </c>
      <c r="Q1848" s="4" t="b">
        <v>0</v>
      </c>
      <c r="R1848" s="4"/>
      <c r="S1848" s="14" t="s">
        <v>20</v>
      </c>
    </row>
    <row r="1849" spans="1:19">
      <c r="A1849" s="6" t="s">
        <v>3807</v>
      </c>
      <c r="B1849" s="7" t="s">
        <v>3808</v>
      </c>
      <c r="C1849" s="8" t="s">
        <v>4129</v>
      </c>
      <c r="D1849" s="8">
        <v>45240</v>
      </c>
      <c r="E1849" s="7">
        <v>11</v>
      </c>
      <c r="F1849" s="7">
        <v>10</v>
      </c>
      <c r="G1849" s="7">
        <v>2023</v>
      </c>
      <c r="H1849" s="8">
        <f t="shared" si="84"/>
        <v>45240</v>
      </c>
      <c r="I1849" s="11">
        <v>45265</v>
      </c>
      <c r="J1849" s="7">
        <f t="shared" si="85"/>
        <v>25</v>
      </c>
      <c r="K1849" s="7" t="s">
        <v>33</v>
      </c>
      <c r="L1849" s="7">
        <v>33196</v>
      </c>
      <c r="M1849" s="7">
        <v>1583</v>
      </c>
      <c r="N1849" s="12">
        <v>1508.15</v>
      </c>
      <c r="O1849" s="12">
        <f t="shared" si="86"/>
        <v>1508.15</v>
      </c>
      <c r="P1849" s="7">
        <v>0</v>
      </c>
      <c r="Q1849" s="7" t="b">
        <v>0</v>
      </c>
      <c r="R1849" s="7"/>
      <c r="S1849" s="15" t="s">
        <v>34</v>
      </c>
    </row>
    <row r="1850" spans="1:19">
      <c r="A1850" s="3" t="s">
        <v>3809</v>
      </c>
      <c r="B1850" s="4" t="s">
        <v>3810</v>
      </c>
      <c r="C1850" s="5" t="s">
        <v>4128</v>
      </c>
      <c r="D1850" s="5">
        <v>45240</v>
      </c>
      <c r="E1850" s="4">
        <v>11</v>
      </c>
      <c r="F1850" s="4">
        <v>10</v>
      </c>
      <c r="G1850" s="4">
        <v>2023</v>
      </c>
      <c r="H1850" s="5">
        <f t="shared" si="84"/>
        <v>45240</v>
      </c>
      <c r="I1850" s="9">
        <v>45256</v>
      </c>
      <c r="J1850" s="4">
        <f t="shared" si="85"/>
        <v>16</v>
      </c>
      <c r="K1850" s="4" t="s">
        <v>14</v>
      </c>
      <c r="L1850" s="4">
        <v>6626</v>
      </c>
      <c r="M1850" s="4">
        <v>264</v>
      </c>
      <c r="N1850" s="10">
        <v>146.81</v>
      </c>
      <c r="O1850" s="10">
        <f t="shared" si="86"/>
        <v>146.81</v>
      </c>
      <c r="P1850" s="4">
        <v>39</v>
      </c>
      <c r="Q1850" s="4" t="b">
        <v>1</v>
      </c>
      <c r="R1850" s="4"/>
      <c r="S1850" s="14" t="s">
        <v>16</v>
      </c>
    </row>
    <row r="1851" spans="1:19">
      <c r="A1851" s="6" t="s">
        <v>3811</v>
      </c>
      <c r="B1851" s="7" t="s">
        <v>3812</v>
      </c>
      <c r="C1851" s="8" t="s">
        <v>4128</v>
      </c>
      <c r="D1851" s="8" t="s">
        <v>3813</v>
      </c>
      <c r="E1851" s="7">
        <v>18</v>
      </c>
      <c r="F1851" s="7">
        <v>12</v>
      </c>
      <c r="G1851" s="7">
        <v>2023</v>
      </c>
      <c r="H1851" s="8">
        <f t="shared" si="84"/>
        <v>45278</v>
      </c>
      <c r="I1851" s="11">
        <v>45292</v>
      </c>
      <c r="J1851" s="7">
        <f t="shared" si="85"/>
        <v>14</v>
      </c>
      <c r="K1851" s="7" t="s">
        <v>19</v>
      </c>
      <c r="L1851" s="7">
        <v>8424</v>
      </c>
      <c r="M1851" s="7">
        <v>327</v>
      </c>
      <c r="N1851" s="12">
        <v>411.38</v>
      </c>
      <c r="O1851" s="12">
        <f t="shared" si="86"/>
        <v>411.38</v>
      </c>
      <c r="P1851" s="7">
        <v>38</v>
      </c>
      <c r="Q1851" s="7" t="b">
        <v>0</v>
      </c>
      <c r="R1851" s="7"/>
      <c r="S1851" s="15" t="s">
        <v>20</v>
      </c>
    </row>
    <row r="1852" spans="1:19">
      <c r="A1852" s="3" t="s">
        <v>3814</v>
      </c>
      <c r="B1852" s="4" t="s">
        <v>3815</v>
      </c>
      <c r="C1852" s="5" t="s">
        <v>4128</v>
      </c>
      <c r="D1852" s="5">
        <v>44967</v>
      </c>
      <c r="E1852" s="4">
        <v>2</v>
      </c>
      <c r="F1852" s="4">
        <v>10</v>
      </c>
      <c r="G1852" s="4">
        <v>2023</v>
      </c>
      <c r="H1852" s="5">
        <f t="shared" si="84"/>
        <v>44967</v>
      </c>
      <c r="I1852" s="9">
        <v>44992</v>
      </c>
      <c r="J1852" s="4">
        <f t="shared" si="85"/>
        <v>25</v>
      </c>
      <c r="K1852" s="4" t="s">
        <v>23</v>
      </c>
      <c r="L1852" s="4">
        <v>13857</v>
      </c>
      <c r="M1852" s="4">
        <v>596</v>
      </c>
      <c r="N1852" s="10">
        <v>658.31</v>
      </c>
      <c r="O1852" s="10">
        <f t="shared" si="86"/>
        <v>658.31</v>
      </c>
      <c r="P1852" s="4">
        <v>0</v>
      </c>
      <c r="Q1852" s="4" t="b">
        <v>1</v>
      </c>
      <c r="R1852" s="4"/>
      <c r="S1852" s="14" t="s">
        <v>25</v>
      </c>
    </row>
    <row r="1853" spans="1:19">
      <c r="A1853" s="6" t="s">
        <v>3816</v>
      </c>
      <c r="B1853" s="7" t="s">
        <v>3817</v>
      </c>
      <c r="C1853" s="8" t="s">
        <v>4128</v>
      </c>
      <c r="D1853" s="8">
        <v>45184</v>
      </c>
      <c r="E1853" s="7">
        <v>9</v>
      </c>
      <c r="F1853" s="7">
        <v>15</v>
      </c>
      <c r="G1853" s="7">
        <v>2023</v>
      </c>
      <c r="H1853" s="8">
        <f t="shared" si="84"/>
        <v>45184</v>
      </c>
      <c r="I1853" s="11">
        <v>45201</v>
      </c>
      <c r="J1853" s="7">
        <f t="shared" si="85"/>
        <v>17</v>
      </c>
      <c r="K1853" s="7" t="s">
        <v>33</v>
      </c>
      <c r="L1853" s="7">
        <v>20982</v>
      </c>
      <c r="M1853" s="7">
        <v>584</v>
      </c>
      <c r="N1853" s="12">
        <v>847.87</v>
      </c>
      <c r="O1853" s="12">
        <f t="shared" si="86"/>
        <v>847.87</v>
      </c>
      <c r="P1853" s="7">
        <v>57</v>
      </c>
      <c r="Q1853" s="7" t="b">
        <v>1</v>
      </c>
      <c r="R1853" s="7"/>
      <c r="S1853" s="15" t="s">
        <v>34</v>
      </c>
    </row>
    <row r="1854" spans="1:19">
      <c r="A1854" s="3" t="s">
        <v>3818</v>
      </c>
      <c r="B1854" s="4" t="s">
        <v>3819</v>
      </c>
      <c r="C1854" s="5" t="s">
        <v>4131</v>
      </c>
      <c r="D1854" s="5">
        <v>45259</v>
      </c>
      <c r="E1854" s="4">
        <v>11</v>
      </c>
      <c r="F1854" s="4">
        <v>29</v>
      </c>
      <c r="G1854" s="4">
        <v>2023</v>
      </c>
      <c r="H1854" s="5">
        <f t="shared" si="84"/>
        <v>45259</v>
      </c>
      <c r="I1854" s="9">
        <v>45261</v>
      </c>
      <c r="J1854" s="4">
        <f t="shared" si="85"/>
        <v>2</v>
      </c>
      <c r="K1854" s="4" t="s">
        <v>23</v>
      </c>
      <c r="L1854" s="4">
        <v>77961</v>
      </c>
      <c r="M1854" s="4">
        <v>3292</v>
      </c>
      <c r="N1854" s="10">
        <v>4713.42</v>
      </c>
      <c r="O1854" s="10">
        <f t="shared" si="86"/>
        <v>3632.575</v>
      </c>
      <c r="P1854" s="4">
        <v>649</v>
      </c>
      <c r="Q1854" s="4" t="b">
        <v>1</v>
      </c>
      <c r="R1854" s="4"/>
      <c r="S1854" s="14" t="s">
        <v>68</v>
      </c>
    </row>
    <row r="1855" spans="1:19">
      <c r="A1855" s="6" t="s">
        <v>3820</v>
      </c>
      <c r="B1855" s="7" t="s">
        <v>3821</v>
      </c>
      <c r="C1855" s="8" t="s">
        <v>4128</v>
      </c>
      <c r="D1855" s="8">
        <v>45178</v>
      </c>
      <c r="E1855" s="7">
        <v>9</v>
      </c>
      <c r="F1855" s="7">
        <v>9</v>
      </c>
      <c r="G1855" s="7">
        <v>2023</v>
      </c>
      <c r="H1855" s="8">
        <f t="shared" si="84"/>
        <v>45178</v>
      </c>
      <c r="I1855" s="11">
        <v>45200</v>
      </c>
      <c r="J1855" s="7">
        <f t="shared" si="85"/>
        <v>22</v>
      </c>
      <c r="K1855" s="7" t="s">
        <v>138</v>
      </c>
      <c r="L1855" s="7">
        <v>2980</v>
      </c>
      <c r="M1855" s="7">
        <v>30</v>
      </c>
      <c r="N1855" s="12">
        <v>20.43</v>
      </c>
      <c r="O1855" s="12">
        <f t="shared" si="86"/>
        <v>20.43</v>
      </c>
      <c r="P1855" s="7">
        <v>0</v>
      </c>
      <c r="Q1855" s="7" t="b">
        <v>1</v>
      </c>
      <c r="R1855" s="7"/>
      <c r="S1855" s="15" t="s">
        <v>139</v>
      </c>
    </row>
    <row r="1856" spans="1:19">
      <c r="A1856" s="3" t="s">
        <v>3822</v>
      </c>
      <c r="B1856" s="4" t="s">
        <v>3823</v>
      </c>
      <c r="C1856" s="5" t="s">
        <v>4129</v>
      </c>
      <c r="D1856" s="5" t="s">
        <v>3824</v>
      </c>
      <c r="E1856" s="4">
        <v>26</v>
      </c>
      <c r="F1856" s="4">
        <v>4</v>
      </c>
      <c r="G1856" s="4">
        <v>2023</v>
      </c>
      <c r="H1856" s="5">
        <f t="shared" si="84"/>
        <v>45042</v>
      </c>
      <c r="I1856" s="9">
        <v>45067</v>
      </c>
      <c r="J1856" s="4">
        <f t="shared" si="85"/>
        <v>25</v>
      </c>
      <c r="K1856" s="4" t="s">
        <v>33</v>
      </c>
      <c r="L1856" s="4">
        <v>49290</v>
      </c>
      <c r="M1856" s="4">
        <v>2315</v>
      </c>
      <c r="N1856" s="10">
        <v>4550.01</v>
      </c>
      <c r="O1856" s="10">
        <f t="shared" si="86"/>
        <v>3632.575</v>
      </c>
      <c r="P1856" s="4">
        <v>225</v>
      </c>
      <c r="Q1856" s="4" t="b">
        <v>1</v>
      </c>
      <c r="R1856" s="4"/>
      <c r="S1856" s="14" t="s">
        <v>34</v>
      </c>
    </row>
    <row r="1857" spans="1:19">
      <c r="A1857" s="6" t="s">
        <v>3825</v>
      </c>
      <c r="B1857" s="7" t="s">
        <v>3826</v>
      </c>
      <c r="C1857" s="8" t="s">
        <v>4129</v>
      </c>
      <c r="D1857" s="8">
        <v>44934</v>
      </c>
      <c r="E1857" s="7">
        <v>1</v>
      </c>
      <c r="F1857" s="7">
        <v>8</v>
      </c>
      <c r="G1857" s="7">
        <v>2023</v>
      </c>
      <c r="H1857" s="8">
        <f t="shared" si="84"/>
        <v>44934</v>
      </c>
      <c r="I1857" s="11">
        <v>44952</v>
      </c>
      <c r="J1857" s="7">
        <f t="shared" si="85"/>
        <v>18</v>
      </c>
      <c r="K1857" s="7" t="s">
        <v>41</v>
      </c>
      <c r="L1857" s="7">
        <v>27431</v>
      </c>
      <c r="M1857" s="7">
        <v>760</v>
      </c>
      <c r="N1857" s="12">
        <v>593.1</v>
      </c>
      <c r="O1857" s="12">
        <f t="shared" si="86"/>
        <v>593.1</v>
      </c>
      <c r="P1857" s="7">
        <v>93</v>
      </c>
      <c r="Q1857" s="7" t="b">
        <v>1</v>
      </c>
      <c r="R1857" s="7"/>
      <c r="S1857" s="15" t="s">
        <v>68</v>
      </c>
    </row>
    <row r="1858" spans="1:19">
      <c r="A1858" s="3" t="s">
        <v>3827</v>
      </c>
      <c r="B1858" s="4" t="s">
        <v>3828</v>
      </c>
      <c r="C1858" s="5" t="s">
        <v>4129</v>
      </c>
      <c r="D1858" s="5">
        <v>45040</v>
      </c>
      <c r="E1858" s="4">
        <v>4</v>
      </c>
      <c r="F1858" s="4">
        <v>24</v>
      </c>
      <c r="G1858" s="4">
        <v>2023</v>
      </c>
      <c r="H1858" s="5">
        <f t="shared" ref="H1858:H1921" si="87">IF(E1858&gt;12,DATE(G1858,F1858,E1858),D1858)</f>
        <v>45040</v>
      </c>
      <c r="I1858" s="9">
        <v>45064</v>
      </c>
      <c r="J1858" s="4">
        <f t="shared" ref="J1858:J1921" si="88">DATEDIF(H1858,I1858,"D")</f>
        <v>24</v>
      </c>
      <c r="K1858" s="4" t="s">
        <v>33</v>
      </c>
      <c r="L1858" s="4">
        <v>85976</v>
      </c>
      <c r="M1858" s="4">
        <v>2762</v>
      </c>
      <c r="N1858" s="10">
        <v>3225.77</v>
      </c>
      <c r="O1858" s="10">
        <f t="shared" si="86"/>
        <v>3225.77</v>
      </c>
      <c r="P1858" s="4">
        <v>336</v>
      </c>
      <c r="Q1858" s="4" t="b">
        <v>0</v>
      </c>
      <c r="R1858" s="4"/>
      <c r="S1858" s="14" t="s">
        <v>34</v>
      </c>
    </row>
    <row r="1859" spans="1:19">
      <c r="A1859" s="6" t="s">
        <v>3829</v>
      </c>
      <c r="B1859" s="7" t="s">
        <v>3830</v>
      </c>
      <c r="C1859" s="8" t="s">
        <v>4128</v>
      </c>
      <c r="D1859" s="8" t="s">
        <v>3831</v>
      </c>
      <c r="E1859" s="7">
        <v>15</v>
      </c>
      <c r="F1859" s="7">
        <v>4</v>
      </c>
      <c r="G1859" s="7">
        <v>2023</v>
      </c>
      <c r="H1859" s="8">
        <f t="shared" si="87"/>
        <v>45031</v>
      </c>
      <c r="I1859" s="11">
        <v>45055</v>
      </c>
      <c r="J1859" s="7">
        <f t="shared" si="88"/>
        <v>24</v>
      </c>
      <c r="K1859" s="7" t="s">
        <v>23</v>
      </c>
      <c r="L1859" s="7">
        <v>83711</v>
      </c>
      <c r="M1859" s="7">
        <v>1690</v>
      </c>
      <c r="N1859" s="12">
        <v>2082.38</v>
      </c>
      <c r="O1859" s="12">
        <f t="shared" ref="O1859:O1922" si="89">IF(N1859&lt;$V$6,$V$6,IF(N1859&gt;$V$7,$V$7,N1859))</f>
        <v>2082.38</v>
      </c>
      <c r="P1859" s="7">
        <v>203</v>
      </c>
      <c r="Q1859" s="7" t="b">
        <v>0</v>
      </c>
      <c r="R1859" s="7"/>
      <c r="S1859" s="15" t="s">
        <v>25</v>
      </c>
    </row>
    <row r="1860" spans="1:19">
      <c r="A1860" s="3" t="s">
        <v>3832</v>
      </c>
      <c r="B1860" s="4" t="s">
        <v>3833</v>
      </c>
      <c r="C1860" s="5" t="s">
        <v>4131</v>
      </c>
      <c r="D1860" s="5">
        <v>45151</v>
      </c>
      <c r="E1860" s="4">
        <v>8</v>
      </c>
      <c r="F1860" s="4">
        <v>13</v>
      </c>
      <c r="G1860" s="4">
        <v>2023</v>
      </c>
      <c r="H1860" s="5">
        <f t="shared" si="87"/>
        <v>45151</v>
      </c>
      <c r="I1860" s="9">
        <v>45170</v>
      </c>
      <c r="J1860" s="4">
        <f t="shared" si="88"/>
        <v>19</v>
      </c>
      <c r="K1860" s="4" t="s">
        <v>19</v>
      </c>
      <c r="L1860" s="4">
        <v>27385</v>
      </c>
      <c r="M1860" s="4">
        <v>1087</v>
      </c>
      <c r="N1860" s="10">
        <v>1869.2</v>
      </c>
      <c r="O1860" s="10">
        <f t="shared" si="89"/>
        <v>1869.2</v>
      </c>
      <c r="P1860" s="4">
        <v>83</v>
      </c>
      <c r="Q1860" s="4" t="b">
        <v>1</v>
      </c>
      <c r="R1860" s="4"/>
      <c r="S1860" s="14" t="s">
        <v>20</v>
      </c>
    </row>
    <row r="1861" spans="1:19">
      <c r="A1861" s="6" t="s">
        <v>3834</v>
      </c>
      <c r="B1861" s="7" t="s">
        <v>3835</v>
      </c>
      <c r="C1861" s="8" t="s">
        <v>4129</v>
      </c>
      <c r="D1861" s="8">
        <v>45093</v>
      </c>
      <c r="E1861" s="7">
        <v>6</v>
      </c>
      <c r="F1861" s="7">
        <v>16</v>
      </c>
      <c r="G1861" s="7">
        <v>2023</v>
      </c>
      <c r="H1861" s="8">
        <f t="shared" si="87"/>
        <v>45093</v>
      </c>
      <c r="I1861" s="11">
        <v>45110</v>
      </c>
      <c r="J1861" s="7">
        <f t="shared" si="88"/>
        <v>17</v>
      </c>
      <c r="K1861" s="7" t="s">
        <v>23</v>
      </c>
      <c r="L1861" s="7">
        <v>39158</v>
      </c>
      <c r="M1861" s="7">
        <v>511</v>
      </c>
      <c r="N1861" s="12">
        <v>331.56</v>
      </c>
      <c r="O1861" s="12">
        <f t="shared" si="89"/>
        <v>331.56</v>
      </c>
      <c r="P1861" s="7">
        <v>36</v>
      </c>
      <c r="Q1861" s="7" t="b">
        <v>0</v>
      </c>
      <c r="R1861" s="7"/>
      <c r="S1861" s="15" t="s">
        <v>25</v>
      </c>
    </row>
    <row r="1862" spans="1:19">
      <c r="A1862" s="3" t="s">
        <v>3836</v>
      </c>
      <c r="B1862" s="4" t="s">
        <v>3837</v>
      </c>
      <c r="C1862" s="5" t="s">
        <v>4129</v>
      </c>
      <c r="D1862" s="5">
        <v>45145</v>
      </c>
      <c r="E1862" s="4">
        <v>8</v>
      </c>
      <c r="F1862" s="4">
        <v>7</v>
      </c>
      <c r="G1862" s="4">
        <v>2023</v>
      </c>
      <c r="H1862" s="5">
        <f t="shared" si="87"/>
        <v>45145</v>
      </c>
      <c r="I1862" s="9">
        <v>45118</v>
      </c>
      <c r="J1862" s="4">
        <f t="shared" si="88"/>
        <v>-27</v>
      </c>
      <c r="K1862" s="4" t="s">
        <v>33</v>
      </c>
      <c r="L1862" s="4">
        <v>24019</v>
      </c>
      <c r="M1862" s="4">
        <v>1078</v>
      </c>
      <c r="N1862" s="10">
        <v>1232.12</v>
      </c>
      <c r="O1862" s="10">
        <f t="shared" si="89"/>
        <v>1232.12</v>
      </c>
      <c r="P1862" s="4">
        <v>95</v>
      </c>
      <c r="Q1862" s="4" t="b">
        <v>1</v>
      </c>
      <c r="R1862" s="4"/>
      <c r="S1862" s="14" t="s">
        <v>34</v>
      </c>
    </row>
    <row r="1863" spans="1:19">
      <c r="A1863" s="6" t="s">
        <v>3838</v>
      </c>
      <c r="B1863" s="7" t="s">
        <v>3839</v>
      </c>
      <c r="C1863" s="8" t="s">
        <v>4127</v>
      </c>
      <c r="D1863" s="8">
        <v>45121</v>
      </c>
      <c r="E1863" s="7">
        <v>7</v>
      </c>
      <c r="F1863" s="7">
        <v>14</v>
      </c>
      <c r="G1863" s="7">
        <v>2023</v>
      </c>
      <c r="H1863" s="8">
        <f t="shared" si="87"/>
        <v>45121</v>
      </c>
      <c r="I1863" s="11">
        <v>45126</v>
      </c>
      <c r="J1863" s="7">
        <f t="shared" si="88"/>
        <v>5</v>
      </c>
      <c r="K1863" s="7" t="s">
        <v>14</v>
      </c>
      <c r="L1863" s="7">
        <v>19639</v>
      </c>
      <c r="M1863" s="7">
        <v>846</v>
      </c>
      <c r="N1863" s="12">
        <v>1220.57</v>
      </c>
      <c r="O1863" s="12">
        <f t="shared" si="89"/>
        <v>1220.57</v>
      </c>
      <c r="P1863" s="7">
        <v>0</v>
      </c>
      <c r="Q1863" s="7" t="b">
        <v>1</v>
      </c>
      <c r="R1863" s="7"/>
      <c r="S1863" s="15" t="s">
        <v>16</v>
      </c>
    </row>
    <row r="1864" spans="1:19">
      <c r="A1864" s="3" t="s">
        <v>3840</v>
      </c>
      <c r="B1864" s="4" t="s">
        <v>3841</v>
      </c>
      <c r="C1864" s="5" t="s">
        <v>4131</v>
      </c>
      <c r="D1864" s="5">
        <v>45219</v>
      </c>
      <c r="E1864" s="4">
        <v>10</v>
      </c>
      <c r="F1864" s="4">
        <v>20</v>
      </c>
      <c r="G1864" s="4">
        <v>2023</v>
      </c>
      <c r="H1864" s="5">
        <f t="shared" si="87"/>
        <v>45219</v>
      </c>
      <c r="I1864" s="9">
        <v>45249</v>
      </c>
      <c r="J1864" s="4">
        <f t="shared" si="88"/>
        <v>30</v>
      </c>
      <c r="K1864" s="4" t="s">
        <v>23</v>
      </c>
      <c r="L1864" s="4">
        <v>86530</v>
      </c>
      <c r="M1864" s="4">
        <v>1613</v>
      </c>
      <c r="N1864" s="10">
        <v>1327.07</v>
      </c>
      <c r="O1864" s="10">
        <f t="shared" si="89"/>
        <v>1327.07</v>
      </c>
      <c r="P1864" s="4">
        <v>0</v>
      </c>
      <c r="Q1864" s="4" t="b">
        <v>1</v>
      </c>
      <c r="R1864" s="4"/>
      <c r="S1864" s="14" t="s">
        <v>25</v>
      </c>
    </row>
    <row r="1865" spans="1:19">
      <c r="A1865" s="6" t="s">
        <v>3842</v>
      </c>
      <c r="B1865" s="7" t="s">
        <v>3843</v>
      </c>
      <c r="C1865" s="8" t="s">
        <v>4127</v>
      </c>
      <c r="D1865" s="8">
        <v>45287</v>
      </c>
      <c r="E1865" s="7">
        <v>12</v>
      </c>
      <c r="F1865" s="7">
        <v>27</v>
      </c>
      <c r="G1865" s="7">
        <v>2023</v>
      </c>
      <c r="H1865" s="8">
        <f t="shared" si="87"/>
        <v>45287</v>
      </c>
      <c r="I1865" s="11">
        <v>45314</v>
      </c>
      <c r="J1865" s="7">
        <f t="shared" si="88"/>
        <v>27</v>
      </c>
      <c r="K1865" s="7" t="s">
        <v>19</v>
      </c>
      <c r="L1865" s="7">
        <v>22563</v>
      </c>
      <c r="M1865" s="7">
        <v>956</v>
      </c>
      <c r="N1865" s="12">
        <v>1377.79</v>
      </c>
      <c r="O1865" s="12">
        <f t="shared" si="89"/>
        <v>1377.79</v>
      </c>
      <c r="P1865" s="7">
        <v>156</v>
      </c>
      <c r="Q1865" s="7" t="b">
        <v>1</v>
      </c>
      <c r="R1865" s="7"/>
      <c r="S1865" s="15" t="s">
        <v>20</v>
      </c>
    </row>
    <row r="1866" spans="1:19">
      <c r="A1866" s="3" t="s">
        <v>3844</v>
      </c>
      <c r="B1866" s="4" t="s">
        <v>3845</v>
      </c>
      <c r="C1866" s="5" t="s">
        <v>4129</v>
      </c>
      <c r="D1866" s="5">
        <v>45158</v>
      </c>
      <c r="E1866" s="4">
        <v>8</v>
      </c>
      <c r="F1866" s="4">
        <v>20</v>
      </c>
      <c r="G1866" s="4">
        <v>2023</v>
      </c>
      <c r="H1866" s="5">
        <f t="shared" si="87"/>
        <v>45158</v>
      </c>
      <c r="I1866" s="9">
        <v>45171</v>
      </c>
      <c r="J1866" s="4">
        <f t="shared" si="88"/>
        <v>13</v>
      </c>
      <c r="K1866" s="4" t="s">
        <v>41</v>
      </c>
      <c r="L1866" s="4">
        <v>40341</v>
      </c>
      <c r="M1866" s="4">
        <v>1672</v>
      </c>
      <c r="N1866" s="10">
        <v>3152.55</v>
      </c>
      <c r="O1866" s="10">
        <f t="shared" si="89"/>
        <v>3152.55</v>
      </c>
      <c r="P1866" s="4">
        <v>273</v>
      </c>
      <c r="Q1866" s="4" t="b">
        <v>1</v>
      </c>
      <c r="R1866" s="4"/>
      <c r="S1866" s="14" t="s">
        <v>42</v>
      </c>
    </row>
    <row r="1867" spans="1:19">
      <c r="A1867" s="6" t="s">
        <v>3846</v>
      </c>
      <c r="B1867" s="7" t="s">
        <v>3847</v>
      </c>
      <c r="C1867" s="8" t="s">
        <v>4129</v>
      </c>
      <c r="D1867" s="8">
        <v>45052</v>
      </c>
      <c r="E1867" s="7">
        <v>5</v>
      </c>
      <c r="F1867" s="7">
        <v>6</v>
      </c>
      <c r="G1867" s="7">
        <v>2023</v>
      </c>
      <c r="H1867" s="8">
        <f t="shared" si="87"/>
        <v>45052</v>
      </c>
      <c r="I1867" s="11">
        <v>45063</v>
      </c>
      <c r="J1867" s="7">
        <f t="shared" si="88"/>
        <v>11</v>
      </c>
      <c r="K1867" s="7" t="s">
        <v>138</v>
      </c>
      <c r="L1867" s="7">
        <v>6776</v>
      </c>
      <c r="M1867" s="7">
        <v>239</v>
      </c>
      <c r="N1867" s="12">
        <v>477.11</v>
      </c>
      <c r="O1867" s="12">
        <f t="shared" si="89"/>
        <v>477.11</v>
      </c>
      <c r="P1867" s="7">
        <v>0</v>
      </c>
      <c r="Q1867" s="7" t="b">
        <v>1</v>
      </c>
      <c r="R1867" s="7"/>
      <c r="S1867" s="15" t="s">
        <v>139</v>
      </c>
    </row>
    <row r="1868" spans="1:19">
      <c r="A1868" s="3" t="s">
        <v>3848</v>
      </c>
      <c r="B1868" s="4" t="s">
        <v>3849</v>
      </c>
      <c r="C1868" s="5" t="s">
        <v>4128</v>
      </c>
      <c r="D1868" s="5">
        <v>44947</v>
      </c>
      <c r="E1868" s="4">
        <v>1</v>
      </c>
      <c r="F1868" s="4">
        <v>21</v>
      </c>
      <c r="G1868" s="4">
        <v>2023</v>
      </c>
      <c r="H1868" s="5">
        <f t="shared" si="87"/>
        <v>44947</v>
      </c>
      <c r="I1868" s="9">
        <v>44969</v>
      </c>
      <c r="J1868" s="4">
        <f t="shared" si="88"/>
        <v>22</v>
      </c>
      <c r="K1868" s="4" t="s">
        <v>33</v>
      </c>
      <c r="L1868" s="4">
        <v>37444</v>
      </c>
      <c r="M1868" s="4">
        <v>933</v>
      </c>
      <c r="N1868" s="10">
        <v>511.92</v>
      </c>
      <c r="O1868" s="10">
        <f t="shared" si="89"/>
        <v>511.92</v>
      </c>
      <c r="P1868" s="4">
        <v>170</v>
      </c>
      <c r="Q1868" s="4" t="b">
        <v>1</v>
      </c>
      <c r="R1868" s="4"/>
      <c r="S1868" s="14" t="s">
        <v>34</v>
      </c>
    </row>
    <row r="1869" spans="1:19">
      <c r="A1869" s="6" t="s">
        <v>3850</v>
      </c>
      <c r="B1869" s="7" t="s">
        <v>3851</v>
      </c>
      <c r="C1869" s="8" t="s">
        <v>4128</v>
      </c>
      <c r="D1869" s="8">
        <v>45249</v>
      </c>
      <c r="E1869" s="7">
        <v>11</v>
      </c>
      <c r="F1869" s="7">
        <v>19</v>
      </c>
      <c r="G1869" s="7">
        <v>2023</v>
      </c>
      <c r="H1869" s="8">
        <f t="shared" si="87"/>
        <v>45249</v>
      </c>
      <c r="I1869" s="11">
        <v>45272</v>
      </c>
      <c r="J1869" s="7">
        <f t="shared" si="88"/>
        <v>23</v>
      </c>
      <c r="K1869" s="7" t="s">
        <v>19</v>
      </c>
      <c r="L1869" s="7">
        <v>69916</v>
      </c>
      <c r="M1869" s="7">
        <v>1458</v>
      </c>
      <c r="N1869" s="12">
        <v>1244.23</v>
      </c>
      <c r="O1869" s="12">
        <f t="shared" si="89"/>
        <v>1244.23</v>
      </c>
      <c r="P1869" s="7">
        <v>130</v>
      </c>
      <c r="Q1869" s="7" t="b">
        <v>0</v>
      </c>
      <c r="R1869" s="7"/>
      <c r="S1869" s="15" t="s">
        <v>20</v>
      </c>
    </row>
    <row r="1870" spans="1:19">
      <c r="A1870" s="3" t="s">
        <v>3852</v>
      </c>
      <c r="B1870" s="4" t="s">
        <v>3853</v>
      </c>
      <c r="C1870" s="5" t="s">
        <v>4129</v>
      </c>
      <c r="D1870" s="5">
        <v>45152</v>
      </c>
      <c r="E1870" s="4">
        <v>8</v>
      </c>
      <c r="F1870" s="4">
        <v>14</v>
      </c>
      <c r="G1870" s="4">
        <v>2023</v>
      </c>
      <c r="H1870" s="5">
        <f t="shared" si="87"/>
        <v>45152</v>
      </c>
      <c r="I1870" s="9">
        <v>45167</v>
      </c>
      <c r="J1870" s="4">
        <f t="shared" si="88"/>
        <v>15</v>
      </c>
      <c r="K1870" s="4" t="s">
        <v>19</v>
      </c>
      <c r="L1870" s="4">
        <v>9711</v>
      </c>
      <c r="M1870" s="4">
        <v>187</v>
      </c>
      <c r="N1870" s="10">
        <v>180.54</v>
      </c>
      <c r="O1870" s="10">
        <f t="shared" si="89"/>
        <v>180.54</v>
      </c>
      <c r="P1870" s="4">
        <v>15</v>
      </c>
      <c r="Q1870" s="4" t="b">
        <v>1</v>
      </c>
      <c r="R1870" s="4"/>
      <c r="S1870" s="14" t="s">
        <v>20</v>
      </c>
    </row>
    <row r="1871" spans="1:19">
      <c r="A1871" s="6" t="s">
        <v>3854</v>
      </c>
      <c r="B1871" s="7" t="s">
        <v>3855</v>
      </c>
      <c r="C1871" s="8" t="s">
        <v>4129</v>
      </c>
      <c r="D1871" s="8">
        <v>45073</v>
      </c>
      <c r="E1871" s="7">
        <v>5</v>
      </c>
      <c r="F1871" s="7">
        <v>27</v>
      </c>
      <c r="G1871" s="7">
        <v>2023</v>
      </c>
      <c r="H1871" s="8">
        <f t="shared" si="87"/>
        <v>45073</v>
      </c>
      <c r="I1871" s="11">
        <v>45097</v>
      </c>
      <c r="J1871" s="7">
        <f t="shared" si="88"/>
        <v>24</v>
      </c>
      <c r="K1871" s="7" t="s">
        <v>41</v>
      </c>
      <c r="L1871" s="7">
        <v>75318</v>
      </c>
      <c r="M1871" s="7">
        <v>1713</v>
      </c>
      <c r="N1871" s="12">
        <v>1882.05</v>
      </c>
      <c r="O1871" s="12">
        <f t="shared" si="89"/>
        <v>1882.05</v>
      </c>
      <c r="P1871" s="7">
        <v>0</v>
      </c>
      <c r="Q1871" s="7" t="b">
        <v>1</v>
      </c>
      <c r="R1871" s="7"/>
      <c r="S1871" s="15" t="s">
        <v>42</v>
      </c>
    </row>
    <row r="1872" spans="1:19">
      <c r="A1872" s="3" t="s">
        <v>3856</v>
      </c>
      <c r="B1872" s="4" t="s">
        <v>3857</v>
      </c>
      <c r="C1872" s="5" t="s">
        <v>4129</v>
      </c>
      <c r="D1872" s="5">
        <v>45240</v>
      </c>
      <c r="E1872" s="4">
        <v>11</v>
      </c>
      <c r="F1872" s="4">
        <v>10</v>
      </c>
      <c r="G1872" s="4">
        <v>2023</v>
      </c>
      <c r="H1872" s="5">
        <f t="shared" si="87"/>
        <v>45240</v>
      </c>
      <c r="I1872" s="9">
        <v>45264</v>
      </c>
      <c r="J1872" s="4">
        <f t="shared" si="88"/>
        <v>24</v>
      </c>
      <c r="K1872" s="4" t="s">
        <v>14</v>
      </c>
      <c r="L1872" s="4">
        <v>83970</v>
      </c>
      <c r="M1872" s="4">
        <v>3874</v>
      </c>
      <c r="N1872" s="10">
        <v>3344.76</v>
      </c>
      <c r="O1872" s="10">
        <f t="shared" si="89"/>
        <v>3344.76</v>
      </c>
      <c r="P1872" s="4">
        <v>347</v>
      </c>
      <c r="Q1872" s="4" t="b">
        <v>0</v>
      </c>
      <c r="R1872" s="4"/>
      <c r="S1872" s="14" t="s">
        <v>16</v>
      </c>
    </row>
    <row r="1873" spans="1:19">
      <c r="A1873" s="6" t="s">
        <v>3858</v>
      </c>
      <c r="B1873" s="7" t="s">
        <v>3859</v>
      </c>
      <c r="C1873" s="8" t="s">
        <v>4129</v>
      </c>
      <c r="D1873" s="8">
        <v>44999</v>
      </c>
      <c r="E1873" s="7">
        <v>3</v>
      </c>
      <c r="F1873" s="7">
        <v>14</v>
      </c>
      <c r="G1873" s="7">
        <v>2023</v>
      </c>
      <c r="H1873" s="8">
        <f t="shared" si="87"/>
        <v>44999</v>
      </c>
      <c r="I1873" s="11">
        <v>45020</v>
      </c>
      <c r="J1873" s="7">
        <f t="shared" si="88"/>
        <v>21</v>
      </c>
      <c r="K1873" s="7" t="s">
        <v>23</v>
      </c>
      <c r="L1873" s="7">
        <v>86553</v>
      </c>
      <c r="M1873" s="7">
        <v>1134</v>
      </c>
      <c r="N1873" s="12">
        <v>913.13</v>
      </c>
      <c r="O1873" s="12">
        <f t="shared" si="89"/>
        <v>913.13</v>
      </c>
      <c r="P1873" s="7">
        <v>0</v>
      </c>
      <c r="Q1873" s="7" t="b">
        <v>1</v>
      </c>
      <c r="R1873" s="7"/>
      <c r="S1873" s="15" t="s">
        <v>25</v>
      </c>
    </row>
    <row r="1874" spans="1:19">
      <c r="A1874" s="3" t="s">
        <v>3860</v>
      </c>
      <c r="B1874" s="4" t="s">
        <v>3861</v>
      </c>
      <c r="C1874" s="5" t="s">
        <v>4128</v>
      </c>
      <c r="D1874" s="5">
        <v>44973</v>
      </c>
      <c r="E1874" s="4">
        <v>2</v>
      </c>
      <c r="F1874" s="4">
        <v>16</v>
      </c>
      <c r="G1874" s="4">
        <v>2023</v>
      </c>
      <c r="H1874" s="5">
        <f t="shared" si="87"/>
        <v>44973</v>
      </c>
      <c r="I1874" s="9">
        <v>44982</v>
      </c>
      <c r="J1874" s="4">
        <f t="shared" si="88"/>
        <v>9</v>
      </c>
      <c r="K1874" s="4" t="s">
        <v>33</v>
      </c>
      <c r="L1874" s="4">
        <v>31707</v>
      </c>
      <c r="M1874" s="4">
        <v>1368</v>
      </c>
      <c r="N1874" s="10">
        <v>2642.74</v>
      </c>
      <c r="O1874" s="10">
        <f t="shared" si="89"/>
        <v>2642.74</v>
      </c>
      <c r="P1874" s="4">
        <v>198</v>
      </c>
      <c r="Q1874" s="4" t="b">
        <v>1</v>
      </c>
      <c r="R1874" s="4"/>
      <c r="S1874" s="14" t="s">
        <v>34</v>
      </c>
    </row>
    <row r="1875" spans="1:19">
      <c r="A1875" s="6" t="s">
        <v>3862</v>
      </c>
      <c r="B1875" s="7" t="s">
        <v>3863</v>
      </c>
      <c r="C1875" s="8" t="s">
        <v>4128</v>
      </c>
      <c r="D1875" s="8">
        <v>45226</v>
      </c>
      <c r="E1875" s="7">
        <v>10</v>
      </c>
      <c r="F1875" s="7">
        <v>27</v>
      </c>
      <c r="G1875" s="7">
        <v>2023</v>
      </c>
      <c r="H1875" s="8">
        <f t="shared" si="87"/>
        <v>45226</v>
      </c>
      <c r="I1875" s="11">
        <v>45231</v>
      </c>
      <c r="J1875" s="7">
        <f t="shared" si="88"/>
        <v>5</v>
      </c>
      <c r="K1875" s="7" t="s">
        <v>14</v>
      </c>
      <c r="L1875" s="7">
        <v>40110</v>
      </c>
      <c r="M1875" s="7">
        <v>960</v>
      </c>
      <c r="N1875" s="12">
        <v>1802.67</v>
      </c>
      <c r="O1875" s="12">
        <f t="shared" si="89"/>
        <v>1802.67</v>
      </c>
      <c r="P1875" s="7">
        <v>173</v>
      </c>
      <c r="Q1875" s="7" t="b">
        <v>0</v>
      </c>
      <c r="R1875" s="7"/>
      <c r="S1875" s="15" t="s">
        <v>16</v>
      </c>
    </row>
    <row r="1876" spans="1:19">
      <c r="A1876" s="3" t="s">
        <v>3864</v>
      </c>
      <c r="B1876" s="4" t="s">
        <v>3865</v>
      </c>
      <c r="C1876" s="5" t="s">
        <v>4129</v>
      </c>
      <c r="D1876" s="5">
        <v>44996</v>
      </c>
      <c r="E1876" s="4">
        <v>3</v>
      </c>
      <c r="F1876" s="4">
        <v>11</v>
      </c>
      <c r="G1876" s="4">
        <v>2023</v>
      </c>
      <c r="H1876" s="5">
        <f t="shared" si="87"/>
        <v>44996</v>
      </c>
      <c r="I1876" s="9">
        <v>45001</v>
      </c>
      <c r="J1876" s="4">
        <f t="shared" si="88"/>
        <v>5</v>
      </c>
      <c r="K1876" s="4" t="s">
        <v>41</v>
      </c>
      <c r="L1876" s="4">
        <v>62788</v>
      </c>
      <c r="M1876" s="4">
        <v>1937</v>
      </c>
      <c r="N1876" s="10">
        <v>1105.04</v>
      </c>
      <c r="O1876" s="10">
        <f t="shared" si="89"/>
        <v>1105.04</v>
      </c>
      <c r="P1876" s="4">
        <v>0</v>
      </c>
      <c r="Q1876" s="4" t="b">
        <v>0</v>
      </c>
      <c r="R1876" s="4"/>
      <c r="S1876" s="14" t="s">
        <v>68</v>
      </c>
    </row>
    <row r="1877" spans="1:19">
      <c r="A1877" s="6" t="s">
        <v>3866</v>
      </c>
      <c r="B1877" s="7" t="s">
        <v>3867</v>
      </c>
      <c r="C1877" s="8" t="s">
        <v>4131</v>
      </c>
      <c r="D1877" s="8">
        <v>44939</v>
      </c>
      <c r="E1877" s="7">
        <v>1</v>
      </c>
      <c r="F1877" s="7">
        <v>13</v>
      </c>
      <c r="G1877" s="7">
        <v>2023</v>
      </c>
      <c r="H1877" s="8">
        <f t="shared" si="87"/>
        <v>44939</v>
      </c>
      <c r="I1877" s="11">
        <v>44964</v>
      </c>
      <c r="J1877" s="7">
        <f t="shared" si="88"/>
        <v>25</v>
      </c>
      <c r="K1877" s="7" t="s">
        <v>19</v>
      </c>
      <c r="L1877" s="7">
        <v>83879</v>
      </c>
      <c r="M1877" s="7">
        <v>3504</v>
      </c>
      <c r="N1877" s="12">
        <v>3532.8</v>
      </c>
      <c r="O1877" s="12">
        <f t="shared" si="89"/>
        <v>3532.8</v>
      </c>
      <c r="P1877" s="7">
        <v>656</v>
      </c>
      <c r="Q1877" s="7" t="b">
        <v>0</v>
      </c>
      <c r="R1877" s="7"/>
      <c r="S1877" s="15" t="s">
        <v>20</v>
      </c>
    </row>
    <row r="1878" spans="1:19">
      <c r="A1878" s="3" t="s">
        <v>3868</v>
      </c>
      <c r="B1878" s="4" t="s">
        <v>3869</v>
      </c>
      <c r="C1878" s="5" t="s">
        <v>4127</v>
      </c>
      <c r="D1878" s="5">
        <v>45291</v>
      </c>
      <c r="E1878" s="4">
        <v>12</v>
      </c>
      <c r="F1878" s="4">
        <v>31</v>
      </c>
      <c r="G1878" s="4">
        <v>2023</v>
      </c>
      <c r="H1878" s="5">
        <f t="shared" si="87"/>
        <v>45291</v>
      </c>
      <c r="I1878" s="9">
        <v>45321</v>
      </c>
      <c r="J1878" s="4">
        <f t="shared" si="88"/>
        <v>30</v>
      </c>
      <c r="K1878" s="4" t="s">
        <v>33</v>
      </c>
      <c r="L1878" s="4">
        <v>39827</v>
      </c>
      <c r="M1878" s="4">
        <v>1807</v>
      </c>
      <c r="N1878" s="10">
        <v>2001.66</v>
      </c>
      <c r="O1878" s="10">
        <f t="shared" si="89"/>
        <v>2001.66</v>
      </c>
      <c r="P1878" s="4">
        <v>0</v>
      </c>
      <c r="Q1878" s="4" t="b">
        <v>1</v>
      </c>
      <c r="R1878" s="4"/>
      <c r="S1878" s="14" t="s">
        <v>34</v>
      </c>
    </row>
    <row r="1879" spans="1:19">
      <c r="A1879" s="6" t="s">
        <v>3870</v>
      </c>
      <c r="B1879" s="7" t="s">
        <v>3871</v>
      </c>
      <c r="C1879" s="8" t="s">
        <v>4127</v>
      </c>
      <c r="D1879" s="8">
        <v>44973</v>
      </c>
      <c r="E1879" s="7">
        <v>2</v>
      </c>
      <c r="F1879" s="7">
        <v>16</v>
      </c>
      <c r="G1879" s="7">
        <v>2023</v>
      </c>
      <c r="H1879" s="8">
        <f t="shared" si="87"/>
        <v>44973</v>
      </c>
      <c r="I1879" s="11">
        <v>44980</v>
      </c>
      <c r="J1879" s="7">
        <f t="shared" si="88"/>
        <v>7</v>
      </c>
      <c r="K1879" s="7" t="s">
        <v>41</v>
      </c>
      <c r="L1879" s="7">
        <v>6655</v>
      </c>
      <c r="M1879" s="7">
        <v>158</v>
      </c>
      <c r="N1879" s="12">
        <v>135.65</v>
      </c>
      <c r="O1879" s="12">
        <f t="shared" si="89"/>
        <v>135.65</v>
      </c>
      <c r="P1879" s="7">
        <v>19</v>
      </c>
      <c r="Q1879" s="7" t="b">
        <v>1</v>
      </c>
      <c r="R1879" s="7"/>
      <c r="S1879" s="15" t="s">
        <v>42</v>
      </c>
    </row>
    <row r="1880" spans="1:19">
      <c r="A1880" s="3" t="s">
        <v>3872</v>
      </c>
      <c r="B1880" s="4" t="s">
        <v>3873</v>
      </c>
      <c r="C1880" s="5" t="s">
        <v>4127</v>
      </c>
      <c r="D1880" s="5">
        <v>45291</v>
      </c>
      <c r="E1880" s="4">
        <v>12</v>
      </c>
      <c r="F1880" s="4">
        <v>31</v>
      </c>
      <c r="G1880" s="4">
        <v>2023</v>
      </c>
      <c r="H1880" s="5">
        <f t="shared" si="87"/>
        <v>45291</v>
      </c>
      <c r="I1880" s="9">
        <v>45294</v>
      </c>
      <c r="J1880" s="4">
        <f t="shared" si="88"/>
        <v>3</v>
      </c>
      <c r="K1880" s="4" t="s">
        <v>23</v>
      </c>
      <c r="L1880" s="4">
        <v>45859</v>
      </c>
      <c r="M1880" s="4">
        <v>1305</v>
      </c>
      <c r="N1880" s="10">
        <v>1883.52</v>
      </c>
      <c r="O1880" s="10">
        <f t="shared" si="89"/>
        <v>1883.52</v>
      </c>
      <c r="P1880" s="4">
        <v>151</v>
      </c>
      <c r="Q1880" s="4" t="b">
        <v>0</v>
      </c>
      <c r="R1880" s="4"/>
      <c r="S1880" s="14" t="s">
        <v>25</v>
      </c>
    </row>
    <row r="1881" spans="1:19">
      <c r="A1881" s="6" t="s">
        <v>3874</v>
      </c>
      <c r="B1881" s="7" t="s">
        <v>3875</v>
      </c>
      <c r="C1881" s="8" t="s">
        <v>4131</v>
      </c>
      <c r="D1881" s="8">
        <v>45049</v>
      </c>
      <c r="E1881" s="7">
        <v>5</v>
      </c>
      <c r="F1881" s="7">
        <v>3</v>
      </c>
      <c r="G1881" s="7">
        <v>2023</v>
      </c>
      <c r="H1881" s="8">
        <f t="shared" si="87"/>
        <v>45049</v>
      </c>
      <c r="I1881" s="11">
        <v>45010</v>
      </c>
      <c r="J1881" s="7">
        <f t="shared" si="88"/>
        <v>-39</v>
      </c>
      <c r="K1881" s="7" t="s">
        <v>41</v>
      </c>
      <c r="L1881" s="7">
        <v>54625</v>
      </c>
      <c r="M1881" s="7">
        <v>1451</v>
      </c>
      <c r="N1881" s="12">
        <v>2119.29</v>
      </c>
      <c r="O1881" s="12">
        <f t="shared" si="89"/>
        <v>2119.29</v>
      </c>
      <c r="P1881" s="7">
        <v>238</v>
      </c>
      <c r="Q1881" s="7" t="b">
        <v>0</v>
      </c>
      <c r="R1881" s="7"/>
      <c r="S1881" s="15" t="s">
        <v>42</v>
      </c>
    </row>
    <row r="1882" spans="1:19">
      <c r="A1882" s="3" t="s">
        <v>3876</v>
      </c>
      <c r="B1882" s="4" t="s">
        <v>3877</v>
      </c>
      <c r="C1882" s="5" t="s">
        <v>4131</v>
      </c>
      <c r="D1882" s="5">
        <v>45288</v>
      </c>
      <c r="E1882" s="4">
        <v>12</v>
      </c>
      <c r="F1882" s="4">
        <v>28</v>
      </c>
      <c r="G1882" s="4">
        <v>2023</v>
      </c>
      <c r="H1882" s="5">
        <f t="shared" si="87"/>
        <v>45288</v>
      </c>
      <c r="I1882" s="9">
        <v>45301</v>
      </c>
      <c r="J1882" s="4">
        <f t="shared" si="88"/>
        <v>13</v>
      </c>
      <c r="K1882" s="4" t="s">
        <v>41</v>
      </c>
      <c r="L1882" s="4">
        <v>53098</v>
      </c>
      <c r="M1882" s="4">
        <v>559</v>
      </c>
      <c r="N1882" s="10">
        <v>992.65</v>
      </c>
      <c r="O1882" s="10">
        <f t="shared" si="89"/>
        <v>992.65</v>
      </c>
      <c r="P1882" s="4">
        <v>63</v>
      </c>
      <c r="Q1882" s="4" t="b">
        <v>0</v>
      </c>
      <c r="R1882" s="4"/>
      <c r="S1882" s="14" t="s">
        <v>42</v>
      </c>
    </row>
    <row r="1883" spans="1:19">
      <c r="A1883" s="6" t="s">
        <v>3878</v>
      </c>
      <c r="B1883" s="7" t="s">
        <v>3879</v>
      </c>
      <c r="C1883" s="8" t="s">
        <v>4129</v>
      </c>
      <c r="D1883" s="8">
        <v>45195</v>
      </c>
      <c r="E1883" s="7">
        <v>9</v>
      </c>
      <c r="F1883" s="7">
        <v>26</v>
      </c>
      <c r="G1883" s="7">
        <v>2023</v>
      </c>
      <c r="H1883" s="8">
        <f t="shared" si="87"/>
        <v>45195</v>
      </c>
      <c r="I1883" s="11">
        <v>45204</v>
      </c>
      <c r="J1883" s="7">
        <f t="shared" si="88"/>
        <v>9</v>
      </c>
      <c r="K1883" s="7" t="s">
        <v>14</v>
      </c>
      <c r="L1883" s="7">
        <v>16251</v>
      </c>
      <c r="M1883" s="7">
        <v>354</v>
      </c>
      <c r="N1883" s="12">
        <v>570.4</v>
      </c>
      <c r="O1883" s="12">
        <f t="shared" si="89"/>
        <v>570.4</v>
      </c>
      <c r="P1883" s="7">
        <v>67</v>
      </c>
      <c r="Q1883" s="7" t="b">
        <v>1</v>
      </c>
      <c r="R1883" s="7"/>
      <c r="S1883" s="15" t="s">
        <v>16</v>
      </c>
    </row>
    <row r="1884" spans="1:19">
      <c r="A1884" s="3" t="s">
        <v>3880</v>
      </c>
      <c r="B1884" s="4" t="s">
        <v>3881</v>
      </c>
      <c r="C1884" s="5" t="s">
        <v>4129</v>
      </c>
      <c r="D1884" s="5">
        <v>45188</v>
      </c>
      <c r="E1884" s="4">
        <v>9</v>
      </c>
      <c r="F1884" s="4">
        <v>19</v>
      </c>
      <c r="G1884" s="4">
        <v>2023</v>
      </c>
      <c r="H1884" s="5">
        <f t="shared" si="87"/>
        <v>45188</v>
      </c>
      <c r="I1884" s="9">
        <v>45201</v>
      </c>
      <c r="J1884" s="4">
        <f t="shared" si="88"/>
        <v>13</v>
      </c>
      <c r="K1884" s="4" t="s">
        <v>19</v>
      </c>
      <c r="L1884" s="4">
        <v>1526</v>
      </c>
      <c r="M1884" s="4">
        <v>43</v>
      </c>
      <c r="N1884" s="10">
        <v>56.5</v>
      </c>
      <c r="O1884" s="10">
        <f t="shared" si="89"/>
        <v>56.5</v>
      </c>
      <c r="P1884" s="4">
        <v>7</v>
      </c>
      <c r="Q1884" s="4" t="b">
        <v>1</v>
      </c>
      <c r="R1884" s="4"/>
      <c r="S1884" s="14" t="s">
        <v>20</v>
      </c>
    </row>
    <row r="1885" spans="1:19">
      <c r="A1885" s="6" t="s">
        <v>3882</v>
      </c>
      <c r="B1885" s="7" t="s">
        <v>3883</v>
      </c>
      <c r="C1885" s="8" t="s">
        <v>4127</v>
      </c>
      <c r="D1885" s="8">
        <v>45208</v>
      </c>
      <c r="E1885" s="7">
        <v>10</v>
      </c>
      <c r="F1885" s="7">
        <v>9</v>
      </c>
      <c r="G1885" s="7">
        <v>2023</v>
      </c>
      <c r="H1885" s="8">
        <f t="shared" si="87"/>
        <v>45208</v>
      </c>
      <c r="I1885" s="11">
        <v>45216</v>
      </c>
      <c r="J1885" s="7">
        <f t="shared" si="88"/>
        <v>8</v>
      </c>
      <c r="K1885" s="7" t="s">
        <v>23</v>
      </c>
      <c r="L1885" s="7">
        <v>69760</v>
      </c>
      <c r="M1885" s="7">
        <v>1844</v>
      </c>
      <c r="N1885" s="12">
        <v>2729.82</v>
      </c>
      <c r="O1885" s="12">
        <f t="shared" si="89"/>
        <v>2729.82</v>
      </c>
      <c r="P1885" s="7">
        <v>0</v>
      </c>
      <c r="Q1885" s="7" t="b">
        <v>0</v>
      </c>
      <c r="R1885" s="7"/>
      <c r="S1885" s="15" t="s">
        <v>25</v>
      </c>
    </row>
    <row r="1886" spans="1:19">
      <c r="A1886" s="3" t="s">
        <v>3884</v>
      </c>
      <c r="B1886" s="4" t="s">
        <v>3885</v>
      </c>
      <c r="C1886" s="5" t="s">
        <v>4131</v>
      </c>
      <c r="D1886" s="5">
        <v>45098</v>
      </c>
      <c r="E1886" s="4">
        <v>6</v>
      </c>
      <c r="F1886" s="4">
        <v>21</v>
      </c>
      <c r="G1886" s="4">
        <v>2023</v>
      </c>
      <c r="H1886" s="5">
        <f t="shared" si="87"/>
        <v>45098</v>
      </c>
      <c r="I1886" s="9">
        <v>45100</v>
      </c>
      <c r="J1886" s="4">
        <f t="shared" si="88"/>
        <v>2</v>
      </c>
      <c r="K1886" s="4" t="s">
        <v>23</v>
      </c>
      <c r="L1886" s="4">
        <v>48837</v>
      </c>
      <c r="M1886" s="4">
        <v>1898</v>
      </c>
      <c r="N1886" s="10">
        <v>1729.05</v>
      </c>
      <c r="O1886" s="10">
        <f t="shared" si="89"/>
        <v>1729.05</v>
      </c>
      <c r="P1886" s="4">
        <v>115</v>
      </c>
      <c r="Q1886" s="4" t="b">
        <v>0</v>
      </c>
      <c r="R1886" s="4"/>
      <c r="S1886" s="14" t="s">
        <v>25</v>
      </c>
    </row>
    <row r="1887" spans="1:19">
      <c r="A1887" s="6" t="s">
        <v>3886</v>
      </c>
      <c r="B1887" s="7" t="s">
        <v>3887</v>
      </c>
      <c r="C1887" s="8" t="s">
        <v>4128</v>
      </c>
      <c r="D1887" s="8">
        <v>45003</v>
      </c>
      <c r="E1887" s="7">
        <v>3</v>
      </c>
      <c r="F1887" s="7">
        <v>18</v>
      </c>
      <c r="G1887" s="7">
        <v>2023</v>
      </c>
      <c r="H1887" s="8">
        <f t="shared" si="87"/>
        <v>45003</v>
      </c>
      <c r="I1887" s="11">
        <v>45005</v>
      </c>
      <c r="J1887" s="7">
        <f t="shared" si="88"/>
        <v>2</v>
      </c>
      <c r="K1887" s="7" t="s">
        <v>33</v>
      </c>
      <c r="L1887" s="7">
        <v>12536</v>
      </c>
      <c r="M1887" s="7">
        <v>318</v>
      </c>
      <c r="N1887" s="12">
        <v>441.89</v>
      </c>
      <c r="O1887" s="12">
        <f t="shared" si="89"/>
        <v>441.89</v>
      </c>
      <c r="P1887" s="7">
        <v>56</v>
      </c>
      <c r="Q1887" s="7" t="b">
        <v>1</v>
      </c>
      <c r="R1887" s="7"/>
      <c r="S1887" s="15" t="s">
        <v>34</v>
      </c>
    </row>
    <row r="1888" spans="1:19">
      <c r="A1888" s="3" t="s">
        <v>3888</v>
      </c>
      <c r="B1888" s="4" t="s">
        <v>3889</v>
      </c>
      <c r="C1888" s="5" t="s">
        <v>4129</v>
      </c>
      <c r="D1888" s="5" t="s">
        <v>3890</v>
      </c>
      <c r="E1888" s="4">
        <v>31</v>
      </c>
      <c r="F1888" s="4">
        <v>12</v>
      </c>
      <c r="G1888" s="4">
        <v>2023</v>
      </c>
      <c r="H1888" s="5">
        <f t="shared" si="87"/>
        <v>45291</v>
      </c>
      <c r="I1888" s="9">
        <v>45301</v>
      </c>
      <c r="J1888" s="4">
        <f t="shared" si="88"/>
        <v>10</v>
      </c>
      <c r="K1888" s="4" t="s">
        <v>14</v>
      </c>
      <c r="L1888" s="4">
        <v>29541</v>
      </c>
      <c r="M1888" s="4">
        <v>873</v>
      </c>
      <c r="N1888" s="10">
        <v>1077.14</v>
      </c>
      <c r="O1888" s="10">
        <f t="shared" si="89"/>
        <v>1077.14</v>
      </c>
      <c r="P1888" s="4">
        <v>146</v>
      </c>
      <c r="Q1888" s="4" t="b">
        <v>1</v>
      </c>
      <c r="R1888" s="4"/>
      <c r="S1888" s="14" t="s">
        <v>16</v>
      </c>
    </row>
    <row r="1889" spans="1:19">
      <c r="A1889" s="6" t="s">
        <v>3891</v>
      </c>
      <c r="B1889" s="7" t="s">
        <v>3892</v>
      </c>
      <c r="C1889" s="8" t="s">
        <v>4131</v>
      </c>
      <c r="D1889" s="8">
        <v>45084</v>
      </c>
      <c r="E1889" s="7">
        <v>6</v>
      </c>
      <c r="F1889" s="7">
        <v>7</v>
      </c>
      <c r="G1889" s="7">
        <v>2023</v>
      </c>
      <c r="H1889" s="8">
        <f t="shared" si="87"/>
        <v>45084</v>
      </c>
      <c r="I1889" s="11">
        <v>45085</v>
      </c>
      <c r="J1889" s="7">
        <f t="shared" si="88"/>
        <v>1</v>
      </c>
      <c r="K1889" s="7" t="s">
        <v>19</v>
      </c>
      <c r="L1889" s="7">
        <v>80083</v>
      </c>
      <c r="M1889" s="7">
        <v>2177</v>
      </c>
      <c r="N1889" s="12">
        <v>1523.94</v>
      </c>
      <c r="O1889" s="12">
        <f t="shared" si="89"/>
        <v>1523.94</v>
      </c>
      <c r="P1889" s="7">
        <v>142</v>
      </c>
      <c r="Q1889" s="7" t="b">
        <v>0</v>
      </c>
      <c r="R1889" s="7"/>
      <c r="S1889" s="15" t="s">
        <v>20</v>
      </c>
    </row>
    <row r="1890" spans="1:19">
      <c r="A1890" s="3" t="s">
        <v>3893</v>
      </c>
      <c r="B1890" s="4" t="s">
        <v>3894</v>
      </c>
      <c r="C1890" s="5" t="s">
        <v>4129</v>
      </c>
      <c r="D1890" s="5">
        <v>45155</v>
      </c>
      <c r="E1890" s="4">
        <v>8</v>
      </c>
      <c r="F1890" s="4">
        <v>17</v>
      </c>
      <c r="G1890" s="4">
        <v>2023</v>
      </c>
      <c r="H1890" s="5">
        <f t="shared" si="87"/>
        <v>45155</v>
      </c>
      <c r="I1890" s="9">
        <v>45160</v>
      </c>
      <c r="J1890" s="4">
        <f t="shared" si="88"/>
        <v>5</v>
      </c>
      <c r="K1890" s="4" t="s">
        <v>23</v>
      </c>
      <c r="L1890" s="4">
        <v>52027</v>
      </c>
      <c r="M1890" s="4">
        <v>2061</v>
      </c>
      <c r="N1890" s="10">
        <v>1780.33</v>
      </c>
      <c r="O1890" s="10">
        <f t="shared" si="89"/>
        <v>1780.33</v>
      </c>
      <c r="P1890" s="4">
        <v>136</v>
      </c>
      <c r="Q1890" s="4" t="b">
        <v>0</v>
      </c>
      <c r="R1890" s="4"/>
      <c r="S1890" s="14" t="s">
        <v>25</v>
      </c>
    </row>
    <row r="1891" spans="1:19">
      <c r="A1891" s="6" t="s">
        <v>3895</v>
      </c>
      <c r="B1891" s="7" t="s">
        <v>3896</v>
      </c>
      <c r="C1891" s="8" t="s">
        <v>4129</v>
      </c>
      <c r="D1891" s="8">
        <v>44994</v>
      </c>
      <c r="E1891" s="7">
        <v>3</v>
      </c>
      <c r="F1891" s="7">
        <v>9</v>
      </c>
      <c r="G1891" s="7">
        <v>2023</v>
      </c>
      <c r="H1891" s="8">
        <f t="shared" si="87"/>
        <v>44994</v>
      </c>
      <c r="I1891" s="11">
        <v>45179</v>
      </c>
      <c r="J1891" s="7">
        <f t="shared" si="88"/>
        <v>185</v>
      </c>
      <c r="K1891" s="7" t="s">
        <v>14</v>
      </c>
      <c r="L1891" s="7">
        <v>35531</v>
      </c>
      <c r="M1891" s="7">
        <v>1581</v>
      </c>
      <c r="N1891" s="12">
        <v>1482.25</v>
      </c>
      <c r="O1891" s="12">
        <f t="shared" si="89"/>
        <v>1482.25</v>
      </c>
      <c r="P1891" s="7">
        <v>0</v>
      </c>
      <c r="Q1891" s="7" t="b">
        <v>1</v>
      </c>
      <c r="R1891" s="7"/>
      <c r="S1891" s="15" t="s">
        <v>16</v>
      </c>
    </row>
    <row r="1892" spans="1:19">
      <c r="A1892" s="3" t="s">
        <v>3897</v>
      </c>
      <c r="B1892" s="4" t="s">
        <v>3898</v>
      </c>
      <c r="C1892" s="5" t="s">
        <v>4127</v>
      </c>
      <c r="D1892" s="5">
        <v>45204</v>
      </c>
      <c r="E1892" s="4">
        <v>10</v>
      </c>
      <c r="F1892" s="4">
        <v>5</v>
      </c>
      <c r="G1892" s="4">
        <v>2023</v>
      </c>
      <c r="H1892" s="5">
        <f t="shared" si="87"/>
        <v>45204</v>
      </c>
      <c r="I1892" s="9">
        <v>45070</v>
      </c>
      <c r="J1892" s="4">
        <f t="shared" si="88"/>
        <v>-134</v>
      </c>
      <c r="K1892" s="4" t="s">
        <v>33</v>
      </c>
      <c r="L1892" s="4">
        <v>9712</v>
      </c>
      <c r="M1892" s="4">
        <v>303</v>
      </c>
      <c r="N1892" s="10">
        <v>571.6</v>
      </c>
      <c r="O1892" s="10">
        <f t="shared" si="89"/>
        <v>571.6</v>
      </c>
      <c r="P1892" s="4">
        <v>15</v>
      </c>
      <c r="Q1892" s="4" t="b">
        <v>0</v>
      </c>
      <c r="R1892" s="4"/>
      <c r="S1892" s="14" t="s">
        <v>34</v>
      </c>
    </row>
    <row r="1893" spans="1:19">
      <c r="A1893" s="6" t="s">
        <v>3899</v>
      </c>
      <c r="B1893" s="7" t="s">
        <v>3900</v>
      </c>
      <c r="C1893" s="8" t="s">
        <v>4129</v>
      </c>
      <c r="D1893" s="8">
        <v>45181</v>
      </c>
      <c r="E1893" s="7">
        <v>9</v>
      </c>
      <c r="F1893" s="7">
        <v>12</v>
      </c>
      <c r="G1893" s="7">
        <v>2023</v>
      </c>
      <c r="H1893" s="8">
        <f t="shared" si="87"/>
        <v>45181</v>
      </c>
      <c r="I1893" s="11">
        <v>45200</v>
      </c>
      <c r="J1893" s="7">
        <f t="shared" si="88"/>
        <v>19</v>
      </c>
      <c r="K1893" s="7" t="s">
        <v>415</v>
      </c>
      <c r="L1893" s="7">
        <v>66455</v>
      </c>
      <c r="M1893" s="7">
        <v>2763</v>
      </c>
      <c r="N1893" s="12">
        <v>2336.34</v>
      </c>
      <c r="O1893" s="12">
        <f t="shared" si="89"/>
        <v>2336.34</v>
      </c>
      <c r="P1893" s="7">
        <v>365</v>
      </c>
      <c r="Q1893" s="7" t="b">
        <v>1</v>
      </c>
      <c r="R1893" s="7"/>
      <c r="S1893" s="15" t="s">
        <v>34</v>
      </c>
    </row>
    <row r="1894" spans="1:19">
      <c r="A1894" s="3" t="s">
        <v>3901</v>
      </c>
      <c r="B1894" s="4" t="s">
        <v>3902</v>
      </c>
      <c r="C1894" s="5" t="s">
        <v>4131</v>
      </c>
      <c r="D1894" s="5">
        <v>44929</v>
      </c>
      <c r="E1894" s="4">
        <v>1</v>
      </c>
      <c r="F1894" s="4">
        <v>3</v>
      </c>
      <c r="G1894" s="4">
        <v>2023</v>
      </c>
      <c r="H1894" s="5">
        <f t="shared" si="87"/>
        <v>44929</v>
      </c>
      <c r="I1894" s="9">
        <v>44936</v>
      </c>
      <c r="J1894" s="4">
        <f t="shared" si="88"/>
        <v>7</v>
      </c>
      <c r="K1894" s="4" t="s">
        <v>33</v>
      </c>
      <c r="L1894" s="4">
        <v>75744</v>
      </c>
      <c r="M1894" s="4">
        <v>1656</v>
      </c>
      <c r="N1894" s="10">
        <v>1546.48</v>
      </c>
      <c r="O1894" s="10">
        <f t="shared" si="89"/>
        <v>1546.48</v>
      </c>
      <c r="P1894" s="4">
        <v>324</v>
      </c>
      <c r="Q1894" s="4" t="b">
        <v>1</v>
      </c>
      <c r="R1894" s="4"/>
      <c r="S1894" s="14" t="s">
        <v>34</v>
      </c>
    </row>
    <row r="1895" spans="1:19">
      <c r="A1895" s="6" t="s">
        <v>3903</v>
      </c>
      <c r="B1895" s="7" t="s">
        <v>3904</v>
      </c>
      <c r="C1895" s="8" t="s">
        <v>4127</v>
      </c>
      <c r="D1895" s="8">
        <v>45038</v>
      </c>
      <c r="E1895" s="7">
        <v>4</v>
      </c>
      <c r="F1895" s="7">
        <v>22</v>
      </c>
      <c r="G1895" s="7">
        <v>2023</v>
      </c>
      <c r="H1895" s="8">
        <f t="shared" si="87"/>
        <v>45038</v>
      </c>
      <c r="I1895" s="11">
        <v>45052</v>
      </c>
      <c r="J1895" s="7">
        <f t="shared" si="88"/>
        <v>14</v>
      </c>
      <c r="K1895" s="7" t="s">
        <v>41</v>
      </c>
      <c r="L1895" s="7">
        <v>6109</v>
      </c>
      <c r="M1895" s="7">
        <v>193</v>
      </c>
      <c r="N1895" s="12">
        <v>203.43</v>
      </c>
      <c r="O1895" s="12">
        <f t="shared" si="89"/>
        <v>203.43</v>
      </c>
      <c r="P1895" s="7">
        <v>22</v>
      </c>
      <c r="Q1895" s="7" t="b">
        <v>1</v>
      </c>
      <c r="R1895" s="7"/>
      <c r="S1895" s="15" t="s">
        <v>42</v>
      </c>
    </row>
    <row r="1896" spans="1:19">
      <c r="A1896" s="3" t="s">
        <v>3905</v>
      </c>
      <c r="B1896" s="4" t="s">
        <v>3906</v>
      </c>
      <c r="C1896" s="5" t="s">
        <v>4128</v>
      </c>
      <c r="D1896" s="5">
        <v>45136</v>
      </c>
      <c r="E1896" s="4">
        <v>7</v>
      </c>
      <c r="F1896" s="4">
        <v>29</v>
      </c>
      <c r="G1896" s="4">
        <v>2023</v>
      </c>
      <c r="H1896" s="5">
        <f t="shared" si="87"/>
        <v>45136</v>
      </c>
      <c r="I1896" s="9">
        <v>45162</v>
      </c>
      <c r="J1896" s="4">
        <f t="shared" si="88"/>
        <v>26</v>
      </c>
      <c r="K1896" s="4" t="s">
        <v>23</v>
      </c>
      <c r="L1896" s="4">
        <v>50268</v>
      </c>
      <c r="M1896" s="4">
        <v>1196</v>
      </c>
      <c r="N1896" s="10">
        <v>1788.75</v>
      </c>
      <c r="O1896" s="10">
        <f t="shared" si="89"/>
        <v>1788.75</v>
      </c>
      <c r="P1896" s="4">
        <v>156</v>
      </c>
      <c r="Q1896" s="4" t="b">
        <v>1</v>
      </c>
      <c r="R1896" s="4"/>
      <c r="S1896" s="14" t="s">
        <v>25</v>
      </c>
    </row>
    <row r="1897" spans="1:19">
      <c r="A1897" s="6" t="s">
        <v>3907</v>
      </c>
      <c r="B1897" s="7" t="s">
        <v>3908</v>
      </c>
      <c r="C1897" s="8" t="s">
        <v>4127</v>
      </c>
      <c r="D1897" s="8">
        <v>44930</v>
      </c>
      <c r="E1897" s="7">
        <v>1</v>
      </c>
      <c r="F1897" s="7">
        <v>4</v>
      </c>
      <c r="G1897" s="7">
        <v>2023</v>
      </c>
      <c r="H1897" s="8">
        <f t="shared" si="87"/>
        <v>44930</v>
      </c>
      <c r="I1897" s="11">
        <v>44957</v>
      </c>
      <c r="J1897" s="7">
        <f t="shared" si="88"/>
        <v>27</v>
      </c>
      <c r="K1897" s="7" t="s">
        <v>41</v>
      </c>
      <c r="L1897" s="7">
        <v>55615</v>
      </c>
      <c r="M1897" s="7">
        <v>1477</v>
      </c>
      <c r="N1897" s="12">
        <v>1000.46</v>
      </c>
      <c r="O1897" s="12">
        <f t="shared" si="89"/>
        <v>1000.46</v>
      </c>
      <c r="P1897" s="7">
        <v>288</v>
      </c>
      <c r="Q1897" s="7" t="b">
        <v>1</v>
      </c>
      <c r="R1897" s="7"/>
      <c r="S1897" s="15" t="s">
        <v>42</v>
      </c>
    </row>
    <row r="1898" spans="1:19">
      <c r="A1898" s="3" t="s">
        <v>3909</v>
      </c>
      <c r="B1898" s="4" t="s">
        <v>3910</v>
      </c>
      <c r="C1898" s="5" t="s">
        <v>4128</v>
      </c>
      <c r="D1898" s="5">
        <v>45244</v>
      </c>
      <c r="E1898" s="4">
        <v>11</v>
      </c>
      <c r="F1898" s="4">
        <v>14</v>
      </c>
      <c r="G1898" s="4">
        <v>2023</v>
      </c>
      <c r="H1898" s="5">
        <f t="shared" si="87"/>
        <v>45244</v>
      </c>
      <c r="I1898" s="9">
        <v>45273</v>
      </c>
      <c r="J1898" s="4">
        <f t="shared" si="88"/>
        <v>29</v>
      </c>
      <c r="K1898" s="4" t="s">
        <v>19</v>
      </c>
      <c r="L1898" s="4">
        <v>83503</v>
      </c>
      <c r="M1898" s="4">
        <v>3281</v>
      </c>
      <c r="N1898" s="10">
        <v>6335.34</v>
      </c>
      <c r="O1898" s="10">
        <f t="shared" si="89"/>
        <v>3632.575</v>
      </c>
      <c r="P1898" s="4">
        <v>289</v>
      </c>
      <c r="Q1898" s="4" t="b">
        <v>0</v>
      </c>
      <c r="R1898" s="4"/>
      <c r="S1898" s="14" t="s">
        <v>20</v>
      </c>
    </row>
    <row r="1899" spans="1:19">
      <c r="A1899" s="6" t="s">
        <v>3911</v>
      </c>
      <c r="B1899" s="7" t="s">
        <v>3912</v>
      </c>
      <c r="C1899" s="8" t="s">
        <v>4128</v>
      </c>
      <c r="D1899" s="8" t="s">
        <v>3913</v>
      </c>
      <c r="E1899" s="7">
        <v>17</v>
      </c>
      <c r="F1899" s="7">
        <v>4</v>
      </c>
      <c r="G1899" s="7">
        <v>2023</v>
      </c>
      <c r="H1899" s="8">
        <f t="shared" si="87"/>
        <v>45033</v>
      </c>
      <c r="I1899" s="11">
        <v>45038</v>
      </c>
      <c r="J1899" s="7">
        <f t="shared" si="88"/>
        <v>5</v>
      </c>
      <c r="K1899" s="7" t="s">
        <v>138</v>
      </c>
      <c r="L1899" s="7">
        <v>30759</v>
      </c>
      <c r="M1899" s="7">
        <v>1392</v>
      </c>
      <c r="N1899" s="12">
        <v>-2503.31</v>
      </c>
      <c r="O1899" s="12">
        <f t="shared" si="89"/>
        <v>-344.195</v>
      </c>
      <c r="P1899" s="7">
        <v>0</v>
      </c>
      <c r="Q1899" s="7" t="b">
        <v>1</v>
      </c>
      <c r="R1899" s="7"/>
      <c r="S1899" s="15" t="s">
        <v>139</v>
      </c>
    </row>
    <row r="1900" spans="1:19">
      <c r="A1900" s="3" t="s">
        <v>3914</v>
      </c>
      <c r="B1900" s="4" t="s">
        <v>3915</v>
      </c>
      <c r="C1900" s="5" t="s">
        <v>4129</v>
      </c>
      <c r="D1900" s="5" t="s">
        <v>865</v>
      </c>
      <c r="E1900" s="4">
        <v>17</v>
      </c>
      <c r="F1900" s="4">
        <v>3</v>
      </c>
      <c r="G1900" s="4">
        <v>2023</v>
      </c>
      <c r="H1900" s="5">
        <f t="shared" si="87"/>
        <v>45002</v>
      </c>
      <c r="I1900" s="9">
        <v>45016</v>
      </c>
      <c r="J1900" s="4">
        <f t="shared" si="88"/>
        <v>14</v>
      </c>
      <c r="K1900" s="4" t="s">
        <v>23</v>
      </c>
      <c r="L1900" s="4">
        <v>86708</v>
      </c>
      <c r="M1900" s="4">
        <v>1288</v>
      </c>
      <c r="N1900" s="10">
        <v>1759.18</v>
      </c>
      <c r="O1900" s="10">
        <f t="shared" si="89"/>
        <v>1759.18</v>
      </c>
      <c r="P1900" s="4">
        <v>0</v>
      </c>
      <c r="Q1900" s="4" t="b">
        <v>0</v>
      </c>
      <c r="R1900" s="4"/>
      <c r="S1900" s="14" t="s">
        <v>25</v>
      </c>
    </row>
    <row r="1901" spans="1:19">
      <c r="A1901" s="6" t="s">
        <v>3916</v>
      </c>
      <c r="B1901" s="7" t="s">
        <v>3917</v>
      </c>
      <c r="C1901" s="8" t="s">
        <v>4131</v>
      </c>
      <c r="D1901" s="8" t="s">
        <v>3918</v>
      </c>
      <c r="E1901" s="7">
        <v>28</v>
      </c>
      <c r="F1901" s="7">
        <v>6</v>
      </c>
      <c r="G1901" s="7">
        <v>2023</v>
      </c>
      <c r="H1901" s="8">
        <f t="shared" si="87"/>
        <v>45105</v>
      </c>
      <c r="I1901" s="11">
        <v>45123</v>
      </c>
      <c r="J1901" s="7">
        <f t="shared" si="88"/>
        <v>18</v>
      </c>
      <c r="K1901" s="7" t="s">
        <v>23</v>
      </c>
      <c r="L1901" s="7">
        <v>61112</v>
      </c>
      <c r="M1901" s="7">
        <v>2162</v>
      </c>
      <c r="N1901" s="12">
        <v>3266.9</v>
      </c>
      <c r="O1901" s="12">
        <f t="shared" si="89"/>
        <v>3266.9</v>
      </c>
      <c r="P1901" s="7">
        <v>292</v>
      </c>
      <c r="Q1901" s="7" t="b">
        <v>1</v>
      </c>
      <c r="R1901" s="7"/>
      <c r="S1901" s="15" t="s">
        <v>25</v>
      </c>
    </row>
    <row r="1902" spans="1:19">
      <c r="A1902" s="3" t="s">
        <v>3919</v>
      </c>
      <c r="B1902" s="4" t="s">
        <v>3920</v>
      </c>
      <c r="C1902" s="5" t="s">
        <v>4129</v>
      </c>
      <c r="D1902" s="5">
        <v>44943</v>
      </c>
      <c r="E1902" s="4">
        <v>1</v>
      </c>
      <c r="F1902" s="4">
        <v>17</v>
      </c>
      <c r="G1902" s="4">
        <v>2023</v>
      </c>
      <c r="H1902" s="5">
        <f t="shared" si="87"/>
        <v>44943</v>
      </c>
      <c r="I1902" s="9">
        <v>44962</v>
      </c>
      <c r="J1902" s="4">
        <f t="shared" si="88"/>
        <v>19</v>
      </c>
      <c r="K1902" s="4" t="s">
        <v>33</v>
      </c>
      <c r="L1902" s="4">
        <v>27589</v>
      </c>
      <c r="M1902" s="4">
        <v>918</v>
      </c>
      <c r="N1902" s="10">
        <v>481.94</v>
      </c>
      <c r="O1902" s="10">
        <f t="shared" si="89"/>
        <v>481.94</v>
      </c>
      <c r="P1902" s="4">
        <v>93</v>
      </c>
      <c r="Q1902" s="4" t="b">
        <v>1</v>
      </c>
      <c r="R1902" s="4"/>
      <c r="S1902" s="14" t="s">
        <v>34</v>
      </c>
    </row>
    <row r="1903" spans="1:19">
      <c r="A1903" s="6" t="s">
        <v>3921</v>
      </c>
      <c r="B1903" s="7" t="s">
        <v>3922</v>
      </c>
      <c r="C1903" s="8" t="s">
        <v>4127</v>
      </c>
      <c r="D1903" s="8">
        <v>45079</v>
      </c>
      <c r="E1903" s="7">
        <v>6</v>
      </c>
      <c r="F1903" s="7">
        <v>2</v>
      </c>
      <c r="G1903" s="7">
        <v>2023</v>
      </c>
      <c r="H1903" s="8">
        <f t="shared" si="87"/>
        <v>45079</v>
      </c>
      <c r="I1903" s="11">
        <v>44972</v>
      </c>
      <c r="J1903" s="7">
        <f t="shared" si="88"/>
        <v>-107</v>
      </c>
      <c r="K1903" s="7" t="s">
        <v>33</v>
      </c>
      <c r="L1903" s="7">
        <v>31015</v>
      </c>
      <c r="M1903" s="7">
        <v>457</v>
      </c>
      <c r="N1903" s="12">
        <v>460.85</v>
      </c>
      <c r="O1903" s="12">
        <f t="shared" si="89"/>
        <v>460.85</v>
      </c>
      <c r="P1903" s="7">
        <v>61</v>
      </c>
      <c r="Q1903" s="7" t="b">
        <v>0</v>
      </c>
      <c r="R1903" s="7"/>
      <c r="S1903" s="15" t="s">
        <v>34</v>
      </c>
    </row>
    <row r="1904" spans="1:19">
      <c r="A1904" s="3" t="s">
        <v>3923</v>
      </c>
      <c r="B1904" s="4" t="s">
        <v>3924</v>
      </c>
      <c r="C1904" s="5" t="s">
        <v>4131</v>
      </c>
      <c r="D1904" s="5">
        <v>44982</v>
      </c>
      <c r="E1904" s="4">
        <v>2</v>
      </c>
      <c r="F1904" s="4">
        <v>25</v>
      </c>
      <c r="G1904" s="4">
        <v>2023</v>
      </c>
      <c r="H1904" s="5">
        <f t="shared" si="87"/>
        <v>44982</v>
      </c>
      <c r="I1904" s="9">
        <v>45012</v>
      </c>
      <c r="J1904" s="4">
        <f t="shared" si="88"/>
        <v>30</v>
      </c>
      <c r="K1904" s="4" t="s">
        <v>23</v>
      </c>
      <c r="L1904" s="4">
        <v>30009</v>
      </c>
      <c r="M1904" s="4">
        <v>554</v>
      </c>
      <c r="N1904" s="10">
        <v>938.19</v>
      </c>
      <c r="O1904" s="10">
        <f t="shared" si="89"/>
        <v>938.19</v>
      </c>
      <c r="P1904" s="4">
        <v>33</v>
      </c>
      <c r="Q1904" s="4" t="b">
        <v>1</v>
      </c>
      <c r="R1904" s="4"/>
      <c r="S1904" s="14" t="s">
        <v>25</v>
      </c>
    </row>
    <row r="1905" spans="1:19">
      <c r="A1905" s="6" t="s">
        <v>3925</v>
      </c>
      <c r="B1905" s="7" t="s">
        <v>3926</v>
      </c>
      <c r="C1905" s="8" t="s">
        <v>4127</v>
      </c>
      <c r="D1905" s="8">
        <v>45271</v>
      </c>
      <c r="E1905" s="7">
        <v>12</v>
      </c>
      <c r="F1905" s="7">
        <v>11</v>
      </c>
      <c r="G1905" s="7">
        <v>2023</v>
      </c>
      <c r="H1905" s="8">
        <f t="shared" si="87"/>
        <v>45271</v>
      </c>
      <c r="I1905" s="11">
        <v>45278</v>
      </c>
      <c r="J1905" s="7">
        <f t="shared" si="88"/>
        <v>7</v>
      </c>
      <c r="K1905" s="7" t="s">
        <v>33</v>
      </c>
      <c r="L1905" s="7">
        <v>84309</v>
      </c>
      <c r="M1905" s="7">
        <v>1891</v>
      </c>
      <c r="N1905" s="12">
        <v>1165.28</v>
      </c>
      <c r="O1905" s="12">
        <f t="shared" si="89"/>
        <v>1165.28</v>
      </c>
      <c r="P1905" s="7">
        <v>311</v>
      </c>
      <c r="Q1905" s="7" t="b">
        <v>0</v>
      </c>
      <c r="R1905" s="7"/>
      <c r="S1905" s="15" t="s">
        <v>34</v>
      </c>
    </row>
    <row r="1906" spans="1:19">
      <c r="A1906" s="3" t="s">
        <v>3927</v>
      </c>
      <c r="B1906" s="4" t="s">
        <v>3928</v>
      </c>
      <c r="C1906" s="5" t="s">
        <v>4127</v>
      </c>
      <c r="D1906" s="5">
        <v>45285</v>
      </c>
      <c r="E1906" s="4">
        <v>12</v>
      </c>
      <c r="F1906" s="4">
        <v>25</v>
      </c>
      <c r="G1906" s="4">
        <v>2023</v>
      </c>
      <c r="H1906" s="5">
        <f t="shared" si="87"/>
        <v>45285</v>
      </c>
      <c r="I1906" s="9">
        <v>45286</v>
      </c>
      <c r="J1906" s="4">
        <f t="shared" si="88"/>
        <v>1</v>
      </c>
      <c r="K1906" s="4" t="s">
        <v>14</v>
      </c>
      <c r="L1906" s="4">
        <v>63046</v>
      </c>
      <c r="M1906" s="4">
        <v>1051</v>
      </c>
      <c r="N1906" s="10">
        <v>970.57</v>
      </c>
      <c r="O1906" s="10">
        <f t="shared" si="89"/>
        <v>970.57</v>
      </c>
      <c r="P1906" s="4">
        <v>0</v>
      </c>
      <c r="Q1906" s="4" t="b">
        <v>1</v>
      </c>
      <c r="R1906" s="4"/>
      <c r="S1906" s="14" t="s">
        <v>16</v>
      </c>
    </row>
    <row r="1907" spans="1:19">
      <c r="A1907" s="6" t="s">
        <v>3929</v>
      </c>
      <c r="B1907" s="7" t="s">
        <v>3930</v>
      </c>
      <c r="C1907" s="8" t="s">
        <v>4129</v>
      </c>
      <c r="D1907" s="8">
        <v>45017</v>
      </c>
      <c r="E1907" s="7">
        <v>4</v>
      </c>
      <c r="F1907" s="7">
        <v>1</v>
      </c>
      <c r="G1907" s="7">
        <v>2023</v>
      </c>
      <c r="H1907" s="8">
        <f t="shared" si="87"/>
        <v>45017</v>
      </c>
      <c r="I1907" s="11">
        <v>45020</v>
      </c>
      <c r="J1907" s="7">
        <f t="shared" si="88"/>
        <v>3</v>
      </c>
      <c r="K1907" s="7" t="s">
        <v>23</v>
      </c>
      <c r="L1907" s="7">
        <v>27143</v>
      </c>
      <c r="M1907" s="7">
        <v>536</v>
      </c>
      <c r="N1907" s="12">
        <v>738.58</v>
      </c>
      <c r="O1907" s="12">
        <f t="shared" si="89"/>
        <v>738.58</v>
      </c>
      <c r="P1907" s="7">
        <v>98</v>
      </c>
      <c r="Q1907" s="7" t="b">
        <v>1</v>
      </c>
      <c r="R1907" s="7"/>
      <c r="S1907" s="15" t="s">
        <v>25</v>
      </c>
    </row>
    <row r="1908" spans="1:19">
      <c r="A1908" s="3" t="s">
        <v>3931</v>
      </c>
      <c r="B1908" s="4" t="s">
        <v>3932</v>
      </c>
      <c r="C1908" s="5" t="s">
        <v>4128</v>
      </c>
      <c r="D1908" s="5">
        <v>45111</v>
      </c>
      <c r="E1908" s="4">
        <v>7</v>
      </c>
      <c r="F1908" s="4">
        <v>4</v>
      </c>
      <c r="G1908" s="4">
        <v>2023</v>
      </c>
      <c r="H1908" s="5">
        <f t="shared" si="87"/>
        <v>45111</v>
      </c>
      <c r="I1908" s="9">
        <v>45029</v>
      </c>
      <c r="J1908" s="4">
        <f t="shared" si="88"/>
        <v>-82</v>
      </c>
      <c r="K1908" s="4" t="s">
        <v>19</v>
      </c>
      <c r="L1908" s="4">
        <v>7154</v>
      </c>
      <c r="M1908" s="4">
        <v>148</v>
      </c>
      <c r="N1908" s="10">
        <v>130.92</v>
      </c>
      <c r="O1908" s="10">
        <f t="shared" si="89"/>
        <v>130.92</v>
      </c>
      <c r="P1908" s="4">
        <v>15</v>
      </c>
      <c r="Q1908" s="4" t="b">
        <v>1</v>
      </c>
      <c r="R1908" s="4"/>
      <c r="S1908" s="14" t="s">
        <v>20</v>
      </c>
    </row>
    <row r="1909" spans="1:19">
      <c r="A1909" s="6" t="s">
        <v>3933</v>
      </c>
      <c r="B1909" s="7" t="s">
        <v>3934</v>
      </c>
      <c r="C1909" s="8" t="s">
        <v>4127</v>
      </c>
      <c r="D1909" s="8">
        <v>45080</v>
      </c>
      <c r="E1909" s="7">
        <v>6</v>
      </c>
      <c r="F1909" s="7">
        <v>3</v>
      </c>
      <c r="G1909" s="7">
        <v>2023</v>
      </c>
      <c r="H1909" s="8">
        <f t="shared" si="87"/>
        <v>45080</v>
      </c>
      <c r="I1909" s="11">
        <v>45108</v>
      </c>
      <c r="J1909" s="7">
        <f t="shared" si="88"/>
        <v>28</v>
      </c>
      <c r="K1909" s="7" t="s">
        <v>138</v>
      </c>
      <c r="L1909" s="7">
        <v>22804</v>
      </c>
      <c r="M1909" s="7">
        <v>534</v>
      </c>
      <c r="N1909" s="12">
        <v>1015.12</v>
      </c>
      <c r="O1909" s="12">
        <f t="shared" si="89"/>
        <v>1015.12</v>
      </c>
      <c r="P1909" s="7">
        <v>38</v>
      </c>
      <c r="Q1909" s="7" t="b">
        <v>1</v>
      </c>
      <c r="R1909" s="7"/>
      <c r="S1909" s="15" t="s">
        <v>139</v>
      </c>
    </row>
    <row r="1910" spans="1:19">
      <c r="A1910" s="3" t="s">
        <v>3935</v>
      </c>
      <c r="B1910" s="4" t="s">
        <v>3936</v>
      </c>
      <c r="C1910" s="5" t="s">
        <v>4131</v>
      </c>
      <c r="D1910" s="5">
        <v>44961</v>
      </c>
      <c r="E1910" s="4">
        <v>2</v>
      </c>
      <c r="F1910" s="4">
        <v>4</v>
      </c>
      <c r="G1910" s="4">
        <v>2023</v>
      </c>
      <c r="H1910" s="5">
        <f t="shared" si="87"/>
        <v>44961</v>
      </c>
      <c r="I1910" s="9">
        <v>44963</v>
      </c>
      <c r="J1910" s="4">
        <f t="shared" si="88"/>
        <v>2</v>
      </c>
      <c r="K1910" s="4" t="s">
        <v>14</v>
      </c>
      <c r="L1910" s="4">
        <v>42688</v>
      </c>
      <c r="M1910" s="4">
        <v>1706</v>
      </c>
      <c r="N1910" s="10">
        <v>1188.38</v>
      </c>
      <c r="O1910" s="10">
        <f t="shared" si="89"/>
        <v>1188.38</v>
      </c>
      <c r="P1910" s="4">
        <v>263</v>
      </c>
      <c r="Q1910" s="4" t="b">
        <v>1</v>
      </c>
      <c r="R1910" s="4"/>
      <c r="S1910" s="14" t="s">
        <v>16</v>
      </c>
    </row>
    <row r="1911" spans="1:19">
      <c r="A1911" s="6" t="s">
        <v>3937</v>
      </c>
      <c r="B1911" s="7" t="s">
        <v>3938</v>
      </c>
      <c r="C1911" s="8" t="s">
        <v>4127</v>
      </c>
      <c r="D1911" s="8">
        <v>44960</v>
      </c>
      <c r="E1911" s="7">
        <v>2</v>
      </c>
      <c r="F1911" s="7">
        <v>3</v>
      </c>
      <c r="G1911" s="7">
        <v>2023</v>
      </c>
      <c r="H1911" s="8">
        <f t="shared" si="87"/>
        <v>44960</v>
      </c>
      <c r="I1911" s="11">
        <v>44969</v>
      </c>
      <c r="J1911" s="7">
        <f t="shared" si="88"/>
        <v>9</v>
      </c>
      <c r="K1911" s="7" t="s">
        <v>41</v>
      </c>
      <c r="L1911" s="7">
        <v>65288</v>
      </c>
      <c r="M1911" s="7">
        <v>2146</v>
      </c>
      <c r="N1911" s="12">
        <v>3639.81</v>
      </c>
      <c r="O1911" s="12">
        <f t="shared" si="89"/>
        <v>3632.575</v>
      </c>
      <c r="P1911" s="7">
        <v>160</v>
      </c>
      <c r="Q1911" s="7" t="b">
        <v>1</v>
      </c>
      <c r="R1911" s="7"/>
      <c r="S1911" s="15" t="s">
        <v>42</v>
      </c>
    </row>
    <row r="1912" spans="1:19">
      <c r="A1912" s="3" t="s">
        <v>3939</v>
      </c>
      <c r="B1912" s="4" t="s">
        <v>3940</v>
      </c>
      <c r="C1912" s="5" t="s">
        <v>4128</v>
      </c>
      <c r="D1912" s="5">
        <v>45282</v>
      </c>
      <c r="E1912" s="4">
        <v>12</v>
      </c>
      <c r="F1912" s="4">
        <v>22</v>
      </c>
      <c r="G1912" s="4">
        <v>2023</v>
      </c>
      <c r="H1912" s="5">
        <f t="shared" si="87"/>
        <v>45282</v>
      </c>
      <c r="I1912" s="9">
        <v>45306</v>
      </c>
      <c r="J1912" s="4">
        <f t="shared" si="88"/>
        <v>24</v>
      </c>
      <c r="K1912" s="4" t="s">
        <v>19</v>
      </c>
      <c r="L1912" s="4">
        <v>52195</v>
      </c>
      <c r="M1912" s="4">
        <v>2581</v>
      </c>
      <c r="N1912" s="10">
        <v>3257.02</v>
      </c>
      <c r="O1912" s="10">
        <f t="shared" si="89"/>
        <v>3257.02</v>
      </c>
      <c r="P1912" s="4">
        <v>420</v>
      </c>
      <c r="Q1912" s="4" t="b">
        <v>0</v>
      </c>
      <c r="R1912" s="4"/>
      <c r="S1912" s="14" t="s">
        <v>20</v>
      </c>
    </row>
    <row r="1913" spans="1:19">
      <c r="A1913" s="6" t="s">
        <v>3941</v>
      </c>
      <c r="B1913" s="7" t="s">
        <v>3942</v>
      </c>
      <c r="C1913" s="8" t="s">
        <v>4128</v>
      </c>
      <c r="D1913" s="8">
        <v>45138</v>
      </c>
      <c r="E1913" s="7">
        <v>7</v>
      </c>
      <c r="F1913" s="7">
        <v>31</v>
      </c>
      <c r="G1913" s="7">
        <v>2023</v>
      </c>
      <c r="H1913" s="8">
        <f t="shared" si="87"/>
        <v>45138</v>
      </c>
      <c r="I1913" s="11">
        <v>45154</v>
      </c>
      <c r="J1913" s="7">
        <f t="shared" si="88"/>
        <v>16</v>
      </c>
      <c r="K1913" s="7" t="s">
        <v>33</v>
      </c>
      <c r="L1913" s="7">
        <v>21581</v>
      </c>
      <c r="M1913" s="7">
        <v>573</v>
      </c>
      <c r="N1913" s="12">
        <v>931.41</v>
      </c>
      <c r="O1913" s="12">
        <f t="shared" si="89"/>
        <v>931.41</v>
      </c>
      <c r="P1913" s="7">
        <v>0</v>
      </c>
      <c r="Q1913" s="7" t="b">
        <v>1</v>
      </c>
      <c r="R1913" s="7"/>
      <c r="S1913" s="15" t="s">
        <v>34</v>
      </c>
    </row>
    <row r="1914" spans="1:19">
      <c r="A1914" s="3" t="s">
        <v>3943</v>
      </c>
      <c r="B1914" s="4" t="s">
        <v>3944</v>
      </c>
      <c r="C1914" s="5" t="s">
        <v>4131</v>
      </c>
      <c r="D1914" s="5">
        <v>45210</v>
      </c>
      <c r="E1914" s="4">
        <v>10</v>
      </c>
      <c r="F1914" s="4">
        <v>11</v>
      </c>
      <c r="G1914" s="4">
        <v>2023</v>
      </c>
      <c r="H1914" s="5">
        <f t="shared" si="87"/>
        <v>45210</v>
      </c>
      <c r="I1914" s="9">
        <v>45266</v>
      </c>
      <c r="J1914" s="4">
        <f t="shared" si="88"/>
        <v>56</v>
      </c>
      <c r="K1914" s="4" t="s">
        <v>19</v>
      </c>
      <c r="L1914" s="4">
        <v>53648</v>
      </c>
      <c r="M1914" s="4">
        <v>2154</v>
      </c>
      <c r="N1914" s="10">
        <v>2080.92</v>
      </c>
      <c r="O1914" s="10">
        <f t="shared" si="89"/>
        <v>2080.92</v>
      </c>
      <c r="P1914" s="4">
        <v>359</v>
      </c>
      <c r="Q1914" s="4" t="b">
        <v>0</v>
      </c>
      <c r="R1914" s="4"/>
      <c r="S1914" s="14" t="s">
        <v>20</v>
      </c>
    </row>
    <row r="1915" spans="1:19">
      <c r="A1915" s="6" t="s">
        <v>3945</v>
      </c>
      <c r="B1915" s="7" t="s">
        <v>3946</v>
      </c>
      <c r="C1915" s="8" t="s">
        <v>4129</v>
      </c>
      <c r="D1915" s="8">
        <v>45219</v>
      </c>
      <c r="E1915" s="7">
        <v>10</v>
      </c>
      <c r="F1915" s="7">
        <v>20</v>
      </c>
      <c r="G1915" s="7">
        <v>2023</v>
      </c>
      <c r="H1915" s="8">
        <f t="shared" si="87"/>
        <v>45219</v>
      </c>
      <c r="I1915" s="11">
        <v>45222</v>
      </c>
      <c r="J1915" s="7">
        <f t="shared" si="88"/>
        <v>3</v>
      </c>
      <c r="K1915" s="7" t="s">
        <v>23</v>
      </c>
      <c r="L1915" s="7">
        <v>31087</v>
      </c>
      <c r="M1915" s="7">
        <v>1394</v>
      </c>
      <c r="N1915" s="12">
        <v>1772.8</v>
      </c>
      <c r="O1915" s="12">
        <f t="shared" si="89"/>
        <v>1772.8</v>
      </c>
      <c r="P1915" s="7">
        <v>74</v>
      </c>
      <c r="Q1915" s="7" t="b">
        <v>0</v>
      </c>
      <c r="R1915" s="7"/>
      <c r="S1915" s="15" t="s">
        <v>25</v>
      </c>
    </row>
    <row r="1916" spans="1:19">
      <c r="A1916" s="3" t="s">
        <v>3947</v>
      </c>
      <c r="B1916" s="4" t="s">
        <v>3948</v>
      </c>
      <c r="C1916" s="5" t="s">
        <v>4127</v>
      </c>
      <c r="D1916" s="5">
        <v>44971</v>
      </c>
      <c r="E1916" s="4">
        <v>2</v>
      </c>
      <c r="F1916" s="4">
        <v>14</v>
      </c>
      <c r="G1916" s="4">
        <v>2023</v>
      </c>
      <c r="H1916" s="5">
        <f t="shared" si="87"/>
        <v>44971</v>
      </c>
      <c r="I1916" s="9">
        <v>44979</v>
      </c>
      <c r="J1916" s="4">
        <f t="shared" si="88"/>
        <v>8</v>
      </c>
      <c r="K1916" s="4" t="s">
        <v>138</v>
      </c>
      <c r="L1916" s="4">
        <v>50930</v>
      </c>
      <c r="M1916" s="4">
        <v>1892</v>
      </c>
      <c r="N1916" s="10">
        <v>3377.7</v>
      </c>
      <c r="O1916" s="10">
        <f t="shared" si="89"/>
        <v>3377.7</v>
      </c>
      <c r="P1916" s="4">
        <v>264</v>
      </c>
      <c r="Q1916" s="4" t="b">
        <v>0</v>
      </c>
      <c r="R1916" s="4"/>
      <c r="S1916" s="14" t="s">
        <v>139</v>
      </c>
    </row>
    <row r="1917" spans="1:19">
      <c r="A1917" s="6" t="s">
        <v>3949</v>
      </c>
      <c r="B1917" s="7" t="s">
        <v>3950</v>
      </c>
      <c r="C1917" s="8" t="s">
        <v>4131</v>
      </c>
      <c r="D1917" s="8">
        <v>45288</v>
      </c>
      <c r="E1917" s="7">
        <v>12</v>
      </c>
      <c r="F1917" s="7">
        <v>28</v>
      </c>
      <c r="G1917" s="7">
        <v>2023</v>
      </c>
      <c r="H1917" s="8">
        <f t="shared" si="87"/>
        <v>45288</v>
      </c>
      <c r="I1917" s="11">
        <v>45303</v>
      </c>
      <c r="J1917" s="7">
        <f t="shared" si="88"/>
        <v>15</v>
      </c>
      <c r="K1917" s="7" t="s">
        <v>33</v>
      </c>
      <c r="L1917" s="7">
        <v>33981</v>
      </c>
      <c r="M1917" s="7">
        <v>899</v>
      </c>
      <c r="N1917" s="12">
        <v>1079.09</v>
      </c>
      <c r="O1917" s="12">
        <f t="shared" si="89"/>
        <v>1079.09</v>
      </c>
      <c r="P1917" s="7">
        <v>138</v>
      </c>
      <c r="Q1917" s="7" t="b">
        <v>1</v>
      </c>
      <c r="R1917" s="7"/>
      <c r="S1917" s="15" t="s">
        <v>34</v>
      </c>
    </row>
    <row r="1918" spans="1:19">
      <c r="A1918" s="3" t="s">
        <v>3951</v>
      </c>
      <c r="B1918" s="4" t="s">
        <v>3952</v>
      </c>
      <c r="C1918" s="5" t="s">
        <v>4127</v>
      </c>
      <c r="D1918" s="5">
        <v>45089</v>
      </c>
      <c r="E1918" s="4">
        <v>6</v>
      </c>
      <c r="F1918" s="4">
        <v>12</v>
      </c>
      <c r="G1918" s="4">
        <v>2023</v>
      </c>
      <c r="H1918" s="5">
        <f t="shared" si="87"/>
        <v>45089</v>
      </c>
      <c r="I1918" s="9">
        <v>45119</v>
      </c>
      <c r="J1918" s="4">
        <f t="shared" si="88"/>
        <v>30</v>
      </c>
      <c r="K1918" s="4" t="s">
        <v>41</v>
      </c>
      <c r="L1918" s="4">
        <v>70298</v>
      </c>
      <c r="M1918" s="4">
        <v>2822</v>
      </c>
      <c r="N1918" s="10">
        <v>2933.69</v>
      </c>
      <c r="O1918" s="10">
        <f t="shared" si="89"/>
        <v>2933.69</v>
      </c>
      <c r="P1918" s="4">
        <v>490</v>
      </c>
      <c r="Q1918" s="4" t="b">
        <v>0</v>
      </c>
      <c r="R1918" s="4"/>
      <c r="S1918" s="14" t="s">
        <v>42</v>
      </c>
    </row>
    <row r="1919" spans="1:19">
      <c r="A1919" s="6" t="s">
        <v>3953</v>
      </c>
      <c r="B1919" s="7" t="s">
        <v>3954</v>
      </c>
      <c r="C1919" s="8" t="s">
        <v>4131</v>
      </c>
      <c r="D1919" s="8">
        <v>45246</v>
      </c>
      <c r="E1919" s="7">
        <v>11</v>
      </c>
      <c r="F1919" s="7">
        <v>16</v>
      </c>
      <c r="G1919" s="7">
        <v>2023</v>
      </c>
      <c r="H1919" s="8">
        <f t="shared" si="87"/>
        <v>45246</v>
      </c>
      <c r="I1919" s="11">
        <v>45252</v>
      </c>
      <c r="J1919" s="7">
        <f t="shared" si="88"/>
        <v>6</v>
      </c>
      <c r="K1919" s="7" t="s">
        <v>33</v>
      </c>
      <c r="L1919" s="7">
        <v>47167</v>
      </c>
      <c r="M1919" s="7">
        <v>855</v>
      </c>
      <c r="N1919" s="12">
        <v>1115.12</v>
      </c>
      <c r="O1919" s="12">
        <f t="shared" si="89"/>
        <v>1115.12</v>
      </c>
      <c r="P1919" s="7">
        <v>49</v>
      </c>
      <c r="Q1919" s="7" t="b">
        <v>1</v>
      </c>
      <c r="R1919" s="7"/>
      <c r="S1919" s="15" t="s">
        <v>34</v>
      </c>
    </row>
    <row r="1920" spans="1:19">
      <c r="A1920" s="3" t="s">
        <v>3955</v>
      </c>
      <c r="B1920" s="4" t="s">
        <v>3956</v>
      </c>
      <c r="C1920" s="5" t="s">
        <v>4128</v>
      </c>
      <c r="D1920" s="5">
        <v>45215</v>
      </c>
      <c r="E1920" s="4">
        <v>10</v>
      </c>
      <c r="F1920" s="4">
        <v>16</v>
      </c>
      <c r="G1920" s="4">
        <v>2023</v>
      </c>
      <c r="H1920" s="5">
        <f t="shared" si="87"/>
        <v>45215</v>
      </c>
      <c r="I1920" s="9">
        <v>45245</v>
      </c>
      <c r="J1920" s="4">
        <f t="shared" si="88"/>
        <v>30</v>
      </c>
      <c r="K1920" s="4" t="s">
        <v>23</v>
      </c>
      <c r="L1920" s="4">
        <v>76304</v>
      </c>
      <c r="M1920" s="4">
        <v>1762</v>
      </c>
      <c r="N1920" s="10">
        <v>2776.99</v>
      </c>
      <c r="O1920" s="10">
        <f t="shared" si="89"/>
        <v>2776.99</v>
      </c>
      <c r="P1920" s="4">
        <v>214</v>
      </c>
      <c r="Q1920" s="4" t="b">
        <v>1</v>
      </c>
      <c r="R1920" s="4"/>
      <c r="S1920" s="14" t="s">
        <v>25</v>
      </c>
    </row>
    <row r="1921" spans="1:19">
      <c r="A1921" s="6" t="s">
        <v>3957</v>
      </c>
      <c r="B1921" s="7" t="s">
        <v>3958</v>
      </c>
      <c r="C1921" s="8" t="s">
        <v>4131</v>
      </c>
      <c r="D1921" s="8">
        <v>45181</v>
      </c>
      <c r="E1921" s="7">
        <v>9</v>
      </c>
      <c r="F1921" s="7">
        <v>12</v>
      </c>
      <c r="G1921" s="7">
        <v>2023</v>
      </c>
      <c r="H1921" s="8">
        <f t="shared" si="87"/>
        <v>45181</v>
      </c>
      <c r="I1921" s="11">
        <v>45203</v>
      </c>
      <c r="J1921" s="7">
        <f t="shared" si="88"/>
        <v>22</v>
      </c>
      <c r="K1921" s="7" t="s">
        <v>19</v>
      </c>
      <c r="L1921" s="7">
        <v>44408</v>
      </c>
      <c r="M1921" s="7">
        <v>1415</v>
      </c>
      <c r="N1921" s="12">
        <v>1648.96</v>
      </c>
      <c r="O1921" s="12">
        <f t="shared" si="89"/>
        <v>1648.96</v>
      </c>
      <c r="P1921" s="7">
        <v>184</v>
      </c>
      <c r="Q1921" s="7" t="b">
        <v>1</v>
      </c>
      <c r="R1921" s="7"/>
      <c r="S1921" s="15" t="s">
        <v>20</v>
      </c>
    </row>
    <row r="1922" spans="1:19">
      <c r="A1922" s="3" t="s">
        <v>3959</v>
      </c>
      <c r="B1922" s="4" t="s">
        <v>3960</v>
      </c>
      <c r="C1922" s="5" t="s">
        <v>4131</v>
      </c>
      <c r="D1922" s="5">
        <v>45239</v>
      </c>
      <c r="E1922" s="4">
        <v>11</v>
      </c>
      <c r="F1922" s="4">
        <v>9</v>
      </c>
      <c r="G1922" s="4">
        <v>2023</v>
      </c>
      <c r="H1922" s="5">
        <f t="shared" ref="H1922:H1985" si="90">IF(E1922&gt;12,DATE(G1922,F1922,E1922),D1922)</f>
        <v>45239</v>
      </c>
      <c r="I1922" s="9">
        <v>45255</v>
      </c>
      <c r="J1922" s="4">
        <f t="shared" ref="J1922:J1985" si="91">DATEDIF(H1922,I1922,"D")</f>
        <v>16</v>
      </c>
      <c r="K1922" s="4" t="s">
        <v>41</v>
      </c>
      <c r="L1922" s="4">
        <v>40499</v>
      </c>
      <c r="M1922" s="4">
        <v>1337</v>
      </c>
      <c r="N1922" s="10">
        <v>2551.42</v>
      </c>
      <c r="O1922" s="10">
        <f t="shared" si="89"/>
        <v>2551.42</v>
      </c>
      <c r="P1922" s="4">
        <v>100</v>
      </c>
      <c r="Q1922" s="4" t="b">
        <v>1</v>
      </c>
      <c r="R1922" s="4"/>
      <c r="S1922" s="14" t="s">
        <v>42</v>
      </c>
    </row>
    <row r="1923" spans="1:19">
      <c r="A1923" s="6" t="s">
        <v>3961</v>
      </c>
      <c r="B1923" s="7" t="s">
        <v>3962</v>
      </c>
      <c r="C1923" s="8" t="s">
        <v>4127</v>
      </c>
      <c r="D1923" s="8">
        <v>45203</v>
      </c>
      <c r="E1923" s="7">
        <v>10</v>
      </c>
      <c r="F1923" s="7">
        <v>4</v>
      </c>
      <c r="G1923" s="7">
        <v>2023</v>
      </c>
      <c r="H1923" s="8">
        <f t="shared" si="90"/>
        <v>45203</v>
      </c>
      <c r="I1923" s="11">
        <v>45030</v>
      </c>
      <c r="J1923" s="7">
        <f t="shared" si="91"/>
        <v>-173</v>
      </c>
      <c r="K1923" s="7" t="s">
        <v>41</v>
      </c>
      <c r="L1923" s="7">
        <v>53269</v>
      </c>
      <c r="M1923" s="7">
        <v>579</v>
      </c>
      <c r="N1923" s="12">
        <v>545.66</v>
      </c>
      <c r="O1923" s="12">
        <f t="shared" ref="O1923:O1986" si="92">IF(N1923&lt;$V$6,$V$6,IF(N1923&gt;$V$7,$V$7,N1923))</f>
        <v>545.66</v>
      </c>
      <c r="P1923" s="7">
        <v>56</v>
      </c>
      <c r="Q1923" s="7" t="b">
        <v>1</v>
      </c>
      <c r="R1923" s="7"/>
      <c r="S1923" s="15" t="s">
        <v>42</v>
      </c>
    </row>
    <row r="1924" spans="1:19">
      <c r="A1924" s="3" t="s">
        <v>3963</v>
      </c>
      <c r="B1924" s="4" t="s">
        <v>3964</v>
      </c>
      <c r="C1924" s="5" t="s">
        <v>4127</v>
      </c>
      <c r="D1924" s="5">
        <v>44939</v>
      </c>
      <c r="E1924" s="4">
        <v>1</v>
      </c>
      <c r="F1924" s="4">
        <v>13</v>
      </c>
      <c r="G1924" s="4">
        <v>2023</v>
      </c>
      <c r="H1924" s="5">
        <f t="shared" si="90"/>
        <v>44939</v>
      </c>
      <c r="I1924" s="9">
        <v>44942</v>
      </c>
      <c r="J1924" s="4">
        <f t="shared" si="91"/>
        <v>3</v>
      </c>
      <c r="K1924" s="4" t="s">
        <v>19</v>
      </c>
      <c r="L1924" s="4">
        <v>39559</v>
      </c>
      <c r="M1924" s="4">
        <v>1891</v>
      </c>
      <c r="N1924" s="10">
        <v>2294.15</v>
      </c>
      <c r="O1924" s="10">
        <f t="shared" si="92"/>
        <v>2294.15</v>
      </c>
      <c r="P1924" s="4">
        <v>219</v>
      </c>
      <c r="Q1924" s="4" t="b">
        <v>1</v>
      </c>
      <c r="R1924" s="4"/>
      <c r="S1924" s="14" t="s">
        <v>20</v>
      </c>
    </row>
    <row r="1925" spans="1:19">
      <c r="A1925" s="6" t="s">
        <v>3965</v>
      </c>
      <c r="B1925" s="7" t="s">
        <v>3966</v>
      </c>
      <c r="C1925" s="8" t="s">
        <v>4127</v>
      </c>
      <c r="D1925" s="8">
        <v>45033</v>
      </c>
      <c r="E1925" s="7">
        <v>4</v>
      </c>
      <c r="F1925" s="7">
        <v>17</v>
      </c>
      <c r="G1925" s="7">
        <v>2023</v>
      </c>
      <c r="H1925" s="8">
        <f t="shared" si="90"/>
        <v>45033</v>
      </c>
      <c r="I1925" s="11">
        <v>45055</v>
      </c>
      <c r="J1925" s="7">
        <f t="shared" si="91"/>
        <v>22</v>
      </c>
      <c r="K1925" s="7" t="s">
        <v>33</v>
      </c>
      <c r="L1925" s="7">
        <v>75319</v>
      </c>
      <c r="M1925" s="7">
        <v>2851</v>
      </c>
      <c r="N1925" s="12">
        <v>4662.5</v>
      </c>
      <c r="O1925" s="12">
        <f t="shared" si="92"/>
        <v>3632.575</v>
      </c>
      <c r="P1925" s="7">
        <v>498</v>
      </c>
      <c r="Q1925" s="7" t="b">
        <v>1</v>
      </c>
      <c r="R1925" s="7"/>
      <c r="S1925" s="15" t="s">
        <v>34</v>
      </c>
    </row>
    <row r="1926" spans="1:19">
      <c r="A1926" s="3" t="s">
        <v>3967</v>
      </c>
      <c r="B1926" s="4" t="s">
        <v>3968</v>
      </c>
      <c r="C1926" s="5" t="s">
        <v>4131</v>
      </c>
      <c r="D1926" s="5" t="s">
        <v>617</v>
      </c>
      <c r="E1926" s="4">
        <v>31</v>
      </c>
      <c r="F1926" s="4">
        <v>7</v>
      </c>
      <c r="G1926" s="4">
        <v>2023</v>
      </c>
      <c r="H1926" s="5">
        <f t="shared" si="90"/>
        <v>45138</v>
      </c>
      <c r="I1926" s="9">
        <v>45153</v>
      </c>
      <c r="J1926" s="4">
        <f t="shared" si="91"/>
        <v>15</v>
      </c>
      <c r="K1926" s="4" t="s">
        <v>33</v>
      </c>
      <c r="L1926" s="4">
        <v>96317</v>
      </c>
      <c r="M1926" s="4">
        <v>2872</v>
      </c>
      <c r="N1926" s="10">
        <v>4404.73</v>
      </c>
      <c r="O1926" s="10">
        <f t="shared" si="92"/>
        <v>3632.575</v>
      </c>
      <c r="P1926" s="4">
        <v>543</v>
      </c>
      <c r="Q1926" s="4" t="b">
        <v>0</v>
      </c>
      <c r="R1926" s="4"/>
      <c r="S1926" s="14" t="s">
        <v>34</v>
      </c>
    </row>
    <row r="1927" spans="1:19">
      <c r="A1927" s="6" t="s">
        <v>3969</v>
      </c>
      <c r="B1927" s="7" t="s">
        <v>3970</v>
      </c>
      <c r="C1927" s="8" t="s">
        <v>4129</v>
      </c>
      <c r="D1927" s="8">
        <v>45106</v>
      </c>
      <c r="E1927" s="7">
        <v>6</v>
      </c>
      <c r="F1927" s="7">
        <v>29</v>
      </c>
      <c r="G1927" s="7">
        <v>2023</v>
      </c>
      <c r="H1927" s="8">
        <f t="shared" si="90"/>
        <v>45106</v>
      </c>
      <c r="I1927" s="11">
        <v>45132</v>
      </c>
      <c r="J1927" s="7">
        <f t="shared" si="91"/>
        <v>26</v>
      </c>
      <c r="K1927" s="7" t="s">
        <v>19</v>
      </c>
      <c r="L1927" s="7">
        <v>97347</v>
      </c>
      <c r="M1927" s="7">
        <v>4606</v>
      </c>
      <c r="N1927" s="12">
        <v>8269.9</v>
      </c>
      <c r="O1927" s="12">
        <f t="shared" si="92"/>
        <v>3632.575</v>
      </c>
      <c r="P1927" s="7">
        <v>664</v>
      </c>
      <c r="Q1927" s="7" t="b">
        <v>0</v>
      </c>
      <c r="R1927" s="7"/>
      <c r="S1927" s="15" t="s">
        <v>20</v>
      </c>
    </row>
    <row r="1928" spans="1:19">
      <c r="A1928" s="3" t="s">
        <v>3971</v>
      </c>
      <c r="B1928" s="4" t="s">
        <v>3972</v>
      </c>
      <c r="C1928" s="5" t="s">
        <v>4128</v>
      </c>
      <c r="D1928" s="5">
        <v>44932</v>
      </c>
      <c r="E1928" s="4">
        <v>1</v>
      </c>
      <c r="F1928" s="4">
        <v>6</v>
      </c>
      <c r="G1928" s="4">
        <v>2023</v>
      </c>
      <c r="H1928" s="5">
        <f t="shared" si="90"/>
        <v>44932</v>
      </c>
      <c r="I1928" s="9">
        <v>44961</v>
      </c>
      <c r="J1928" s="4">
        <f t="shared" si="91"/>
        <v>29</v>
      </c>
      <c r="K1928" s="4" t="s">
        <v>23</v>
      </c>
      <c r="L1928" s="4">
        <v>49787</v>
      </c>
      <c r="M1928" s="4">
        <v>1372</v>
      </c>
      <c r="N1928" s="10">
        <v>2737.43</v>
      </c>
      <c r="O1928" s="10">
        <f t="shared" si="92"/>
        <v>2737.43</v>
      </c>
      <c r="P1928" s="4">
        <v>149</v>
      </c>
      <c r="Q1928" s="4" t="b">
        <v>1</v>
      </c>
      <c r="R1928" s="4"/>
      <c r="S1928" s="14" t="s">
        <v>25</v>
      </c>
    </row>
    <row r="1929" spans="1:19">
      <c r="A1929" s="6" t="s">
        <v>3973</v>
      </c>
      <c r="B1929" s="7" t="s">
        <v>3974</v>
      </c>
      <c r="C1929" s="8" t="s">
        <v>4127</v>
      </c>
      <c r="D1929" s="8">
        <v>45057</v>
      </c>
      <c r="E1929" s="7">
        <v>5</v>
      </c>
      <c r="F1929" s="7">
        <v>11</v>
      </c>
      <c r="G1929" s="7">
        <v>2023</v>
      </c>
      <c r="H1929" s="8">
        <f t="shared" si="90"/>
        <v>45057</v>
      </c>
      <c r="I1929" s="11">
        <v>45068</v>
      </c>
      <c r="J1929" s="7">
        <f t="shared" si="91"/>
        <v>11</v>
      </c>
      <c r="K1929" s="7" t="s">
        <v>41</v>
      </c>
      <c r="L1929" s="7">
        <v>36488</v>
      </c>
      <c r="M1929" s="7">
        <v>1795</v>
      </c>
      <c r="N1929" s="12">
        <v>2046.82</v>
      </c>
      <c r="O1929" s="12">
        <f t="shared" si="92"/>
        <v>2046.82</v>
      </c>
      <c r="P1929" s="7">
        <v>158</v>
      </c>
      <c r="Q1929" s="7" t="b">
        <v>1</v>
      </c>
      <c r="R1929" s="7"/>
      <c r="S1929" s="15" t="s">
        <v>42</v>
      </c>
    </row>
    <row r="1930" spans="1:19">
      <c r="A1930" s="3" t="s">
        <v>3975</v>
      </c>
      <c r="B1930" s="4" t="s">
        <v>3976</v>
      </c>
      <c r="C1930" s="5" t="s">
        <v>4128</v>
      </c>
      <c r="D1930" s="5">
        <v>45186</v>
      </c>
      <c r="E1930" s="4">
        <v>9</v>
      </c>
      <c r="F1930" s="4">
        <v>17</v>
      </c>
      <c r="G1930" s="4">
        <v>2023</v>
      </c>
      <c r="H1930" s="5">
        <f t="shared" si="90"/>
        <v>45186</v>
      </c>
      <c r="I1930" s="9">
        <v>45206</v>
      </c>
      <c r="J1930" s="4">
        <f t="shared" si="91"/>
        <v>20</v>
      </c>
      <c r="K1930" s="4" t="s">
        <v>23</v>
      </c>
      <c r="L1930" s="4">
        <v>75441</v>
      </c>
      <c r="M1930" s="4">
        <v>2300</v>
      </c>
      <c r="N1930" s="10">
        <v>1533.47</v>
      </c>
      <c r="O1930" s="10">
        <f t="shared" si="92"/>
        <v>1533.47</v>
      </c>
      <c r="P1930" s="4">
        <v>453</v>
      </c>
      <c r="Q1930" s="4" t="b">
        <v>1</v>
      </c>
      <c r="R1930" s="4"/>
      <c r="S1930" s="14" t="s">
        <v>68</v>
      </c>
    </row>
    <row r="1931" spans="1:19">
      <c r="A1931" s="6" t="s">
        <v>3977</v>
      </c>
      <c r="B1931" s="7" t="s">
        <v>3978</v>
      </c>
      <c r="C1931" s="8" t="s">
        <v>4131</v>
      </c>
      <c r="D1931" s="8">
        <v>44985</v>
      </c>
      <c r="E1931" s="7">
        <v>2</v>
      </c>
      <c r="F1931" s="7">
        <v>28</v>
      </c>
      <c r="G1931" s="7">
        <v>2023</v>
      </c>
      <c r="H1931" s="8">
        <f t="shared" si="90"/>
        <v>44985</v>
      </c>
      <c r="I1931" s="11">
        <v>45009</v>
      </c>
      <c r="J1931" s="7">
        <f t="shared" si="91"/>
        <v>24</v>
      </c>
      <c r="K1931" s="7" t="s">
        <v>33</v>
      </c>
      <c r="L1931" s="7">
        <v>75663</v>
      </c>
      <c r="M1931" s="7">
        <v>1102</v>
      </c>
      <c r="N1931" s="12">
        <v>601.28</v>
      </c>
      <c r="O1931" s="12">
        <f t="shared" si="92"/>
        <v>601.28</v>
      </c>
      <c r="P1931" s="7">
        <v>217</v>
      </c>
      <c r="Q1931" s="7" t="b">
        <v>1</v>
      </c>
      <c r="R1931" s="7"/>
      <c r="S1931" s="15" t="s">
        <v>34</v>
      </c>
    </row>
    <row r="1932" spans="1:19">
      <c r="A1932" s="3" t="s">
        <v>3979</v>
      </c>
      <c r="B1932" s="4" t="s">
        <v>3980</v>
      </c>
      <c r="C1932" s="5" t="s">
        <v>4128</v>
      </c>
      <c r="D1932" s="5">
        <v>45218</v>
      </c>
      <c r="E1932" s="4">
        <v>10</v>
      </c>
      <c r="F1932" s="4">
        <v>19</v>
      </c>
      <c r="G1932" s="4">
        <v>2023</v>
      </c>
      <c r="H1932" s="5">
        <f t="shared" si="90"/>
        <v>45218</v>
      </c>
      <c r="I1932" s="9">
        <v>45230</v>
      </c>
      <c r="J1932" s="4">
        <f t="shared" si="91"/>
        <v>12</v>
      </c>
      <c r="K1932" s="4" t="s">
        <v>138</v>
      </c>
      <c r="L1932" s="4">
        <v>23431</v>
      </c>
      <c r="M1932" s="4">
        <v>951</v>
      </c>
      <c r="N1932" s="10">
        <v>1512.39</v>
      </c>
      <c r="O1932" s="10">
        <f t="shared" si="92"/>
        <v>1512.39</v>
      </c>
      <c r="P1932" s="4">
        <v>179</v>
      </c>
      <c r="Q1932" s="4" t="b">
        <v>0</v>
      </c>
      <c r="R1932" s="4"/>
      <c r="S1932" s="14" t="s">
        <v>139</v>
      </c>
    </row>
    <row r="1933" spans="1:19">
      <c r="A1933" s="6" t="s">
        <v>3981</v>
      </c>
      <c r="B1933" s="7" t="s">
        <v>3982</v>
      </c>
      <c r="C1933" s="8" t="s">
        <v>4129</v>
      </c>
      <c r="D1933" s="8">
        <v>45016</v>
      </c>
      <c r="E1933" s="7">
        <v>3</v>
      </c>
      <c r="F1933" s="7">
        <v>31</v>
      </c>
      <c r="G1933" s="7">
        <v>2023</v>
      </c>
      <c r="H1933" s="8">
        <f t="shared" si="90"/>
        <v>45016</v>
      </c>
      <c r="I1933" s="11">
        <v>45044</v>
      </c>
      <c r="J1933" s="7">
        <f t="shared" si="91"/>
        <v>28</v>
      </c>
      <c r="K1933" s="7" t="s">
        <v>19</v>
      </c>
      <c r="L1933" s="7">
        <v>62681</v>
      </c>
      <c r="M1933" s="7">
        <v>2328</v>
      </c>
      <c r="N1933" s="12">
        <v>4216.06</v>
      </c>
      <c r="O1933" s="12">
        <f t="shared" si="92"/>
        <v>3632.575</v>
      </c>
      <c r="P1933" s="7">
        <v>390</v>
      </c>
      <c r="Q1933" s="7" t="b">
        <v>1</v>
      </c>
      <c r="R1933" s="7"/>
      <c r="S1933" s="15" t="s">
        <v>20</v>
      </c>
    </row>
    <row r="1934" spans="1:19">
      <c r="A1934" s="3" t="s">
        <v>3983</v>
      </c>
      <c r="B1934" s="4" t="s">
        <v>3984</v>
      </c>
      <c r="C1934" s="5" t="s">
        <v>4131</v>
      </c>
      <c r="D1934" s="5">
        <v>45271</v>
      </c>
      <c r="E1934" s="4">
        <v>12</v>
      </c>
      <c r="F1934" s="4">
        <v>11</v>
      </c>
      <c r="G1934" s="4">
        <v>2023</v>
      </c>
      <c r="H1934" s="5">
        <f t="shared" si="90"/>
        <v>45271</v>
      </c>
      <c r="I1934" s="9">
        <v>45287</v>
      </c>
      <c r="J1934" s="4">
        <f t="shared" si="91"/>
        <v>16</v>
      </c>
      <c r="K1934" s="4" t="s">
        <v>19</v>
      </c>
      <c r="L1934" s="4">
        <v>64483</v>
      </c>
      <c r="M1934" s="4">
        <v>2638</v>
      </c>
      <c r="N1934" s="10">
        <v>2192.36</v>
      </c>
      <c r="O1934" s="10">
        <f t="shared" si="92"/>
        <v>2192.36</v>
      </c>
      <c r="P1934" s="4">
        <v>260</v>
      </c>
      <c r="Q1934" s="4" t="b">
        <v>1</v>
      </c>
      <c r="R1934" s="4"/>
      <c r="S1934" s="14" t="s">
        <v>20</v>
      </c>
    </row>
    <row r="1935" spans="1:19">
      <c r="A1935" s="6" t="s">
        <v>3985</v>
      </c>
      <c r="B1935" s="7" t="s">
        <v>3986</v>
      </c>
      <c r="C1935" s="8" t="s">
        <v>4128</v>
      </c>
      <c r="D1935" s="8">
        <v>44945</v>
      </c>
      <c r="E1935" s="7">
        <v>1</v>
      </c>
      <c r="F1935" s="7">
        <v>19</v>
      </c>
      <c r="G1935" s="7">
        <v>2023</v>
      </c>
      <c r="H1935" s="8">
        <f t="shared" si="90"/>
        <v>44945</v>
      </c>
      <c r="I1935" s="11">
        <v>44954</v>
      </c>
      <c r="J1935" s="7">
        <f t="shared" si="91"/>
        <v>9</v>
      </c>
      <c r="K1935" s="7" t="s">
        <v>33</v>
      </c>
      <c r="L1935" s="7">
        <v>50153</v>
      </c>
      <c r="M1935" s="7">
        <v>2410</v>
      </c>
      <c r="N1935" s="12">
        <v>1777.79</v>
      </c>
      <c r="O1935" s="12">
        <f t="shared" si="92"/>
        <v>1777.79</v>
      </c>
      <c r="P1935" s="7">
        <v>415</v>
      </c>
      <c r="Q1935" s="7" t="b">
        <v>1</v>
      </c>
      <c r="R1935" s="7"/>
      <c r="S1935" s="15" t="s">
        <v>34</v>
      </c>
    </row>
    <row r="1936" spans="1:19">
      <c r="A1936" s="3" t="s">
        <v>3987</v>
      </c>
      <c r="B1936" s="4" t="s">
        <v>3988</v>
      </c>
      <c r="C1936" s="5" t="s">
        <v>4131</v>
      </c>
      <c r="D1936" s="5">
        <v>45248</v>
      </c>
      <c r="E1936" s="4">
        <v>11</v>
      </c>
      <c r="F1936" s="4">
        <v>18</v>
      </c>
      <c r="G1936" s="4">
        <v>2023</v>
      </c>
      <c r="H1936" s="5">
        <f t="shared" si="90"/>
        <v>45248</v>
      </c>
      <c r="I1936" s="9">
        <v>45267</v>
      </c>
      <c r="J1936" s="4">
        <f t="shared" si="91"/>
        <v>19</v>
      </c>
      <c r="K1936" s="4" t="s">
        <v>41</v>
      </c>
      <c r="L1936" s="4">
        <v>7368</v>
      </c>
      <c r="M1936" s="4">
        <v>302</v>
      </c>
      <c r="N1936" s="10">
        <v>179.18</v>
      </c>
      <c r="O1936" s="10">
        <f t="shared" si="92"/>
        <v>179.18</v>
      </c>
      <c r="P1936" s="4">
        <v>33</v>
      </c>
      <c r="Q1936" s="4" t="b">
        <v>0</v>
      </c>
      <c r="R1936" s="4"/>
      <c r="S1936" s="14" t="s">
        <v>42</v>
      </c>
    </row>
    <row r="1937" spans="1:19">
      <c r="A1937" s="6" t="s">
        <v>3989</v>
      </c>
      <c r="B1937" s="7" t="s">
        <v>3990</v>
      </c>
      <c r="C1937" s="8" t="s">
        <v>4128</v>
      </c>
      <c r="D1937" s="8">
        <v>45098</v>
      </c>
      <c r="E1937" s="7">
        <v>6</v>
      </c>
      <c r="F1937" s="7">
        <v>21</v>
      </c>
      <c r="G1937" s="7">
        <v>2023</v>
      </c>
      <c r="H1937" s="8">
        <f t="shared" si="90"/>
        <v>45098</v>
      </c>
      <c r="I1937" s="11">
        <v>45116</v>
      </c>
      <c r="J1937" s="7">
        <f t="shared" si="91"/>
        <v>18</v>
      </c>
      <c r="K1937" s="7" t="s">
        <v>19</v>
      </c>
      <c r="L1937" s="7">
        <v>28424</v>
      </c>
      <c r="M1937" s="7">
        <v>979</v>
      </c>
      <c r="N1937" s="12">
        <v>-1697.64</v>
      </c>
      <c r="O1937" s="12">
        <f t="shared" si="92"/>
        <v>-344.195</v>
      </c>
      <c r="P1937" s="7">
        <v>96</v>
      </c>
      <c r="Q1937" s="7" t="b">
        <v>1</v>
      </c>
      <c r="R1937" s="7"/>
      <c r="S1937" s="15" t="s">
        <v>20</v>
      </c>
    </row>
    <row r="1938" spans="1:19">
      <c r="A1938" s="3" t="s">
        <v>3991</v>
      </c>
      <c r="B1938" s="4" t="s">
        <v>3992</v>
      </c>
      <c r="C1938" s="5" t="s">
        <v>4131</v>
      </c>
      <c r="D1938" s="5">
        <v>44955</v>
      </c>
      <c r="E1938" s="4">
        <v>1</v>
      </c>
      <c r="F1938" s="4">
        <v>29</v>
      </c>
      <c r="G1938" s="4">
        <v>2023</v>
      </c>
      <c r="H1938" s="5">
        <f t="shared" si="90"/>
        <v>44955</v>
      </c>
      <c r="I1938" s="9">
        <v>44973</v>
      </c>
      <c r="J1938" s="4">
        <f t="shared" si="91"/>
        <v>18</v>
      </c>
      <c r="K1938" s="4" t="s">
        <v>23</v>
      </c>
      <c r="L1938" s="4">
        <v>46004</v>
      </c>
      <c r="M1938" s="4">
        <v>2037</v>
      </c>
      <c r="N1938" s="10">
        <v>1969.93</v>
      </c>
      <c r="O1938" s="10">
        <f t="shared" si="92"/>
        <v>1969.93</v>
      </c>
      <c r="P1938" s="4">
        <v>329</v>
      </c>
      <c r="Q1938" s="4" t="b">
        <v>1</v>
      </c>
      <c r="R1938" s="4"/>
      <c r="S1938" s="14" t="s">
        <v>25</v>
      </c>
    </row>
    <row r="1939" spans="1:19">
      <c r="A1939" s="6" t="s">
        <v>3993</v>
      </c>
      <c r="B1939" s="7" t="s">
        <v>3994</v>
      </c>
      <c r="C1939" s="8" t="s">
        <v>4127</v>
      </c>
      <c r="D1939" s="8">
        <v>45274</v>
      </c>
      <c r="E1939" s="7">
        <v>12</v>
      </c>
      <c r="F1939" s="7">
        <v>14</v>
      </c>
      <c r="G1939" s="7">
        <v>2023</v>
      </c>
      <c r="H1939" s="8">
        <f t="shared" si="90"/>
        <v>45274</v>
      </c>
      <c r="I1939" s="11">
        <v>45303</v>
      </c>
      <c r="J1939" s="7">
        <f t="shared" si="91"/>
        <v>29</v>
      </c>
      <c r="K1939" s="7" t="s">
        <v>14</v>
      </c>
      <c r="L1939" s="7">
        <v>84869</v>
      </c>
      <c r="M1939" s="7">
        <v>3134</v>
      </c>
      <c r="N1939" s="12">
        <v>3455.38</v>
      </c>
      <c r="O1939" s="12">
        <f t="shared" si="92"/>
        <v>3455.38</v>
      </c>
      <c r="P1939" s="7">
        <v>194</v>
      </c>
      <c r="Q1939" s="7" t="b">
        <v>0</v>
      </c>
      <c r="R1939" s="7"/>
      <c r="S1939" s="15" t="s">
        <v>16</v>
      </c>
    </row>
    <row r="1940" spans="1:19">
      <c r="A1940" s="3" t="s">
        <v>3995</v>
      </c>
      <c r="B1940" s="4" t="s">
        <v>3996</v>
      </c>
      <c r="C1940" s="5" t="s">
        <v>4127</v>
      </c>
      <c r="D1940" s="5">
        <v>45033</v>
      </c>
      <c r="E1940" s="4">
        <v>4</v>
      </c>
      <c r="F1940" s="4">
        <v>17</v>
      </c>
      <c r="G1940" s="4">
        <v>2023</v>
      </c>
      <c r="H1940" s="5">
        <f t="shared" si="90"/>
        <v>45033</v>
      </c>
      <c r="I1940" s="9">
        <v>45062</v>
      </c>
      <c r="J1940" s="4">
        <f t="shared" si="91"/>
        <v>29</v>
      </c>
      <c r="K1940" s="4" t="s">
        <v>41</v>
      </c>
      <c r="L1940" s="4">
        <v>89652</v>
      </c>
      <c r="M1940" s="4">
        <v>2360</v>
      </c>
      <c r="N1940" s="10">
        <v>2959.74</v>
      </c>
      <c r="O1940" s="10">
        <f t="shared" si="92"/>
        <v>2959.74</v>
      </c>
      <c r="P1940" s="4">
        <v>135</v>
      </c>
      <c r="Q1940" s="4" t="b">
        <v>0</v>
      </c>
      <c r="R1940" s="4"/>
      <c r="S1940" s="14" t="s">
        <v>42</v>
      </c>
    </row>
    <row r="1941" spans="1:19">
      <c r="A1941" s="6" t="s">
        <v>3997</v>
      </c>
      <c r="B1941" s="7" t="s">
        <v>3998</v>
      </c>
      <c r="C1941" s="8" t="s">
        <v>4127</v>
      </c>
      <c r="D1941" s="8">
        <v>44933</v>
      </c>
      <c r="E1941" s="7">
        <v>1</v>
      </c>
      <c r="F1941" s="7">
        <v>7</v>
      </c>
      <c r="G1941" s="7">
        <v>2023</v>
      </c>
      <c r="H1941" s="8">
        <f t="shared" si="90"/>
        <v>44933</v>
      </c>
      <c r="I1941" s="11">
        <v>45135</v>
      </c>
      <c r="J1941" s="7">
        <f t="shared" si="91"/>
        <v>202</v>
      </c>
      <c r="K1941" s="7" t="s">
        <v>23</v>
      </c>
      <c r="L1941" s="7">
        <v>57985</v>
      </c>
      <c r="M1941" s="7">
        <v>2633</v>
      </c>
      <c r="N1941" s="12">
        <v>4631.92</v>
      </c>
      <c r="O1941" s="12">
        <f t="shared" si="92"/>
        <v>3632.575</v>
      </c>
      <c r="P1941" s="7">
        <v>308</v>
      </c>
      <c r="Q1941" s="7" t="b">
        <v>0</v>
      </c>
      <c r="R1941" s="7"/>
      <c r="S1941" s="15" t="s">
        <v>25</v>
      </c>
    </row>
    <row r="1942" spans="1:19">
      <c r="A1942" s="3" t="s">
        <v>3999</v>
      </c>
      <c r="B1942" s="4" t="s">
        <v>4000</v>
      </c>
      <c r="C1942" s="5" t="s">
        <v>4131</v>
      </c>
      <c r="D1942" s="5">
        <v>45003</v>
      </c>
      <c r="E1942" s="4">
        <v>3</v>
      </c>
      <c r="F1942" s="4">
        <v>18</v>
      </c>
      <c r="G1942" s="4">
        <v>2023</v>
      </c>
      <c r="H1942" s="5">
        <f t="shared" si="90"/>
        <v>45003</v>
      </c>
      <c r="I1942" s="9">
        <v>45027</v>
      </c>
      <c r="J1942" s="4">
        <f t="shared" si="91"/>
        <v>24</v>
      </c>
      <c r="K1942" s="4" t="s">
        <v>14</v>
      </c>
      <c r="L1942" s="4">
        <v>51069</v>
      </c>
      <c r="M1942" s="4">
        <v>963</v>
      </c>
      <c r="N1942" s="10">
        <v>1421.63</v>
      </c>
      <c r="O1942" s="10">
        <f t="shared" si="92"/>
        <v>1421.63</v>
      </c>
      <c r="P1942" s="4">
        <v>112</v>
      </c>
      <c r="Q1942" s="4" t="b">
        <v>1</v>
      </c>
      <c r="R1942" s="4"/>
      <c r="S1942" s="14" t="s">
        <v>16</v>
      </c>
    </row>
    <row r="1943" spans="1:19">
      <c r="A1943" s="6" t="s">
        <v>4001</v>
      </c>
      <c r="B1943" s="7" t="s">
        <v>4002</v>
      </c>
      <c r="C1943" s="8" t="s">
        <v>4129</v>
      </c>
      <c r="D1943" s="8">
        <v>45119</v>
      </c>
      <c r="E1943" s="7">
        <v>7</v>
      </c>
      <c r="F1943" s="7">
        <v>12</v>
      </c>
      <c r="G1943" s="7">
        <v>2023</v>
      </c>
      <c r="H1943" s="8">
        <f t="shared" si="90"/>
        <v>45119</v>
      </c>
      <c r="I1943" s="11">
        <v>45114</v>
      </c>
      <c r="J1943" s="7">
        <f t="shared" si="91"/>
        <v>-5</v>
      </c>
      <c r="K1943" s="7" t="s">
        <v>41</v>
      </c>
      <c r="L1943" s="7">
        <v>53326</v>
      </c>
      <c r="M1943" s="7">
        <v>2057</v>
      </c>
      <c r="N1943" s="12">
        <v>2926.28</v>
      </c>
      <c r="O1943" s="12">
        <f t="shared" si="92"/>
        <v>2926.28</v>
      </c>
      <c r="P1943" s="7">
        <v>379</v>
      </c>
      <c r="Q1943" s="7" t="b">
        <v>1</v>
      </c>
      <c r="R1943" s="7"/>
      <c r="S1943" s="15" t="s">
        <v>42</v>
      </c>
    </row>
    <row r="1944" spans="1:19">
      <c r="A1944" s="3" t="s">
        <v>4003</v>
      </c>
      <c r="B1944" s="4" t="s">
        <v>4004</v>
      </c>
      <c r="C1944" s="5" t="s">
        <v>4127</v>
      </c>
      <c r="D1944" s="5">
        <v>45219</v>
      </c>
      <c r="E1944" s="4">
        <v>10</v>
      </c>
      <c r="F1944" s="4">
        <v>20</v>
      </c>
      <c r="G1944" s="4">
        <v>2023</v>
      </c>
      <c r="H1944" s="5">
        <f t="shared" si="90"/>
        <v>45219</v>
      </c>
      <c r="I1944" s="9">
        <v>45240</v>
      </c>
      <c r="J1944" s="4">
        <f t="shared" si="91"/>
        <v>21</v>
      </c>
      <c r="K1944" s="4" t="s">
        <v>14</v>
      </c>
      <c r="L1944" s="4">
        <v>82061</v>
      </c>
      <c r="M1944" s="4">
        <v>3714</v>
      </c>
      <c r="N1944" s="10">
        <v>2835.67</v>
      </c>
      <c r="O1944" s="10">
        <f t="shared" si="92"/>
        <v>2835.67</v>
      </c>
      <c r="P1944" s="4">
        <v>255</v>
      </c>
      <c r="Q1944" s="4" t="b">
        <v>1</v>
      </c>
      <c r="R1944" s="4"/>
      <c r="S1944" s="14" t="s">
        <v>16</v>
      </c>
    </row>
    <row r="1945" spans="1:19">
      <c r="A1945" s="6" t="s">
        <v>4005</v>
      </c>
      <c r="B1945" s="7" t="s">
        <v>4006</v>
      </c>
      <c r="C1945" s="8" t="s">
        <v>4127</v>
      </c>
      <c r="D1945" s="8">
        <v>44986</v>
      </c>
      <c r="E1945" s="7">
        <v>3</v>
      </c>
      <c r="F1945" s="7">
        <v>1</v>
      </c>
      <c r="G1945" s="7">
        <v>2023</v>
      </c>
      <c r="H1945" s="8">
        <f t="shared" si="90"/>
        <v>44986</v>
      </c>
      <c r="I1945" s="11">
        <v>45008</v>
      </c>
      <c r="J1945" s="7">
        <f t="shared" si="91"/>
        <v>22</v>
      </c>
      <c r="K1945" s="7" t="s">
        <v>33</v>
      </c>
      <c r="L1945" s="7">
        <v>24398</v>
      </c>
      <c r="M1945" s="7">
        <v>957</v>
      </c>
      <c r="N1945" s="12">
        <v>1215.18</v>
      </c>
      <c r="O1945" s="12">
        <f t="shared" si="92"/>
        <v>1215.18</v>
      </c>
      <c r="P1945" s="7">
        <v>65</v>
      </c>
      <c r="Q1945" s="7" t="b">
        <v>1</v>
      </c>
      <c r="R1945" s="7"/>
      <c r="S1945" s="15" t="s">
        <v>34</v>
      </c>
    </row>
    <row r="1946" spans="1:19">
      <c r="A1946" s="3" t="s">
        <v>4007</v>
      </c>
      <c r="B1946" s="4" t="s">
        <v>4008</v>
      </c>
      <c r="C1946" s="5" t="s">
        <v>4131</v>
      </c>
      <c r="D1946" s="5">
        <v>45288</v>
      </c>
      <c r="E1946" s="4">
        <v>12</v>
      </c>
      <c r="F1946" s="4">
        <v>28</v>
      </c>
      <c r="G1946" s="4">
        <v>2023</v>
      </c>
      <c r="H1946" s="5">
        <f t="shared" si="90"/>
        <v>45288</v>
      </c>
      <c r="I1946" s="9">
        <v>45299</v>
      </c>
      <c r="J1946" s="4">
        <f t="shared" si="91"/>
        <v>11</v>
      </c>
      <c r="K1946" s="4" t="s">
        <v>14</v>
      </c>
      <c r="L1946" s="4">
        <v>99393</v>
      </c>
      <c r="M1946" s="4">
        <v>3766</v>
      </c>
      <c r="N1946" s="10">
        <v>5924.19</v>
      </c>
      <c r="O1946" s="10">
        <f t="shared" si="92"/>
        <v>3632.575</v>
      </c>
      <c r="P1946" s="4">
        <v>271</v>
      </c>
      <c r="Q1946" s="4" t="b">
        <v>1</v>
      </c>
      <c r="R1946" s="4">
        <v>99483</v>
      </c>
      <c r="S1946" s="14" t="s">
        <v>16</v>
      </c>
    </row>
    <row r="1947" spans="1:19">
      <c r="A1947" s="6" t="s">
        <v>4009</v>
      </c>
      <c r="B1947" s="7" t="s">
        <v>4010</v>
      </c>
      <c r="C1947" s="8" t="s">
        <v>4129</v>
      </c>
      <c r="D1947" s="8">
        <v>45066</v>
      </c>
      <c r="E1947" s="7">
        <v>5</v>
      </c>
      <c r="F1947" s="7">
        <v>20</v>
      </c>
      <c r="G1947" s="7">
        <v>2023</v>
      </c>
      <c r="H1947" s="8">
        <f t="shared" si="90"/>
        <v>45066</v>
      </c>
      <c r="I1947" s="11">
        <v>45083</v>
      </c>
      <c r="J1947" s="7">
        <f t="shared" si="91"/>
        <v>17</v>
      </c>
      <c r="K1947" s="7" t="s">
        <v>14</v>
      </c>
      <c r="L1947" s="7">
        <v>51861</v>
      </c>
      <c r="M1947" s="7">
        <v>2079</v>
      </c>
      <c r="N1947" s="12">
        <v>4074.61</v>
      </c>
      <c r="O1947" s="12">
        <f t="shared" si="92"/>
        <v>3632.575</v>
      </c>
      <c r="P1947" s="7">
        <v>113</v>
      </c>
      <c r="Q1947" s="7" t="b">
        <v>1</v>
      </c>
      <c r="R1947" s="7"/>
      <c r="S1947" s="15" t="s">
        <v>16</v>
      </c>
    </row>
    <row r="1948" spans="1:19">
      <c r="A1948" s="3" t="s">
        <v>4011</v>
      </c>
      <c r="B1948" s="4" t="s">
        <v>4012</v>
      </c>
      <c r="C1948" s="5" t="s">
        <v>4131</v>
      </c>
      <c r="D1948" s="5">
        <v>45048</v>
      </c>
      <c r="E1948" s="4">
        <v>5</v>
      </c>
      <c r="F1948" s="4">
        <v>2</v>
      </c>
      <c r="G1948" s="4">
        <v>2023</v>
      </c>
      <c r="H1948" s="5">
        <f t="shared" si="90"/>
        <v>45048</v>
      </c>
      <c r="I1948" s="9">
        <v>45053</v>
      </c>
      <c r="J1948" s="4">
        <f t="shared" si="91"/>
        <v>5</v>
      </c>
      <c r="K1948" s="4" t="s">
        <v>33</v>
      </c>
      <c r="L1948" s="4">
        <v>76897</v>
      </c>
      <c r="M1948" s="4">
        <v>2199</v>
      </c>
      <c r="N1948" s="10">
        <v>1763.84</v>
      </c>
      <c r="O1948" s="10">
        <f t="shared" si="92"/>
        <v>1763.84</v>
      </c>
      <c r="P1948" s="4">
        <v>133</v>
      </c>
      <c r="Q1948" s="4" t="b">
        <v>0</v>
      </c>
      <c r="R1948" s="4"/>
      <c r="S1948" s="14" t="s">
        <v>34</v>
      </c>
    </row>
    <row r="1949" spans="1:19">
      <c r="A1949" s="6" t="s">
        <v>4013</v>
      </c>
      <c r="B1949" s="7" t="s">
        <v>4014</v>
      </c>
      <c r="C1949" s="8" t="s">
        <v>4127</v>
      </c>
      <c r="D1949" s="8">
        <v>45081</v>
      </c>
      <c r="E1949" s="7">
        <v>6</v>
      </c>
      <c r="F1949" s="7">
        <v>4</v>
      </c>
      <c r="G1949" s="7">
        <v>2023</v>
      </c>
      <c r="H1949" s="8">
        <f t="shared" si="90"/>
        <v>45081</v>
      </c>
      <c r="I1949" s="11">
        <v>45103</v>
      </c>
      <c r="J1949" s="7">
        <f t="shared" si="91"/>
        <v>22</v>
      </c>
      <c r="K1949" s="7" t="s">
        <v>33</v>
      </c>
      <c r="L1949" s="7">
        <v>82905</v>
      </c>
      <c r="M1949" s="7">
        <v>3727</v>
      </c>
      <c r="N1949" s="12">
        <v>1916.85</v>
      </c>
      <c r="O1949" s="12">
        <f t="shared" si="92"/>
        <v>1916.85</v>
      </c>
      <c r="P1949" s="7">
        <v>555</v>
      </c>
      <c r="Q1949" s="7" t="b">
        <v>1</v>
      </c>
      <c r="R1949" s="7"/>
      <c r="S1949" s="15" t="s">
        <v>34</v>
      </c>
    </row>
    <row r="1950" spans="1:19">
      <c r="A1950" s="3" t="s">
        <v>4015</v>
      </c>
      <c r="B1950" s="4" t="s">
        <v>4016</v>
      </c>
      <c r="C1950" s="5" t="s">
        <v>4129</v>
      </c>
      <c r="D1950" s="5">
        <v>44984</v>
      </c>
      <c r="E1950" s="4">
        <v>2</v>
      </c>
      <c r="F1950" s="4">
        <v>27</v>
      </c>
      <c r="G1950" s="4">
        <v>2023</v>
      </c>
      <c r="H1950" s="5">
        <f t="shared" si="90"/>
        <v>44984</v>
      </c>
      <c r="I1950" s="9">
        <v>45006</v>
      </c>
      <c r="J1950" s="4">
        <f t="shared" si="91"/>
        <v>22</v>
      </c>
      <c r="K1950" s="4" t="s">
        <v>14</v>
      </c>
      <c r="L1950" s="4">
        <v>69577</v>
      </c>
      <c r="M1950" s="4">
        <v>1261</v>
      </c>
      <c r="N1950" s="10">
        <v>772.93</v>
      </c>
      <c r="O1950" s="10">
        <f t="shared" si="92"/>
        <v>772.93</v>
      </c>
      <c r="P1950" s="4">
        <v>144</v>
      </c>
      <c r="Q1950" s="4" t="b">
        <v>1</v>
      </c>
      <c r="R1950" s="4"/>
      <c r="S1950" s="14" t="s">
        <v>16</v>
      </c>
    </row>
    <row r="1951" spans="1:19">
      <c r="A1951" s="6" t="s">
        <v>4017</v>
      </c>
      <c r="B1951" s="7" t="s">
        <v>4018</v>
      </c>
      <c r="C1951" s="8" t="s">
        <v>4127</v>
      </c>
      <c r="D1951" s="8">
        <v>45030</v>
      </c>
      <c r="E1951" s="7">
        <v>4</v>
      </c>
      <c r="F1951" s="7">
        <v>14</v>
      </c>
      <c r="G1951" s="7">
        <v>2023</v>
      </c>
      <c r="H1951" s="8">
        <f t="shared" si="90"/>
        <v>45030</v>
      </c>
      <c r="I1951" s="11">
        <v>45057</v>
      </c>
      <c r="J1951" s="7">
        <f t="shared" si="91"/>
        <v>27</v>
      </c>
      <c r="K1951" s="7" t="s">
        <v>33</v>
      </c>
      <c r="L1951" s="7">
        <v>66641</v>
      </c>
      <c r="M1951" s="7">
        <v>1005</v>
      </c>
      <c r="N1951" s="12">
        <v>1069.1</v>
      </c>
      <c r="O1951" s="12">
        <f t="shared" si="92"/>
        <v>1069.1</v>
      </c>
      <c r="P1951" s="7">
        <v>165</v>
      </c>
      <c r="Q1951" s="7" t="b">
        <v>0</v>
      </c>
      <c r="R1951" s="7"/>
      <c r="S1951" s="15" t="s">
        <v>34</v>
      </c>
    </row>
    <row r="1952" spans="1:19">
      <c r="A1952" s="3" t="s">
        <v>4019</v>
      </c>
      <c r="B1952" s="4" t="s">
        <v>4020</v>
      </c>
      <c r="C1952" s="5" t="s">
        <v>4127</v>
      </c>
      <c r="D1952" s="5">
        <v>44939</v>
      </c>
      <c r="E1952" s="4">
        <v>1</v>
      </c>
      <c r="F1952" s="4">
        <v>13</v>
      </c>
      <c r="G1952" s="4">
        <v>2023</v>
      </c>
      <c r="H1952" s="5">
        <f t="shared" si="90"/>
        <v>44939</v>
      </c>
      <c r="I1952" s="9">
        <v>44962</v>
      </c>
      <c r="J1952" s="4">
        <f t="shared" si="91"/>
        <v>23</v>
      </c>
      <c r="K1952" s="4" t="s">
        <v>19</v>
      </c>
      <c r="L1952" s="4">
        <v>10078</v>
      </c>
      <c r="M1952" s="4">
        <v>215</v>
      </c>
      <c r="N1952" s="10">
        <v>372.13</v>
      </c>
      <c r="O1952" s="10">
        <f t="shared" si="92"/>
        <v>372.13</v>
      </c>
      <c r="P1952" s="4">
        <v>42</v>
      </c>
      <c r="Q1952" s="4" t="b">
        <v>1</v>
      </c>
      <c r="R1952" s="4"/>
      <c r="S1952" s="14" t="s">
        <v>20</v>
      </c>
    </row>
    <row r="1953" spans="1:19">
      <c r="A1953" s="6" t="s">
        <v>4021</v>
      </c>
      <c r="B1953" s="7" t="s">
        <v>4022</v>
      </c>
      <c r="C1953" s="8" t="s">
        <v>4127</v>
      </c>
      <c r="D1953" s="8">
        <v>45005</v>
      </c>
      <c r="E1953" s="7">
        <v>3</v>
      </c>
      <c r="F1953" s="7">
        <v>20</v>
      </c>
      <c r="G1953" s="7">
        <v>2023</v>
      </c>
      <c r="H1953" s="8">
        <f t="shared" si="90"/>
        <v>45005</v>
      </c>
      <c r="I1953" s="11">
        <v>45024</v>
      </c>
      <c r="J1953" s="7">
        <f t="shared" si="91"/>
        <v>19</v>
      </c>
      <c r="K1953" s="7" t="s">
        <v>138</v>
      </c>
      <c r="L1953" s="7">
        <v>26003</v>
      </c>
      <c r="M1953" s="7">
        <v>812</v>
      </c>
      <c r="N1953" s="12">
        <v>414.7</v>
      </c>
      <c r="O1953" s="12">
        <f t="shared" si="92"/>
        <v>414.7</v>
      </c>
      <c r="P1953" s="7">
        <v>120</v>
      </c>
      <c r="Q1953" s="7" t="b">
        <v>0</v>
      </c>
      <c r="R1953" s="7"/>
      <c r="S1953" s="15" t="s">
        <v>139</v>
      </c>
    </row>
    <row r="1954" spans="1:19">
      <c r="A1954" s="3" t="s">
        <v>4023</v>
      </c>
      <c r="B1954" s="4" t="s">
        <v>4024</v>
      </c>
      <c r="C1954" s="5" t="s">
        <v>4129</v>
      </c>
      <c r="D1954" s="5">
        <v>45195</v>
      </c>
      <c r="E1954" s="4">
        <v>9</v>
      </c>
      <c r="F1954" s="4">
        <v>26</v>
      </c>
      <c r="G1954" s="4">
        <v>2023</v>
      </c>
      <c r="H1954" s="5">
        <f t="shared" si="90"/>
        <v>45195</v>
      </c>
      <c r="I1954" s="9">
        <v>45190</v>
      </c>
      <c r="J1954" s="4">
        <f t="shared" si="91"/>
        <v>-5</v>
      </c>
      <c r="K1954" s="4" t="s">
        <v>23</v>
      </c>
      <c r="L1954" s="4">
        <v>63768</v>
      </c>
      <c r="M1954" s="4">
        <v>1939</v>
      </c>
      <c r="N1954" s="10">
        <v>2297.9</v>
      </c>
      <c r="O1954" s="10">
        <f t="shared" si="92"/>
        <v>2297.9</v>
      </c>
      <c r="P1954" s="4">
        <v>111</v>
      </c>
      <c r="Q1954" s="4" t="b">
        <v>0</v>
      </c>
      <c r="R1954" s="4"/>
      <c r="S1954" s="14" t="s">
        <v>25</v>
      </c>
    </row>
    <row r="1955" spans="1:19">
      <c r="A1955" s="6" t="s">
        <v>4025</v>
      </c>
      <c r="B1955" s="7" t="s">
        <v>4026</v>
      </c>
      <c r="C1955" s="8" t="s">
        <v>4127</v>
      </c>
      <c r="D1955" s="8">
        <v>44977</v>
      </c>
      <c r="E1955" s="7">
        <v>2</v>
      </c>
      <c r="F1955" s="7">
        <v>20</v>
      </c>
      <c r="G1955" s="7">
        <v>2023</v>
      </c>
      <c r="H1955" s="8">
        <f t="shared" si="90"/>
        <v>44977</v>
      </c>
      <c r="I1955" s="11">
        <v>44999</v>
      </c>
      <c r="J1955" s="7">
        <f t="shared" si="91"/>
        <v>22</v>
      </c>
      <c r="K1955" s="7" t="s">
        <v>33</v>
      </c>
      <c r="L1955" s="7">
        <v>52047</v>
      </c>
      <c r="M1955" s="7">
        <v>2228</v>
      </c>
      <c r="N1955" s="12">
        <v>2214.29</v>
      </c>
      <c r="O1955" s="12">
        <f t="shared" si="92"/>
        <v>2214.29</v>
      </c>
      <c r="P1955" s="7">
        <v>0</v>
      </c>
      <c r="Q1955" s="7" t="b">
        <v>0</v>
      </c>
      <c r="R1955" s="7"/>
      <c r="S1955" s="15" t="s">
        <v>34</v>
      </c>
    </row>
    <row r="1956" spans="1:19">
      <c r="A1956" s="3" t="s">
        <v>4027</v>
      </c>
      <c r="B1956" s="4" t="s">
        <v>4028</v>
      </c>
      <c r="C1956" s="5" t="s">
        <v>4128</v>
      </c>
      <c r="D1956" s="5">
        <v>45273</v>
      </c>
      <c r="E1956" s="4">
        <v>12</v>
      </c>
      <c r="F1956" s="4">
        <v>13</v>
      </c>
      <c r="G1956" s="4">
        <v>2023</v>
      </c>
      <c r="H1956" s="5">
        <f t="shared" si="90"/>
        <v>45273</v>
      </c>
      <c r="I1956" s="9">
        <v>45282</v>
      </c>
      <c r="J1956" s="4">
        <f t="shared" si="91"/>
        <v>9</v>
      </c>
      <c r="K1956" s="4" t="s">
        <v>33</v>
      </c>
      <c r="L1956" s="4">
        <v>72626</v>
      </c>
      <c r="M1956" s="4">
        <v>1901</v>
      </c>
      <c r="N1956" s="10">
        <v>1100.15</v>
      </c>
      <c r="O1956" s="10">
        <f t="shared" si="92"/>
        <v>1100.15</v>
      </c>
      <c r="P1956" s="4">
        <v>346</v>
      </c>
      <c r="Q1956" s="4" t="b">
        <v>1</v>
      </c>
      <c r="R1956" s="4"/>
      <c r="S1956" s="14" t="s">
        <v>34</v>
      </c>
    </row>
    <row r="1957" spans="1:19">
      <c r="A1957" s="6" t="s">
        <v>4029</v>
      </c>
      <c r="B1957" s="7" t="s">
        <v>4030</v>
      </c>
      <c r="C1957" s="8" t="s">
        <v>4129</v>
      </c>
      <c r="D1957" s="8">
        <v>44945</v>
      </c>
      <c r="E1957" s="7">
        <v>1</v>
      </c>
      <c r="F1957" s="7">
        <v>19</v>
      </c>
      <c r="G1957" s="7">
        <v>2023</v>
      </c>
      <c r="H1957" s="8">
        <f t="shared" si="90"/>
        <v>44945</v>
      </c>
      <c r="I1957" s="11">
        <v>44971</v>
      </c>
      <c r="J1957" s="7">
        <f t="shared" si="91"/>
        <v>26</v>
      </c>
      <c r="K1957" s="7" t="s">
        <v>14</v>
      </c>
      <c r="L1957" s="7">
        <v>58660</v>
      </c>
      <c r="M1957" s="7">
        <v>1723</v>
      </c>
      <c r="N1957" s="12">
        <v>2025.14</v>
      </c>
      <c r="O1957" s="12">
        <f t="shared" si="92"/>
        <v>2025.14</v>
      </c>
      <c r="P1957" s="7">
        <v>222</v>
      </c>
      <c r="Q1957" s="7" t="b">
        <v>0</v>
      </c>
      <c r="R1957" s="7"/>
      <c r="S1957" s="15" t="s">
        <v>68</v>
      </c>
    </row>
    <row r="1958" spans="1:19">
      <c r="A1958" s="3" t="s">
        <v>4031</v>
      </c>
      <c r="B1958" s="4" t="s">
        <v>4032</v>
      </c>
      <c r="C1958" s="5" t="s">
        <v>4129</v>
      </c>
      <c r="D1958" s="5">
        <v>45194</v>
      </c>
      <c r="E1958" s="4">
        <v>9</v>
      </c>
      <c r="F1958" s="4">
        <v>25</v>
      </c>
      <c r="G1958" s="4">
        <v>2023</v>
      </c>
      <c r="H1958" s="5">
        <f t="shared" si="90"/>
        <v>45194</v>
      </c>
      <c r="I1958" s="9">
        <v>45214</v>
      </c>
      <c r="J1958" s="4">
        <f t="shared" si="91"/>
        <v>20</v>
      </c>
      <c r="K1958" s="4" t="s">
        <v>23</v>
      </c>
      <c r="L1958" s="4">
        <v>50786</v>
      </c>
      <c r="M1958" s="4">
        <v>535</v>
      </c>
      <c r="N1958" s="10">
        <v>471.94</v>
      </c>
      <c r="O1958" s="10">
        <f t="shared" si="92"/>
        <v>471.94</v>
      </c>
      <c r="P1958" s="4">
        <v>92</v>
      </c>
      <c r="Q1958" s="4" t="b">
        <v>0</v>
      </c>
      <c r="R1958" s="4"/>
      <c r="S1958" s="14" t="s">
        <v>25</v>
      </c>
    </row>
    <row r="1959" spans="1:19">
      <c r="A1959" s="6" t="s">
        <v>4033</v>
      </c>
      <c r="B1959" s="7" t="s">
        <v>4034</v>
      </c>
      <c r="C1959" s="8" t="s">
        <v>4129</v>
      </c>
      <c r="D1959" s="8">
        <v>44949</v>
      </c>
      <c r="E1959" s="7">
        <v>1</v>
      </c>
      <c r="F1959" s="7">
        <v>23</v>
      </c>
      <c r="G1959" s="7">
        <v>2023</v>
      </c>
      <c r="H1959" s="8">
        <f t="shared" si="90"/>
        <v>44949</v>
      </c>
      <c r="I1959" s="11">
        <v>44974</v>
      </c>
      <c r="J1959" s="7">
        <f t="shared" si="91"/>
        <v>25</v>
      </c>
      <c r="K1959" s="7" t="s">
        <v>19</v>
      </c>
      <c r="L1959" s="7">
        <v>2925</v>
      </c>
      <c r="M1959" s="7">
        <v>77</v>
      </c>
      <c r="N1959" s="12">
        <v>79.14</v>
      </c>
      <c r="O1959" s="12">
        <f t="shared" si="92"/>
        <v>79.14</v>
      </c>
      <c r="P1959" s="7">
        <v>13</v>
      </c>
      <c r="Q1959" s="7" t="b">
        <v>0</v>
      </c>
      <c r="R1959" s="7"/>
      <c r="S1959" s="15" t="s">
        <v>20</v>
      </c>
    </row>
    <row r="1960" spans="1:19">
      <c r="A1960" s="3" t="s">
        <v>4035</v>
      </c>
      <c r="B1960" s="4" t="s">
        <v>4036</v>
      </c>
      <c r="C1960" s="5" t="s">
        <v>4131</v>
      </c>
      <c r="D1960" s="5">
        <v>44971</v>
      </c>
      <c r="E1960" s="4">
        <v>2</v>
      </c>
      <c r="F1960" s="4">
        <v>14</v>
      </c>
      <c r="G1960" s="4">
        <v>2023</v>
      </c>
      <c r="H1960" s="5">
        <f t="shared" si="90"/>
        <v>44971</v>
      </c>
      <c r="I1960" s="9">
        <v>45000</v>
      </c>
      <c r="J1960" s="4">
        <f t="shared" si="91"/>
        <v>29</v>
      </c>
      <c r="K1960" s="4" t="s">
        <v>14</v>
      </c>
      <c r="L1960" s="4">
        <v>84976</v>
      </c>
      <c r="M1960" s="4">
        <v>3051</v>
      </c>
      <c r="N1960" s="10">
        <v>4754.75</v>
      </c>
      <c r="O1960" s="10">
        <f t="shared" si="92"/>
        <v>3632.575</v>
      </c>
      <c r="P1960" s="4">
        <v>577</v>
      </c>
      <c r="Q1960" s="4" t="b">
        <v>1</v>
      </c>
      <c r="R1960" s="4"/>
      <c r="S1960" s="14" t="s">
        <v>16</v>
      </c>
    </row>
    <row r="1961" spans="1:19">
      <c r="A1961" s="6" t="s">
        <v>4037</v>
      </c>
      <c r="B1961" s="7" t="s">
        <v>4038</v>
      </c>
      <c r="C1961" s="8" t="s">
        <v>4128</v>
      </c>
      <c r="D1961" s="8">
        <v>44979</v>
      </c>
      <c r="E1961" s="7">
        <v>2</v>
      </c>
      <c r="F1961" s="7">
        <v>22</v>
      </c>
      <c r="G1961" s="7">
        <v>2023</v>
      </c>
      <c r="H1961" s="8">
        <f t="shared" si="90"/>
        <v>44979</v>
      </c>
      <c r="I1961" s="11">
        <v>44987</v>
      </c>
      <c r="J1961" s="7">
        <f t="shared" si="91"/>
        <v>8</v>
      </c>
      <c r="K1961" s="7" t="s">
        <v>19</v>
      </c>
      <c r="L1961" s="7">
        <v>27015</v>
      </c>
      <c r="M1961" s="7">
        <v>286</v>
      </c>
      <c r="N1961" s="12">
        <v>366.75</v>
      </c>
      <c r="O1961" s="12">
        <f t="shared" si="92"/>
        <v>366.75</v>
      </c>
      <c r="P1961" s="7">
        <v>55</v>
      </c>
      <c r="Q1961" s="7" t="b">
        <v>0</v>
      </c>
      <c r="R1961" s="7"/>
      <c r="S1961" s="15" t="s">
        <v>20</v>
      </c>
    </row>
    <row r="1962" spans="1:19">
      <c r="A1962" s="3" t="s">
        <v>4039</v>
      </c>
      <c r="B1962" s="4" t="s">
        <v>4040</v>
      </c>
      <c r="C1962" s="5" t="s">
        <v>4127</v>
      </c>
      <c r="D1962" s="5">
        <v>45175</v>
      </c>
      <c r="E1962" s="4">
        <v>9</v>
      </c>
      <c r="F1962" s="4">
        <v>6</v>
      </c>
      <c r="G1962" s="4">
        <v>2023</v>
      </c>
      <c r="H1962" s="5">
        <f t="shared" si="90"/>
        <v>45175</v>
      </c>
      <c r="I1962" s="9">
        <v>45094</v>
      </c>
      <c r="J1962" s="4">
        <f t="shared" si="91"/>
        <v>-81</v>
      </c>
      <c r="K1962" s="4" t="s">
        <v>19</v>
      </c>
      <c r="L1962" s="4">
        <v>34320</v>
      </c>
      <c r="M1962" s="4">
        <v>728</v>
      </c>
      <c r="N1962" s="10">
        <v>500.11</v>
      </c>
      <c r="O1962" s="10">
        <f t="shared" si="92"/>
        <v>500.11</v>
      </c>
      <c r="P1962" s="4">
        <v>96</v>
      </c>
      <c r="Q1962" s="4" t="b">
        <v>1</v>
      </c>
      <c r="R1962" s="4"/>
      <c r="S1962" s="14" t="s">
        <v>68</v>
      </c>
    </row>
    <row r="1963" spans="1:19">
      <c r="A1963" s="6" t="s">
        <v>4041</v>
      </c>
      <c r="B1963" s="7" t="s">
        <v>4042</v>
      </c>
      <c r="C1963" s="8" t="s">
        <v>4129</v>
      </c>
      <c r="D1963" s="8">
        <v>45086</v>
      </c>
      <c r="E1963" s="7">
        <v>6</v>
      </c>
      <c r="F1963" s="7">
        <v>9</v>
      </c>
      <c r="G1963" s="7">
        <v>2023</v>
      </c>
      <c r="H1963" s="8">
        <f t="shared" si="90"/>
        <v>45086</v>
      </c>
      <c r="I1963" s="11">
        <v>45113</v>
      </c>
      <c r="J1963" s="7">
        <f t="shared" si="91"/>
        <v>27</v>
      </c>
      <c r="K1963" s="7" t="s">
        <v>19</v>
      </c>
      <c r="L1963" s="7">
        <v>65881</v>
      </c>
      <c r="M1963" s="7">
        <v>1206</v>
      </c>
      <c r="N1963" s="12">
        <v>2342.2</v>
      </c>
      <c r="O1963" s="12">
        <f t="shared" si="92"/>
        <v>2342.2</v>
      </c>
      <c r="P1963" s="7">
        <v>121</v>
      </c>
      <c r="Q1963" s="7" t="b">
        <v>0</v>
      </c>
      <c r="R1963" s="7"/>
      <c r="S1963" s="15" t="s">
        <v>20</v>
      </c>
    </row>
    <row r="1964" spans="1:19">
      <c r="A1964" s="3" t="s">
        <v>4043</v>
      </c>
      <c r="B1964" s="4" t="s">
        <v>4044</v>
      </c>
      <c r="C1964" s="5" t="s">
        <v>4131</v>
      </c>
      <c r="D1964" s="5">
        <v>45029</v>
      </c>
      <c r="E1964" s="4">
        <v>4</v>
      </c>
      <c r="F1964" s="4">
        <v>13</v>
      </c>
      <c r="G1964" s="4">
        <v>2023</v>
      </c>
      <c r="H1964" s="5">
        <f t="shared" si="90"/>
        <v>45029</v>
      </c>
      <c r="I1964" s="9">
        <v>45030</v>
      </c>
      <c r="J1964" s="4">
        <f t="shared" si="91"/>
        <v>1</v>
      </c>
      <c r="K1964" s="4" t="s">
        <v>138</v>
      </c>
      <c r="L1964" s="4">
        <v>91827</v>
      </c>
      <c r="M1964" s="4">
        <v>1072</v>
      </c>
      <c r="N1964" s="10">
        <v>1558.54</v>
      </c>
      <c r="O1964" s="10">
        <f t="shared" si="92"/>
        <v>1558.54</v>
      </c>
      <c r="P1964" s="4">
        <v>208</v>
      </c>
      <c r="Q1964" s="4" t="b">
        <v>1</v>
      </c>
      <c r="R1964" s="4"/>
      <c r="S1964" s="14" t="s">
        <v>139</v>
      </c>
    </row>
    <row r="1965" spans="1:19">
      <c r="A1965" s="6" t="s">
        <v>4045</v>
      </c>
      <c r="B1965" s="7" t="s">
        <v>4046</v>
      </c>
      <c r="C1965" s="8" t="s">
        <v>4129</v>
      </c>
      <c r="D1965" s="8">
        <v>45090</v>
      </c>
      <c r="E1965" s="7">
        <v>6</v>
      </c>
      <c r="F1965" s="7">
        <v>13</v>
      </c>
      <c r="G1965" s="7">
        <v>2023</v>
      </c>
      <c r="H1965" s="8">
        <f t="shared" si="90"/>
        <v>45090</v>
      </c>
      <c r="I1965" s="11">
        <v>45104</v>
      </c>
      <c r="J1965" s="7">
        <f t="shared" si="91"/>
        <v>14</v>
      </c>
      <c r="K1965" s="7" t="s">
        <v>19</v>
      </c>
      <c r="L1965" s="7">
        <v>27289</v>
      </c>
      <c r="M1965" s="7">
        <v>796</v>
      </c>
      <c r="N1965" s="12">
        <v>1312.45</v>
      </c>
      <c r="O1965" s="12">
        <f t="shared" si="92"/>
        <v>1312.45</v>
      </c>
      <c r="P1965" s="7">
        <v>105</v>
      </c>
      <c r="Q1965" s="7" t="b">
        <v>1</v>
      </c>
      <c r="R1965" s="7"/>
      <c r="S1965" s="15" t="s">
        <v>20</v>
      </c>
    </row>
    <row r="1966" spans="1:19">
      <c r="A1966" s="3" t="s">
        <v>4047</v>
      </c>
      <c r="B1966" s="4" t="s">
        <v>4048</v>
      </c>
      <c r="C1966" s="5" t="s">
        <v>4127</v>
      </c>
      <c r="D1966" s="5">
        <v>45066</v>
      </c>
      <c r="E1966" s="4">
        <v>5</v>
      </c>
      <c r="F1966" s="4">
        <v>20</v>
      </c>
      <c r="G1966" s="4">
        <v>2023</v>
      </c>
      <c r="H1966" s="5">
        <f t="shared" si="90"/>
        <v>45066</v>
      </c>
      <c r="I1966" s="9">
        <v>45082</v>
      </c>
      <c r="J1966" s="4">
        <f t="shared" si="91"/>
        <v>16</v>
      </c>
      <c r="K1966" s="4" t="s">
        <v>19</v>
      </c>
      <c r="L1966" s="4">
        <v>4389</v>
      </c>
      <c r="M1966" s="4">
        <v>75</v>
      </c>
      <c r="N1966" s="10">
        <v>46.41</v>
      </c>
      <c r="O1966" s="10">
        <f t="shared" si="92"/>
        <v>46.41</v>
      </c>
      <c r="P1966" s="4">
        <v>4</v>
      </c>
      <c r="Q1966" s="4" t="b">
        <v>0</v>
      </c>
      <c r="R1966" s="4"/>
      <c r="S1966" s="14" t="s">
        <v>20</v>
      </c>
    </row>
    <row r="1967" spans="1:19">
      <c r="A1967" s="6" t="s">
        <v>4049</v>
      </c>
      <c r="B1967" s="7" t="s">
        <v>4050</v>
      </c>
      <c r="C1967" s="8" t="s">
        <v>4129</v>
      </c>
      <c r="D1967" s="8">
        <v>44934</v>
      </c>
      <c r="E1967" s="7">
        <v>1</v>
      </c>
      <c r="F1967" s="7">
        <v>8</v>
      </c>
      <c r="G1967" s="7">
        <v>2023</v>
      </c>
      <c r="H1967" s="8">
        <f t="shared" si="90"/>
        <v>44934</v>
      </c>
      <c r="I1967" s="11">
        <v>44943</v>
      </c>
      <c r="J1967" s="7">
        <f t="shared" si="91"/>
        <v>9</v>
      </c>
      <c r="K1967" s="7" t="s">
        <v>41</v>
      </c>
      <c r="L1967" s="7">
        <v>26683</v>
      </c>
      <c r="M1967" s="7">
        <v>1059</v>
      </c>
      <c r="N1967" s="12">
        <v>604.25</v>
      </c>
      <c r="O1967" s="12">
        <f t="shared" si="92"/>
        <v>604.25</v>
      </c>
      <c r="P1967" s="7">
        <v>155</v>
      </c>
      <c r="Q1967" s="7" t="b">
        <v>1</v>
      </c>
      <c r="R1967" s="7"/>
      <c r="S1967" s="15" t="s">
        <v>42</v>
      </c>
    </row>
    <row r="1968" spans="1:19">
      <c r="A1968" s="3" t="s">
        <v>4051</v>
      </c>
      <c r="B1968" s="4" t="s">
        <v>4052</v>
      </c>
      <c r="C1968" s="5" t="s">
        <v>4129</v>
      </c>
      <c r="D1968" s="5">
        <v>44979</v>
      </c>
      <c r="E1968" s="4">
        <v>2</v>
      </c>
      <c r="F1968" s="4">
        <v>22</v>
      </c>
      <c r="G1968" s="4">
        <v>2023</v>
      </c>
      <c r="H1968" s="5">
        <f t="shared" si="90"/>
        <v>44979</v>
      </c>
      <c r="I1968" s="9">
        <v>44990</v>
      </c>
      <c r="J1968" s="4">
        <f t="shared" si="91"/>
        <v>11</v>
      </c>
      <c r="K1968" s="4" t="s">
        <v>19</v>
      </c>
      <c r="L1968" s="4">
        <v>14629</v>
      </c>
      <c r="M1968" s="4">
        <v>642</v>
      </c>
      <c r="N1968" s="10">
        <v>339.73</v>
      </c>
      <c r="O1968" s="10">
        <f t="shared" si="92"/>
        <v>339.73</v>
      </c>
      <c r="P1968" s="4">
        <v>88</v>
      </c>
      <c r="Q1968" s="4" t="b">
        <v>0</v>
      </c>
      <c r="R1968" s="4"/>
      <c r="S1968" s="14" t="s">
        <v>20</v>
      </c>
    </row>
    <row r="1969" spans="1:19">
      <c r="A1969" s="6" t="s">
        <v>4053</v>
      </c>
      <c r="B1969" s="7" t="s">
        <v>4054</v>
      </c>
      <c r="C1969" s="8" t="s">
        <v>4128</v>
      </c>
      <c r="D1969" s="8">
        <v>45090</v>
      </c>
      <c r="E1969" s="7">
        <v>6</v>
      </c>
      <c r="F1969" s="7">
        <v>13</v>
      </c>
      <c r="G1969" s="7">
        <v>2023</v>
      </c>
      <c r="H1969" s="8">
        <f t="shared" si="90"/>
        <v>45090</v>
      </c>
      <c r="I1969" s="11">
        <v>45107</v>
      </c>
      <c r="J1969" s="7">
        <f t="shared" si="91"/>
        <v>17</v>
      </c>
      <c r="K1969" s="7" t="s">
        <v>14</v>
      </c>
      <c r="L1969" s="7">
        <v>62550</v>
      </c>
      <c r="M1969" s="7">
        <v>1990</v>
      </c>
      <c r="N1969" s="12">
        <v>1558.55</v>
      </c>
      <c r="O1969" s="12">
        <f t="shared" si="92"/>
        <v>1558.55</v>
      </c>
      <c r="P1969" s="7">
        <v>366</v>
      </c>
      <c r="Q1969" s="7" t="b">
        <v>1</v>
      </c>
      <c r="R1969" s="7"/>
      <c r="S1969" s="15" t="s">
        <v>16</v>
      </c>
    </row>
    <row r="1970" spans="1:19">
      <c r="A1970" s="3" t="s">
        <v>4055</v>
      </c>
      <c r="B1970" s="4" t="s">
        <v>4056</v>
      </c>
      <c r="C1970" s="5" t="s">
        <v>4128</v>
      </c>
      <c r="D1970" s="5">
        <v>45072</v>
      </c>
      <c r="E1970" s="4">
        <v>5</v>
      </c>
      <c r="F1970" s="4">
        <v>26</v>
      </c>
      <c r="G1970" s="4">
        <v>2023</v>
      </c>
      <c r="H1970" s="5">
        <f t="shared" si="90"/>
        <v>45072</v>
      </c>
      <c r="I1970" s="9">
        <v>45082</v>
      </c>
      <c r="J1970" s="4">
        <f t="shared" si="91"/>
        <v>10</v>
      </c>
      <c r="K1970" s="4" t="s">
        <v>14</v>
      </c>
      <c r="L1970" s="4">
        <v>25826</v>
      </c>
      <c r="M1970" s="4">
        <v>1272</v>
      </c>
      <c r="N1970" s="10">
        <v>1426.69</v>
      </c>
      <c r="O1970" s="10">
        <f t="shared" si="92"/>
        <v>1426.69</v>
      </c>
      <c r="P1970" s="4">
        <v>188</v>
      </c>
      <c r="Q1970" s="4" t="b">
        <v>1</v>
      </c>
      <c r="R1970" s="4"/>
      <c r="S1970" s="14" t="s">
        <v>16</v>
      </c>
    </row>
    <row r="1971" spans="1:19">
      <c r="A1971" s="6" t="s">
        <v>4057</v>
      </c>
      <c r="B1971" s="7" t="s">
        <v>4058</v>
      </c>
      <c r="C1971" s="8" t="s">
        <v>4129</v>
      </c>
      <c r="D1971" s="8">
        <v>45086</v>
      </c>
      <c r="E1971" s="7">
        <v>6</v>
      </c>
      <c r="F1971" s="7">
        <v>9</v>
      </c>
      <c r="G1971" s="7">
        <v>2023</v>
      </c>
      <c r="H1971" s="8">
        <f t="shared" si="90"/>
        <v>45086</v>
      </c>
      <c r="I1971" s="11">
        <v>45102</v>
      </c>
      <c r="J1971" s="7">
        <f t="shared" si="91"/>
        <v>16</v>
      </c>
      <c r="K1971" s="7" t="s">
        <v>41</v>
      </c>
      <c r="L1971" s="7">
        <v>27630</v>
      </c>
      <c r="M1971" s="7">
        <v>774</v>
      </c>
      <c r="N1971" s="12">
        <v>1473.49</v>
      </c>
      <c r="O1971" s="12">
        <f t="shared" si="92"/>
        <v>1473.49</v>
      </c>
      <c r="P1971" s="7">
        <v>79</v>
      </c>
      <c r="Q1971" s="7" t="b">
        <v>1</v>
      </c>
      <c r="R1971" s="7"/>
      <c r="S1971" s="15" t="s">
        <v>42</v>
      </c>
    </row>
    <row r="1972" spans="1:19">
      <c r="A1972" s="3" t="s">
        <v>4059</v>
      </c>
      <c r="B1972" s="4" t="s">
        <v>4060</v>
      </c>
      <c r="C1972" s="5" t="s">
        <v>4131</v>
      </c>
      <c r="D1972" s="5" t="s">
        <v>4061</v>
      </c>
      <c r="E1972" s="4">
        <v>16</v>
      </c>
      <c r="F1972" s="4">
        <v>8</v>
      </c>
      <c r="G1972" s="4">
        <v>2023</v>
      </c>
      <c r="H1972" s="5">
        <f t="shared" si="90"/>
        <v>45154</v>
      </c>
      <c r="I1972" s="9">
        <v>45178</v>
      </c>
      <c r="J1972" s="4">
        <f t="shared" si="91"/>
        <v>24</v>
      </c>
      <c r="K1972" s="4" t="s">
        <v>33</v>
      </c>
      <c r="L1972" s="4">
        <v>99762</v>
      </c>
      <c r="M1972" s="4">
        <v>3046</v>
      </c>
      <c r="N1972" s="10">
        <v>3611.31</v>
      </c>
      <c r="O1972" s="10">
        <f t="shared" si="92"/>
        <v>3611.31</v>
      </c>
      <c r="P1972" s="4">
        <v>593</v>
      </c>
      <c r="Q1972" s="4" t="b">
        <v>0</v>
      </c>
      <c r="R1972" s="4"/>
      <c r="S1972" s="14" t="s">
        <v>34</v>
      </c>
    </row>
    <row r="1973" spans="1:19">
      <c r="A1973" s="6" t="s">
        <v>4062</v>
      </c>
      <c r="B1973" s="7" t="s">
        <v>4063</v>
      </c>
      <c r="C1973" s="8" t="s">
        <v>4129</v>
      </c>
      <c r="D1973" s="8">
        <v>44941</v>
      </c>
      <c r="E1973" s="7">
        <v>1</v>
      </c>
      <c r="F1973" s="7">
        <v>15</v>
      </c>
      <c r="G1973" s="7">
        <v>2023</v>
      </c>
      <c r="H1973" s="8">
        <f t="shared" si="90"/>
        <v>44941</v>
      </c>
      <c r="I1973" s="11">
        <v>44954</v>
      </c>
      <c r="J1973" s="7">
        <f t="shared" si="91"/>
        <v>13</v>
      </c>
      <c r="K1973" s="7" t="s">
        <v>23</v>
      </c>
      <c r="L1973" s="7">
        <v>47163</v>
      </c>
      <c r="M1973" s="7">
        <v>2337</v>
      </c>
      <c r="N1973" s="12">
        <v>2185.99</v>
      </c>
      <c r="O1973" s="12">
        <f t="shared" si="92"/>
        <v>2185.99</v>
      </c>
      <c r="P1973" s="7">
        <v>0</v>
      </c>
      <c r="Q1973" s="7" t="b">
        <v>1</v>
      </c>
      <c r="R1973" s="7"/>
      <c r="S1973" s="15" t="s">
        <v>25</v>
      </c>
    </row>
    <row r="1974" spans="1:19">
      <c r="A1974" s="3" t="s">
        <v>4064</v>
      </c>
      <c r="B1974" s="4" t="s">
        <v>4065</v>
      </c>
      <c r="C1974" s="5" t="s">
        <v>4131</v>
      </c>
      <c r="D1974" s="5">
        <v>44981</v>
      </c>
      <c r="E1974" s="4">
        <v>2</v>
      </c>
      <c r="F1974" s="4">
        <v>24</v>
      </c>
      <c r="G1974" s="4">
        <v>2023</v>
      </c>
      <c r="H1974" s="5">
        <f t="shared" si="90"/>
        <v>44981</v>
      </c>
      <c r="I1974" s="9">
        <v>44983</v>
      </c>
      <c r="J1974" s="4">
        <f t="shared" si="91"/>
        <v>2</v>
      </c>
      <c r="K1974" s="4" t="s">
        <v>23</v>
      </c>
      <c r="L1974" s="4">
        <v>99511</v>
      </c>
      <c r="M1974" s="4">
        <v>1916</v>
      </c>
      <c r="N1974" s="10">
        <v>2573</v>
      </c>
      <c r="O1974" s="10">
        <f t="shared" si="92"/>
        <v>2573</v>
      </c>
      <c r="P1974" s="4">
        <v>276</v>
      </c>
      <c r="Q1974" s="4" t="b">
        <v>0</v>
      </c>
      <c r="R1974" s="4"/>
      <c r="S1974" s="14" t="s">
        <v>25</v>
      </c>
    </row>
    <row r="1975" spans="1:19">
      <c r="A1975" s="6" t="s">
        <v>4066</v>
      </c>
      <c r="B1975" s="7" t="s">
        <v>4067</v>
      </c>
      <c r="C1975" s="8" t="s">
        <v>4129</v>
      </c>
      <c r="D1975" s="8">
        <v>45127</v>
      </c>
      <c r="E1975" s="7">
        <v>7</v>
      </c>
      <c r="F1975" s="7">
        <v>20</v>
      </c>
      <c r="G1975" s="7">
        <v>2023</v>
      </c>
      <c r="H1975" s="8">
        <f t="shared" si="90"/>
        <v>45127</v>
      </c>
      <c r="I1975" s="11">
        <v>45146</v>
      </c>
      <c r="J1975" s="7">
        <f t="shared" si="91"/>
        <v>19</v>
      </c>
      <c r="K1975" s="7" t="s">
        <v>138</v>
      </c>
      <c r="L1975" s="7">
        <v>67435</v>
      </c>
      <c r="M1975" s="7">
        <v>3216</v>
      </c>
      <c r="N1975" s="12">
        <v>2147.97</v>
      </c>
      <c r="O1975" s="12">
        <f t="shared" si="92"/>
        <v>2147.97</v>
      </c>
      <c r="P1975" s="7">
        <v>302</v>
      </c>
      <c r="Q1975" s="7" t="b">
        <v>1</v>
      </c>
      <c r="R1975" s="7"/>
      <c r="S1975" s="15" t="s">
        <v>139</v>
      </c>
    </row>
    <row r="1976" spans="1:19">
      <c r="A1976" s="3" t="s">
        <v>4068</v>
      </c>
      <c r="B1976" s="4" t="s">
        <v>4069</v>
      </c>
      <c r="C1976" s="5" t="s">
        <v>4127</v>
      </c>
      <c r="D1976" s="5">
        <v>45230</v>
      </c>
      <c r="E1976" s="4">
        <v>10</v>
      </c>
      <c r="F1976" s="4">
        <v>31</v>
      </c>
      <c r="G1976" s="4">
        <v>2023</v>
      </c>
      <c r="H1976" s="5">
        <f t="shared" si="90"/>
        <v>45230</v>
      </c>
      <c r="I1976" s="9">
        <v>45240</v>
      </c>
      <c r="J1976" s="4">
        <f t="shared" si="91"/>
        <v>10</v>
      </c>
      <c r="K1976" s="4" t="s">
        <v>41</v>
      </c>
      <c r="L1976" s="4">
        <v>12653</v>
      </c>
      <c r="M1976" s="4">
        <v>148</v>
      </c>
      <c r="N1976" s="10">
        <v>209.31</v>
      </c>
      <c r="O1976" s="10">
        <f t="shared" si="92"/>
        <v>209.31</v>
      </c>
      <c r="P1976" s="4">
        <v>15</v>
      </c>
      <c r="Q1976" s="4" t="b">
        <v>0</v>
      </c>
      <c r="R1976" s="4"/>
      <c r="S1976" s="14" t="s">
        <v>42</v>
      </c>
    </row>
    <row r="1977" spans="1:19">
      <c r="A1977" s="6" t="s">
        <v>4070</v>
      </c>
      <c r="B1977" s="7" t="s">
        <v>4071</v>
      </c>
      <c r="C1977" s="8" t="s">
        <v>4128</v>
      </c>
      <c r="D1977" s="8">
        <v>45155</v>
      </c>
      <c r="E1977" s="7">
        <v>8</v>
      </c>
      <c r="F1977" s="7">
        <v>17</v>
      </c>
      <c r="G1977" s="7">
        <v>2023</v>
      </c>
      <c r="H1977" s="8">
        <f t="shared" si="90"/>
        <v>45155</v>
      </c>
      <c r="I1977" s="11">
        <v>45181</v>
      </c>
      <c r="J1977" s="7">
        <f t="shared" si="91"/>
        <v>26</v>
      </c>
      <c r="K1977" s="7" t="s">
        <v>14</v>
      </c>
      <c r="L1977" s="7">
        <v>28961</v>
      </c>
      <c r="M1977" s="7">
        <v>806</v>
      </c>
      <c r="N1977" s="12">
        <v>1090.23</v>
      </c>
      <c r="O1977" s="12">
        <f t="shared" si="92"/>
        <v>1090.23</v>
      </c>
      <c r="P1977" s="7">
        <v>121</v>
      </c>
      <c r="Q1977" s="7" t="b">
        <v>0</v>
      </c>
      <c r="R1977" s="7"/>
      <c r="S1977" s="15" t="s">
        <v>16</v>
      </c>
    </row>
    <row r="1978" spans="1:19">
      <c r="A1978" s="3" t="s">
        <v>4072</v>
      </c>
      <c r="B1978" s="4" t="s">
        <v>4073</v>
      </c>
      <c r="C1978" s="5" t="s">
        <v>4127</v>
      </c>
      <c r="D1978" s="5">
        <v>45028</v>
      </c>
      <c r="E1978" s="4">
        <v>4</v>
      </c>
      <c r="F1978" s="4">
        <v>12</v>
      </c>
      <c r="G1978" s="4">
        <v>2023</v>
      </c>
      <c r="H1978" s="5">
        <f t="shared" si="90"/>
        <v>45028</v>
      </c>
      <c r="I1978" s="9">
        <v>45056</v>
      </c>
      <c r="J1978" s="4">
        <f t="shared" si="91"/>
        <v>28</v>
      </c>
      <c r="K1978" s="4" t="s">
        <v>415</v>
      </c>
      <c r="L1978" s="4">
        <v>82941</v>
      </c>
      <c r="M1978" s="4">
        <v>1061</v>
      </c>
      <c r="N1978" s="10">
        <v>1790.96</v>
      </c>
      <c r="O1978" s="10">
        <f t="shared" si="92"/>
        <v>1790.96</v>
      </c>
      <c r="P1978" s="4">
        <v>64</v>
      </c>
      <c r="Q1978" s="4" t="b">
        <v>0</v>
      </c>
      <c r="R1978" s="4"/>
      <c r="S1978" s="14" t="s">
        <v>34</v>
      </c>
    </row>
    <row r="1979" spans="1:19">
      <c r="A1979" s="6" t="s">
        <v>4074</v>
      </c>
      <c r="B1979" s="7" t="s">
        <v>4075</v>
      </c>
      <c r="C1979" s="8" t="s">
        <v>4127</v>
      </c>
      <c r="D1979" s="8">
        <v>44936</v>
      </c>
      <c r="E1979" s="7">
        <v>1</v>
      </c>
      <c r="F1979" s="7">
        <v>10</v>
      </c>
      <c r="G1979" s="7">
        <v>2023</v>
      </c>
      <c r="H1979" s="8">
        <f t="shared" si="90"/>
        <v>44936</v>
      </c>
      <c r="I1979" s="11">
        <v>45209</v>
      </c>
      <c r="J1979" s="7">
        <f t="shared" si="91"/>
        <v>273</v>
      </c>
      <c r="K1979" s="7" t="s">
        <v>14</v>
      </c>
      <c r="L1979" s="7">
        <v>75137</v>
      </c>
      <c r="M1979" s="7">
        <v>2943</v>
      </c>
      <c r="N1979" s="12">
        <v>5827.23</v>
      </c>
      <c r="O1979" s="12">
        <f t="shared" si="92"/>
        <v>3632.575</v>
      </c>
      <c r="P1979" s="7">
        <v>260</v>
      </c>
      <c r="Q1979" s="7" t="b">
        <v>1</v>
      </c>
      <c r="R1979" s="7"/>
      <c r="S1979" s="15" t="s">
        <v>16</v>
      </c>
    </row>
    <row r="1980" spans="1:19">
      <c r="A1980" s="3" t="s">
        <v>4076</v>
      </c>
      <c r="B1980" s="4" t="s">
        <v>4077</v>
      </c>
      <c r="C1980" s="5" t="s">
        <v>4127</v>
      </c>
      <c r="D1980" s="5">
        <v>45165</v>
      </c>
      <c r="E1980" s="4">
        <v>8</v>
      </c>
      <c r="F1980" s="4">
        <v>27</v>
      </c>
      <c r="G1980" s="4">
        <v>2023</v>
      </c>
      <c r="H1980" s="5">
        <f t="shared" si="90"/>
        <v>45165</v>
      </c>
      <c r="I1980" s="9">
        <v>45169</v>
      </c>
      <c r="J1980" s="4">
        <f t="shared" si="91"/>
        <v>4</v>
      </c>
      <c r="K1980" s="4" t="s">
        <v>41</v>
      </c>
      <c r="L1980" s="4">
        <v>34662</v>
      </c>
      <c r="M1980" s="4">
        <v>1190</v>
      </c>
      <c r="N1980" s="10">
        <v>1042.81</v>
      </c>
      <c r="O1980" s="10">
        <f t="shared" si="92"/>
        <v>1042.81</v>
      </c>
      <c r="P1980" s="4">
        <v>186</v>
      </c>
      <c r="Q1980" s="4" t="b">
        <v>1</v>
      </c>
      <c r="R1980" s="4"/>
      <c r="S1980" s="14" t="s">
        <v>42</v>
      </c>
    </row>
    <row r="1981" spans="1:19">
      <c r="A1981" s="6" t="s">
        <v>4078</v>
      </c>
      <c r="B1981" s="7" t="s">
        <v>4079</v>
      </c>
      <c r="C1981" s="8" t="s">
        <v>4131</v>
      </c>
      <c r="D1981" s="8">
        <v>45284</v>
      </c>
      <c r="E1981" s="7">
        <v>12</v>
      </c>
      <c r="F1981" s="7">
        <v>24</v>
      </c>
      <c r="G1981" s="7">
        <v>2023</v>
      </c>
      <c r="H1981" s="8">
        <f t="shared" si="90"/>
        <v>45284</v>
      </c>
      <c r="I1981" s="11">
        <v>45311</v>
      </c>
      <c r="J1981" s="7">
        <f t="shared" si="91"/>
        <v>27</v>
      </c>
      <c r="K1981" s="7" t="s">
        <v>33</v>
      </c>
      <c r="L1981" s="7">
        <v>99818</v>
      </c>
      <c r="M1981" s="7">
        <v>3819</v>
      </c>
      <c r="N1981" s="12">
        <v>4829.07</v>
      </c>
      <c r="O1981" s="12">
        <f t="shared" si="92"/>
        <v>3632.575</v>
      </c>
      <c r="P1981" s="7">
        <v>465</v>
      </c>
      <c r="Q1981" s="7" t="b">
        <v>0</v>
      </c>
      <c r="R1981" s="7"/>
      <c r="S1981" s="15" t="s">
        <v>34</v>
      </c>
    </row>
    <row r="1982" spans="1:19">
      <c r="A1982" s="3" t="s">
        <v>4080</v>
      </c>
      <c r="B1982" s="4" t="s">
        <v>4081</v>
      </c>
      <c r="C1982" s="5" t="s">
        <v>4127</v>
      </c>
      <c r="D1982" s="5">
        <v>45277</v>
      </c>
      <c r="E1982" s="4">
        <v>12</v>
      </c>
      <c r="F1982" s="4">
        <v>17</v>
      </c>
      <c r="G1982" s="4">
        <v>2023</v>
      </c>
      <c r="H1982" s="5">
        <f t="shared" si="90"/>
        <v>45277</v>
      </c>
      <c r="I1982" s="9">
        <v>45282</v>
      </c>
      <c r="J1982" s="4">
        <f t="shared" si="91"/>
        <v>5</v>
      </c>
      <c r="K1982" s="4" t="s">
        <v>14</v>
      </c>
      <c r="L1982" s="4">
        <v>57446</v>
      </c>
      <c r="M1982" s="4">
        <v>1434</v>
      </c>
      <c r="N1982" s="10">
        <v>2671.97</v>
      </c>
      <c r="O1982" s="10">
        <f t="shared" si="92"/>
        <v>2671.97</v>
      </c>
      <c r="P1982" s="4">
        <v>158</v>
      </c>
      <c r="Q1982" s="4" t="b">
        <v>1</v>
      </c>
      <c r="R1982" s="4">
        <v>57539</v>
      </c>
      <c r="S1982" s="14" t="s">
        <v>68</v>
      </c>
    </row>
    <row r="1983" spans="1:19">
      <c r="A1983" s="6" t="s">
        <v>4082</v>
      </c>
      <c r="B1983" s="7" t="s">
        <v>4083</v>
      </c>
      <c r="C1983" s="8" t="s">
        <v>4131</v>
      </c>
      <c r="D1983" s="8">
        <v>45167</v>
      </c>
      <c r="E1983" s="7">
        <v>8</v>
      </c>
      <c r="F1983" s="7">
        <v>29</v>
      </c>
      <c r="G1983" s="7">
        <v>2023</v>
      </c>
      <c r="H1983" s="8">
        <f t="shared" si="90"/>
        <v>45167</v>
      </c>
      <c r="I1983" s="11">
        <v>45185</v>
      </c>
      <c r="J1983" s="7">
        <f t="shared" si="91"/>
        <v>18</v>
      </c>
      <c r="K1983" s="7" t="s">
        <v>19</v>
      </c>
      <c r="L1983" s="7">
        <v>22288</v>
      </c>
      <c r="M1983" s="7">
        <v>552</v>
      </c>
      <c r="N1983" s="12">
        <v>926.14</v>
      </c>
      <c r="O1983" s="12">
        <f t="shared" si="92"/>
        <v>926.14</v>
      </c>
      <c r="P1983" s="7">
        <v>0</v>
      </c>
      <c r="Q1983" s="7" t="b">
        <v>0</v>
      </c>
      <c r="R1983" s="7"/>
      <c r="S1983" s="15" t="s">
        <v>20</v>
      </c>
    </row>
    <row r="1984" spans="1:19">
      <c r="A1984" s="3" t="s">
        <v>4084</v>
      </c>
      <c r="B1984" s="4" t="s">
        <v>4085</v>
      </c>
      <c r="C1984" s="5" t="s">
        <v>4131</v>
      </c>
      <c r="D1984" s="5">
        <v>45242</v>
      </c>
      <c r="E1984" s="4">
        <v>11</v>
      </c>
      <c r="F1984" s="4">
        <v>12</v>
      </c>
      <c r="G1984" s="4">
        <v>2023</v>
      </c>
      <c r="H1984" s="5">
        <f t="shared" si="90"/>
        <v>45242</v>
      </c>
      <c r="I1984" s="9">
        <v>45250</v>
      </c>
      <c r="J1984" s="4">
        <f t="shared" si="91"/>
        <v>8</v>
      </c>
      <c r="K1984" s="4" t="s">
        <v>19</v>
      </c>
      <c r="L1984" s="4">
        <v>96081</v>
      </c>
      <c r="M1984" s="4">
        <v>1134</v>
      </c>
      <c r="N1984" s="10">
        <v>1396.08</v>
      </c>
      <c r="O1984" s="10">
        <f t="shared" si="92"/>
        <v>1396.08</v>
      </c>
      <c r="P1984" s="4">
        <v>131</v>
      </c>
      <c r="Q1984" s="4" t="b">
        <v>0</v>
      </c>
      <c r="R1984" s="4"/>
      <c r="S1984" s="14" t="s">
        <v>20</v>
      </c>
    </row>
    <row r="1985" spans="1:19">
      <c r="A1985" s="6" t="s">
        <v>4086</v>
      </c>
      <c r="B1985" s="7" t="s">
        <v>4087</v>
      </c>
      <c r="C1985" s="8" t="s">
        <v>4131</v>
      </c>
      <c r="D1985" s="8">
        <v>45020</v>
      </c>
      <c r="E1985" s="7">
        <v>4</v>
      </c>
      <c r="F1985" s="7">
        <v>4</v>
      </c>
      <c r="G1985" s="7">
        <v>2023</v>
      </c>
      <c r="H1985" s="8">
        <f t="shared" si="90"/>
        <v>45020</v>
      </c>
      <c r="I1985" s="11">
        <v>45048</v>
      </c>
      <c r="J1985" s="7">
        <f t="shared" si="91"/>
        <v>28</v>
      </c>
      <c r="K1985" s="7" t="s">
        <v>41</v>
      </c>
      <c r="L1985" s="7">
        <v>37877</v>
      </c>
      <c r="M1985" s="7">
        <v>908</v>
      </c>
      <c r="N1985" s="12">
        <v>1741.6</v>
      </c>
      <c r="O1985" s="12">
        <f t="shared" si="92"/>
        <v>1741.6</v>
      </c>
      <c r="P1985" s="7">
        <v>150</v>
      </c>
      <c r="Q1985" s="7" t="b">
        <v>1</v>
      </c>
      <c r="R1985" s="7"/>
      <c r="S1985" s="15" t="s">
        <v>42</v>
      </c>
    </row>
    <row r="1986" spans="1:19">
      <c r="A1986" s="3" t="s">
        <v>4088</v>
      </c>
      <c r="B1986" s="4" t="s">
        <v>4089</v>
      </c>
      <c r="C1986" s="5" t="s">
        <v>4131</v>
      </c>
      <c r="D1986" s="5">
        <v>45093</v>
      </c>
      <c r="E1986" s="4">
        <v>6</v>
      </c>
      <c r="F1986" s="4">
        <v>16</v>
      </c>
      <c r="G1986" s="4">
        <v>2023</v>
      </c>
      <c r="H1986" s="5">
        <f t="shared" ref="H1986:H2021" si="93">IF(E1986&gt;12,DATE(G1986,F1986,E1986),D1986)</f>
        <v>45093</v>
      </c>
      <c r="I1986" s="9">
        <v>45119</v>
      </c>
      <c r="J1986" s="4">
        <f t="shared" ref="J1986:J2021" si="94">DATEDIF(H1986,I1986,"D")</f>
        <v>26</v>
      </c>
      <c r="K1986" s="4" t="s">
        <v>138</v>
      </c>
      <c r="L1986" s="4">
        <v>16313</v>
      </c>
      <c r="M1986" s="4">
        <v>769</v>
      </c>
      <c r="N1986" s="10">
        <v>450.52</v>
      </c>
      <c r="O1986" s="10">
        <f t="shared" si="92"/>
        <v>450.52</v>
      </c>
      <c r="P1986" s="4">
        <v>68</v>
      </c>
      <c r="Q1986" s="4" t="b">
        <v>0</v>
      </c>
      <c r="R1986" s="4"/>
      <c r="S1986" s="14" t="s">
        <v>139</v>
      </c>
    </row>
    <row r="1987" spans="1:19">
      <c r="A1987" s="6" t="s">
        <v>4090</v>
      </c>
      <c r="B1987" s="7" t="s">
        <v>4091</v>
      </c>
      <c r="C1987" s="8" t="s">
        <v>4131</v>
      </c>
      <c r="D1987" s="8">
        <v>45170</v>
      </c>
      <c r="E1987" s="7">
        <v>9</v>
      </c>
      <c r="F1987" s="7">
        <v>1</v>
      </c>
      <c r="G1987" s="7">
        <v>2023</v>
      </c>
      <c r="H1987" s="8">
        <f t="shared" si="93"/>
        <v>45170</v>
      </c>
      <c r="I1987" s="11">
        <v>45178</v>
      </c>
      <c r="J1987" s="7">
        <f t="shared" si="94"/>
        <v>8</v>
      </c>
      <c r="K1987" s="7" t="s">
        <v>41</v>
      </c>
      <c r="L1987" s="7">
        <v>81885</v>
      </c>
      <c r="M1987" s="7">
        <v>2060</v>
      </c>
      <c r="N1987" s="12">
        <v>3906.79</v>
      </c>
      <c r="O1987" s="12">
        <f t="shared" ref="O1987:O2021" si="95">IF(N1987&lt;$V$6,$V$6,IF(N1987&gt;$V$7,$V$7,N1987))</f>
        <v>3632.575</v>
      </c>
      <c r="P1987" s="7">
        <v>104</v>
      </c>
      <c r="Q1987" s="7" t="b">
        <v>1</v>
      </c>
      <c r="R1987" s="7"/>
      <c r="S1987" s="15" t="s">
        <v>42</v>
      </c>
    </row>
    <row r="1988" spans="1:19">
      <c r="A1988" s="3" t="s">
        <v>4092</v>
      </c>
      <c r="B1988" s="4" t="s">
        <v>4093</v>
      </c>
      <c r="C1988" s="5" t="s">
        <v>4129</v>
      </c>
      <c r="D1988" s="5">
        <v>45014</v>
      </c>
      <c r="E1988" s="4">
        <v>3</v>
      </c>
      <c r="F1988" s="4">
        <v>29</v>
      </c>
      <c r="G1988" s="4">
        <v>2023</v>
      </c>
      <c r="H1988" s="5">
        <f t="shared" si="93"/>
        <v>45014</v>
      </c>
      <c r="I1988" s="9">
        <v>45043</v>
      </c>
      <c r="J1988" s="4">
        <f t="shared" si="94"/>
        <v>29</v>
      </c>
      <c r="K1988" s="4" t="s">
        <v>19</v>
      </c>
      <c r="L1988" s="4">
        <v>73715</v>
      </c>
      <c r="M1988" s="4">
        <v>3188</v>
      </c>
      <c r="N1988" s="10">
        <v>1835.53</v>
      </c>
      <c r="O1988" s="10">
        <f t="shared" si="95"/>
        <v>1835.53</v>
      </c>
      <c r="P1988" s="4">
        <v>479</v>
      </c>
      <c r="Q1988" s="4" t="b">
        <v>0</v>
      </c>
      <c r="R1988" s="4"/>
      <c r="S1988" s="14" t="s">
        <v>20</v>
      </c>
    </row>
    <row r="1989" spans="1:19">
      <c r="A1989" s="6" t="s">
        <v>4094</v>
      </c>
      <c r="B1989" s="7" t="s">
        <v>4095</v>
      </c>
      <c r="C1989" s="8" t="s">
        <v>4127</v>
      </c>
      <c r="D1989" s="8">
        <v>45221</v>
      </c>
      <c r="E1989" s="7">
        <v>10</v>
      </c>
      <c r="F1989" s="7">
        <v>22</v>
      </c>
      <c r="G1989" s="7">
        <v>2023</v>
      </c>
      <c r="H1989" s="8">
        <f t="shared" si="93"/>
        <v>45221</v>
      </c>
      <c r="I1989" s="11">
        <v>45229</v>
      </c>
      <c r="J1989" s="7">
        <f t="shared" si="94"/>
        <v>8</v>
      </c>
      <c r="K1989" s="7" t="s">
        <v>23</v>
      </c>
      <c r="L1989" s="7">
        <v>11326</v>
      </c>
      <c r="M1989" s="7">
        <v>494</v>
      </c>
      <c r="N1989" s="12">
        <v>652.55</v>
      </c>
      <c r="O1989" s="12">
        <f t="shared" si="95"/>
        <v>652.55</v>
      </c>
      <c r="P1989" s="7">
        <v>96</v>
      </c>
      <c r="Q1989" s="7" t="b">
        <v>0</v>
      </c>
      <c r="R1989" s="7"/>
      <c r="S1989" s="15" t="s">
        <v>25</v>
      </c>
    </row>
    <row r="1990" spans="1:19">
      <c r="A1990" s="3" t="s">
        <v>4096</v>
      </c>
      <c r="B1990" s="4" t="s">
        <v>4097</v>
      </c>
      <c r="C1990" s="5" t="s">
        <v>4128</v>
      </c>
      <c r="D1990" s="5">
        <v>45292</v>
      </c>
      <c r="E1990" s="4">
        <v>1</v>
      </c>
      <c r="F1990" s="4">
        <v>1</v>
      </c>
      <c r="G1990" s="4">
        <v>2024</v>
      </c>
      <c r="H1990" s="5">
        <f t="shared" si="93"/>
        <v>45292</v>
      </c>
      <c r="I1990" s="9">
        <v>45307</v>
      </c>
      <c r="J1990" s="4">
        <f t="shared" si="94"/>
        <v>15</v>
      </c>
      <c r="K1990" s="4" t="s">
        <v>14</v>
      </c>
      <c r="L1990" s="4">
        <v>2560</v>
      </c>
      <c r="M1990" s="4">
        <v>63</v>
      </c>
      <c r="N1990" s="10">
        <v>115.65</v>
      </c>
      <c r="O1990" s="10">
        <f t="shared" si="95"/>
        <v>115.65</v>
      </c>
      <c r="P1990" s="4">
        <v>8</v>
      </c>
      <c r="Q1990" s="4" t="b">
        <v>1</v>
      </c>
      <c r="R1990" s="4"/>
      <c r="S1990" s="14" t="s">
        <v>16</v>
      </c>
    </row>
    <row r="1991" spans="1:19">
      <c r="A1991" s="6" t="s">
        <v>4098</v>
      </c>
      <c r="B1991" s="7" t="s">
        <v>4099</v>
      </c>
      <c r="C1991" s="8" t="s">
        <v>4128</v>
      </c>
      <c r="D1991" s="8" t="s">
        <v>687</v>
      </c>
      <c r="E1991" s="7">
        <v>29</v>
      </c>
      <c r="F1991" s="7">
        <v>11</v>
      </c>
      <c r="G1991" s="7">
        <v>2023</v>
      </c>
      <c r="H1991" s="8">
        <f t="shared" si="93"/>
        <v>45259</v>
      </c>
      <c r="I1991" s="11">
        <v>45288</v>
      </c>
      <c r="J1991" s="7">
        <f t="shared" si="94"/>
        <v>29</v>
      </c>
      <c r="K1991" s="7" t="s">
        <v>23</v>
      </c>
      <c r="L1991" s="7">
        <v>80148</v>
      </c>
      <c r="M1991" s="7">
        <v>2827</v>
      </c>
      <c r="N1991" s="12">
        <v>2527.57</v>
      </c>
      <c r="O1991" s="12">
        <f t="shared" si="95"/>
        <v>2527.57</v>
      </c>
      <c r="P1991" s="7">
        <v>192</v>
      </c>
      <c r="Q1991" s="7" t="b">
        <v>1</v>
      </c>
      <c r="R1991" s="7"/>
      <c r="S1991" s="15" t="s">
        <v>25</v>
      </c>
    </row>
    <row r="1992" spans="1:19">
      <c r="A1992" s="3" t="s">
        <v>4100</v>
      </c>
      <c r="B1992" s="4" t="s">
        <v>4101</v>
      </c>
      <c r="C1992" s="5" t="s">
        <v>4128</v>
      </c>
      <c r="D1992" s="5">
        <v>45081</v>
      </c>
      <c r="E1992" s="4">
        <v>6</v>
      </c>
      <c r="F1992" s="4">
        <v>4</v>
      </c>
      <c r="G1992" s="4">
        <v>2023</v>
      </c>
      <c r="H1992" s="5">
        <f t="shared" si="93"/>
        <v>45081</v>
      </c>
      <c r="I1992" s="9">
        <v>45086</v>
      </c>
      <c r="J1992" s="4">
        <f t="shared" si="94"/>
        <v>5</v>
      </c>
      <c r="K1992" s="4" t="s">
        <v>14</v>
      </c>
      <c r="L1992" s="4">
        <v>84186</v>
      </c>
      <c r="M1992" s="4">
        <v>1163</v>
      </c>
      <c r="N1992" s="10">
        <v>1405.34</v>
      </c>
      <c r="O1992" s="10">
        <f t="shared" si="95"/>
        <v>1405.34</v>
      </c>
      <c r="P1992" s="4">
        <v>114</v>
      </c>
      <c r="Q1992" s="4" t="b">
        <v>0</v>
      </c>
      <c r="R1992" s="4"/>
      <c r="S1992" s="14" t="s">
        <v>16</v>
      </c>
    </row>
    <row r="1993" spans="1:19">
      <c r="A1993" s="6" t="s">
        <v>4102</v>
      </c>
      <c r="B1993" s="7" t="s">
        <v>4103</v>
      </c>
      <c r="C1993" s="8" t="s">
        <v>4128</v>
      </c>
      <c r="D1993" s="8">
        <v>45138</v>
      </c>
      <c r="E1993" s="7">
        <v>7</v>
      </c>
      <c r="F1993" s="7">
        <v>31</v>
      </c>
      <c r="G1993" s="7">
        <v>2023</v>
      </c>
      <c r="H1993" s="8">
        <f t="shared" si="93"/>
        <v>45138</v>
      </c>
      <c r="I1993" s="11">
        <v>45168</v>
      </c>
      <c r="J1993" s="7">
        <f t="shared" si="94"/>
        <v>30</v>
      </c>
      <c r="K1993" s="7" t="s">
        <v>41</v>
      </c>
      <c r="L1993" s="7">
        <v>27745</v>
      </c>
      <c r="M1993" s="7">
        <v>392</v>
      </c>
      <c r="N1993" s="12">
        <v>386.71</v>
      </c>
      <c r="O1993" s="12">
        <f t="shared" si="95"/>
        <v>386.71</v>
      </c>
      <c r="P1993" s="7">
        <v>70</v>
      </c>
      <c r="Q1993" s="7" t="b">
        <v>1</v>
      </c>
      <c r="R1993" s="7"/>
      <c r="S1993" s="15" t="s">
        <v>42</v>
      </c>
    </row>
    <row r="1994" spans="1:19">
      <c r="A1994" s="3" t="s">
        <v>4104</v>
      </c>
      <c r="B1994" s="4" t="s">
        <v>4105</v>
      </c>
      <c r="C1994" s="5" t="s">
        <v>4129</v>
      </c>
      <c r="D1994" s="5">
        <v>45008</v>
      </c>
      <c r="E1994" s="4">
        <v>3</v>
      </c>
      <c r="F1994" s="4">
        <v>23</v>
      </c>
      <c r="G1994" s="4">
        <v>2023</v>
      </c>
      <c r="H1994" s="5">
        <f t="shared" si="93"/>
        <v>45008</v>
      </c>
      <c r="I1994" s="9">
        <v>45012</v>
      </c>
      <c r="J1994" s="4">
        <f t="shared" si="94"/>
        <v>4</v>
      </c>
      <c r="K1994" s="4" t="s">
        <v>41</v>
      </c>
      <c r="L1994" s="4">
        <v>32890</v>
      </c>
      <c r="M1994" s="4">
        <v>392</v>
      </c>
      <c r="N1994" s="10">
        <v>755.86</v>
      </c>
      <c r="O1994" s="10">
        <f t="shared" si="95"/>
        <v>755.86</v>
      </c>
      <c r="P1994" s="4">
        <v>33</v>
      </c>
      <c r="Q1994" s="4" t="b">
        <v>1</v>
      </c>
      <c r="R1994" s="4"/>
      <c r="S1994" s="14" t="s">
        <v>42</v>
      </c>
    </row>
    <row r="1995" spans="1:19">
      <c r="A1995" s="6" t="s">
        <v>4106</v>
      </c>
      <c r="B1995" s="7" t="s">
        <v>4107</v>
      </c>
      <c r="C1995" s="8" t="s">
        <v>4128</v>
      </c>
      <c r="D1995" s="8">
        <v>45101</v>
      </c>
      <c r="E1995" s="7">
        <v>6</v>
      </c>
      <c r="F1995" s="7">
        <v>24</v>
      </c>
      <c r="G1995" s="7">
        <v>2023</v>
      </c>
      <c r="H1995" s="8">
        <f t="shared" si="93"/>
        <v>45101</v>
      </c>
      <c r="I1995" s="11">
        <v>45124</v>
      </c>
      <c r="J1995" s="7">
        <f t="shared" si="94"/>
        <v>23</v>
      </c>
      <c r="K1995" s="7" t="s">
        <v>19</v>
      </c>
      <c r="L1995" s="7">
        <v>21022</v>
      </c>
      <c r="M1995" s="7">
        <v>698</v>
      </c>
      <c r="N1995" s="12">
        <v>1211.36</v>
      </c>
      <c r="O1995" s="12">
        <f t="shared" si="95"/>
        <v>1211.36</v>
      </c>
      <c r="P1995" s="7">
        <v>98</v>
      </c>
      <c r="Q1995" s="7" t="b">
        <v>1</v>
      </c>
      <c r="R1995" s="7"/>
      <c r="S1995" s="15" t="s">
        <v>20</v>
      </c>
    </row>
    <row r="1996" spans="1:19">
      <c r="A1996" s="3" t="s">
        <v>4108</v>
      </c>
      <c r="B1996" s="4" t="s">
        <v>4109</v>
      </c>
      <c r="C1996" s="5" t="s">
        <v>4127</v>
      </c>
      <c r="D1996" s="5">
        <v>45147</v>
      </c>
      <c r="E1996" s="4">
        <v>8</v>
      </c>
      <c r="F1996" s="4">
        <v>9</v>
      </c>
      <c r="G1996" s="4">
        <v>2023</v>
      </c>
      <c r="H1996" s="5">
        <f t="shared" si="93"/>
        <v>45147</v>
      </c>
      <c r="I1996" s="9">
        <v>45165</v>
      </c>
      <c r="J1996" s="4">
        <f t="shared" si="94"/>
        <v>18</v>
      </c>
      <c r="K1996" s="4" t="s">
        <v>14</v>
      </c>
      <c r="L1996" s="4">
        <v>53579</v>
      </c>
      <c r="M1996" s="4">
        <v>1448</v>
      </c>
      <c r="N1996" s="10">
        <v>2263.95</v>
      </c>
      <c r="O1996" s="10">
        <f t="shared" si="95"/>
        <v>2263.95</v>
      </c>
      <c r="P1996" s="4">
        <v>159</v>
      </c>
      <c r="Q1996" s="4" t="b">
        <v>1</v>
      </c>
      <c r="R1996" s="4"/>
      <c r="S1996" s="14" t="s">
        <v>16</v>
      </c>
    </row>
    <row r="1997" spans="1:19">
      <c r="A1997" s="6" t="s">
        <v>4110</v>
      </c>
      <c r="B1997" s="7" t="s">
        <v>4111</v>
      </c>
      <c r="C1997" s="8" t="s">
        <v>4131</v>
      </c>
      <c r="D1997" s="8">
        <v>45102</v>
      </c>
      <c r="E1997" s="7">
        <v>6</v>
      </c>
      <c r="F1997" s="7">
        <v>25</v>
      </c>
      <c r="G1997" s="7">
        <v>2023</v>
      </c>
      <c r="H1997" s="8">
        <f t="shared" si="93"/>
        <v>45102</v>
      </c>
      <c r="I1997" s="11">
        <v>45119</v>
      </c>
      <c r="J1997" s="7">
        <f t="shared" si="94"/>
        <v>17</v>
      </c>
      <c r="K1997" s="7" t="s">
        <v>41</v>
      </c>
      <c r="L1997" s="7">
        <v>71316</v>
      </c>
      <c r="M1997" s="7">
        <v>2276</v>
      </c>
      <c r="N1997" s="12">
        <v>3144.16</v>
      </c>
      <c r="O1997" s="12">
        <f t="shared" si="95"/>
        <v>3144.16</v>
      </c>
      <c r="P1997" s="7">
        <v>184</v>
      </c>
      <c r="Q1997" s="7" t="b">
        <v>1</v>
      </c>
      <c r="R1997" s="7"/>
      <c r="S1997" s="15" t="s">
        <v>42</v>
      </c>
    </row>
    <row r="1998" spans="1:19">
      <c r="A1998" s="3" t="s">
        <v>4112</v>
      </c>
      <c r="B1998" s="4" t="s">
        <v>4113</v>
      </c>
      <c r="C1998" s="5" t="s">
        <v>4129</v>
      </c>
      <c r="D1998" s="5">
        <v>45266</v>
      </c>
      <c r="E1998" s="4">
        <v>12</v>
      </c>
      <c r="F1998" s="4">
        <v>6</v>
      </c>
      <c r="G1998" s="4">
        <v>2023</v>
      </c>
      <c r="H1998" s="5">
        <f t="shared" si="93"/>
        <v>45266</v>
      </c>
      <c r="I1998" s="9">
        <v>45278</v>
      </c>
      <c r="J1998" s="4">
        <f t="shared" si="94"/>
        <v>12</v>
      </c>
      <c r="K1998" s="4" t="s">
        <v>19</v>
      </c>
      <c r="L1998" s="4">
        <v>84847</v>
      </c>
      <c r="M1998" s="4">
        <v>2616</v>
      </c>
      <c r="N1998" s="10">
        <v>4528</v>
      </c>
      <c r="O1998" s="10">
        <f t="shared" si="95"/>
        <v>3632.575</v>
      </c>
      <c r="P1998" s="4">
        <v>449</v>
      </c>
      <c r="Q1998" s="4" t="b">
        <v>0</v>
      </c>
      <c r="R1998" s="4"/>
      <c r="S1998" s="14" t="s">
        <v>20</v>
      </c>
    </row>
    <row r="1999" spans="1:19">
      <c r="A1999" s="6" t="s">
        <v>4114</v>
      </c>
      <c r="B1999" s="7" t="s">
        <v>4115</v>
      </c>
      <c r="C1999" s="8" t="s">
        <v>4131</v>
      </c>
      <c r="D1999" s="8">
        <v>45291</v>
      </c>
      <c r="E1999" s="7">
        <v>12</v>
      </c>
      <c r="F1999" s="7">
        <v>31</v>
      </c>
      <c r="G1999" s="7">
        <v>2023</v>
      </c>
      <c r="H1999" s="8">
        <f t="shared" si="93"/>
        <v>45291</v>
      </c>
      <c r="I1999" s="11">
        <v>45305</v>
      </c>
      <c r="J1999" s="7">
        <f t="shared" si="94"/>
        <v>14</v>
      </c>
      <c r="K1999" s="7" t="s">
        <v>33</v>
      </c>
      <c r="L1999" s="7">
        <v>29380</v>
      </c>
      <c r="M1999" s="7">
        <v>705</v>
      </c>
      <c r="N1999" s="12">
        <v>767.32</v>
      </c>
      <c r="O1999" s="12">
        <f t="shared" si="95"/>
        <v>767.32</v>
      </c>
      <c r="P1999" s="7">
        <v>0</v>
      </c>
      <c r="Q1999" s="7" t="b">
        <v>0</v>
      </c>
      <c r="R1999" s="7"/>
      <c r="S1999" s="15" t="s">
        <v>34</v>
      </c>
    </row>
    <row r="2000" spans="1:19">
      <c r="A2000" s="3" t="s">
        <v>4116</v>
      </c>
      <c r="B2000" s="4" t="s">
        <v>4117</v>
      </c>
      <c r="C2000" s="5" t="s">
        <v>4128</v>
      </c>
      <c r="D2000" s="5">
        <v>45230</v>
      </c>
      <c r="E2000" s="4">
        <v>10</v>
      </c>
      <c r="F2000" s="4">
        <v>31</v>
      </c>
      <c r="G2000" s="4">
        <v>2023</v>
      </c>
      <c r="H2000" s="5">
        <f t="shared" si="93"/>
        <v>45230</v>
      </c>
      <c r="I2000" s="9">
        <v>45254</v>
      </c>
      <c r="J2000" s="4">
        <f t="shared" si="94"/>
        <v>24</v>
      </c>
      <c r="K2000" s="4" t="s">
        <v>33</v>
      </c>
      <c r="L2000" s="4">
        <v>3356</v>
      </c>
      <c r="M2000" s="4">
        <v>124</v>
      </c>
      <c r="N2000" s="10">
        <v>145.24</v>
      </c>
      <c r="O2000" s="10">
        <f t="shared" si="95"/>
        <v>145.24</v>
      </c>
      <c r="P2000" s="4">
        <v>18</v>
      </c>
      <c r="Q2000" s="4" t="b">
        <v>0</v>
      </c>
      <c r="R2000" s="4"/>
      <c r="S2000" s="14" t="s">
        <v>34</v>
      </c>
    </row>
    <row r="2001" spans="1:19">
      <c r="A2001" s="6" t="s">
        <v>4118</v>
      </c>
      <c r="B2001" s="7" t="s">
        <v>4119</v>
      </c>
      <c r="C2001" s="8" t="s">
        <v>4129</v>
      </c>
      <c r="D2001" s="8">
        <v>44976</v>
      </c>
      <c r="E2001" s="7">
        <v>2</v>
      </c>
      <c r="F2001" s="7">
        <v>19</v>
      </c>
      <c r="G2001" s="7">
        <v>2023</v>
      </c>
      <c r="H2001" s="8">
        <f t="shared" si="93"/>
        <v>44976</v>
      </c>
      <c r="I2001" s="11">
        <v>44989</v>
      </c>
      <c r="J2001" s="7">
        <f t="shared" si="94"/>
        <v>13</v>
      </c>
      <c r="K2001" s="7" t="s">
        <v>14</v>
      </c>
      <c r="L2001" s="7">
        <v>71326</v>
      </c>
      <c r="M2001" s="7">
        <v>2877</v>
      </c>
      <c r="N2001" s="12">
        <v>4588.82</v>
      </c>
      <c r="O2001" s="12">
        <f t="shared" si="95"/>
        <v>3632.575</v>
      </c>
      <c r="P2001" s="7">
        <v>245</v>
      </c>
      <c r="Q2001" s="7" t="b">
        <v>1</v>
      </c>
      <c r="R2001" s="7"/>
      <c r="S2001" s="15" t="s">
        <v>16</v>
      </c>
    </row>
    <row r="2002" spans="1:19">
      <c r="A2002" s="3" t="s">
        <v>3876</v>
      </c>
      <c r="B2002" s="4" t="s">
        <v>3877</v>
      </c>
      <c r="C2002" s="5" t="s">
        <v>4131</v>
      </c>
      <c r="D2002" s="5">
        <v>45288</v>
      </c>
      <c r="E2002" s="4">
        <v>12</v>
      </c>
      <c r="F2002" s="4">
        <v>28</v>
      </c>
      <c r="G2002" s="4">
        <v>2023</v>
      </c>
      <c r="H2002" s="5">
        <f t="shared" si="93"/>
        <v>45288</v>
      </c>
      <c r="I2002" s="9">
        <v>45301</v>
      </c>
      <c r="J2002" s="4">
        <f t="shared" si="94"/>
        <v>13</v>
      </c>
      <c r="K2002" s="4" t="s">
        <v>41</v>
      </c>
      <c r="L2002" s="4">
        <v>53098</v>
      </c>
      <c r="M2002" s="4">
        <v>559</v>
      </c>
      <c r="N2002" s="10">
        <v>992.65</v>
      </c>
      <c r="O2002" s="10">
        <f t="shared" si="95"/>
        <v>992.65</v>
      </c>
      <c r="P2002" s="4">
        <v>63</v>
      </c>
      <c r="Q2002" s="4" t="b">
        <v>0</v>
      </c>
      <c r="R2002" s="4"/>
      <c r="S2002" s="14" t="s">
        <v>42</v>
      </c>
    </row>
    <row r="2003" spans="1:19">
      <c r="A2003" s="6" t="s">
        <v>2677</v>
      </c>
      <c r="B2003" s="7" t="s">
        <v>2678</v>
      </c>
      <c r="C2003" s="8" t="s">
        <v>4129</v>
      </c>
      <c r="D2003" s="8">
        <v>45114</v>
      </c>
      <c r="E2003" s="7">
        <v>7</v>
      </c>
      <c r="F2003" s="7">
        <v>7</v>
      </c>
      <c r="G2003" s="7">
        <v>2023</v>
      </c>
      <c r="H2003" s="8">
        <f t="shared" si="93"/>
        <v>45114</v>
      </c>
      <c r="I2003" s="11">
        <v>45127</v>
      </c>
      <c r="J2003" s="7">
        <f t="shared" si="94"/>
        <v>13</v>
      </c>
      <c r="K2003" s="7" t="s">
        <v>41</v>
      </c>
      <c r="L2003" s="7">
        <v>39258</v>
      </c>
      <c r="M2003" s="7">
        <v>1290</v>
      </c>
      <c r="N2003" s="12">
        <v>2331</v>
      </c>
      <c r="O2003" s="12">
        <f t="shared" si="95"/>
        <v>2331</v>
      </c>
      <c r="P2003" s="7">
        <v>123</v>
      </c>
      <c r="Q2003" s="7" t="b">
        <v>0</v>
      </c>
      <c r="R2003" s="7"/>
      <c r="S2003" s="15" t="s">
        <v>42</v>
      </c>
    </row>
    <row r="2004" spans="1:19">
      <c r="A2004" s="3" t="s">
        <v>2948</v>
      </c>
      <c r="B2004" s="4" t="s">
        <v>2949</v>
      </c>
      <c r="C2004" s="5" t="s">
        <v>4128</v>
      </c>
      <c r="D2004" s="5">
        <v>44947</v>
      </c>
      <c r="E2004" s="4">
        <v>1</v>
      </c>
      <c r="F2004" s="4">
        <v>21</v>
      </c>
      <c r="G2004" s="4">
        <v>2023</v>
      </c>
      <c r="H2004" s="5">
        <f t="shared" si="93"/>
        <v>44947</v>
      </c>
      <c r="I2004" s="9">
        <v>44955</v>
      </c>
      <c r="J2004" s="4">
        <f t="shared" si="94"/>
        <v>8</v>
      </c>
      <c r="K2004" s="4" t="s">
        <v>23</v>
      </c>
      <c r="L2004" s="4">
        <v>30373</v>
      </c>
      <c r="M2004" s="4">
        <v>1454</v>
      </c>
      <c r="N2004" s="10">
        <v>2640.72</v>
      </c>
      <c r="O2004" s="10">
        <f t="shared" si="95"/>
        <v>2640.72</v>
      </c>
      <c r="P2004" s="4">
        <v>110</v>
      </c>
      <c r="Q2004" s="4" t="b">
        <v>1</v>
      </c>
      <c r="R2004" s="4"/>
      <c r="S2004" s="14" t="s">
        <v>25</v>
      </c>
    </row>
    <row r="2005" spans="1:19">
      <c r="A2005" s="6" t="s">
        <v>2211</v>
      </c>
      <c r="B2005" s="7" t="s">
        <v>2212</v>
      </c>
      <c r="C2005" s="8" t="s">
        <v>4127</v>
      </c>
      <c r="D2005" s="8">
        <v>45048</v>
      </c>
      <c r="E2005" s="7">
        <v>5</v>
      </c>
      <c r="F2005" s="7">
        <v>2</v>
      </c>
      <c r="G2005" s="7">
        <v>2023</v>
      </c>
      <c r="H2005" s="8">
        <f t="shared" si="93"/>
        <v>45048</v>
      </c>
      <c r="I2005" s="11">
        <v>45074</v>
      </c>
      <c r="J2005" s="7">
        <f t="shared" si="94"/>
        <v>26</v>
      </c>
      <c r="K2005" s="7" t="s">
        <v>19</v>
      </c>
      <c r="L2005" s="7">
        <v>64076</v>
      </c>
      <c r="M2005" s="7">
        <v>1065</v>
      </c>
      <c r="N2005" s="12">
        <v>1371.03</v>
      </c>
      <c r="O2005" s="12">
        <f t="shared" si="95"/>
        <v>1371.03</v>
      </c>
      <c r="P2005" s="7">
        <v>169</v>
      </c>
      <c r="Q2005" s="7" t="b">
        <v>1</v>
      </c>
      <c r="R2005" s="7"/>
      <c r="S2005" s="15" t="s">
        <v>20</v>
      </c>
    </row>
    <row r="2006" spans="1:19">
      <c r="A2006" s="3" t="s">
        <v>3309</v>
      </c>
      <c r="B2006" s="4" t="s">
        <v>3310</v>
      </c>
      <c r="C2006" s="5" t="s">
        <v>4129</v>
      </c>
      <c r="D2006" s="5">
        <v>45241</v>
      </c>
      <c r="E2006" s="4">
        <v>11</v>
      </c>
      <c r="F2006" s="4">
        <v>11</v>
      </c>
      <c r="G2006" s="4">
        <v>2023</v>
      </c>
      <c r="H2006" s="5">
        <f t="shared" si="93"/>
        <v>45241</v>
      </c>
      <c r="I2006" s="9">
        <v>45251</v>
      </c>
      <c r="J2006" s="4">
        <f t="shared" si="94"/>
        <v>10</v>
      </c>
      <c r="K2006" s="4" t="s">
        <v>41</v>
      </c>
      <c r="L2006" s="4">
        <v>11816</v>
      </c>
      <c r="M2006" s="4">
        <v>374</v>
      </c>
      <c r="N2006" s="10">
        <v>460.42</v>
      </c>
      <c r="O2006" s="10">
        <f t="shared" si="95"/>
        <v>460.42</v>
      </c>
      <c r="P2006" s="4">
        <v>67</v>
      </c>
      <c r="Q2006" s="4" t="b">
        <v>0</v>
      </c>
      <c r="R2006" s="4"/>
      <c r="S2006" s="14" t="s">
        <v>42</v>
      </c>
    </row>
    <row r="2007" spans="1:19">
      <c r="A2007" s="6" t="s">
        <v>2602</v>
      </c>
      <c r="B2007" s="7" t="s">
        <v>2603</v>
      </c>
      <c r="C2007" s="8" t="s">
        <v>4128</v>
      </c>
      <c r="D2007" s="8">
        <v>45186</v>
      </c>
      <c r="E2007" s="7">
        <v>9</v>
      </c>
      <c r="F2007" s="7">
        <v>17</v>
      </c>
      <c r="G2007" s="7">
        <v>2023</v>
      </c>
      <c r="H2007" s="8">
        <f t="shared" si="93"/>
        <v>45186</v>
      </c>
      <c r="I2007" s="11">
        <v>45209</v>
      </c>
      <c r="J2007" s="7">
        <f t="shared" si="94"/>
        <v>23</v>
      </c>
      <c r="K2007" s="7" t="s">
        <v>23</v>
      </c>
      <c r="L2007" s="7">
        <v>11395</v>
      </c>
      <c r="M2007" s="7">
        <v>320</v>
      </c>
      <c r="N2007" s="12">
        <v>232.66</v>
      </c>
      <c r="O2007" s="12">
        <f t="shared" si="95"/>
        <v>232.66</v>
      </c>
      <c r="P2007" s="7">
        <v>40</v>
      </c>
      <c r="Q2007" s="7" t="b">
        <v>1</v>
      </c>
      <c r="R2007" s="7"/>
      <c r="S2007" s="15" t="s">
        <v>25</v>
      </c>
    </row>
    <row r="2008" spans="1:19">
      <c r="A2008" s="3" t="s">
        <v>3221</v>
      </c>
      <c r="B2008" s="4" t="s">
        <v>3222</v>
      </c>
      <c r="C2008" s="5" t="s">
        <v>4129</v>
      </c>
      <c r="D2008" s="5">
        <v>45277</v>
      </c>
      <c r="E2008" s="4">
        <v>12</v>
      </c>
      <c r="F2008" s="4">
        <v>17</v>
      </c>
      <c r="G2008" s="4">
        <v>2023</v>
      </c>
      <c r="H2008" s="5">
        <f t="shared" si="93"/>
        <v>45277</v>
      </c>
      <c r="I2008" s="9">
        <v>45280</v>
      </c>
      <c r="J2008" s="4">
        <f t="shared" si="94"/>
        <v>3</v>
      </c>
      <c r="K2008" s="4" t="s">
        <v>41</v>
      </c>
      <c r="L2008" s="4">
        <v>79187</v>
      </c>
      <c r="M2008" s="4">
        <v>2248</v>
      </c>
      <c r="N2008" s="10">
        <v>1796.19</v>
      </c>
      <c r="O2008" s="10">
        <f t="shared" si="95"/>
        <v>1796.19</v>
      </c>
      <c r="P2008" s="4">
        <v>148</v>
      </c>
      <c r="Q2008" s="4" t="b">
        <v>1</v>
      </c>
      <c r="R2008" s="4"/>
      <c r="S2008" s="14" t="s">
        <v>42</v>
      </c>
    </row>
    <row r="2009" spans="1:19">
      <c r="A2009" s="6" t="s">
        <v>3080</v>
      </c>
      <c r="B2009" s="7" t="s">
        <v>3081</v>
      </c>
      <c r="C2009" s="8" t="s">
        <v>4127</v>
      </c>
      <c r="D2009" s="8">
        <v>45075</v>
      </c>
      <c r="E2009" s="7">
        <v>5</v>
      </c>
      <c r="F2009" s="7">
        <v>29</v>
      </c>
      <c r="G2009" s="7">
        <v>2023</v>
      </c>
      <c r="H2009" s="8">
        <f t="shared" si="93"/>
        <v>45075</v>
      </c>
      <c r="I2009" s="11">
        <v>45081</v>
      </c>
      <c r="J2009" s="7">
        <f t="shared" si="94"/>
        <v>6</v>
      </c>
      <c r="K2009" s="7" t="s">
        <v>138</v>
      </c>
      <c r="L2009" s="7">
        <v>7960</v>
      </c>
      <c r="M2009" s="7">
        <v>271</v>
      </c>
      <c r="N2009" s="12">
        <v>141.35</v>
      </c>
      <c r="O2009" s="12">
        <f t="shared" si="95"/>
        <v>141.35</v>
      </c>
      <c r="P2009" s="7">
        <v>35</v>
      </c>
      <c r="Q2009" s="7" t="b">
        <v>1</v>
      </c>
      <c r="R2009" s="7"/>
      <c r="S2009" s="15" t="s">
        <v>139</v>
      </c>
    </row>
    <row r="2010" spans="1:19">
      <c r="A2010" s="3" t="s">
        <v>2849</v>
      </c>
      <c r="B2010" s="4" t="s">
        <v>2850</v>
      </c>
      <c r="C2010" s="5" t="s">
        <v>4129</v>
      </c>
      <c r="D2010" s="5">
        <v>45281</v>
      </c>
      <c r="E2010" s="4">
        <v>12</v>
      </c>
      <c r="F2010" s="4">
        <v>21</v>
      </c>
      <c r="G2010" s="4">
        <v>2023</v>
      </c>
      <c r="H2010" s="5">
        <f t="shared" si="93"/>
        <v>45281</v>
      </c>
      <c r="I2010" s="9">
        <v>45289</v>
      </c>
      <c r="J2010" s="4">
        <f t="shared" si="94"/>
        <v>8</v>
      </c>
      <c r="K2010" s="4" t="s">
        <v>23</v>
      </c>
      <c r="L2010" s="4">
        <v>87143</v>
      </c>
      <c r="M2010" s="4">
        <v>2204</v>
      </c>
      <c r="N2010" s="10">
        <v>2649.14</v>
      </c>
      <c r="O2010" s="10">
        <f t="shared" si="95"/>
        <v>2649.14</v>
      </c>
      <c r="P2010" s="4">
        <v>391</v>
      </c>
      <c r="Q2010" s="4" t="b">
        <v>1</v>
      </c>
      <c r="R2010" s="4"/>
      <c r="S2010" s="14" t="s">
        <v>59</v>
      </c>
    </row>
    <row r="2011" spans="1:19">
      <c r="A2011" s="6" t="s">
        <v>2736</v>
      </c>
      <c r="B2011" s="7" t="s">
        <v>2737</v>
      </c>
      <c r="C2011" s="8" t="s">
        <v>4129</v>
      </c>
      <c r="D2011" s="8">
        <v>45110</v>
      </c>
      <c r="E2011" s="7">
        <v>7</v>
      </c>
      <c r="F2011" s="7">
        <v>3</v>
      </c>
      <c r="G2011" s="7">
        <v>2023</v>
      </c>
      <c r="H2011" s="8">
        <f t="shared" si="93"/>
        <v>45110</v>
      </c>
      <c r="I2011" s="11">
        <v>45128</v>
      </c>
      <c r="J2011" s="7">
        <f t="shared" si="94"/>
        <v>18</v>
      </c>
      <c r="K2011" s="7" t="s">
        <v>19</v>
      </c>
      <c r="L2011" s="7">
        <v>32480</v>
      </c>
      <c r="M2011" s="7">
        <v>943</v>
      </c>
      <c r="N2011" s="12">
        <v>1374.45</v>
      </c>
      <c r="O2011" s="12">
        <f t="shared" si="95"/>
        <v>1374.45</v>
      </c>
      <c r="P2011" s="7">
        <v>173</v>
      </c>
      <c r="Q2011" s="7" t="b">
        <v>1</v>
      </c>
      <c r="R2011" s="7"/>
      <c r="S2011" s="15" t="s">
        <v>20</v>
      </c>
    </row>
    <row r="2012" spans="1:19">
      <c r="A2012" s="3" t="s">
        <v>931</v>
      </c>
      <c r="B2012" s="4" t="s">
        <v>932</v>
      </c>
      <c r="C2012" s="5" t="s">
        <v>4128</v>
      </c>
      <c r="D2012" s="5">
        <v>45141</v>
      </c>
      <c r="E2012" s="4">
        <v>8</v>
      </c>
      <c r="F2012" s="4">
        <v>3</v>
      </c>
      <c r="G2012" s="4">
        <v>2023</v>
      </c>
      <c r="H2012" s="5">
        <f t="shared" si="93"/>
        <v>45141</v>
      </c>
      <c r="I2012" s="9">
        <v>45165</v>
      </c>
      <c r="J2012" s="4">
        <f t="shared" si="94"/>
        <v>24</v>
      </c>
      <c r="K2012" s="4" t="s">
        <v>41</v>
      </c>
      <c r="L2012" s="4">
        <v>88235</v>
      </c>
      <c r="M2012" s="4">
        <v>3182</v>
      </c>
      <c r="N2012" s="10">
        <v>5093.82</v>
      </c>
      <c r="O2012" s="10">
        <f t="shared" si="95"/>
        <v>3632.575</v>
      </c>
      <c r="P2012" s="4">
        <v>385</v>
      </c>
      <c r="Q2012" s="4" t="b">
        <v>1</v>
      </c>
      <c r="R2012" s="4"/>
      <c r="S2012" s="14" t="s">
        <v>42</v>
      </c>
    </row>
    <row r="2013" spans="1:19">
      <c r="A2013" s="6" t="s">
        <v>2137</v>
      </c>
      <c r="B2013" s="7" t="s">
        <v>2138</v>
      </c>
      <c r="C2013" s="8" t="s">
        <v>4127</v>
      </c>
      <c r="D2013" s="8">
        <v>45284</v>
      </c>
      <c r="E2013" s="7">
        <v>12</v>
      </c>
      <c r="F2013" s="7">
        <v>24</v>
      </c>
      <c r="G2013" s="7">
        <v>2023</v>
      </c>
      <c r="H2013" s="8">
        <f t="shared" si="93"/>
        <v>45284</v>
      </c>
      <c r="I2013" s="11">
        <v>45296</v>
      </c>
      <c r="J2013" s="7">
        <f t="shared" si="94"/>
        <v>12</v>
      </c>
      <c r="K2013" s="7" t="s">
        <v>14</v>
      </c>
      <c r="L2013" s="7">
        <v>54441</v>
      </c>
      <c r="M2013" s="7">
        <v>2158</v>
      </c>
      <c r="N2013" s="12">
        <v>2422.76</v>
      </c>
      <c r="O2013" s="12">
        <f t="shared" si="95"/>
        <v>2422.76</v>
      </c>
      <c r="P2013" s="7">
        <v>252</v>
      </c>
      <c r="Q2013" s="7" t="b">
        <v>1</v>
      </c>
      <c r="R2013" s="7"/>
      <c r="S2013" s="15" t="s">
        <v>16</v>
      </c>
    </row>
    <row r="2014" spans="1:19">
      <c r="A2014" s="3" t="s">
        <v>2489</v>
      </c>
      <c r="B2014" s="4" t="s">
        <v>2490</v>
      </c>
      <c r="C2014" s="5" t="s">
        <v>4131</v>
      </c>
      <c r="D2014" s="5">
        <v>45194</v>
      </c>
      <c r="E2014" s="4">
        <v>9</v>
      </c>
      <c r="F2014" s="4">
        <v>25</v>
      </c>
      <c r="G2014" s="4">
        <v>2023</v>
      </c>
      <c r="H2014" s="5">
        <f t="shared" si="93"/>
        <v>45194</v>
      </c>
      <c r="I2014" s="9">
        <v>45214</v>
      </c>
      <c r="J2014" s="4">
        <f t="shared" si="94"/>
        <v>20</v>
      </c>
      <c r="K2014" s="4" t="s">
        <v>23</v>
      </c>
      <c r="L2014" s="4">
        <v>54028</v>
      </c>
      <c r="M2014" s="4">
        <v>2254</v>
      </c>
      <c r="N2014" s="10">
        <v>1991.67</v>
      </c>
      <c r="O2014" s="10">
        <f t="shared" si="95"/>
        <v>1991.67</v>
      </c>
      <c r="P2014" s="4">
        <v>139</v>
      </c>
      <c r="Q2014" s="4" t="b">
        <v>0</v>
      </c>
      <c r="R2014" s="4"/>
      <c r="S2014" s="14" t="s">
        <v>25</v>
      </c>
    </row>
    <row r="2015" spans="1:19">
      <c r="A2015" s="6" t="s">
        <v>823</v>
      </c>
      <c r="B2015" s="7" t="s">
        <v>824</v>
      </c>
      <c r="C2015" s="8" t="s">
        <v>4127</v>
      </c>
      <c r="D2015" s="8">
        <v>45097</v>
      </c>
      <c r="E2015" s="7">
        <v>6</v>
      </c>
      <c r="F2015" s="7">
        <v>20</v>
      </c>
      <c r="G2015" s="7">
        <v>2023</v>
      </c>
      <c r="H2015" s="8">
        <f t="shared" si="93"/>
        <v>45097</v>
      </c>
      <c r="I2015" s="11">
        <v>45102</v>
      </c>
      <c r="J2015" s="7">
        <f t="shared" si="94"/>
        <v>5</v>
      </c>
      <c r="K2015" s="7" t="s">
        <v>14</v>
      </c>
      <c r="L2015" s="7">
        <v>57958</v>
      </c>
      <c r="M2015" s="7">
        <v>2328</v>
      </c>
      <c r="N2015" s="12">
        <v>2135.23</v>
      </c>
      <c r="O2015" s="12">
        <f t="shared" si="95"/>
        <v>2135.23</v>
      </c>
      <c r="P2015" s="7">
        <v>280</v>
      </c>
      <c r="Q2015" s="7" t="b">
        <v>1</v>
      </c>
      <c r="R2015" s="7"/>
      <c r="S2015" s="15" t="s">
        <v>16</v>
      </c>
    </row>
    <row r="2016" spans="1:19">
      <c r="A2016" s="3" t="s">
        <v>405</v>
      </c>
      <c r="B2016" s="4" t="s">
        <v>406</v>
      </c>
      <c r="C2016" s="5" t="s">
        <v>4128</v>
      </c>
      <c r="D2016" s="5">
        <v>45141</v>
      </c>
      <c r="E2016" s="4">
        <v>8</v>
      </c>
      <c r="F2016" s="4">
        <v>3</v>
      </c>
      <c r="G2016" s="4">
        <v>2023</v>
      </c>
      <c r="H2016" s="5">
        <f t="shared" si="93"/>
        <v>45141</v>
      </c>
      <c r="I2016" s="9">
        <v>45165</v>
      </c>
      <c r="J2016" s="4">
        <f t="shared" si="94"/>
        <v>24</v>
      </c>
      <c r="K2016" s="4" t="s">
        <v>266</v>
      </c>
      <c r="L2016" s="4">
        <v>56016</v>
      </c>
      <c r="M2016" s="4">
        <v>1728</v>
      </c>
      <c r="N2016" s="10">
        <v>1890.33</v>
      </c>
      <c r="O2016" s="10">
        <f t="shared" si="95"/>
        <v>1890.33</v>
      </c>
      <c r="P2016" s="4">
        <v>128</v>
      </c>
      <c r="Q2016" s="4" t="b">
        <v>0</v>
      </c>
      <c r="R2016" s="4"/>
      <c r="S2016" s="14" t="s">
        <v>20</v>
      </c>
    </row>
    <row r="2017" spans="1:19">
      <c r="A2017" s="6" t="s">
        <v>848</v>
      </c>
      <c r="B2017" s="7" t="s">
        <v>849</v>
      </c>
      <c r="C2017" s="8" t="s">
        <v>4127</v>
      </c>
      <c r="D2017" s="8">
        <v>45230</v>
      </c>
      <c r="E2017" s="7">
        <v>10</v>
      </c>
      <c r="F2017" s="7">
        <v>31</v>
      </c>
      <c r="G2017" s="7">
        <v>2023</v>
      </c>
      <c r="H2017" s="8">
        <f t="shared" si="93"/>
        <v>45230</v>
      </c>
      <c r="I2017" s="11">
        <v>45243</v>
      </c>
      <c r="J2017" s="7">
        <f t="shared" si="94"/>
        <v>13</v>
      </c>
      <c r="K2017" s="7" t="s">
        <v>14</v>
      </c>
      <c r="L2017" s="7">
        <v>30592</v>
      </c>
      <c r="M2017" s="7">
        <v>586</v>
      </c>
      <c r="N2017" s="12">
        <v>503.95</v>
      </c>
      <c r="O2017" s="12">
        <f t="shared" si="95"/>
        <v>503.95</v>
      </c>
      <c r="P2017" s="7">
        <v>77</v>
      </c>
      <c r="Q2017" s="7" t="b">
        <v>1</v>
      </c>
      <c r="R2017" s="7"/>
      <c r="S2017" s="15" t="s">
        <v>16</v>
      </c>
    </row>
    <row r="2018" spans="1:19">
      <c r="A2018" s="3" t="s">
        <v>2600</v>
      </c>
      <c r="B2018" s="4" t="s">
        <v>2601</v>
      </c>
      <c r="C2018" s="5" t="s">
        <v>4127</v>
      </c>
      <c r="D2018" s="5">
        <v>45170</v>
      </c>
      <c r="E2018" s="4">
        <v>9</v>
      </c>
      <c r="F2018" s="4">
        <v>1</v>
      </c>
      <c r="G2018" s="4">
        <v>2023</v>
      </c>
      <c r="H2018" s="5">
        <f t="shared" si="93"/>
        <v>45170</v>
      </c>
      <c r="I2018" s="9">
        <v>45195</v>
      </c>
      <c r="J2018" s="4">
        <f t="shared" si="94"/>
        <v>25</v>
      </c>
      <c r="K2018" s="4" t="s">
        <v>41</v>
      </c>
      <c r="L2018" s="4">
        <v>20097</v>
      </c>
      <c r="M2018" s="4">
        <v>897</v>
      </c>
      <c r="N2018" s="10">
        <v>1641</v>
      </c>
      <c r="O2018" s="10">
        <f t="shared" si="95"/>
        <v>1641</v>
      </c>
      <c r="P2018" s="4">
        <v>162</v>
      </c>
      <c r="Q2018" s="4" t="b">
        <v>0</v>
      </c>
      <c r="R2018" s="4"/>
      <c r="S2018" s="14" t="s">
        <v>42</v>
      </c>
    </row>
    <row r="2019" spans="1:19">
      <c r="A2019" s="6" t="s">
        <v>2183</v>
      </c>
      <c r="B2019" s="7" t="s">
        <v>2184</v>
      </c>
      <c r="C2019" s="8" t="s">
        <v>4128</v>
      </c>
      <c r="D2019" s="8">
        <v>44966</v>
      </c>
      <c r="E2019" s="7">
        <v>2</v>
      </c>
      <c r="F2019" s="7">
        <v>9</v>
      </c>
      <c r="G2019" s="7">
        <v>2023</v>
      </c>
      <c r="H2019" s="8">
        <f t="shared" si="93"/>
        <v>44966</v>
      </c>
      <c r="I2019" s="11">
        <v>44978</v>
      </c>
      <c r="J2019" s="7">
        <f t="shared" si="94"/>
        <v>12</v>
      </c>
      <c r="K2019" s="7" t="s">
        <v>33</v>
      </c>
      <c r="L2019" s="7">
        <v>33254</v>
      </c>
      <c r="M2019" s="7">
        <v>1117</v>
      </c>
      <c r="N2019" s="12">
        <v>883.82</v>
      </c>
      <c r="O2019" s="12">
        <f t="shared" si="95"/>
        <v>883.82</v>
      </c>
      <c r="P2019" s="7">
        <v>214</v>
      </c>
      <c r="Q2019" s="7" t="b">
        <v>0</v>
      </c>
      <c r="R2019" s="7"/>
      <c r="S2019" s="15" t="s">
        <v>34</v>
      </c>
    </row>
    <row r="2020" spans="1:19">
      <c r="A2020" s="3" t="s">
        <v>2321</v>
      </c>
      <c r="B2020" s="4" t="s">
        <v>2322</v>
      </c>
      <c r="C2020" s="5" t="s">
        <v>4129</v>
      </c>
      <c r="D2020" s="5">
        <v>45015</v>
      </c>
      <c r="E2020" s="4">
        <v>3</v>
      </c>
      <c r="F2020" s="4">
        <v>30</v>
      </c>
      <c r="G2020" s="4">
        <v>2023</v>
      </c>
      <c r="H2020" s="5">
        <f t="shared" si="93"/>
        <v>45015</v>
      </c>
      <c r="I2020" s="9">
        <v>45043</v>
      </c>
      <c r="J2020" s="4">
        <f t="shared" si="94"/>
        <v>28</v>
      </c>
      <c r="K2020" s="4" t="s">
        <v>19</v>
      </c>
      <c r="L2020" s="4">
        <v>68728</v>
      </c>
      <c r="M2020" s="4">
        <v>2960</v>
      </c>
      <c r="N2020" s="10">
        <v>4198.5</v>
      </c>
      <c r="O2020" s="10">
        <f t="shared" si="95"/>
        <v>3632.575</v>
      </c>
      <c r="P2020" s="4">
        <v>591</v>
      </c>
      <c r="Q2020" s="4" t="b">
        <v>1</v>
      </c>
      <c r="R2020" s="4"/>
      <c r="S2020" s="14" t="s">
        <v>20</v>
      </c>
    </row>
    <row r="2021" spans="1:19">
      <c r="A2021" s="16" t="s">
        <v>3211</v>
      </c>
      <c r="B2021" s="17" t="s">
        <v>3212</v>
      </c>
      <c r="C2021" s="19" t="s">
        <v>4128</v>
      </c>
      <c r="D2021" s="19">
        <v>45103</v>
      </c>
      <c r="E2021" s="17">
        <v>6</v>
      </c>
      <c r="F2021" s="17">
        <v>26</v>
      </c>
      <c r="G2021" s="17">
        <v>2023</v>
      </c>
      <c r="H2021" s="19">
        <f t="shared" si="93"/>
        <v>45103</v>
      </c>
      <c r="I2021" s="20">
        <v>45116</v>
      </c>
      <c r="J2021" s="17">
        <f t="shared" si="94"/>
        <v>13</v>
      </c>
      <c r="K2021" s="17" t="s">
        <v>23</v>
      </c>
      <c r="L2021" s="17">
        <v>96402</v>
      </c>
      <c r="M2021" s="17">
        <v>1090</v>
      </c>
      <c r="N2021" s="21">
        <v>1315.59</v>
      </c>
      <c r="O2021" s="21">
        <f t="shared" si="95"/>
        <v>1315.59</v>
      </c>
      <c r="P2021" s="17">
        <v>66</v>
      </c>
      <c r="Q2021" s="17" t="b">
        <v>1</v>
      </c>
      <c r="R2021" s="17"/>
      <c r="S2021" s="1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marketing_campaign_data_messy (</vt:lpstr>
      <vt:lpstr>marketing_campaign_data_mess(2)</vt:lpstr>
      <vt:lpstr>Edited Campaign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Bazunu</cp:lastModifiedBy>
  <dcterms:created xsi:type="dcterms:W3CDTF">2026-08-29T08:04:00Z</dcterms:created>
  <dcterms:modified xsi:type="dcterms:W3CDTF">2026-08-31T06:32:56Z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7941EF0DD9F1400396A94EBF0DE94317_13</vt:lpwstr>
  </property>
  <property fmtid="{D5CDD505-2E9C-101B-9397-08002B2CF9AE}" pid="3" name="KSOProductBuildVer">
    <vt:lpwstr>2057-12.2.0.23206</vt:lpwstr>
  </property>
</Properties>
</file>